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976aaa11346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" sheetId="1" r:id="R7f155ad1b1f74075"/>
    <x:sheet xmlns:r="http://schemas.openxmlformats.org/officeDocument/2006/relationships" name="Overall_Top100_6_8" sheetId="12" r:id="Rdaec71724fec4fb9"/>
    <x:sheet xmlns:r="http://schemas.openxmlformats.org/officeDocument/2006/relationships" name="JunAug_DG_scored_all" sheetId="6" r:id="R14ecc11116574153"/>
    <x:sheet xmlns:r="http://schemas.openxmlformats.org/officeDocument/2006/relationships" name="June_DG_scored30pct" sheetId="3" r:id="Rab5a035a94974b0c"/>
    <x:sheet xmlns:r="http://schemas.openxmlformats.org/officeDocument/2006/relationships" name="July_DG_scored30pct" sheetId="4" r:id="Rdb3da4250a494867"/>
    <x:sheet xmlns:r="http://schemas.openxmlformats.org/officeDocument/2006/relationships" name="Aug_DG_scored30pct" sheetId="5" r:id="Rcca6cdf712594c93"/>
    <x:sheet xmlns:r="http://schemas.openxmlformats.org/officeDocument/2006/relationships" name="JunAug_DG_Top100" sheetId="7" r:id="R47946600609a4b6b"/>
    <x:sheet xmlns:r="http://schemas.openxmlformats.org/officeDocument/2006/relationships" name="June_DG_Top50" sheetId="8" r:id="Rd8fb71fc5177446b"/>
    <x:sheet xmlns:r="http://schemas.openxmlformats.org/officeDocument/2006/relationships" name="JulAug_DG_Top50" sheetId="9" r:id="R9d2dc381a9924f34"/>
    <x:sheet xmlns:r="http://schemas.openxmlformats.org/officeDocument/2006/relationships" name="June_Top50_GlobalRank" sheetId="10" r:id="R1e508c01a87f4eb5"/>
    <x:sheet xmlns:r="http://schemas.openxmlformats.org/officeDocument/2006/relationships" name="JulAug_Top50_GlobalRank" sheetId="11" r:id="R0c5cec2843064edc"/>
    <x:sheet xmlns:r="http://schemas.openxmlformats.org/officeDocument/2006/relationships" name="Aug10_DG_batch_all11" sheetId="13" r:id="Rcefe405f72154a93"/>
    <x:sheet xmlns:r="http://schemas.openxmlformats.org/officeDocument/2006/relationships" name="Aug_DG_assessed_all29" sheetId="14" r:id="R5d1a586045424a1e"/>
  </x:sheets>
</x:workbook>
</file>

<file path=xl/sharedStrings.xml><?xml version="1.0" encoding="utf-8"?>
<x:sst xmlns:x="http://schemas.openxmlformats.org/spreadsheetml/2006/main">
  <x:si>
    <x:t xml:space="preserve">arXiv</x:t>
  </x:si>
  <x:si>
    <x:t xml:space="preserve">month</x:t>
  </x:si>
  <x:si>
    <x:t xml:space="preserve">DG_status</x:t>
  </x:si>
  <x:si>
    <x:t xml:space="preserve">theme</x:t>
  </x:si>
  <x:si>
    <x:t xml:space="preserve">title</x:t>
  </x:si>
  <x:si>
    <x:t xml:space="preserve">authors</x:t>
  </x:si>
  <x:si>
    <x:t xml:space="preserve">pages</x:t>
  </x:si>
  <x:si>
    <x:t xml:space="preserve">source_url</x:t>
  </x:si>
  <x:si>
    <x:t xml:space="preserve">screening_note</x:t>
  </x:si>
  <x:si>
    <x:t xml:space="preserve">I</x:t>
  </x:si>
  <x:si>
    <x:t xml:space="preserve">O</x:t>
  </x:si>
  <x:si>
    <x:t xml:space="preserve">T</x:t>
  </x:si>
  <x:si>
    <x:t xml:space="preserve">B</x:t>
  </x:si>
  <x:si>
    <x:t xml:space="preserve">H</x:t>
  </x:si>
  <x:si>
    <x:t xml:space="preserve">R</x:t>
  </x:si>
  <x:si>
    <x:t xml:space="preserve">AI_pct</x:t>
  </x:si>
  <x:si>
    <x:t xml:space="preserve">AI_unc</x:t>
  </x:si>
  <x:si>
    <x:t xml:space="preserve">V</x:t>
  </x:si>
  <x:si>
    <x:t xml:space="preserve">S_H</x:t>
  </x:si>
  <x:si>
    <x:t xml:space="preserve">S_eq</x:t>
  </x:si>
  <x:si>
    <x:t xml:space="preserve">rank_formula</x:t>
  </x:si>
  <x:si>
    <x:t xml:space="preserve">exact_bibliography</x:t>
  </x:si>
  <x:si>
    <x:t xml:space="preserve">Top50_flag</x:t>
  </x:si>
  <x:si>
    <x:t xml:space="preserve">source_batch</x:t>
  </x:si>
  <x:si>
    <x:t xml:space="preserve">score_comments</x:t>
  </x:si>
  <x:si>
    <x:t xml:space="preserve">2606.01511</x:t>
  </x:si>
  <x:si>
    <x:t xml:space="preserve">2026-06</x:t>
  </x:si>
  <x:si>
    <x:t xml:space="preserve">math.DG/math.AP</x:t>
  </x:si>
  <x:si>
    <x:t xml:space="preserve">GMT / stationary varifolds</x:t>
  </x:si>
  <x:si>
    <x:t xml:space="preserve">A Branch Set Stratification for Stationary Varifolds with Epsilon-Regularity</x:t>
  </x:si>
  <x:si>
    <x:t xml:space="preserve">Brian Krummel; Paul Minter; Neshan Wickramasekera</x:t>
  </x:si>
  <x:si>
    <x:t xml:space="preserve">https://arxiv.org/abs/2606.01511</x:t>
  </x:si>
  <x:si>
    <x:t xml:space="preserve">selected for 30% scored pool from official June math.DG list</x:t>
  </x:si>
  <x:si>
    <x:t xml:space="preserve">S_eq=(V+S_H)/2; V and S_H equal-weighted</x:t>
  </x:si>
  <x:si>
    <x:t xml:space="preserve">arXiv official math.DG list metadata</x:t>
  </x:si>
  <x:si>
    <x:t xml:space="preserve">Top50</x:t>
  </x:si>
  <x:si>
    <x:t xml:space="preserve">June official math.DG list; 387 total; scored pool = ceil(30%) = 117</x:t>
  </x:si>
  <x:si>
    <x:t xml:space="preserve">Long branch-set stratification and epsilon-regularity framework for stationary varifolds.</x:t>
  </x:si>
  <x:si>
    <x:t xml:space="preserve">2606.03583</x:t>
  </x:si>
  <x:si>
    <x:t xml:space="preserve">math.DG/math.AP/math.GT</x:t>
  </x:si>
  <x:si>
    <x:t xml:space="preserve">minimal surfaces / min-max</x:t>
  </x:si>
  <x:si>
    <x:t xml:space="preserve">Closed minimal surfaces of index one in Riemannian manifolds</x:t>
  </x:si>
  <x:si>
    <x:t xml:space="preserve">Fernando C. Marques; André Neves</x:t>
  </x:si>
  <x:si>
    <x:t xml:space="preserve">https://arxiv.org/abs/2606.03583</x:t>
  </x:si>
  <x:si>
    <x:t xml:space="preserve">Index-one minimal surface theory by leading min-max authors; high conceptual and technical weight.</x:t>
  </x:si>
  <x:si>
    <x:t xml:space="preserve">2606.12257</x:t>
  </x:si>
  <x:si>
    <x:t xml:space="preserve">cross-list math.SG/math.DG</x:t>
  </x:si>
  <x:si>
    <x:t xml:space="preserve">Floer theory / symplectic geometry</x:t>
  </x:si>
  <x:si>
    <x:t xml:space="preserve">Quantum cohomology and split generation in Lagrangian Floer theory</x:t>
  </x:si>
  <x:si>
    <x:t xml:space="preserve">Mohammed Abouzaid; Kenji Fukaya; Yong-Geun Oh; Hiroshi Ohta; Kaoru Ono</x:t>
  </x:si>
  <x:si>
    <x:t xml:space="preserve">https://arxiv.org/abs/2606.12257</x:t>
  </x:si>
  <x:si>
    <x:t xml:space="preserve">Massive foundational Floer-theoretic contribution with strong downstream value.</x:t>
  </x:si>
  <x:si>
    <x:t xml:space="preserve">2606.30098</x:t>
  </x:si>
  <x:si>
    <x:t xml:space="preserve">anisotropic minimal surfaces</x:t>
  </x:si>
  <x:si>
    <x:t xml:space="preserve">Min-Max Construction of Anisotropic Minimal Surfaces with Genus Bound</x:t>
  </x:si>
  <x:si>
    <x:t xml:space="preserve">Antonio De Rosa; Aria Halavati; Ling Wang</x:t>
  </x:si>
  <x:si>
    <x:t xml:space="preserve">https://arxiv.org/abs/2606.30098</x:t>
  </x:si>
  <x:si>
    <x:t xml:space="preserve">Min-max construction with genus control in anisotropic surface theory.</x:t>
  </x:si>
  <x:si>
    <x:t xml:space="preserve">2606.13335</x:t>
  </x:si>
  <x:si>
    <x:t xml:space="preserve">geometric inequalities / stability</x:t>
  </x:si>
  <x:si>
    <x:t xml:space="preserve">Sharp stability of Alexandrov's theorem for C^1 domains in the small-excess regime</x:t>
  </x:si>
  <x:si>
    <x:t xml:space="preserve">Alessio Figalli; Yi Ru-Ya Zhang</x:t>
  </x:si>
  <x:si>
    <x:t xml:space="preserve">https://arxiv.org/abs/2606.13335</x:t>
  </x:si>
  <x:si>
    <x:t xml:space="preserve">Sharp quantitative stability for Alexandrov-type rigidity.</x:t>
  </x:si>
  <x:si>
    <x:t xml:space="preserve">2606.15795</x:t>
  </x:si>
  <x:si>
    <x:t xml:space="preserve">area-minimizing currents</x:t>
  </x:si>
  <x:si>
    <x:t xml:space="preserve">Entire area-minimizing surfaces in R^n of density two are quadratic or planar</x:t>
  </x:si>
  <x:si>
    <x:t xml:space="preserve">Nick Edelen; Luis Atzin Franco Reyna; Paul Minter</x:t>
  </x:si>
  <x:si>
    <x:t xml:space="preserve">https://arxiv.org/abs/2606.15795</x:t>
  </x:si>
  <x:si>
    <x:t xml:space="preserve">Sharp classification for density-two entire area minimizers.</x:t>
  </x:si>
  <x:si>
    <x:t xml:space="preserve">2606.22355</x:t>
  </x:si>
  <x:si>
    <x:t xml:space="preserve">math.AP/math.DG</x:t>
  </x:si>
  <x:si>
    <x:t xml:space="preserve">Yamabe flow / ancient solutions</x:t>
  </x:si>
  <x:si>
    <x:t xml:space="preserve">Uncountably many non-rotationally symmetric type II ancient Yamabe flows on the sphere</x:t>
  </x:si>
  <x:si>
    <x:t xml:space="preserve">Haixia Chen; Seunghyeok Kim; Monica Musso</x:t>
  </x:si>
  <x:si>
    <x:t xml:space="preserve">-</x:t>
  </x:si>
  <x:si>
    <x:t xml:space="preserve">https://arxiv.org/abs/2606.22355</x:t>
  </x:si>
  <x:si>
    <x:t xml:space="preserve">Constructs large family of type-II ancient Yamabe flows with symmetry breaking.</x:t>
  </x:si>
  <x:si>
    <x:t xml:space="preserve">2606.00964</x:t>
  </x:si>
  <x:si>
    <x:t xml:space="preserve">math.DG</x:t>
  </x:si>
  <x:si>
    <x:t xml:space="preserve">mean curvature flow / surgery</x:t>
  </x:si>
  <x:si>
    <x:t xml:space="preserve">Mean convex flows with surgery</x:t>
  </x:si>
  <x:si>
    <x:t xml:space="preserve">Gabor Szekelyhidi</x:t>
  </x:si>
  <x:si>
    <x:t xml:space="preserve">https://arxiv.org/abs/2606.00964</x:t>
  </x:si>
  <x:si>
    <x:t xml:space="preserve">Mean-convex MCF with surgery; high technical geometric-flow relevance.</x:t>
  </x:si>
  <x:si>
    <x:t xml:space="preserve">2606.15816</x:t>
  </x:si>
  <x:si>
    <x:t xml:space="preserve">math.DG/math.AP/math.CV</x:t>
  </x:si>
  <x:si>
    <x:t xml:space="preserve">Kähler-Ricci flow</x:t>
  </x:si>
  <x:si>
    <x:t xml:space="preserve">Kähler-Ricci Flow: from divisors to cusps</x:t>
  </x:si>
  <x:si>
    <x:t xml:space="preserve">Eleonora Di Nezza; Vincent Guedj; Chinh H. Lu</x:t>
  </x:si>
  <x:si>
    <x:t xml:space="preserve">https://arxiv.org/abs/2606.15816</x:t>
  </x:si>
  <x:si>
    <x:t xml:space="preserve">Kähler-Ricci flow transition from divisorial to cusp singularities.</x:t>
  </x:si>
  <x:si>
    <x:t xml:space="preserve">2606.30130</x:t>
  </x:si>
  <x:si>
    <x:t xml:space="preserve">scalar curvature / rigidity</x:t>
  </x:si>
  <x:si>
    <x:t xml:space="preserve">Gromov's dihedral rigidity conjecture in dimension three</x:t>
  </x:si>
  <x:si>
    <x:t xml:space="preserve">Jinmin Wang; Zhizhang Xie; Guoliang Yu</x:t>
  </x:si>
  <x:si>
    <x:t xml:space="preserve">https://arxiv.org/abs/2606.30130</x:t>
  </x:si>
  <x:si>
    <x:t xml:space="preserve">Major scalar-curvature rigidity conjecture in dimension three.</x:t>
  </x:si>
  <x:si>
    <x:t xml:space="preserve">2606.29135</x:t>
  </x:si>
  <x:si>
    <x:t xml:space="preserve">math.DG/math.KT</x:t>
  </x:si>
  <x:si>
    <x:t xml:space="preserve">positive scalar curvature / K-theory</x:t>
  </x:si>
  <x:si>
    <x:t xml:space="preserve">Gromov's Simplicial Volume Vanishing Conjecture for Positive Scalar Curvature and Fundamental Group Decay</x:t>
  </x:si>
  <x:si>
    <x:t xml:space="preserve">Qiaochu Ma; Guoliang Yu</x:t>
  </x:si>
  <x:si>
    <x:t xml:space="preserve">https://arxiv.org/abs/2606.29135</x:t>
  </x:si>
  <x:si>
    <x:t xml:space="preserve">Important PSC-topology result toward Gromov-type vanishing conjectures.</x:t>
  </x:si>
  <x:si>
    <x:t xml:space="preserve">2606.21062</x:t>
  </x:si>
  <x:si>
    <x:t xml:space="preserve">math.DG/math.CV</x:t>
  </x:si>
  <x:si>
    <x:t xml:space="preserve">Hermitian-Yang-Mills flow</x:t>
  </x:si>
  <x:si>
    <x:t xml:space="preserve">The prescribed Hermitian-Yang-Mills flow I</x:t>
  </x:si>
  <x:si>
    <x:t xml:space="preserve">Zhiyao Xiong; Xiaokui Yang; Shing-Tung Yau</x:t>
  </x:si>
  <x:si>
    <x:t xml:space="preserve">https://arxiv.org/abs/2606.21062</x:t>
  </x:si>
  <x:si>
    <x:t xml:space="preserve">First part of prescribed HYM flow program; strong complex differential geometry content.</x:t>
  </x:si>
  <x:si>
    <x:t xml:space="preserve">2606.21073</x:t>
  </x:si>
  <x:si>
    <x:t xml:space="preserve">The prescribed Hermitian-Yang-Mills flow II</x:t>
  </x:si>
  <x:si>
    <x:t xml:space="preserve">https://arxiv.org/abs/2606.21073</x:t>
  </x:si>
  <x:si>
    <x:t xml:space="preserve">Second part of prescribed HYM flow program; complements Part I.</x:t>
  </x:si>
  <x:si>
    <x:t xml:space="preserve">2606.13301</x:t>
  </x:si>
  <x:si>
    <x:t xml:space="preserve">singular Ricci flow</x:t>
  </x:si>
  <x:si>
    <x:t xml:space="preserve">Gromov-Hausdorff convergence of time-slices of singular Ricci flows in dimension three</x:t>
  </x:si>
  <x:si>
    <x:t xml:space="preserve">Yu Li</x:t>
  </x:si>
  <x:si>
    <x:t xml:space="preserve">https://arxiv.org/abs/2606.13301</x:t>
  </x:si>
  <x:si>
    <x:t xml:space="preserve">GH convergence analysis for singular 3D Ricci flows.</x:t>
  </x:si>
  <x:si>
    <x:t xml:space="preserve">2606.21541</x:t>
  </x:si>
  <x:si>
    <x:t xml:space="preserve">math.DG/math.AP/math.SP</x:t>
  </x:si>
  <x:si>
    <x:t xml:space="preserve">Lagrangian MCF</x:t>
  </x:si>
  <x:si>
    <x:t xml:space="preserve">Spectral Analysis for Finite-Time Singularities of Lagrangian Mean Curvature Flow</x:t>
  </x:si>
  <x:si>
    <x:t xml:space="preserve">Maxwell Stolarski; Wei-Bo Su</x:t>
  </x:si>
  <x:si>
    <x:t xml:space="preserve">https://arxiv.org/abs/2606.21541</x:t>
  </x:si>
  <x:si>
    <x:t xml:space="preserve">Spectral analysis around finite-time singularity models in Lagrangian MCF.</x:t>
  </x:si>
  <x:si>
    <x:t xml:space="preserve">2606.02396</x:t>
  </x:si>
  <x:si>
    <x:t xml:space="preserve">free boundary minimal surfaces</x:t>
  </x:si>
  <x:si>
    <x:t xml:space="preserve">Existence of free boundary minimal disks in convex regions</x:t>
  </x:si>
  <x:si>
    <x:t xml:space="preserve">Lorenzo Sarnataro; Douglas Stryker; Zhichao Wang; Xin Zhou</x:t>
  </x:si>
  <x:si>
    <x:t xml:space="preserve">https://arxiv.org/abs/2606.02396</x:t>
  </x:si>
  <x:si>
    <x:t xml:space="preserve">Existence result for free-boundary minimal disks in convex regions.</x:t>
  </x:si>
  <x:si>
    <x:t xml:space="preserve">2606.24682</x:t>
  </x:si>
  <x:si>
    <x:t xml:space="preserve">inverse problems / minimal surfaces</x:t>
  </x:si>
  <x:si>
    <x:t xml:space="preserve">The linearized minimal surfaces problem</x:t>
  </x:si>
  <x:si>
    <x:t xml:space="preserve">Haim Grebnev; Plamen Stefanov; Gunther Uhlmann; Hanming Zhou</x:t>
  </x:si>
  <x:si>
    <x:t xml:space="preserve">https://arxiv.org/abs/2606.24682</x:t>
  </x:si>
  <x:si>
    <x:t xml:space="preserve">Linearized inverse-type problem for minimal surfaces with strong analysis component.</x:t>
  </x:si>
  <x:si>
    <x:t xml:space="preserve">2606.24754</x:t>
  </x:si>
  <x:si>
    <x:t xml:space="preserve">minimal hypersurfaces</x:t>
  </x:si>
  <x:si>
    <x:t xml:space="preserve">Existence of classical minimal surfaces in 4 and 5-manifolds</x:t>
  </x:si>
  <x:si>
    <x:t xml:space="preserve">Da Rong Cheng; Xin Zhou</x:t>
  </x:si>
  <x:si>
    <x:t xml:space="preserve">https://arxiv.org/abs/2606.24754</x:t>
  </x:si>
  <x:si>
    <x:t xml:space="preserve">Classical minimal surface existence in low-dimensional manifolds.</x:t>
  </x:si>
  <x:si>
    <x:t xml:space="preserve">2606.13011</x:t>
  </x:si>
  <x:si>
    <x:t xml:space="preserve">Calabi-Yau metrics</x:t>
  </x:si>
  <x:si>
    <x:t xml:space="preserve">Complete Calabi-Yau metrics on noncompact K3 fibered threefolds</x:t>
  </x:si>
  <x:si>
    <x:t xml:space="preserve">Ruiming Liang</x:t>
  </x:si>
  <x:si>
    <x:t xml:space="preserve">https://arxiv.org/abs/2606.13011</x:t>
  </x:si>
  <x:si>
    <x:t xml:space="preserve">Construction and analysis of complete CY metrics on noncompact K3-fibered threefolds.</x:t>
  </x:si>
  <x:si>
    <x:t xml:space="preserve">2606.16033</x:t>
  </x:si>
  <x:si>
    <x:t xml:space="preserve">conformal geometry / fully nonlinear PDE</x:t>
  </x:si>
  <x:si>
    <x:t xml:space="preserve">Admissibility, Topology, and the sigma_k-Loewner-Nirenberg problem</x:t>
  </x:si>
  <x:si>
    <x:t xml:space="preserve">Hao Fang; Matthew J. Gursky</x:t>
  </x:si>
  <x:si>
    <x:t xml:space="preserve">https://arxiv.org/abs/2606.16033</x:t>
  </x:si>
  <x:si>
    <x:t xml:space="preserve">Topology and admissibility in the sigma_k-Loewner-Nirenberg problem.</x:t>
  </x:si>
  <x:si>
    <x:t xml:space="preserve">2606.22441</x:t>
  </x:si>
  <x:si>
    <x:t xml:space="preserve">Brakke flow / rectifiability</x:t>
  </x:si>
  <x:si>
    <x:t xml:space="preserve">Parabolic rectifiability of the Brakke flow</x:t>
  </x:si>
  <x:si>
    <x:t xml:space="preserve">Yu Tong Liu; Myles Workman</x:t>
  </x:si>
  <x:si>
    <x:t xml:space="preserve">https://arxiv.org/abs/2606.22441</x:t>
  </x:si>
  <x:si>
    <x:t xml:space="preserve">Parabolic rectifiability for Brakke flows; useful geometric measure theory tool.</x:t>
  </x:si>
  <x:si>
    <x:t xml:space="preserve">2606.04586</x:t>
  </x:si>
  <x:si>
    <x:t xml:space="preserve">mean curvature flow</x:t>
  </x:si>
  <x:si>
    <x:t xml:space="preserve">Calibration energy and mean curvature flow</x:t>
  </x:si>
  <x:si>
    <x:t xml:space="preserve">Tatsuya Miura; Fabian Rupp</x:t>
  </x:si>
  <x:si>
    <x:t xml:space="preserve">https://arxiv.org/abs/2606.04586</x:t>
  </x:si>
  <x:si>
    <x:t xml:space="preserve">Calibration-energy perspective for MCF; technically robust.</x:t>
  </x:si>
  <x:si>
    <x:t xml:space="preserve">2606.08006</x:t>
  </x:si>
  <x:si>
    <x:t xml:space="preserve">discrete Ricci curvature / spectral rigidity</x:t>
  </x:si>
  <x:si>
    <x:t xml:space="preserve">Optimal spectral rigidity of the hypercube via Bakry-Emery curvature</x:t>
  </x:si>
  <x:si>
    <x:t xml:space="preserve">Yanlong Ding; Shiping Liu; Chiyu Zhou</x:t>
  </x:si>
  <x:si>
    <x:t xml:space="preserve">https://arxiv.org/abs/2606.08006</x:t>
  </x:si>
  <x:si>
    <x:t xml:space="preserve">Sharp discrete curvature/spectral rigidity on the hypercube.</x:t>
  </x:si>
  <x:si>
    <x:t xml:space="preserve">2606.08086</x:t>
  </x:si>
  <x:si>
    <x:t xml:space="preserve">scalar curvature / monotonicity</x:t>
  </x:si>
  <x:si>
    <x:t xml:space="preserve">Monotone quantities on 3-manifolds with nonnegative scalar curvature</x:t>
  </x:si>
  <x:si>
    <x:t xml:space="preserve">Jiannan Chen; Haiping Fu</x:t>
  </x:si>
  <x:si>
    <x:t xml:space="preserve">https://arxiv.org/abs/2606.08086</x:t>
  </x:si>
  <x:si>
    <x:t xml:space="preserve">Monotone quantities in 3D nonnegative scalar curvature geometry.</x:t>
  </x:si>
  <x:si>
    <x:t xml:space="preserve">2606.12063</x:t>
  </x:si>
  <x:si>
    <x:t xml:space="preserve">Kähler geometry / entropy</x:t>
  </x:si>
  <x:si>
    <x:t xml:space="preserve">Optimal geometric estimates for compact Kähler manifolds of a Nash entropy bound</x:t>
  </x:si>
  <x:si>
    <x:t xml:space="preserve">Weiqi Zhang; Yashan Zhang</x:t>
  </x:si>
  <x:si>
    <x:t xml:space="preserve">https://arxiv.org/abs/2606.12063</x:t>
  </x:si>
  <x:si>
    <x:t xml:space="preserve">Optimal estimates under Nash entropy bounds in compact Kähler setting.</x:t>
  </x:si>
  <x:si>
    <x:t xml:space="preserve">2606.12379</x:t>
  </x:si>
  <x:si>
    <x:t xml:space="preserve">Ricci flow singularities</x:t>
  </x:si>
  <x:si>
    <x:t xml:space="preserve">A Local Singularity Analysis for the Ricci Flow and its Applications to Ricci Flows with Bounded Scalar Curvature -- Part II</x:t>
  </x:si>
  <x:si>
    <x:t xml:space="preserve">Reto Buzano; Gianmichele Di Matteo</x:t>
  </x:si>
  <x:si>
    <x:t xml:space="preserve">https://arxiv.org/abs/2606.12379</x:t>
  </x:si>
  <x:si>
    <x:t xml:space="preserve">Local singularity analysis for scalar-curvature-bounded Ricci flows.</x:t>
  </x:si>
  <x:si>
    <x:t xml:space="preserve">2606.19801</x:t>
  </x:si>
  <x:si>
    <x:t xml:space="preserve">CR geometry / Yamabe equation</x:t>
  </x:si>
  <x:si>
    <x:t xml:space="preserve">Positive mass theorem and the Yamabe equation on CR manifolds</x:t>
  </x:si>
  <x:si>
    <x:t xml:space="preserve">Jih-Hsin Cheng</x:t>
  </x:si>
  <x:si>
    <x:t xml:space="preserve">https://arxiv.org/abs/2606.19801</x:t>
  </x:si>
  <x:si>
    <x:t xml:space="preserve">Positive mass theorem linked to CR Yamabe equation.</x:t>
  </x:si>
  <x:si>
    <x:t xml:space="preserve">2606.19806</x:t>
  </x:si>
  <x:si>
    <x:t xml:space="preserve">Kähler geometry / curvature</x:t>
  </x:si>
  <x:si>
    <x:t xml:space="preserve">The top Yau-Yang conjecture for Kähler manifolds with positive sectional curvature</x:t>
  </x:si>
  <x:si>
    <x:t xml:space="preserve">Ved V. Datar; Vamsi P. Pingali; Harish Seshadri</x:t>
  </x:si>
  <x:si>
    <x:t xml:space="preserve">https://arxiv.org/abs/2606.19806</x:t>
  </x:si>
  <x:si>
    <x:t xml:space="preserve">Concise result on the top Yau-Yang conjecture for positively curved Kähler manifolds.</x:t>
  </x:si>
  <x:si>
    <x:t xml:space="preserve">2606.19858</x:t>
  </x:si>
  <x:si>
    <x:t xml:space="preserve">positive mass / AH geometry</x:t>
  </x:si>
  <x:si>
    <x:t xml:space="preserve">Spectral Positive Mass Theorem for Asymptotically Hyperbolic 3-manifolds with Toroidal Infinity</x:t>
  </x:si>
  <x:si>
    <x:t xml:space="preserve">Xiaoxiang Chai; Yimin Chen; Juncheol Pyo</x:t>
  </x:si>
  <x:si>
    <x:t xml:space="preserve">https://arxiv.org/abs/2606.19858</x:t>
  </x:si>
  <x:si>
    <x:t xml:space="preserve">Spectral positive mass theorem in AH three-manifolds with toroidal infinity.</x:t>
  </x:si>
  <x:si>
    <x:t xml:space="preserve">2606.28897</x:t>
  </x:si>
  <x:si>
    <x:t xml:space="preserve">scalar curvature functional</x:t>
  </x:si>
  <x:si>
    <x:t xml:space="preserve">Scalar-Flatness for Critical Metrics of the L2-Scalar Curvature Functional in Dimensions 5&lt;=n&lt;=9</x:t>
  </x:si>
  <x:si>
    <x:t xml:space="preserve">Heng Zhang</x:t>
  </x:si>
  <x:si>
    <x:t xml:space="preserve">https://arxiv.org/abs/2606.28897</x:t>
  </x:si>
  <x:si>
    <x:t xml:space="preserve">Scalar-flatness for critical L2-scalar curvature metrics in middle dimensions.</x:t>
  </x:si>
  <x:si>
    <x:t xml:space="preserve">2606.09017</x:t>
  </x:si>
  <x:si>
    <x:t xml:space="preserve">discrete Ricci flow</x:t>
  </x:si>
  <x:si>
    <x:t xml:space="preserve">The Ollivier Ricci flow with prescribed curvature on infinite graphs</x:t>
  </x:si>
  <x:si>
    <x:t xml:space="preserve">Bobo Hua; Yong Lin; Shuang Liu</x:t>
  </x:si>
  <x:si>
    <x:t xml:space="preserve">https://arxiv.org/abs/2606.09017</x:t>
  </x:si>
  <x:si>
    <x:t xml:space="preserve">Prescribed-curvature Ollivier Ricci flow on infinite graphs.</x:t>
  </x:si>
  <x:si>
    <x:t xml:space="preserve">2606.28767</x:t>
  </x:si>
  <x:si>
    <x:t xml:space="preserve">Infinite-Time Singularities with Vanishing Mean Curvature for Lagrangian Mean Curvature Flow in Gibbons-Hawking Spaces</x:t>
  </x:si>
  <x:si>
    <x:t xml:space="preserve">Ping-Hung Lee; Chung-Jun Tsai</x:t>
  </x:si>
  <x:si>
    <x:t xml:space="preserve">https://arxiv.org/abs/2606.28767</x:t>
  </x:si>
  <x:si>
    <x:t xml:space="preserve">Infinite-time singularities in Gibbons-Hawking Lagrangian MCF setting.</x:t>
  </x:si>
  <x:si>
    <x:t xml:space="preserve">2606.29231</x:t>
  </x:si>
  <x:si>
    <x:t xml:space="preserve">comparison geometry / rigidity</x:t>
  </x:si>
  <x:si>
    <x:t xml:space="preserve">On questions of Pogorelov and Toponogov</x:t>
  </x:si>
  <x:si>
    <x:t xml:space="preserve">Lei Ni; Wei Zhang; Yijian Zhang</x:t>
  </x:si>
  <x:si>
    <x:t xml:space="preserve">https://arxiv.org/abs/2606.29231</x:t>
  </x:si>
  <x:si>
    <x:t xml:space="preserve">Addresses classical Pogorelov-Toponogov type questions.</x:t>
  </x:si>
  <x:si>
    <x:t xml:space="preserve">2606.29246</x:t>
  </x:si>
  <x:si>
    <x:t xml:space="preserve">minimal hypersurface rigidity</x:t>
  </x:si>
  <x:si>
    <x:t xml:space="preserve">Rigidity of Closed Minimal Hypersurfaces in S^5</x:t>
  </x:si>
  <x:si>
    <x:t xml:space="preserve">Jianquan Ge; Tong Liu; Keyan Luo; Wenjiao Yan</x:t>
  </x:si>
  <x:si>
    <x:t xml:space="preserve">https://arxiv.org/abs/2606.29246</x:t>
  </x:si>
  <x:si>
    <x:t xml:space="preserve">Rigidity result for closed minimal hypersurfaces in the five-sphere.</x:t>
  </x:si>
  <x:si>
    <x:t xml:space="preserve">2606.31393</x:t>
  </x:si>
  <x:si>
    <x:t xml:space="preserve">calibrated geometry</x:t>
  </x:si>
  <x:si>
    <x:t xml:space="preserve">Montel's theorem and tautness in calibrated geometry</x:t>
  </x:si>
  <x:si>
    <x:t xml:space="preserve">Anton Iliashenko; Spiro Karigiannis; Jesse Madnick</x:t>
  </x:si>
  <x:si>
    <x:t xml:space="preserve">https://arxiv.org/abs/2606.31393</x:t>
  </x:si>
  <x:si>
    <x:t xml:space="preserve">Montel/tautness theory in calibrated geometry.</x:t>
  </x:si>
  <x:si>
    <x:t xml:space="preserve">2606.15402</x:t>
  </x:si>
  <x:si>
    <x:t xml:space="preserve">convex surface rigidity</x:t>
  </x:si>
  <x:si>
    <x:t xml:space="preserve">Rigidity Theorems for the Weyl Problem of Convex Surfaces in Hyperbolic 3-Space</x:t>
  </x:si>
  <x:si>
    <x:t xml:space="preserve">Xinrong Zhao</x:t>
  </x:si>
  <x:si>
    <x:t xml:space="preserve">https://arxiv.org/abs/2606.15402</x:t>
  </x:si>
  <x:si>
    <x:t xml:space="preserve">Rigidity theorems for hyperbolic Weyl problem.</x:t>
  </x:si>
  <x:si>
    <x:t xml:space="preserve">2606.15827</x:t>
  </x:si>
  <x:si>
    <x:t xml:space="preserve">elasticity / rigidity estimates</x:t>
  </x:si>
  <x:si>
    <x:t xml:space="preserve">Rigidity Estimate for Hyperbolic Shells and its Application in Gamma-limit Theory</x:t>
  </x:si>
  <x:si>
    <x:t xml:space="preserve">Liang-Biao Chen; Peng-Fei Yao</x:t>
  </x:si>
  <x:si>
    <x:t xml:space="preserve">https://arxiv.org/abs/2606.15827</x:t>
  </x:si>
  <x:si>
    <x:t xml:space="preserve">Rigidity estimate for hyperbolic shells with Gamma-limit applications.</x:t>
  </x:si>
  <x:si>
    <x:t xml:space="preserve">2606.08648</x:t>
  </x:si>
  <x:si>
    <x:t xml:space="preserve">geometric variational problem</x:t>
  </x:si>
  <x:si>
    <x:t xml:space="preserve">On Brezis Open Problem 3.1</x:t>
  </x:si>
  <x:si>
    <x:t xml:space="preserve">Qi Guo; Xueping Huang; Yi C. Huang; Fanghua Lin; Juncheng Wei</x:t>
  </x:si>
  <x:si>
    <x:t xml:space="preserve">https://arxiv.org/abs/2606.08648</x:t>
  </x:si>
  <x:si>
    <x:t xml:space="preserve">Resolves/advances Brezis Open Problem 3.1 in a geometric-analytic setting.</x:t>
  </x:si>
  <x:si>
    <x:t xml:space="preserve">2606.22468</x:t>
  </x:si>
  <x:si>
    <x:t xml:space="preserve">harmonic maps / elliptic regularity</x:t>
  </x:si>
  <x:si>
    <x:t xml:space="preserve">A Classical Elliptic Regularity Approach to Almost Harmonic Maps and Related Systems</x:t>
  </x:si>
  <x:si>
    <x:t xml:space="preserve">Giovanni Di Fratta</x:t>
  </x:si>
  <x:si>
    <x:t xml:space="preserve">https://arxiv.org/abs/2606.22468</x:t>
  </x:si>
  <x:si>
    <x:t xml:space="preserve">Elliptic regularity framework for almost harmonic maps and related systems.</x:t>
  </x:si>
  <x:si>
    <x:t xml:space="preserve">2606.22777</x:t>
  </x:si>
  <x:si>
    <x:t xml:space="preserve">math.DG/math.MG</x:t>
  </x:si>
  <x:si>
    <x:t xml:space="preserve">metric geometry / Alexandrov-type spaces</x:t>
  </x:si>
  <x:si>
    <x:t xml:space="preserve">Weak Quadruple Comparison and Structure Theory Beyond Alexandrov Geometry</x:t>
  </x:si>
  <x:si>
    <x:t xml:space="preserve">Bang-Xian Han; Liming Yin</x:t>
  </x:si>
  <x:si>
    <x:t xml:space="preserve">https://arxiv.org/abs/2606.22777</x:t>
  </x:si>
  <x:si>
    <x:t xml:space="preserve">Structure theory beyond Alexandrov geometry via weak quadruple comparison.</x:t>
  </x:si>
  <x:si>
    <x:t xml:space="preserve">2606.14513</x:t>
  </x:si>
  <x:si>
    <x:t xml:space="preserve">Ricci curvature / Liouville equations</x:t>
  </x:si>
  <x:si>
    <x:t xml:space="preserve">Quasilinear Liouville equation on manifolds with nonnegative Ricci curvature</x:t>
  </x:si>
  <x:si>
    <x:t xml:space="preserve">Giovanni Catino; Dario Daniele Monticelli; Alberto Roncoroni</x:t>
  </x:si>
  <x:si>
    <x:t xml:space="preserve">https://arxiv.org/abs/2606.14513</x:t>
  </x:si>
  <x:si>
    <x:t xml:space="preserve">Liouville-type theorem under nonnegative Ricci curvature.</x:t>
  </x:si>
  <x:si>
    <x:t xml:space="preserve">2606.15599</x:t>
  </x:si>
  <x:si>
    <x:t xml:space="preserve">math.SG/math.DG</x:t>
  </x:si>
  <x:si>
    <x:t xml:space="preserve">contact geometry / categories</x:t>
  </x:si>
  <x:si>
    <x:t xml:space="preserve">Non-unital monoidal category of contact manifolds and Legendrian correspondence</x:t>
  </x:si>
  <x:si>
    <x:t xml:space="preserve">Yong-Geun Oh; Junhyuk Park</x:t>
  </x:si>
  <x:si>
    <x:t xml:space="preserve">https://arxiv.org/abs/2606.15599</x:t>
  </x:si>
  <x:si>
    <x:t xml:space="preserve">Categorical contact/Legendrian framework with high conceptual content.</x:t>
  </x:si>
  <x:si>
    <x:t xml:space="preserve">2606.27155</x:t>
  </x:si>
  <x:si>
    <x:t xml:space="preserve">Penrose inequality / corners</x:t>
  </x:si>
  <x:si>
    <x:t xml:space="preserve">Riemannian Penrose Inequality for Manifolds with Corners via Non-Linear Potential Theory</x:t>
  </x:si>
  <x:si>
    <x:t xml:space="preserve">Virginia Agostiniani; Christina Karapiperi; Lorenzo Mazzieri</x:t>
  </x:si>
  <x:si>
    <x:t xml:space="preserve">https://arxiv.org/abs/2606.27155</x:t>
  </x:si>
  <x:si>
    <x:t xml:space="preserve">Riemannian Penrose inequality with corners using nonlinear potential theory.</x:t>
  </x:si>
  <x:si>
    <x:t xml:space="preserve">2606.14021</x:t>
  </x:si>
  <x:si>
    <x:t xml:space="preserve">free boundary Brakke flows</x:t>
  </x:si>
  <x:si>
    <x:t xml:space="preserve">Some Foundational Results for Free Boundary Brakke Flows</x:t>
  </x:si>
  <x:si>
    <x:t xml:space="preserve">Yueheng Bao</x:t>
  </x:si>
  <x:si>
    <x:t xml:space="preserve">https://arxiv.org/abs/2606.14021</x:t>
  </x:si>
  <x:si>
    <x:t xml:space="preserve">Foundational free-boundary Brakke flow results.</x:t>
  </x:si>
  <x:si>
    <x:t xml:space="preserve">2606.14082</x:t>
  </x:si>
  <x:si>
    <x:t xml:space="preserve">curvature flow</x:t>
  </x:si>
  <x:si>
    <x:t xml:space="preserve">Inverse Hessian Curvature Flow in Minkowski Space I: Cocompact Hypersurfaces</x:t>
  </x:si>
  <x:si>
    <x:t xml:space="preserve">Dake Li; Zhizhang Wang; Shiqi Yin</x:t>
  </x:si>
  <x:si>
    <x:t xml:space="preserve">https://arxiv.org/abs/2606.14082</x:t>
  </x:si>
  <x:si>
    <x:t xml:space="preserve">Inverse Hessian curvature flow in Minkowski space.</x:t>
  </x:si>
  <x:si>
    <x:t xml:space="preserve">2606.14318</x:t>
  </x:si>
  <x:si>
    <x:t xml:space="preserve">math.DG/math.PR</x:t>
  </x:si>
  <x:si>
    <x:t xml:space="preserve">optimal transport geometry</x:t>
  </x:si>
  <x:si>
    <x:t xml:space="preserve">Sectional Curvature for Kantorovich-Wasserstein and Hellinger-Kantorovich Geometries</x:t>
  </x:si>
  <x:si>
    <x:t xml:space="preserve">Karl-Theodor Sturm</x:t>
  </x:si>
  <x:si>
    <x:t xml:space="preserve">https://arxiv.org/abs/2606.14318</x:t>
  </x:si>
  <x:si>
    <x:t xml:space="preserve">Sectional curvature notions for Wasserstein and Hellinger-Kantorovich geometries.</x:t>
  </x:si>
  <x:si>
    <x:t xml:space="preserve">2606.01153</x:t>
  </x:si>
  <x:si>
    <x:t xml:space="preserve">scalar curvature / Bergman kernel</x:t>
  </x:si>
  <x:si>
    <x:t xml:space="preserve">Scalar Curvature, Volumes and the Bergman Kernel</x:t>
  </x:si>
  <x:si>
    <x:t xml:space="preserve">Bo-Yong Chen; Yuanpu Xiong; Liyou Zhang</x:t>
  </x:si>
  <x:si>
    <x:t xml:space="preserve">https://arxiv.org/abs/2606.01153</x:t>
  </x:si>
  <x:si>
    <x:t xml:space="preserve">Links scalar curvature, volume, and Bergman kernel estimates.</x:t>
  </x:si>
  <x:si>
    <x:t xml:space="preserve">2606.10443</x:t>
  </x:si>
  <x:si>
    <x:t xml:space="preserve">gravitational instantons / survey</x:t>
  </x:si>
  <x:si>
    <x:t xml:space="preserve">Geometry of gravitational instantons</x:t>
  </x:si>
  <x:si>
    <x:t xml:space="preserve">Mingyang Li; Song Sun</x:t>
  </x:si>
  <x:si>
    <x:t xml:space="preserve">https://arxiv.org/abs/2606.10443</x:t>
  </x:si>
  <x:si>
    <x:t xml:space="preserve">High-level survey on gravitational instanton geometry.</x:t>
  </x:si>
  <x:si>
    <x:t xml:space="preserve">2606.00354</x:t>
  </x:si>
  <x:si>
    <x:t xml:space="preserve">Cartan geometry</x:t>
  </x:si>
  <x:si>
    <x:t xml:space="preserve">Inequivalence of the various notions of completeness for Cartan geometries</x:t>
  </x:si>
  <x:si>
    <x:t xml:space="preserve">Jacob W. Erickson; Benjamin McKay</x:t>
  </x:si>
  <x:si>
    <x:t xml:space="preserve">https://arxiv.org/abs/2606.00354</x:t>
  </x:si>
  <x:si>
    <x:t xml:space="preserve">Clarifies inequivalent completeness notions in Cartan geometry.</x:t>
  </x:si>
  <x:si>
    <x:t xml:space="preserve">2606.01108</x:t>
  </x:si>
  <x:si>
    <x:t xml:space="preserve">RCD spaces / metric geometry</x:t>
  </x:si>
  <x:si>
    <x:t xml:space="preserve">Integral type Gauss-Green formula on non-collapsed RCD spaces and its applications</x:t>
  </x:si>
  <x:si>
    <x:t xml:space="preserve">Zhangkai Huang</x:t>
  </x:si>
  <x:si>
    <x:t xml:space="preserve">https://arxiv.org/abs/2606.01108</x:t>
  </x:si>
  <x:si>
    <x:t xml:space="preserve">Gauss-Green formula on non-collapsed RCD spaces.</x:t>
  </x:si>
  <x:si>
    <x:t xml:space="preserve">2606.01368</x:t>
  </x:si>
  <x:si>
    <x:t xml:space="preserve">comparison geometry</x:t>
  </x:si>
  <x:si>
    <x:t xml:space="preserve">Cohn-Vossen-Type Inequalities for Three-Manifolds and Locally Conformally Flat Manifolds</x:t>
  </x:si>
  <x:si>
    <x:t xml:space="preserve">Jialong Deng</x:t>
  </x:si>
  <x:si>
    <x:t xml:space="preserve">https://arxiv.org/abs/2606.01368</x:t>
  </x:si>
  <x:si>
    <x:t xml:space="preserve">1</x:t>
  </x:si>
  <x:si>
    <x:t xml:space="preserve">Cohn-Vossen-type inequalities in 3D and conformally flat settings.</x:t>
  </x:si>
  <x:si>
    <x:t xml:space="preserve">2606.01484</x:t>
  </x:si>
  <x:si>
    <x:t xml:space="preserve">curve diffusion flow</x:t>
  </x:si>
  <x:si>
    <x:t xml:space="preserve">Length-constrained curve diffusion flow for open curves with endpoints on two intersecting lines</x:t>
  </x:si>
  <x:si>
    <x:t xml:space="preserve">Qiyuan Cheng; Shunzi Guo</x:t>
  </x:si>
  <x:si>
    <x:t xml:space="preserve">https://arxiv.org/abs/2606.01484</x:t>
  </x:si>
  <x:si>
    <x:t xml:space="preserve">Length-constrained curve diffusion for open curves with boundary constraints.</x:t>
  </x:si>
  <x:si>
    <x:t xml:space="preserve">2606.01534</x:t>
  </x:si>
  <x:si>
    <x:t xml:space="preserve">Willmore surfaces</x:t>
  </x:si>
  <x:si>
    <x:t xml:space="preserve">On the ends of Willmore surfaces with curvature decay</x:t>
  </x:si>
  <x:si>
    <x:t xml:space="preserve">Yuxiang Li; Hao Yin</x:t>
  </x:si>
  <x:si>
    <x:t xml:space="preserve">https://arxiv.org/abs/2606.01534</x:t>
  </x:si>
  <x:si>
    <x:t xml:space="preserve">Analysis of ends for Willmore surfaces under curvature decay.</x:t>
  </x:si>
  <x:si>
    <x:t xml:space="preserve">2606.01579</x:t>
  </x:si>
  <x:si>
    <x:t xml:space="preserve">gradient estimates / Liouville theorems</x:t>
  </x:si>
  <x:si>
    <x:t xml:space="preserve">Gradient estimates and Liouville theorems for the Phi-Laplacian equations on Riemannian manifolds</x:t>
  </x:si>
  <x:si>
    <x:t xml:space="preserve">Yu-Zhao Wang; Jian-Hua Hao</x:t>
  </x:si>
  <x:si>
    <x:t xml:space="preserve">https://arxiv.org/abs/2606.01579</x:t>
  </x:si>
  <x:si>
    <x:t xml:space="preserve">Gradient estimates and Liouville theorems for Phi-Laplacian equations.</x:t>
  </x:si>
  <x:si>
    <x:t xml:space="preserve">2606.01715</x:t>
  </x:si>
  <x:si>
    <x:t xml:space="preserve">capillary surfaces</x:t>
  </x:si>
  <x:si>
    <x:t xml:space="preserve">A Bernstein-type theorem for capillary graphs in a half-space</x:t>
  </x:si>
  <x:si>
    <x:t xml:space="preserve">Nick Edelen; Chao Li; Jonathan J. Zhu</x:t>
  </x:si>
  <x:si>
    <x:t xml:space="preserve">https://arxiv.org/abs/2606.01715</x:t>
  </x:si>
  <x:si>
    <x:t xml:space="preserve">Bernstein theorem for capillary graphs; concise but nontrivial.</x:t>
  </x:si>
  <x:si>
    <x:t xml:space="preserve">2606.01771</x:t>
  </x:si>
  <x:si>
    <x:t xml:space="preserve">convex geometry / Santalo problem</x:t>
  </x:si>
  <x:si>
    <x:t xml:space="preserve">On Santalo's Problem</x:t>
  </x:si>
  <x:si>
    <x:t xml:space="preserve">Fang Hong</x:t>
  </x:si>
  <x:si>
    <x:t xml:space="preserve">https://arxiv.org/abs/2606.01771</x:t>
  </x:si>
  <x:si>
    <x:t xml:space="preserve">Santalo-problem contribution with geometric inequality content.</x:t>
  </x:si>
  <x:si>
    <x:t xml:space="preserve">2606.02816</x:t>
  </x:si>
  <x:si>
    <x:t xml:space="preserve">math.DG/math.AG/math.CV</x:t>
  </x:si>
  <x:si>
    <x:t xml:space="preserve">cscK geometry</x:t>
  </x:si>
  <x:si>
    <x:t xml:space="preserve">On the geometry of non-collapsed polarized cscK surfaces</x:t>
  </x:si>
  <x:si>
    <x:t xml:space="preserve">Junsheng Zhang; Keshu Zhou</x:t>
  </x:si>
  <x:si>
    <x:t xml:space="preserve">https://arxiv.org/abs/2606.02816</x:t>
  </x:si>
  <x:si>
    <x:t xml:space="preserve">Geometry of non-collapsed polarized cscK surfaces.</x:t>
  </x:si>
  <x:si>
    <x:t xml:space="preserve">2606.02829</x:t>
  </x:si>
  <x:si>
    <x:t xml:space="preserve">math.DG/math.GT</x:t>
  </x:si>
  <x:si>
    <x:t xml:space="preserve">focal radius / rigidity</x:t>
  </x:si>
  <x:si>
    <x:t xml:space="preserve">Sharp focal radius estimate and rigidity of hypersurfaces in manifolds with positive curvature</x:t>
  </x:si>
  <x:si>
    <x:t xml:space="preserve">Tsz-Kiu Aaron Chow; Jingbo Wan</x:t>
  </x:si>
  <x:si>
    <x:t xml:space="preserve">https://arxiv.org/abs/2606.02829</x:t>
  </x:si>
  <x:si>
    <x:t xml:space="preserve">Sharp focal-radius estimate and rigidity theorem.</x:t>
  </x:si>
  <x:si>
    <x:t xml:space="preserve">2606.02885</x:t>
  </x:si>
  <x:si>
    <x:t xml:space="preserve">special Lagrangian / K3</x:t>
  </x:si>
  <x:si>
    <x:t xml:space="preserve">Special Lagrangian submanifolds and circle collapse on K3</x:t>
  </x:si>
  <x:si>
    <x:t xml:space="preserve">Sebastien Picard; Federico Trinca</x:t>
  </x:si>
  <x:si>
    <x:t xml:space="preserve">https://arxiv.org/abs/2606.02885</x:t>
  </x:si>
  <x:si>
    <x:t xml:space="preserve">Special Lagrangian and circle-collapse analysis on K3.</x:t>
  </x:si>
  <x:si>
    <x:t xml:space="preserve">2606.03449</x:t>
  </x:si>
  <x:si>
    <x:t xml:space="preserve">math.DG/math.RA</x:t>
  </x:si>
  <x:si>
    <x:t xml:space="preserve">symplectic Lie algebras</x:t>
  </x:si>
  <x:si>
    <x:t xml:space="preserve">A complete description of solvable symplectic Lie algebras</x:t>
  </x:si>
  <x:si>
    <x:t xml:space="preserve">Abdelhak Abouqateb; Said Benayadi; Othmane Dani</x:t>
  </x:si>
  <x:si>
    <x:t xml:space="preserve">https://arxiv.org/abs/2606.03449</x:t>
  </x:si>
  <x:si>
    <x:t xml:space="preserve">Classification-type result for solvable symplectic Lie algebras.</x:t>
  </x:si>
  <x:si>
    <x:t xml:space="preserve">2606.03659</x:t>
  </x:si>
  <x:si>
    <x:t xml:space="preserve">immersions / curvature bounds</x:t>
  </x:si>
  <x:si>
    <x:t xml:space="preserve">Normal curvature bounds for immersions into Riemannian domains</x:t>
  </x:si>
  <x:si>
    <x:t xml:space="preserve">Matteo Raffaelli</x:t>
  </x:si>
  <x:si>
    <x:t xml:space="preserve">https://arxiv.org/abs/2606.03659</x:t>
  </x:si>
  <x:si>
    <x:t xml:space="preserve">Normal curvature bounds for immersions into Riemannian domains.</x:t>
  </x:si>
  <x:si>
    <x:t xml:space="preserve">2606.03983</x:t>
  </x:si>
  <x:si>
    <x:t xml:space="preserve">math.DG/math.CA</x:t>
  </x:si>
  <x:si>
    <x:t xml:space="preserve">Ricci solitons</x:t>
  </x:si>
  <x:si>
    <x:t xml:space="preserve">Cylindrical generalized Ricci solitons in three dimensions</x:t>
  </x:si>
  <x:si>
    <x:t xml:space="preserve">Miguel Pino Carmona</x:t>
  </x:si>
  <x:si>
    <x:t xml:space="preserve">https://arxiv.org/abs/2606.03983</x:t>
  </x:si>
  <x:si>
    <x:t xml:space="preserve">Three-dimensional cylindrical generalized Ricci soliton analysis.</x:t>
  </x:si>
  <x:si>
    <x:t xml:space="preserve">2606.04054</x:t>
  </x:si>
  <x:si>
    <x:t xml:space="preserve">math.DG/math-ph</x:t>
  </x:si>
  <x:si>
    <x:t xml:space="preserve">twistor geometry</x:t>
  </x:si>
  <x:si>
    <x:t xml:space="preserve">Cyclic source pairings for Penrose-Sparling non-Hausdorff twistor spaces</x:t>
  </x:si>
  <x:si>
    <x:t xml:space="preserve">Ioannis P. Zois</x:t>
  </x:si>
  <x:si>
    <x:t xml:space="preserve">https://arxiv.org/abs/2606.04054</x:t>
  </x:si>
  <x:si>
    <x:t xml:space="preserve">Twistor-geometric source pairings in non-Hausdorff setting.</x:t>
  </x:si>
  <x:si>
    <x:t xml:space="preserve">2606.04112</x:t>
  </x:si>
  <x:si>
    <x:t xml:space="preserve">mean curvature / geodesics</x:t>
  </x:si>
  <x:si>
    <x:t xml:space="preserve">Mean curvature and closed geodesics in convex hypersurfaces</x:t>
  </x:si>
  <x:si>
    <x:t xml:space="preserve">James Dibble; Joseph Ansel Hoisington</x:t>
  </x:si>
  <x:si>
    <x:t xml:space="preserve">https://arxiv.org/abs/2606.04112</x:t>
  </x:si>
  <x:si>
    <x:t xml:space="preserve">Connects mean curvature and closed geodesics in convex hypersurfaces.</x:t>
  </x:si>
  <x:si>
    <x:t xml:space="preserve">2606.04213</x:t>
  </x:si>
  <x:si>
    <x:t xml:space="preserve">Calabi-Yau / Liouville theorem</x:t>
  </x:si>
  <x:si>
    <x:t xml:space="preserve">A Liouville theorem for some asymptotically conical Calabi-Yau manifolds</x:t>
  </x:si>
  <x:si>
    <x:t xml:space="preserve">Abdou Oussama Benabida</x:t>
  </x:si>
  <x:si>
    <x:t xml:space="preserve">https://arxiv.org/abs/2606.04213</x:t>
  </x:si>
  <x:si>
    <x:t xml:space="preserve">Liouville theorem for asymptotically conical Calabi-Yau manifolds.</x:t>
  </x:si>
  <x:si>
    <x:t xml:space="preserve">2606.04501</x:t>
  </x:si>
  <x:si>
    <x:t xml:space="preserve">Einstein deformations</x:t>
  </x:si>
  <x:si>
    <x:t xml:space="preserve">Third order Einstein deformations for Kaehler-Einstein metrics</x:t>
  </x:si>
  <x:si>
    <x:t xml:space="preserve">Paul-Andi Nagy</x:t>
  </x:si>
  <x:si>
    <x:t xml:space="preserve">https://arxiv.org/abs/2606.04501</x:t>
  </x:si>
  <x:si>
    <x:t xml:space="preserve">Third-order deformation theory for Kahler-Einstein metrics.</x:t>
  </x:si>
  <x:si>
    <x:t xml:space="preserve">2606.04568</x:t>
  </x:si>
  <x:si>
    <x:t xml:space="preserve">Lie groupoids / curvature</x:t>
  </x:si>
  <x:si>
    <x:t xml:space="preserve">Curvature of Lie Groupoids with Source-Fibre Metric and Riemannian Lie Algebroids</x:t>
  </x:si>
  <x:si>
    <x:t xml:space="preserve">Rene Langoen</x:t>
  </x:si>
  <x:si>
    <x:t xml:space="preserve">https://arxiv.org/abs/2606.04568</x:t>
  </x:si>
  <x:si>
    <x:t xml:space="preserve">Curvature framework for source-fibre metric groupoids and algebroids.</x:t>
  </x:si>
  <x:si>
    <x:t xml:space="preserve">2606.07360</x:t>
  </x:si>
  <x:si>
    <x:t xml:space="preserve">prescribed scalar curvature</x:t>
  </x:si>
  <x:si>
    <x:t xml:space="preserve">The Dirichlet problem for the prescribed scalar curvature in Anti-de Sitter space</x:t>
  </x:si>
  <x:si>
    <x:t xml:space="preserve">Pierre Bayard</x:t>
  </x:si>
  <x:si>
    <x:t xml:space="preserve">https://arxiv.org/abs/2606.07360</x:t>
  </x:si>
  <x:si>
    <x:t xml:space="preserve">Dirichlet problem for scalar curvature in AdS space.</x:t>
  </x:si>
  <x:si>
    <x:t xml:space="preserve">2606.04985</x:t>
  </x:si>
  <x:si>
    <x:t xml:space="preserve">math.DG/math.AP/math-ph</x:t>
  </x:si>
  <x:si>
    <x:t xml:space="preserve">Haantjes operators / integrable systems</x:t>
  </x:si>
  <x:si>
    <x:t xml:space="preserve">Local description of gl-regular Haantjes operators</x:t>
  </x:si>
  <x:si>
    <x:t xml:space="preserve">Alexey V. Bolsinov; Andrey Yu. Konyaev; Vladimir S. Matveev</x:t>
  </x:si>
  <x:si>
    <x:t xml:space="preserve">https://arxiv.org/abs/2606.04985</x:t>
  </x:si>
  <x:si>
    <x:t xml:space="preserve">Local structure of gl-regular Haantjes operators.</x:t>
  </x:si>
  <x:si>
    <x:t xml:space="preserve">2606.05452</x:t>
  </x:si>
  <x:si>
    <x:t xml:space="preserve">complex hyperbolic geometry</x:t>
  </x:si>
  <x:si>
    <x:t xml:space="preserve">Curvature of hyperbolic complex manifolds</x:t>
  </x:si>
  <x:si>
    <x:t xml:space="preserve">Kyle Broder; Herve Gaussier</x:t>
  </x:si>
  <x:si>
    <x:t xml:space="preserve">https://arxiv.org/abs/2606.05452</x:t>
  </x:si>
  <x:si>
    <x:t xml:space="preserve">Curvature estimates for hyperbolic complex manifolds.</x:t>
  </x:si>
  <x:si>
    <x:t xml:space="preserve">2606.06619</x:t>
  </x:si>
  <x:si>
    <x:t xml:space="preserve">G2 geometry / solitons</x:t>
  </x:si>
  <x:si>
    <x:t xml:space="preserve">On the structure of complete G2-solitons</x:t>
  </x:si>
  <x:si>
    <x:t xml:space="preserve">Haozhao Li; Yuanqing Ma; Kai Zheng</x:t>
  </x:si>
  <x:si>
    <x:t xml:space="preserve">https://arxiv.org/abs/2606.06619</x:t>
  </x:si>
  <x:si>
    <x:t xml:space="preserve">Structure theorem for complete G2-solitons.</x:t>
  </x:si>
  <x:si>
    <x:t xml:space="preserve">2606.06634</x:t>
  </x:si>
  <x:si>
    <x:t xml:space="preserve">Morse index / surfaces</x:t>
  </x:si>
  <x:si>
    <x:t xml:space="preserve">The Morse index of constant curvature 2-spheres</x:t>
  </x:si>
  <x:si>
    <x:t xml:space="preserve">Gavin Ball; Jesse Madnick</x:t>
  </x:si>
  <x:si>
    <x:t xml:space="preserve">https://arxiv.org/abs/2606.06634</x:t>
  </x:si>
  <x:si>
    <x:t xml:space="preserve">Morse index of constant curvature two-spheres.</x:t>
  </x:si>
  <x:si>
    <x:t xml:space="preserve">2606.07162</x:t>
  </x:si>
  <x:si>
    <x:t xml:space="preserve">Solutions to Mean Curvature Flow with Uniform Bounds on the Mean Curvature and Its Gradient</x:t>
  </x:si>
  <x:si>
    <x:t xml:space="preserve">Priyamvada Vishwamitra</x:t>
  </x:si>
  <x:si>
    <x:t xml:space="preserve">https://arxiv.org/abs/2606.07162</x:t>
  </x:si>
  <x:si>
    <x:t xml:space="preserve">MCF solutions with uniform H and gradient bounds.</x:t>
  </x:si>
  <x:si>
    <x:t xml:space="preserve">2606.04910</x:t>
  </x:si>
  <x:si>
    <x:t xml:space="preserve">math.DG/math.MG/gr-qc</x:t>
  </x:si>
  <x:si>
    <x:t xml:space="preserve">Ollivier Ricci / causal sets</x:t>
  </x:si>
  <x:si>
    <x:t xml:space="preserve">Ollivier-Ricci Curvature for Causal Sets</x:t>
  </x:si>
  <x:si>
    <x:t xml:space="preserve">Joe Barton; Samuel Borza; Jona Rohrig</x:t>
  </x:si>
  <x:si>
    <x:t xml:space="preserve">https://arxiv.org/abs/2606.04910</x:t>
  </x:si>
  <x:si>
    <x:t xml:space="preserve">Extends Ollivier-Ricci curvature to causal sets.</x:t>
  </x:si>
  <x:si>
    <x:t xml:space="preserve">2606.07864</x:t>
  </x:si>
  <x:si>
    <x:t xml:space="preserve">3-manifolds / mass / curvature</x:t>
  </x:si>
  <x:si>
    <x:t xml:space="preserve">On 3-manifolds with small mass and L2-curvature</x:t>
  </x:si>
  <x:si>
    <x:t xml:space="preserve">Conghan Dong; Antoine Song</x:t>
  </x:si>
  <x:si>
    <x:t xml:space="preserve">https://arxiv.org/abs/2606.07864</x:t>
  </x:si>
  <x:si>
    <x:t xml:space="preserve">Small-mass and L2-curvature estimates in 3-manifolds.</x:t>
  </x:si>
  <x:si>
    <x:t xml:space="preserve">2606.08626</x:t>
  </x:si>
  <x:si>
    <x:t xml:space="preserve">Brunn-Minkowski / magnetic geometry</x:t>
  </x:si>
  <x:si>
    <x:t xml:space="preserve">Magnetic Brunn-Minkowski inequalities</x:t>
  </x:si>
  <x:si>
    <x:t xml:space="preserve">Rotem Assouline</x:t>
  </x:si>
  <x:si>
    <x:t xml:space="preserve">https://arxiv.org/abs/2606.08626</x:t>
  </x:si>
  <x:si>
    <x:t xml:space="preserve">Magnetic Brunn-Minkowski inequalities.</x:t>
  </x:si>
  <x:si>
    <x:t xml:space="preserve">2606.08837</x:t>
  </x:si>
  <x:si>
    <x:t xml:space="preserve">Asymptotic Profiles and Non-Trivial Breathers in Kahler-Ricci Flow</x:t>
  </x:si>
  <x:si>
    <x:t xml:space="preserve">Longteng Chen</x:t>
  </x:si>
  <x:si>
    <x:t xml:space="preserve">https://arxiv.org/abs/2606.08837</x:t>
  </x:si>
  <x:si>
    <x:t xml:space="preserve">Asymptotic profiles and breathers in Kähler-Ricci flow.</x:t>
  </x:si>
  <x:si>
    <x:t xml:space="preserve">2606.08887</x:t>
  </x:si>
  <x:si>
    <x:t xml:space="preserve">singular spaces / curvature measure</x:t>
  </x:si>
  <x:si>
    <x:t xml:space="preserve">Bounding Curvature Measure on Manifolds with Singularities</x:t>
  </x:si>
  <x:si>
    <x:t xml:space="preserve">Nan Li</x:t>
  </x:si>
  <x:si>
    <x:t xml:space="preserve">https://arxiv.org/abs/2606.08887</x:t>
  </x:si>
  <x:si>
    <x:t xml:space="preserve">Curvature measure bounds on singular manifolds.</x:t>
  </x:si>
  <x:si>
    <x:t xml:space="preserve">2606.11957</x:t>
  </x:si>
  <x:si>
    <x:t xml:space="preserve">scalar curvature / spectral rigidity</x:t>
  </x:si>
  <x:si>
    <x:t xml:space="preserve">Scalar curvature, sharp bottom spectrum and geometric rigidity</x:t>
  </x:si>
  <x:si>
    <x:t xml:space="preserve">Jinmin Wang; Bo Zhu</x:t>
  </x:si>
  <x:si>
    <x:t xml:space="preserve">https://arxiv.org/abs/2606.11957</x:t>
  </x:si>
  <x:si>
    <x:t xml:space="preserve">Sharp bottom-spectrum and scalar-curvature rigidity.</x:t>
  </x:si>
  <x:si>
    <x:t xml:space="preserve">2606.09235</x:t>
  </x:si>
  <x:si>
    <x:t xml:space="preserve">geometric flows</x:t>
  </x:si>
  <x:si>
    <x:t xml:space="preserve">Semistability and asymptotics of geometric flows</x:t>
  </x:si>
  <x:si>
    <x:t xml:space="preserve">Shing Tak Lam</x:t>
  </x:si>
  <x:si>
    <x:t xml:space="preserve">https://arxiv.org/abs/2606.09235</x:t>
  </x:si>
  <x:si>
    <x:t xml:space="preserve">Semistability and asymptotic analysis for geometric flows.</x:t>
  </x:si>
  <x:si>
    <x:t xml:space="preserve">2606.10751</x:t>
  </x:si>
  <x:si>
    <x:t xml:space="preserve">Beltrami problem</x:t>
  </x:si>
  <x:si>
    <x:t xml:space="preserve">Beltrami problem in dimension two: local normal forms</x:t>
  </x:si>
  <x:si>
    <x:t xml:space="preserve">Dinmukhammed Akpan; Alexey Bolsinov</x:t>
  </x:si>
  <x:si>
    <x:t xml:space="preserve">https://arxiv.org/abs/2606.10751</x:t>
  </x:si>
  <x:si>
    <x:t xml:space="preserve">Local normal forms for the two-dimensional Beltrami problem.</x:t>
  </x:si>
  <x:si>
    <x:t xml:space="preserve">2606.11141</x:t>
  </x:si>
  <x:si>
    <x:t xml:space="preserve">Teichmuller geometry / harmonic maps</x:t>
  </x:si>
  <x:si>
    <x:t xml:space="preserve">Harmonic extension of Weil-Petersson circle homeomorphisms</x:t>
  </x:si>
  <x:si>
    <x:t xml:space="preserve">Farid Diaf; Vladimir Markovic; Abderrahim Mesbah</x:t>
  </x:si>
  <x:si>
    <x:t xml:space="preserve">https://arxiv.org/abs/2606.11141</x:t>
  </x:si>
  <x:si>
    <x:t xml:space="preserve">Harmonic extension theory for Weil-Petersson circle homeomorphisms.</x:t>
  </x:si>
  <x:si>
    <x:t xml:space="preserve">2606.11813</x:t>
  </x:si>
  <x:si>
    <x:t xml:space="preserve">sub-Riemannian spectral geometry</x:t>
  </x:si>
  <x:si>
    <x:t xml:space="preserve">Sub-Riemannian Selberg Trace Formulae for Compact Quotients of SL(2,R) and Determinants of Sub-Laplacians</x:t>
  </x:si>
  <x:si>
    <x:t xml:space="preserve">Fabrice Baudoin</x:t>
  </x:si>
  <x:si>
    <x:t xml:space="preserve">https://arxiv.org/abs/2606.11813</x:t>
  </x:si>
  <x:si>
    <x:t xml:space="preserve">Trace formulae and determinant results in sub-Riemannian setting.</x:t>
  </x:si>
  <x:si>
    <x:t xml:space="preserve">2606.11825</x:t>
  </x:si>
  <x:si>
    <x:t xml:space="preserve">metric measure geometry / singularity theorem</x:t>
  </x:si>
  <x:si>
    <x:t xml:space="preserve">A singularity theorem in terms of asymptotic expansion</x:t>
  </x:si>
  <x:si>
    <x:t xml:space="preserve">Fabio Cavalletti; Andrea Mondino</x:t>
  </x:si>
  <x:si>
    <x:t xml:space="preserve">https://arxiv.org/abs/2606.11825</x:t>
  </x:si>
  <x:si>
    <x:t xml:space="preserve">Singularity theorem formulated via asymptotic expansion.</x:t>
  </x:si>
  <x:si>
    <x:t xml:space="preserve">2606.12009</x:t>
  </x:si>
  <x:si>
    <x:t xml:space="preserve">Riemannian submersions / spectrum</x:t>
  </x:si>
  <x:si>
    <x:t xml:space="preserve">Dirichlet-Neumann duality for the Basic Spectrum of Riemannian Submersions: A Supersymmetric Perspective</x:t>
  </x:si>
  <x:si>
    <x:t xml:space="preserve">Vicent Gimeno i Garcia; Paulo Henryque da Costa Silva</x:t>
  </x:si>
  <x:si>
    <x:t xml:space="preserve">https://arxiv.org/abs/2606.12009</x:t>
  </x:si>
  <x:si>
    <x:t xml:space="preserve">Spectral duality for Riemannian submersions.</x:t>
  </x:si>
  <x:si>
    <x:t xml:space="preserve">2606.10354</x:t>
  </x:si>
  <x:si>
    <x:t xml:space="preserve">geometric flow / survey</x:t>
  </x:si>
  <x:si>
    <x:t xml:space="preserve">Long-time existence of some geometric flows with bounded scalar curvature</x:t>
  </x:si>
  <x:si>
    <x:t xml:space="preserve">Chuanhuan Li; Yi Li</x:t>
  </x:si>
  <x:si>
    <x:t xml:space="preserve">https://arxiv.org/abs/2606.10354</x:t>
  </x:si>
  <x:si>
    <x:t xml:space="preserve">Long-time existence survey/analysis under bounded scalar curvature.</x:t>
  </x:si>
  <x:si>
    <x:t xml:space="preserve">2606.12745</x:t>
  </x:si>
  <x:si>
    <x:t xml:space="preserve">spectral geometry / horoconvexity</x:t>
  </x:si>
  <x:si>
    <x:t xml:space="preserve">A Large-Diameter Fundamental-Gap Lower Bound for Horoconvex Domains</x:t>
  </x:si>
  <x:si>
    <x:t xml:space="preserve">Xianzhe Dai; John Ennis; Xuan Hien Nguyen; Guofang Wei</x:t>
  </x:si>
  <x:si>
    <x:t xml:space="preserve">https://arxiv.org/abs/2606.12745</x:t>
  </x:si>
  <x:si>
    <x:t xml:space="preserve">Fundamental-gap estimate for horoconvex domains in large-diameter regime.</x:t>
  </x:si>
  <x:si>
    <x:t xml:space="preserve">2606.12031</x:t>
  </x:si>
  <x:si>
    <x:t xml:space="preserve">geometric structures / flows</x:t>
  </x:si>
  <x:si>
    <x:t xml:space="preserve">Topology of isometric classes and flows of geometric structures</x:t>
  </x:si>
  <x:si>
    <x:t xml:space="preserve">Daniel Fadel; Eric Loubeau</x:t>
  </x:si>
  <x:si>
    <x:t xml:space="preserve">https://arxiv.org/abs/2606.12031</x:t>
  </x:si>
  <x:si>
    <x:t xml:space="preserve">Topology of isometry classes and flows of geometric structures.</x:t>
  </x:si>
  <x:si>
    <x:t xml:space="preserve">2606.12804</x:t>
  </x:si>
  <x:si>
    <x:t xml:space="preserve">Sub-Riemannian spectral distance</x:t>
  </x:si>
  <x:si>
    <x:t xml:space="preserve">Yuzuru Inahama</x:t>
  </x:si>
  <x:si>
    <x:t xml:space="preserve">https://arxiv.org/abs/2606.12804</x:t>
  </x:si>
  <x:si>
    <x:t xml:space="preserve">Spectral distance in sub-Riemannian geometry.</x:t>
  </x:si>
  <x:si>
    <x:t xml:space="preserve">2606.16980</x:t>
  </x:si>
  <x:si>
    <x:t xml:space="preserve">minimal hypersurfaces / Yau conjecture</x:t>
  </x:si>
  <x:si>
    <x:t xml:space="preserve">The stability index and Yau's conjecture for Carlotto-Schulz minimal hypertori, part II</x:t>
  </x:si>
  <x:si>
    <x:t xml:space="preserve">Oscar Perdomo</x:t>
  </x:si>
  <x:si>
    <x:t xml:space="preserve">https://arxiv.org/abs/2606.16980</x:t>
  </x:si>
  <x:si>
    <x:t xml:space="preserve">Stability index and Yau conjecture for special minimal hypertori.</x:t>
  </x:si>
  <x:si>
    <x:t xml:space="preserve">2606.17190</x:t>
  </x:si>
  <x:si>
    <x:t xml:space="preserve">minimal surfaces / hyperbolic geometry</x:t>
  </x:si>
  <x:si>
    <x:t xml:space="preserve">Renormalized area of minimal surfaces in hyperbolic space</x:t>
  </x:si>
  <x:si>
    <x:t xml:space="preserve">Matthew J. Gursky; Khoi Nguyen; Aaron J. Tyrrell</x:t>
  </x:si>
  <x:si>
    <x:t xml:space="preserve">https://arxiv.org/abs/2606.17190</x:t>
  </x:si>
  <x:si>
    <x:t xml:space="preserve">Renormalized area of hyperbolic minimal surfaces.</x:t>
  </x:si>
  <x:si>
    <x:t xml:space="preserve">2606.13299</x:t>
  </x:si>
  <x:si>
    <x:t xml:space="preserve">higher-order harmonic map flow</x:t>
  </x:si>
  <x:si>
    <x:t xml:space="preserve">The Sesquiharmonic Map Flow from Riemannian Surfaces</x:t>
  </x:si>
  <x:si>
    <x:t xml:space="preserve">Amirreza Harandi; Roger Moser</x:t>
  </x:si>
  <x:si>
    <x:t xml:space="preserve">https://arxiv.org/abs/2606.13299</x:t>
  </x:si>
  <x:si>
    <x:t xml:space="preserve">Sesquiharmonic map flow from surfaces.</x:t>
  </x:si>
  <x:si>
    <x:t xml:space="preserve">2606.13403</x:t>
  </x:si>
  <x:si>
    <x:t xml:space="preserve">Yang-Mills moduli</x:t>
  </x:si>
  <x:si>
    <x:t xml:space="preserve">Geometry of non-Hermitian Yang-Mills moduli spaces</x:t>
  </x:si>
  <x:si>
    <x:t xml:space="preserve">Xingluan Wang</x:t>
  </x:si>
  <x:si>
    <x:t xml:space="preserve">https://arxiv.org/abs/2606.13403</x:t>
  </x:si>
  <x:si>
    <x:t xml:space="preserve">Geometry of non-Hermitian Yang-Mills moduli spaces.</x:t>
  </x:si>
  <x:si>
    <x:t xml:space="preserve">2606.13455</x:t>
  </x:si>
  <x:si>
    <x:t xml:space="preserve">hypersurface geometry</x:t>
  </x:si>
  <x:si>
    <x:t xml:space="preserve">Hypersurfaces with Constant Ricci Eigenvalues in Real Space Forms</x:t>
  </x:si>
  <x:si>
    <x:t xml:space="preserve">Jianquan Ge; Yuyang Zhao</x:t>
  </x:si>
  <x:si>
    <x:t xml:space="preserve">https://arxiv.org/abs/2606.13455</x:t>
  </x:si>
  <x:si>
    <x:t xml:space="preserve">Classification/structure of hypersurfaces with constant Ricci eigenvalues.</x:t>
  </x:si>
  <x:si>
    <x:t xml:space="preserve">2606.16919</x:t>
  </x:si>
  <x:si>
    <x:t xml:space="preserve">surface theory</x:t>
  </x:si>
  <x:si>
    <x:t xml:space="preserve">Complex Quaternions and Superminimal Surfaces in Four-Space</x:t>
  </x:si>
  <x:si>
    <x:t xml:space="preserve">Amedeo Altavilla; Elena Giorgio</x:t>
  </x:si>
  <x:si>
    <x:t xml:space="preserve">https://arxiv.org/abs/2606.16919</x:t>
  </x:si>
  <x:si>
    <x:t xml:space="preserve">Quaternionic approach to superminimal surfaces in four-space.</x:t>
  </x:si>
  <x:si>
    <x:t xml:space="preserve">2606.19567</x:t>
  </x:si>
  <x:si>
    <x:t xml:space="preserve">spin geometry / rigidity</x:t>
  </x:si>
  <x:si>
    <x:t xml:space="preserve">Geometric Rigidity via Almost-Harmonic Twisted Spinors</x:t>
  </x:si>
  <x:si>
    <x:t xml:space="preserve">Francesco Bei; Simone Cecchini</x:t>
  </x:si>
  <x:si>
    <x:t xml:space="preserve">https://arxiv.org/abs/2606.19567</x:t>
  </x:si>
  <x:si>
    <x:t xml:space="preserve">Rigidity via almost-harmonic twisted spinor methods.</x:t>
  </x:si>
  <x:si>
    <x:t xml:space="preserve">2606.17402</x:t>
  </x:si>
  <x:si>
    <x:t xml:space="preserve">Convergence of Scalar Curvature of Long Time Kähler-Ricci Flow on Kähler Manifold</x:t>
  </x:si>
  <x:si>
    <x:t xml:space="preserve">Lei Zhang; Zhenlei Zhang</x:t>
  </x:si>
  <x:si>
    <x:t xml:space="preserve">https://arxiv.org/abs/2606.17402</x:t>
  </x:si>
  <x:si>
    <x:t xml:space="preserve">Convergence of scalar curvature along long-time Kähler-Ricci flow.</x:t>
  </x:si>
  <x:si>
    <x:t xml:space="preserve">2606.19619</x:t>
  </x:si>
  <x:si>
    <x:t xml:space="preserve">positive scalar curvature</x:t>
  </x:si>
  <x:si>
    <x:t xml:space="preserve">Some constructions of uniformly positive scalar curvature metrics on open manifolds</x:t>
  </x:si>
  <x:si>
    <x:t xml:space="preserve">Anushree Das</x:t>
  </x:si>
  <x:si>
    <x:t xml:space="preserve">https://arxiv.org/abs/2606.19619</x:t>
  </x:si>
  <x:si>
    <x:t xml:space="preserve">Constructs uniformly positive scalar curvature metrics on open manifolds.</x:t>
  </x:si>
  <x:si>
    <x:t xml:space="preserve">2606.20030</x:t>
  </x:si>
  <x:si>
    <x:t xml:space="preserve">Poisson/Jacobi geometry</x:t>
  </x:si>
  <x:si>
    <x:t xml:space="preserve">Poisson and Jacobi structures from 2-covariant tensors</x:t>
  </x:si>
  <x:si>
    <x:t xml:space="preserve">Manuel de Leon; Xavier Gracia; Ruben Izquierdo-Lopez; Angel Martinez-Munoz; Xavier Rivas</x:t>
  </x:si>
  <x:si>
    <x:t xml:space="preserve">https://arxiv.org/abs/2606.20030</x:t>
  </x:si>
  <x:si>
    <x:t xml:space="preserve">Poisson and Jacobi structures from 2-covariant tensors.</x:t>
  </x:si>
  <x:si>
    <x:t xml:space="preserve">2606.21325</x:t>
  </x:si>
  <x:si>
    <x:t xml:space="preserve">metric geometry / Schoen conjecture</x:t>
  </x:si>
  <x:si>
    <x:t xml:space="preserve">L-infinity-metrics on tori and Schoen's conjecture</x:t>
  </x:si>
  <x:si>
    <x:t xml:space="preserve">Jian Wang; Jinmin Wang; Zhizhang Xie</x:t>
  </x:si>
  <x:si>
    <x:t xml:space="preserve">https://arxiv.org/abs/2606.21325</x:t>
  </x:si>
  <x:si>
    <x:t xml:space="preserve">L-infinity metrics on tori related to Schoen's conjecture.</x:t>
  </x:si>
  <x:si>
    <x:t xml:space="preserve">2606.20276</x:t>
  </x:si>
  <x:si>
    <x:t xml:space="preserve">self-shrinkers / comparison</x:t>
  </x:si>
  <x:si>
    <x:t xml:space="preserve">Comparison Theorems for the Profile Curve Equation of Rotationally Symmetric Self-Shrinkers</x:t>
  </x:si>
  <x:si>
    <x:t xml:space="preserve">Peng Peng</x:t>
  </x:si>
  <x:si>
    <x:t xml:space="preserve">https://arxiv.org/abs/2606.20276</x:t>
  </x:si>
  <x:si>
    <x:t xml:space="preserve">Comparison theorems for rotationally symmetric self-shrinkers.</x:t>
  </x:si>
  <x:si>
    <x:t xml:space="preserve">2606.20307</x:t>
  </x:si>
  <x:si>
    <x:t xml:space="preserve">Hermitian-Yang-Mills</x:t>
  </x:si>
  <x:si>
    <x:t xml:space="preserve">The Hermitian-Yang-Mills Iteration on Stable Bundles</x:t>
  </x:si>
  <x:si>
    <x:t xml:space="preserve">Huai-Dong Cao; Xiaofeng Sun; Yingying Zhang</x:t>
  </x:si>
  <x:si>
    <x:t xml:space="preserve">https://arxiv.org/abs/2606.20307</x:t>
  </x:si>
  <x:si>
    <x:t xml:space="preserve">HYM iteration on stable bundles.</x:t>
  </x:si>
  <x:si>
    <x:t xml:space="preserve">2606.21112</x:t>
  </x:si>
  <x:si>
    <x:t xml:space="preserve">convex/Riemannian geometry</x:t>
  </x:si>
  <x:si>
    <x:t xml:space="preserve">Illumination bodies on Riemannian manifolds</x:t>
  </x:si>
  <x:si>
    <x:t xml:space="preserve">Rotem Assouline; Carsten Schutt; Elisabeth M. Werner</x:t>
  </x:si>
  <x:si>
    <x:t xml:space="preserve">https://arxiv.org/abs/2606.21112</x:t>
  </x:si>
  <x:si>
    <x:t xml:space="preserve">Illumination bodies in Riemannian settings.</x:t>
  </x:si>
  <x:si>
    <x:t xml:space="preserve">2606.21417</x:t>
  </x:si>
  <x:si>
    <x:t xml:space="preserve">Ricci flow / homogeneous spaces</x:t>
  </x:si>
  <x:si>
    <x:t xml:space="preserve">Ricci Flow Preserves Positive Sectional Curvature on Homogeneous Spheres</x:t>
  </x:si>
  <x:si>
    <x:t xml:space="preserve">Jason DeVito; David Gonzalez-Alvaro; Masoumeh Zarei</x:t>
  </x:si>
  <x:si>
    <x:t xml:space="preserve">https://arxiv.org/abs/2606.21417</x:t>
  </x:si>
  <x:si>
    <x:t xml:space="preserve">Ricci flow preserves positive sectional curvature on homogeneous spheres.</x:t>
  </x:si>
  <x:si>
    <x:t xml:space="preserve">2606.21455</x:t>
  </x:si>
  <x:si>
    <x:t xml:space="preserve">math.DG/gr-qc</x:t>
  </x:si>
  <x:si>
    <x:t xml:space="preserve">Einstein metrics / instantons</x:t>
  </x:si>
  <x:si>
    <x:t xml:space="preserve">On toric self-dual Einstein gravitational instantons</x:t>
  </x:si>
  <x:si>
    <x:t xml:space="preserve">Bernardo Araneda; James Lucietti; Virinchi Rallabhandi</x:t>
  </x:si>
  <x:si>
    <x:t xml:space="preserve">https://arxiv.org/abs/2606.21455</x:t>
  </x:si>
  <x:si>
    <x:t xml:space="preserve">Toric self-dual Einstein gravitational instantons.</x:t>
  </x:si>
  <x:si>
    <x:t xml:space="preserve">2606.23184</x:t>
  </x:si>
  <x:si>
    <x:t xml:space="preserve">Sasakian geometry</x:t>
  </x:si>
  <x:si>
    <x:t xml:space="preserve">Hyperbolic solitons on trans-Sasakian space forms and its submanifolds</x:t>
  </x:si>
  <x:si>
    <x:t xml:space="preserve">Bidhan Mondal; Sibsankar Panda; Nirabhra Basu</x:t>
  </x:si>
  <x:si>
    <x:t xml:space="preserve">https://arxiv.org/abs/2606.23184</x:t>
  </x:si>
  <x:si>
    <x:t xml:space="preserve">Hyperbolic solitons in trans-Sasakian settings.</x:t>
  </x:si>
  <x:si>
    <x:t xml:space="preserve">2606.23248</x:t>
  </x:si>
  <x:si>
    <x:t xml:space="preserve">metric measure / fractional Yamabe</x:t>
  </x:si>
  <x:si>
    <x:t xml:space="preserve">A mass-type invariant for smooth metric measure spaces and its relation with the fractional Yamabe problem</x:t>
  </x:si>
  <x:si>
    <x:t xml:space="preserve">Sergio Almaraz; Levi Lopes de Lima; Shaodong Wang</x:t>
  </x:si>
  <x:si>
    <x:t xml:space="preserve">https://arxiv.org/abs/2606.23248</x:t>
  </x:si>
  <x:si>
    <x:t xml:space="preserve">Mass-type invariant linked to the fractional Yamabe problem.</x:t>
  </x:si>
  <x:si>
    <x:t xml:space="preserve">2606.24043</x:t>
  </x:si>
  <x:si>
    <x:t xml:space="preserve">nonlocal curvature / first variation</x:t>
  </x:si>
  <x:si>
    <x:t xml:space="preserve">First variation of the fractional k-dimensional measure: extending the concept of nonlocal curvature to submanifolds</x:t>
  </x:si>
  <x:si>
    <x:t xml:space="preserve">Cornelia Mihaila; Brian Seguin</x:t>
  </x:si>
  <x:si>
    <x:t xml:space="preserve">https://arxiv.org/abs/2606.24043</x:t>
  </x:si>
  <x:si>
    <x:t xml:space="preserve">First variation for fractional k-dimensional measure on submanifolds.</x:t>
  </x:si>
  <x:si>
    <x:t xml:space="preserve">2606.24261</x:t>
  </x:si>
  <x:si>
    <x:t xml:space="preserve">discrete Ricci curvature</x:t>
  </x:si>
  <x:si>
    <x:t xml:space="preserve">A combinatorial Approach to alpha-Ricci and Lin-Lu-Yau Ricci curvatures on Graphs</x:t>
  </x:si>
  <x:si>
    <x:t xml:space="preserve">Jaewoo Jung; Young Soo Kwon; Seungjae Lee; Jihye Park</x:t>
  </x:si>
  <x:si>
    <x:t xml:space="preserve">https://arxiv.org/abs/2606.24261</x:t>
  </x:si>
  <x:si>
    <x:t xml:space="preserve">Combinatorial treatment of alpha-Ricci and LLY Ricci curvature on graphs.</x:t>
  </x:si>
  <x:si>
    <x:t xml:space="preserve">2606.29045</x:t>
  </x:si>
  <x:si>
    <x:t xml:space="preserve">minimal surface compactness</x:t>
  </x:si>
  <x:si>
    <x:t xml:space="preserve">Compactness for minimal surfaces with injectivity radius bounded from below</x:t>
  </x:si>
  <x:si>
    <x:t xml:space="preserve">Luan de Figueiredo; Rosivaldo Goncalves</x:t>
  </x:si>
  <x:si>
    <x:t xml:space="preserve">https://arxiv.org/abs/2606.29045</x:t>
  </x:si>
  <x:si>
    <x:t xml:space="preserve">Compactness under lower injectivity-radius bounds.</x:t>
  </x:si>
  <x:si>
    <x:t xml:space="preserve">2606.29046</x:t>
  </x:si>
  <x:si>
    <x:t xml:space="preserve">anisotropic minimal surfaces / free boundary</x:t>
  </x:si>
  <x:si>
    <x:t xml:space="preserve">Anisotropic Obstacle Problems for Minimal Surfaces: Regularity of the Free Boundary via the Cahn-Hoffman Transform</x:t>
  </x:si>
  <x:si>
    <x:t xml:space="preserve">Ezequiel Barbosa; Rosivaldo Antonio Goncalves; Luan de Figueiredo</x:t>
  </x:si>
  <x:si>
    <x:t xml:space="preserve">https://arxiv.org/abs/2606.29046</x:t>
  </x:si>
  <x:si>
    <x:t xml:space="preserve">Free-boundary regularity for anisotropic obstacle problems.</x:t>
  </x:si>
  <x:si>
    <x:t xml:space="preserve">2606.24425</x:t>
  </x:si>
  <x:si>
    <x:t xml:space="preserve">locally conformal Kähler geometry</x:t>
  </x:si>
  <x:si>
    <x:t xml:space="preserve">Compact locally conformal Kähler manifolds with constant Chern holomorphic sectional curvature</x:t>
  </x:si>
  <x:si>
    <x:t xml:space="preserve">Zhuzhu Huang; Xueyuan Wan</x:t>
  </x:si>
  <x:si>
    <x:t xml:space="preserve">https://arxiv.org/abs/2606.24425</x:t>
  </x:si>
  <x:si>
    <x:t xml:space="preserve">Locally conformal Kähler manifolds with constant Chern holomorphic sectional curvature.</x:t>
  </x:si>
  <x:si>
    <x:t xml:space="preserve">2606.24481</x:t>
  </x:si>
  <x:si>
    <x:t xml:space="preserve">math.DG/math.AG</x:t>
  </x:si>
  <x:si>
    <x:t xml:space="preserve">Kähler-Einstein potentials</x:t>
  </x:si>
  <x:si>
    <x:t xml:space="preserve">L-infinity-estimates of Kähler-Einstein potentials on stable varieties</x:t>
  </x:si>
  <x:si>
    <x:t xml:space="preserve">Rui Tang</x:t>
  </x:si>
  <x:si>
    <x:t xml:space="preserve">https://arxiv.org/abs/2606.24481</x:t>
  </x:si>
  <x:si>
    <x:t xml:space="preserve">L-infinity estimates for KE potentials on stable varieties.</x:t>
  </x:si>
  <x:si>
    <x:t xml:space="preserve">2606.24503</x:t>
  </x:si>
  <x:si>
    <x:t xml:space="preserve">Toeplitz operators / geometric quantization</x:t>
  </x:si>
  <x:si>
    <x:t xml:space="preserve">Asymptotics for Toeplitz operators with symbol an indicator function</x:t>
  </x:si>
  <x:si>
    <x:t xml:space="preserve">Razvan Apredoaei</x:t>
  </x:si>
  <x:si>
    <x:t xml:space="preserve">https://arxiv.org/abs/2606.24503</x:t>
  </x:si>
  <x:si>
    <x:t xml:space="preserve">Asymptotics of Toeplitz operators with discontinuous symbols.</x:t>
  </x:si>
  <x:si>
    <x:t xml:space="preserve">2606.25582</x:t>
  </x:si>
  <x:si>
    <x:t xml:space="preserve">Alexandrov spaces / optimal transport</x:t>
  </x:si>
  <x:si>
    <x:t xml:space="preserve">Alexandrov spaces with non negative curvature and displacement convexity of the entropy tensor</x:t>
  </x:si>
  <x:si>
    <x:t xml:space="preserve">Jordan Serres</x:t>
  </x:si>
  <x:si>
    <x:t xml:space="preserve">https://arxiv.org/abs/2606.25582</x:t>
  </x:si>
  <x:si>
    <x:t xml:space="preserve">Entropy tensor displacement convexity in nonnegative Alexandrov spaces.</x:t>
  </x:si>
  <x:si>
    <x:t xml:space="preserve">2606.29058</x:t>
  </x:si>
  <x:si>
    <x:t xml:space="preserve">anisotropic parabolic obstacle / Stefan</x:t>
  </x:si>
  <x:si>
    <x:t xml:space="preserve">Anisotropic Parabolic Obstacle Problems and the Stefan Problem: Regularity of the Evolving Free Boundary</x:t>
  </x:si>
  <x:si>
    <x:t xml:space="preserve">Ezequiel Barbosa; Rosivaldo Goncalves; Luan de Figueiredo</x:t>
  </x:si>
  <x:si>
    <x:t xml:space="preserve">https://arxiv.org/abs/2606.29058</x:t>
  </x:si>
  <x:si>
    <x:t xml:space="preserve">Regularity for evolving free boundary in anisotropic parabolic obstacle problems.</x:t>
  </x:si>
  <x:si>
    <x:t xml:space="preserve">2606.14360</x:t>
  </x:si>
  <x:si>
    <x:t xml:space="preserve">self-shrinkers / curvature gaps</x:t>
  </x:si>
  <x:si>
    <x:t xml:space="preserve">Gaussian-Weighted Curvature Gaps for Self-Shrinkers</x:t>
  </x:si>
  <x:si>
    <x:t xml:space="preserve">Fagui Li; Yuhang Zhao</x:t>
  </x:si>
  <x:si>
    <x:t xml:space="preserve">https://arxiv.org/abs/2606.14360</x:t>
  </x:si>
  <x:si>
    <x:t xml:space="preserve">Gaussian-weighted curvature gap estimates for self-shrinkers.</x:t>
  </x:si>
  <x:si>
    <x:t xml:space="preserve">2607.13356</x:t>
  </x:si>
  <x:si>
    <x:t xml:space="preserve">2026-07</x:t>
  </x:si>
  <x:si>
    <x:t xml:space="preserve">minimal currents / singularity theory</x:t>
  </x:si>
  <x:si>
    <x:t xml:space="preserve">Analysis of singularities of area-minimizing currents, Part III: branch points of planar frequency != 2, higher order asymptotics, and the local topology</x:t>
  </x:si>
  <x:si>
    <x:t xml:space="preserve">Brian Krummel; Neshan Wickramasekera</x:t>
  </x:si>
  <x:si>
    <x:t xml:space="preserve">https://arxiv.org/abs/2607.13356</x:t>
  </x:si>
  <x:si>
    <x:t xml:space="preserve">Large-scale regularity/singularity analysis for area-minimizing currents; exceptional human proof complexity.</x:t>
  </x:si>
  <x:si>
    <x:t xml:space="preserve">arXiv official list metadata</x:t>
  </x:si>
  <x:si>
    <x:t xml:space="preserve">July official math.DG list; 331 total; scored pool = ceil(30%)=100</x:t>
  </x:si>
  <x:si>
    <x:t xml:space="preserve">默认主要结论正确；未逐篇逐行 correctness check。</x:t>
  </x:si>
  <x:si>
    <x:t xml:space="preserve">2607.07134</x:t>
  </x:si>
  <x:si>
    <x:t xml:space="preserve">cross-list gr-qc/AP/DG</x:t>
  </x:si>
  <x:si>
    <x:t xml:space="preserve">Einstein equations / singularities</x:t>
  </x:si>
  <x:si>
    <x:t xml:space="preserve">Naked Singularities beyond Spherical Symmetry: Singular Inner Cauchy Horizons for the Einstein-Scalar Field System</x:t>
  </x:si>
  <x:si>
    <x:t xml:space="preserve">Xinliang An; Shengrong Wu</x:t>
  </x:si>
  <x:si>
    <x:t xml:space="preserve">https://arxiv.org/abs/2607.07134</x:t>
  </x:si>
  <x:si>
    <x:t xml:space="preserve">Major GR-PDE construction beyond spherical symmetry; strong geometric analysis relevance.</x:t>
  </x:si>
  <x:si>
    <x:t xml:space="preserve">2607.15522</x:t>
  </x:si>
  <x:si>
    <x:t xml:space="preserve">math.DG/math.CO/math.PR</x:t>
  </x:si>
  <x:si>
    <x:t xml:space="preserve">discrete Bakry-Émery curvature / graph heat flow</x:t>
  </x:si>
  <x:si>
    <x:t xml:space="preserve">Nonnegative Bakry--Émery Curvature on Bounded-Degree Graphs Implies Volume Doubling and Poincaré Inequalities</x:t>
  </x:si>
  <x:si>
    <x:t xml:space="preserve">Qi Guo; Xueping Huang; Yi C. Huang</x:t>
  </x:si>
  <x:si>
    <x:t xml:space="preserve">https://arxiv.org/abs/2607.15522</x:t>
  </x:si>
  <x:si>
    <x:t xml:space="preserve">Bounded-degree CD(0,∞) graphs are uniformly volume doubling and satisfy a scale-invariant L2 Poincaré inequality; settles the Cushing-Liu-Peyerimhoff polynomial-growth conjecture in a stronger form.</x:t>
  </x:si>
  <x:si>
    <x:t xml:space="preserve">Official arXiv abstract/list metadata; discrete-DG rescan checked 2026-08-09</x:t>
  </x:si>
  <x:si>
    <x:t xml:space="preserve">July official math.DG list; 331 total; scored pool = ceil(30%)=100; discrete-DG rescan</x:t>
  </x:si>
  <x:si>
    <x:t xml:space="preserve">默认主要结论正确；未逐篇逐行 correctness check。离散微分几何补检后评分。</x:t>
  </x:si>
  <x:si>
    <x:t xml:space="preserve">2607.11236</x:t>
  </x:si>
  <x:si>
    <x:t xml:space="preserve">general relativity / trapped surfaces</x:t>
  </x:si>
  <x:si>
    <x:t xml:space="preserve">Formation of Trapped Surfaces from Spacelike Initial Data</x:t>
  </x:si>
  <x:si>
    <x:t xml:space="preserve">Xuantao Chen; Sergiu Klainerman</x:t>
  </x:si>
  <x:si>
    <x:t xml:space="preserve">https://arxiv.org/abs/2607.11236</x:t>
  </x:si>
  <x:si>
    <x:t xml:space="preserve">High-value trapped-surface formation result; long nonlinear geometric PDE proof architecture.</x:t>
  </x:si>
  <x:si>
    <x:t xml:space="preserve">2607.03152</x:t>
  </x:si>
  <x:si>
    <x:t xml:space="preserve">Lagrangian mean curvature flow</x:t>
  </x:si>
  <x:si>
    <x:t xml:space="preserve">Finite-Time Singularities of Lagrangian Mean Curvature Flow with Quantitatively Precise Dynamics</x:t>
  </x:si>
  <x:si>
    <x:t xml:space="preserve">https://arxiv.org/abs/2607.03152</x:t>
  </x:si>
  <x:si>
    <x:t xml:space="preserve">Quantitative singularity dynamics for Lagrangian MCF; technically deep and reusable.</x:t>
  </x:si>
  <x:si>
    <x:t xml:space="preserve">2607.03383</x:t>
  </x:si>
  <x:si>
    <x:t xml:space="preserve">Ricci flow / ancient solutions</x:t>
  </x:si>
  <x:si>
    <x:t xml:space="preserve">Unique asymptotics of SO(k)xSO(n-k+1) symmetric ancient ovals of Ricci flow</x:t>
  </x:si>
  <x:si>
    <x:t xml:space="preserve">Panagiota Daskalopoulos; Wenkui Du; Natasa Sesum; Ziyi Zhao</x:t>
  </x:si>
  <x:si>
    <x:t xml:space="preserve">https://arxiv.org/abs/2607.03383</x:t>
  </x:si>
  <x:si>
    <x:t xml:space="preserve">Ancient Ricci-flow asymptotics by leading flow techniques; high geometric PDE value.</x:t>
  </x:si>
  <x:si>
    <x:t xml:space="preserve">2607.29502</x:t>
  </x:si>
  <x:si>
    <x:t xml:space="preserve">minimal submanifolds</x:t>
  </x:si>
  <x:si>
    <x:t xml:space="preserve">A dichotomy for minimal submanifolds</x:t>
  </x:si>
  <x:si>
    <x:t xml:space="preserve">Tobias Holck Colding; William P. Minicozzi II</x:t>
  </x:si>
  <x:si>
    <x:t xml:space="preserve">https://arxiv.org/abs/2607.29502</x:t>
  </x:si>
  <x:si>
    <x:t xml:space="preserve">Conceptual dichotomy statement in minimal-submanifold theory by leading authors.</x:t>
  </x:si>
  <x:si>
    <x:t xml:space="preserve">2607.29632</x:t>
  </x:si>
  <x:si>
    <x:t xml:space="preserve">minimal hypersurface regularity</x:t>
  </x:si>
  <x:si>
    <x:t xml:space="preserve">Regularity of branched stable minimal immersed hypersurfaces</x:t>
  </x:si>
  <x:si>
    <x:t xml:space="preserve">Gaoming Wang; Xuwen Zhang</x:t>
  </x:si>
  <x:si>
    <x:t xml:space="preserve">https://arxiv.org/abs/2607.29632</x:t>
  </x:si>
  <x:si>
    <x:t xml:space="preserve">Regularity theory for branched stable minimal hypersurfaces; substantial proof burden.</x:t>
  </x:si>
  <x:si>
    <x:t xml:space="preserve">2607.03930</x:t>
  </x:si>
  <x:si>
    <x:t xml:space="preserve">cross-list DG/AP</x:t>
  </x:si>
  <x:si>
    <x:t xml:space="preserve">mean curvature flow / varifolds</x:t>
  </x:si>
  <x:si>
    <x:t xml:space="preserve">De Giorgi varifold solutions to Mean Curvature Flow: a minimizing movements approach</x:t>
  </x:si>
  <x:si>
    <x:t xml:space="preserve">Tim Laux; Andrea Poiatti</x:t>
  </x:si>
  <x:si>
    <x:t xml:space="preserve">https://arxiv.org/abs/2607.03930</x:t>
  </x:si>
  <x:si>
    <x:t xml:space="preserve">Variational weak solution framework for MCF; high method transfer potential.</x:t>
  </x:si>
  <x:si>
    <x:t xml:space="preserve">2607.25644</x:t>
  </x:si>
  <x:si>
    <x:t xml:space="preserve">Kähler-Ricci flow / Ricci shrinkers</x:t>
  </x:si>
  <x:si>
    <x:t xml:space="preserve">Gromov-Hausdorff Limits of Noncollapsed Kähler-Ricci Flows and the Geometry of Ricci Shrinkers</x:t>
  </x:si>
  <x:si>
    <x:t xml:space="preserve">Yu Li; Junsheng Zhang</x:t>
  </x:si>
  <x:si>
    <x:t xml:space="preserve">https://arxiv.org/abs/2607.25644</x:t>
  </x:si>
  <x:si>
    <x:t xml:space="preserve">Noncollapsed KRF limits and shrinker geometry; central geometric-flow problem area.</x:t>
  </x:si>
  <x:si>
    <x:t xml:space="preserve">2607.06688</x:t>
  </x:si>
  <x:si>
    <x:t xml:space="preserve">Poisson K-stability / YTD</x:t>
  </x:si>
  <x:si>
    <x:t xml:space="preserve">Poisson K-stability and the semiclassical Yau-Tian-Donaldson correspondence</x:t>
  </x:si>
  <x:si>
    <x:t xml:space="preserve">Vestislav Apostolov; Brent Pym; Jeffrey Streets</x:t>
  </x:si>
  <x:si>
    <x:t xml:space="preserve">https://arxiv.org/abs/2607.06688</x:t>
  </x:si>
  <x:si>
    <x:t xml:space="preserve">Connects K-stability/YTD ideas with Poisson geometry; high conceptual breadth.</x:t>
  </x:si>
  <x:si>
    <x:t xml:space="preserve">2607.23879</x:t>
  </x:si>
  <x:si>
    <x:t xml:space="preserve">mean curvature flow / tangent flows</x:t>
  </x:si>
  <x:si>
    <x:t xml:space="preserve">Closed mean curvature flows with prescribed tangent flows</x:t>
  </x:si>
  <x:si>
    <x:t xml:space="preserve">Jingwen Chen; Tang-Kai Lee; Ao Sun; Xinrui Zhao</x:t>
  </x:si>
  <x:si>
    <x:t xml:space="preserve">https://arxiv.org/abs/2607.23879</x:t>
  </x:si>
  <x:si>
    <x:t xml:space="preserve">Prescribed tangent-flow phenomena for closed MCF; strong singularity-theory relevance.</x:t>
  </x:si>
  <x:si>
    <x:t xml:space="preserve">2607.20741</x:t>
  </x:si>
  <x:si>
    <x:t xml:space="preserve">Penrose inequality / scalar curvature</x:t>
  </x:si>
  <x:si>
    <x:t xml:space="preserve">The Penrose conjecture for initial data sets satisfying a 2-convexity condition</x:t>
  </x:si>
  <x:si>
    <x:t xml:space="preserve">Conghan Dong</x:t>
  </x:si>
  <x:si>
    <x:t xml:space="preserve">https://arxiv.org/abs/2607.20741</x:t>
  </x:si>
  <x:si>
    <x:t xml:space="preserve">Penrose-type result under geometric convexity; important in scalar-curvature/GR interface.</x:t>
  </x:si>
  <x:si>
    <x:t xml:space="preserve">2607.27162</x:t>
  </x:si>
  <x:si>
    <x:t xml:space="preserve">Ollivier-Ricci curvature / graph random walks</x:t>
  </x:si>
  <x:si>
    <x:t xml:space="preserve">Pointwise subexponential growth and near-diffusive displacement on bounded-degree graphs with non-negative Ollivier--Ricci curvature</x:t>
  </x:si>
  <x:si>
    <x:t xml:space="preserve">Chiyu Zhou</x:t>
  </x:si>
  <x:si>
    <x:t xml:space="preserve">https://arxiv.org/abs/2607.27162</x:t>
  </x:si>
  <x:si>
    <x:t xml:space="preserve">Near-diffusive displacement and pointwise subexponential volume growth for bounded-degree graphs with nonnegative Ollivier-Ricci curvature.</x:t>
  </x:si>
  <x:si>
    <x:t xml:space="preserve">2607.17459</x:t>
  </x:si>
  <x:si>
    <x:t xml:space="preserve">vortex equations / stability</x:t>
  </x:si>
  <x:si>
    <x:t xml:space="preserve">The deformed Vortex equations and equivariant stability conditions</x:t>
  </x:si>
  <x:si>
    <x:t xml:space="preserve">Tristan C. Collins; Yukai Zhang</x:t>
  </x:si>
  <x:si>
    <x:t xml:space="preserve">https://arxiv.org/abs/2607.17459</x:t>
  </x:si>
  <x:si>
    <x:t xml:space="preserve">Gauge/Kähler stability problem with substantial length and technical structure.</x:t>
  </x:si>
  <x:si>
    <x:t xml:space="preserve">2607.29588</x:t>
  </x:si>
  <x:si>
    <x:t xml:space="preserve">cross-list AP/DG</x:t>
  </x:si>
  <x:si>
    <x:t xml:space="preserve">Allen-Cahn / boundary interfaces</x:t>
  </x:si>
  <x:si>
    <x:t xml:space="preserve">A two-dimensional Allen-Cahn theory for interfaces with boundary</x:t>
  </x:si>
  <x:si>
    <x:t xml:space="preserve">Marco Badran; Manuel del Pino; Marco A. M. Guaraco</x:t>
  </x:si>
  <x:si>
    <x:t xml:space="preserve">https://arxiv.org/abs/2607.29588</x:t>
  </x:si>
  <x:si>
    <x:t xml:space="preserve">Boundary-interface Allen-Cahn theory with geometric variational content.</x:t>
  </x:si>
  <x:si>
    <x:t xml:space="preserve">2607.25015</x:t>
  </x:si>
  <x:si>
    <x:t xml:space="preserve">scalar curvature / 3-manifolds</x:t>
  </x:si>
  <x:si>
    <x:t xml:space="preserve">Topological Rigidity of Contractible 3-Manifolds and Handlebody Interiors under Nonnegative Scalar Curvature</x:t>
  </x:si>
  <x:si>
    <x:t xml:space="preserve">Jiangcheng You; Heng Zhang</x:t>
  </x:si>
  <x:si>
    <x:t xml:space="preserve">https://arxiv.org/abs/2607.25015</x:t>
  </x:si>
  <x:si>
    <x:t xml:space="preserve">Scalar-curvature rigidity for contractible 3-manifolds; strong geometric topology implications.</x:t>
  </x:si>
  <x:si>
    <x:t xml:space="preserve">2607.26054</x:t>
  </x:si>
  <x:si>
    <x:t xml:space="preserve">Kähler-Ricci solitons</x:t>
  </x:si>
  <x:si>
    <x:t xml:space="preserve">Uniqueness of shrinking Kähler-Ricci solitons on resolutions of Kähler cones</x:t>
  </x:si>
  <x:si>
    <x:t xml:space="preserve">Ronan J. Conlon; Alix Deruelle</x:t>
  </x:si>
  <x:si>
    <x:t xml:space="preserve">https://arxiv.org/abs/2607.26054</x:t>
  </x:si>
  <x:si>
    <x:t xml:space="preserve">Uniqueness theorem for shrinking KRS in singular/conical resolution setting.</x:t>
  </x:si>
  <x:si>
    <x:t xml:space="preserve">2607.08325</x:t>
  </x:si>
  <x:si>
    <x:t xml:space="preserve">Kähler-Ricci flow / smoothing</x:t>
  </x:si>
  <x:si>
    <x:t xml:space="preserve">Geometric smoothing by the Kähler-Ricci Flow</x:t>
  </x:si>
  <x:si>
    <x:t xml:space="preserve">Eleonora Di Nezza; Vincent Guedj; Chinh Hoang Lu</x:t>
  </x:si>
  <x:si>
    <x:t xml:space="preserve">https://arxiv.org/abs/2607.08325</x:t>
  </x:si>
  <x:si>
    <x:t xml:space="preserve">KRF smoothing in complex geometric analysis; useful technical input.</x:t>
  </x:si>
  <x:si>
    <x:t xml:space="preserve">2607.08631</x:t>
  </x:si>
  <x:si>
    <x:t xml:space="preserve">minimal spheres / min-max</x:t>
  </x:si>
  <x:si>
    <x:t xml:space="preserve">Existence of two embedded minimal spheres in S^3 with an arbitrary metric</x:t>
  </x:si>
  <x:si>
    <x:t xml:space="preserve">Zhichao Wang; Xin Zhou</x:t>
  </x:si>
  <x:si>
    <x:t xml:space="preserve">https://arxiv.org/abs/2607.08631</x:t>
  </x:si>
  <x:si>
    <x:t xml:space="preserve">Existence result for embedded minimal spheres; strong min-max/geometric analysis value.</x:t>
  </x:si>
  <x:si>
    <x:t xml:space="preserve">2607.12305</x:t>
  </x:si>
  <x:si>
    <x:t xml:space="preserve">positive scalar curvature / systoles</x:t>
  </x:si>
  <x:si>
    <x:t xml:space="preserve">Capillary prisms, Coxeter gluing, and the pi_2-systole of 3-manifolds with positive scalar curvature</x:t>
  </x:si>
  <x:si>
    <x:t xml:space="preserve">Shihang He; Chao Li</x:t>
  </x:si>
  <x:si>
    <x:t xml:space="preserve">https://arxiv.org/abs/2607.12305</x:t>
  </x:si>
  <x:si>
    <x:t xml:space="preserve">Positive scalar curvature, capillary geometry and systolic estimates; broad geometric interest.</x:t>
  </x:si>
  <x:si>
    <x:t xml:space="preserve">2607.06698</x:t>
  </x:si>
  <x:si>
    <x:t xml:space="preserve">infinity harmonic / IMCF clusters</x:t>
  </x:si>
  <x:si>
    <x:t xml:space="preserve">Infinity-harmonic functions and inverse mean curvature flow clusters</x:t>
  </x:si>
  <x:si>
    <x:t xml:space="preserve">Kai Xu</x:t>
  </x:si>
  <x:si>
    <x:t xml:space="preserve">https://arxiv.org/abs/2607.06698</x:t>
  </x:si>
  <x:si>
    <x:t xml:space="preserve">Very long analysis of infinity-harmonic and IMCF cluster structures.</x:t>
  </x:si>
  <x:si>
    <x:t xml:space="preserve">2607.02412</x:t>
  </x:si>
  <x:si>
    <x:t xml:space="preserve">isometric embedding / low regularity</x:t>
  </x:si>
  <x:si>
    <x:t xml:space="preserve">Cartan's and Gauss's equations and rigidity theorems for isometric embeddings in low Sobolev regularity</x:t>
  </x:si>
  <x:si>
    <x:t xml:space="preserve">Isaac Newell; Luc Nguyen</x:t>
  </x:si>
  <x:si>
    <x:t xml:space="preserve">https://arxiv.org/abs/2607.02412</x:t>
  </x:si>
  <x:si>
    <x:t xml:space="preserve">Low-Sobolev rigidity for isometric embeddings; high technical and analytic value.</x:t>
  </x:si>
  <x:si>
    <x:t xml:space="preserve">2607.02067</x:t>
  </x:si>
  <x:si>
    <x:t xml:space="preserve">inverse anisotropic mean curvature flow</x:t>
  </x:si>
  <x:si>
    <x:t xml:space="preserve">Higher regularity of the inverse anisotropic mean curvature flow</x:t>
  </x:si>
  <x:si>
    <x:t xml:space="preserve">Chaoqun Gao; Yong Wei; Rong Zhou</x:t>
  </x:si>
  <x:si>
    <x:t xml:space="preserve">https://arxiv.org/abs/2607.02067</x:t>
  </x:si>
  <x:si>
    <x:t xml:space="preserve">Regularity upgrade for inverse anisotropic MCF; solid geometric flow result.</x:t>
  </x:si>
  <x:si>
    <x:t xml:space="preserve">2607.24281</x:t>
  </x:si>
  <x:si>
    <x:t xml:space="preserve">harmonic forms / gauge geometry</x:t>
  </x:si>
  <x:si>
    <x:t xml:space="preserve">Calabi surgery for Z/2 harmonic 1-forms</x:t>
  </x:si>
  <x:si>
    <x:t xml:space="preserve">Jiahuang Chen; Siqi He; Dashen Yan</x:t>
  </x:si>
  <x:si>
    <x:t xml:space="preserve">https://arxiv.org/abs/2607.24281</x:t>
  </x:si>
  <x:si>
    <x:t xml:space="preserve">Surgery construction for Z/2 harmonic 1-forms; relevant to gauge/geometric topology.</x:t>
  </x:si>
  <x:si>
    <x:t xml:space="preserve">2607.18792</x:t>
  </x:si>
  <x:si>
    <x:t xml:space="preserve">isometric immersion / negative curvature</x:t>
  </x:si>
  <x:si>
    <x:t xml:space="preserve">Existence of global W^{2,p}-isometric immersions for negatively curved surface metrics with unbounded second fundamental form</x:t>
  </x:si>
  <x:si>
    <x:t xml:space="preserve">Siran Li</x:t>
  </x:si>
  <x:si>
    <x:t xml:space="preserve">https://arxiv.org/abs/2607.18792</x:t>
  </x:si>
  <x:si>
    <x:t xml:space="preserve">Global low-regularity isometric immersion under negative curvature; strong PDE-geometry link.</x:t>
  </x:si>
  <x:si>
    <x:t xml:space="preserve">2607.18989</x:t>
  </x:si>
  <x:si>
    <x:t xml:space="preserve">math.DG/math.AG/math.AP</x:t>
  </x:si>
  <x:si>
    <x:t xml:space="preserve">non-Abelian Hodge theory</x:t>
  </x:si>
  <x:si>
    <x:t xml:space="preserve">Diffeological non-Abelian Hodge theory: relative harmonic metrics and deformation theory</x:t>
  </x:si>
  <x:si>
    <x:t xml:space="preserve">Mahmud Azam; Steven Rayan</x:t>
  </x:si>
  <x:si>
    <x:t xml:space="preserve">https://arxiv.org/abs/2607.18989</x:t>
  </x:si>
  <x:si>
    <x:t xml:space="preserve">Large deformation/Hodge theory work with differential-geometric analytic component.</x:t>
  </x:si>
  <x:si>
    <x:t xml:space="preserve">2607.19091</x:t>
  </x:si>
  <x:si>
    <x:t xml:space="preserve">curl-Sobolev inequalities</x:t>
  </x:si>
  <x:si>
    <x:t xml:space="preserve">On the sharp constants in curl-Sobolev inequalities on S^n</x:t>
  </x:si>
  <x:si>
    <x:t xml:space="preserve">Guofang Wang; Mingwei Zhang</x:t>
  </x:si>
  <x:si>
    <x:t xml:space="preserve">https://arxiv.org/abs/2607.19091</x:t>
  </x:si>
  <x:si>
    <x:t xml:space="preserve">Sharp inequality work on spheres; relevant across DG, AP and spectral theory.</x:t>
  </x:si>
  <x:si>
    <x:t xml:space="preserve">2607.19320</x:t>
  </x:si>
  <x:si>
    <x:t xml:space="preserve">positive mass theorem / corners</x:t>
  </x:si>
  <x:si>
    <x:t xml:space="preserve">A spacetime positive mass theorem with corners via mollification</x:t>
  </x:si>
  <x:si>
    <x:t xml:space="preserve">Hyun Chul Jang; Aidan F. Wood</x:t>
  </x:si>
  <x:si>
    <x:t xml:space="preserve">https://arxiv.org/abs/2607.19320</x:t>
  </x:si>
  <x:si>
    <x:t xml:space="preserve">Positive mass theorem with corners; important low-regularity GR geometry theme.</x:t>
  </x:si>
  <x:si>
    <x:t xml:space="preserve">2607.24735</x:t>
  </x:si>
  <x:si>
    <x:t xml:space="preserve">generic smoothness / minimizing submanifolds</x:t>
  </x:si>
  <x:si>
    <x:t xml:space="preserve">Area-minimizing submanifolds are not generically smooth, except for geodesics, minimal surfaces, and minimal hypersurfaces</x:t>
  </x:si>
  <x:si>
    <x:t xml:space="preserve">Zhenhua Liu</x:t>
  </x:si>
  <x:si>
    <x:t xml:space="preserve">https://arxiv.org/abs/2607.24735</x:t>
  </x:si>
  <x:si>
    <x:t xml:space="preserve">Striking generic regularity/nonregularity statement for area minimizers.</x:t>
  </x:si>
  <x:si>
    <x:t xml:space="preserve">2607.27629</x:t>
  </x:si>
  <x:si>
    <x:t xml:space="preserve">cross-list CA/DG</x:t>
  </x:si>
  <x:si>
    <x:t xml:space="preserve">curved Kakeya / projective geometry</x:t>
  </x:si>
  <x:si>
    <x:t xml:space="preserve">Curved Kakeya problems and the projective geometry of paths</x:t>
  </x:si>
  <x:si>
    <x:t xml:space="preserve">Shaoming Guo; Larry Guth; Arian Nadjimzadah; Minxing Shen; Ruixiang Zhang</x:t>
  </x:si>
  <x:si>
    <x:t xml:space="preserve">https://arxiv.org/abs/2607.27629</x:t>
  </x:si>
  <x:si>
    <x:t xml:space="preserve">Highly technical incidence/harmonic-analysis result with projective-geometric content.</x:t>
  </x:si>
  <x:si>
    <x:t xml:space="preserve">2607.18216</x:t>
  </x:si>
  <x:si>
    <x:t xml:space="preserve">curvature pinching / PIC2</x:t>
  </x:si>
  <x:si>
    <x:t xml:space="preserve">Sharp Weitzenböck and PIC2 Estimates from Sectional-Scalar Curvature Pinching</x:t>
  </x:si>
  <x:si>
    <x:t xml:space="preserve">Jian Ge</x:t>
  </x:si>
  <x:si>
    <x:t xml:space="preserve">https://arxiv.org/abs/2607.18216</x:t>
  </x:si>
  <x:si>
    <x:t xml:space="preserve">Sharp curvature estimates from mixed sectional-scalar pinching; strong comparison geometry.</x:t>
  </x:si>
  <x:si>
    <x:t xml:space="preserve">2607.29447</x:t>
  </x:si>
  <x:si>
    <x:t xml:space="preserve">charged Penrose inequality</x:t>
  </x:si>
  <x:si>
    <x:t xml:space="preserve">The Penrose inequality with charge for 2-convex initial data sets</x:t>
  </x:si>
  <x:si>
    <x:t xml:space="preserve">Tuan Dolmen</x:t>
  </x:si>
  <x:si>
    <x:t xml:space="preserve">https://arxiv.org/abs/2607.29447</x:t>
  </x:si>
  <x:si>
    <x:t xml:space="preserve">Charged Penrose inequality under 2-convexity; strong GR geometry signal.</x:t>
  </x:si>
  <x:si>
    <x:t xml:space="preserve">2607.29654</x:t>
  </x:si>
  <x:si>
    <x:t xml:space="preserve">math.DG/cs.GR/math-ph/math.SG</x:t>
  </x:si>
  <x:si>
    <x:t xml:space="preserve">discrete elastic curves / geometric mechanics</x:t>
  </x:si>
  <x:si>
    <x:t xml:space="preserve">Elastic Curves via Geometric Mechanics</x:t>
  </x:si>
  <x:si>
    <x:t xml:space="preserve">Oliver Gross; Rohit Jammula; Albert Chern</x:t>
  </x:si>
  <x:si>
    <x:t xml:space="preserve">https://arxiv.org/abs/2607.29654</x:t>
  </x:si>
  <x:si>
    <x:t xml:space="preserve">New isoperimetric characterization and exact structure-preserving polygonal theory; carries canonical symplectic dynamics to discrete curves.</x:t>
  </x:si>
  <x:si>
    <x:t xml:space="preserve">2607.05023</x:t>
  </x:si>
  <x:si>
    <x:t xml:space="preserve">math.DG/math.CO/math.MG</x:t>
  </x:si>
  <x:si>
    <x:t xml:space="preserve">surface rigidity / hyperbolic symmetries</x:t>
  </x:si>
  <x:si>
    <x:t xml:space="preserve">Rigidity on compact surfaces through hyperbolic symmetries</x:t>
  </x:si>
  <x:si>
    <x:t xml:space="preserve">Sean Dewar; Alison La Porta; Rebecca Monks; Anthony Nixon; Klara Stokes; Joannes Vermant</x:t>
  </x:si>
  <x:si>
    <x:t xml:space="preserve">https://arxiv.org/abs/2607.05023</x:t>
  </x:si>
  <x:si>
    <x:t xml:space="preserve">First finite combinatorial characterization of generic rigidity for frameworks on compact surfaces of genus at least two, via hyperbolic symmetries and gain graphs.</x:t>
  </x:si>
  <x:si>
    <x:t xml:space="preserve">2607.20350</x:t>
  </x:si>
  <x:si>
    <x:t xml:space="preserve">modified mean curvature flow</x:t>
  </x:si>
  <x:si>
    <x:t xml:space="preserve">Modified Mean Curvature Flow in Fuchsian Manifolds</x:t>
  </x:si>
  <x:si>
    <x:t xml:space="preserve">Yuk Shing Lam; Longzhi Lin</x:t>
  </x:si>
  <x:si>
    <x:t xml:space="preserve">https://arxiv.org/abs/2607.20350</x:t>
  </x:si>
  <x:si>
    <x:t xml:space="preserve">Flow theory in Fuchsian manifolds; solid specialized geometric PDE contribution.</x:t>
  </x:si>
  <x:si>
    <x:t xml:space="preserve">2607.21031</x:t>
  </x:si>
  <x:si>
    <x:t xml:space="preserve">BV / finite perimeter</x:t>
  </x:si>
  <x:si>
    <x:t xml:space="preserve">Structure theory of BV functions and finite perimeter sets on Riemannian manifolds</x:t>
  </x:si>
  <x:si>
    <x:t xml:space="preserve">Péter Koltai; Kathrin Völkner</x:t>
  </x:si>
  <x:si>
    <x:t xml:space="preserve">https://arxiv.org/abs/2607.21031</x:t>
  </x:si>
  <x:si>
    <x:t xml:space="preserve">Metric/geometric measure-theoretic structure theory on manifolds.</x:t>
  </x:si>
  <x:si>
    <x:t xml:space="preserve">2607.23703</x:t>
  </x:si>
  <x:si>
    <x:t xml:space="preserve">Plateau problem</x:t>
  </x:si>
  <x:si>
    <x:t xml:space="preserve">Plateau's Problem via covering spaces</x:t>
  </x:si>
  <x:si>
    <x:t xml:space="preserve">James Tissot</x:t>
  </x:si>
  <x:si>
    <x:t xml:space="preserve">https://arxiv.org/abs/2607.23703</x:t>
  </x:si>
  <x:si>
    <x:t xml:space="preserve">Plateau problem reformulation via covering spaces; broad classical problem context.</x:t>
  </x:si>
  <x:si>
    <x:t xml:space="preserve">2607.23872</x:t>
  </x:si>
  <x:si>
    <x:t xml:space="preserve">stationary geodesic networks</x:t>
  </x:si>
  <x:si>
    <x:t xml:space="preserve">A Partial epsilon-Regularity Theorem for Integral Stationary Geodesic Networks in R^n</x:t>
  </x:si>
  <x:si>
    <x:t xml:space="preserve">Henry Bosch</x:t>
  </x:si>
  <x:si>
    <x:t xml:space="preserve">https://arxiv.org/abs/2607.23872</x:t>
  </x:si>
  <x:si>
    <x:t xml:space="preserve">Partial regularity for stationary geodesic networks; technical GMT contribution.</x:t>
  </x:si>
  <x:si>
    <x:t xml:space="preserve">2607.23827</x:t>
  </x:si>
  <x:si>
    <x:t xml:space="preserve">sharp curl-Sobolev inequality</x:t>
  </x:si>
  <x:si>
    <x:t xml:space="preserve">The sharp curl-Sobolev inequality</x:t>
  </x:si>
  <x:si>
    <x:t xml:space="preserve">https://arxiv.org/abs/2607.23827</x:t>
  </x:si>
  <x:si>
    <x:t xml:space="preserve">Sharp Sobolev-type inequality; shorter but with useful analytic geometry impact.</x:t>
  </x:si>
  <x:si>
    <x:t xml:space="preserve">2607.26302</x:t>
  </x:si>
  <x:si>
    <x:t xml:space="preserve">special Lagrangians</x:t>
  </x:si>
  <x:si>
    <x:t xml:space="preserve">Special Lagrangians with multiple isolated singularities</x:t>
  </x:si>
  <x:si>
    <x:t xml:space="preserve">Bryan Dimler; Filippo Gaia</x:t>
  </x:si>
  <x:si>
    <x:t xml:space="preserve">https://arxiv.org/abs/2607.26302</x:t>
  </x:si>
  <x:si>
    <x:t xml:space="preserve">Special Lagrangian singularity construction; good calibrated-geometry relevance.</x:t>
  </x:si>
  <x:si>
    <x:t xml:space="preserve">2607.29667</x:t>
  </x:si>
  <x:si>
    <x:t xml:space="preserve">monopoles / Dirac singularities</x:t>
  </x:si>
  <x:si>
    <x:t xml:space="preserve">The large mass limit of monopoles: abelian limits and Dirac singularities</x:t>
  </x:si>
  <x:si>
    <x:t xml:space="preserve">Daniel Fadel</x:t>
  </x:si>
  <x:si>
    <x:t xml:space="preserve">https://arxiv.org/abs/2607.29667</x:t>
  </x:si>
  <x:si>
    <x:t xml:space="preserve">Gauge-theoretic asymptotic limit with Dirac singularities; mathematically focused.</x:t>
  </x:si>
  <x:si>
    <x:t xml:space="preserve">2607.13890</x:t>
  </x:si>
  <x:si>
    <x:t xml:space="preserve">cross-list SP/AP/DG</x:t>
  </x:si>
  <x:si>
    <x:t xml:space="preserve">heat kernels / closed geodesics</x:t>
  </x:si>
  <x:si>
    <x:t xml:space="preserve">Heat Kernel and Closed Geodesic Asymptotics for Nilpotent Coverings</x:t>
  </x:si>
  <x:si>
    <x:t xml:space="preserve">Atsushi Katsuda</x:t>
  </x:si>
  <x:si>
    <x:t xml:space="preserve">https://arxiv.org/abs/2607.13890</x:t>
  </x:si>
  <x:si>
    <x:t xml:space="preserve">Heat-kernel and closed-geodesic asymptotics; useful spectral-geometric contribution.</x:t>
  </x:si>
  <x:si>
    <x:t xml:space="preserve">2607.15106</x:t>
  </x:si>
  <x:si>
    <x:t xml:space="preserve">CAT(k) comparison</x:t>
  </x:si>
  <x:si>
    <x:t xml:space="preserve">A quantitative Schur comparison theorem for curves in CAT(k) spaces</x:t>
  </x:si>
  <x:si>
    <x:t xml:space="preserve">Mohammad Ghomi; John Ioannis Stavroulakis</x:t>
  </x:si>
  <x:si>
    <x:t xml:space="preserve">https://arxiv.org/abs/2607.15106</x:t>
  </x:si>
  <x:si>
    <x:t xml:space="preserve">Metric comparison theorem with quantitative content.</x:t>
  </x:si>
  <x:si>
    <x:t xml:space="preserve">2607.13742</x:t>
  </x:si>
  <x:si>
    <x:t xml:space="preserve">Poincare-Einstein fillings</x:t>
  </x:si>
  <x:si>
    <x:t xml:space="preserve">A sharp relative comparison inequality for conformal fillings of Poincare-Einstein manifolds</x:t>
  </x:si>
  <x:si>
    <x:t xml:space="preserve">Nan Wu</x:t>
  </x:si>
  <x:si>
    <x:t xml:space="preserve">https://arxiv.org/abs/2607.13742</x:t>
  </x:si>
  <x:si>
    <x:t xml:space="preserve">Sharp comparison inequality in conformal/geometric analysis.</x:t>
  </x:si>
  <x:si>
    <x:t xml:space="preserve">2607.13760</x:t>
  </x:si>
  <x:si>
    <x:t xml:space="preserve">math.DG/math.DS/math.GR/math.GT</x:t>
  </x:si>
  <x:si>
    <x:t xml:space="preserve">Anosov groups / growth indicators</x:t>
  </x:si>
  <x:si>
    <x:t xml:space="preserve">Strict concavity of the growth indicator function for relatively Anosov groups</x:t>
  </x:si>
  <x:si>
    <x:t xml:space="preserve">Dongryul M. Kim; Hee Oh; Andrew Zimmer</x:t>
  </x:si>
  <x:si>
    <x:t xml:space="preserve">https://arxiv.org/abs/2607.13760</x:t>
  </x:si>
  <x:si>
    <x:t xml:space="preserve">Growth indicator concavity for relatively Anosov groups; strong dynamics/geometry cross-value.</x:t>
  </x:si>
  <x:si>
    <x:t xml:space="preserve">2607.14244</x:t>
  </x:si>
  <x:si>
    <x:t xml:space="preserve">scalar curvature / product manifolds</x:t>
  </x:si>
  <x:si>
    <x:t xml:space="preserve">Scalar Curvature and Product Manifolds</x:t>
  </x:si>
  <x:si>
    <x:t xml:space="preserve">Claude LeBrun</x:t>
  </x:si>
  <x:si>
    <x:t xml:space="preserve">https://arxiv.org/abs/2607.14244</x:t>
  </x:si>
  <x:si>
    <x:t xml:space="preserve">Concise scalar-curvature result by a leading author; high conceptual signal.</x:t>
  </x:si>
  <x:si>
    <x:t xml:space="preserve">2607.14857</x:t>
  </x:si>
  <x:si>
    <x:t xml:space="preserve">harmonic maps</x:t>
  </x:si>
  <x:si>
    <x:t xml:space="preserve">A framework for producing harmonic maps</x:t>
  </x:si>
  <x:si>
    <x:t xml:space="preserve">Volker Branding; Anna Siffert</x:t>
  </x:si>
  <x:si>
    <x:t xml:space="preserve">https://arxiv.org/abs/2607.14857</x:t>
  </x:si>
  <x:si>
    <x:t xml:space="preserve">General harmonic-map production framework; solid but moderate novelty signal.</x:t>
  </x:si>
  <x:si>
    <x:t xml:space="preserve">2607.12842</x:t>
  </x:si>
  <x:si>
    <x:t xml:space="preserve">math.DG/math.GN/math.MG</x:t>
  </x:si>
  <x:si>
    <x:t xml:space="preserve">Alexandrov spaces / lecture notes</x:t>
  </x:si>
  <x:si>
    <x:t xml:space="preserve">Lectures on Alexandrov spaces with curvature bounded below</x:t>
  </x:si>
  <x:si>
    <x:t xml:space="preserve">Vitali Kapovitch; Nina Lebedeva; Anton Petrunin</x:t>
  </x:si>
  <x:si>
    <x:t xml:space="preserve">https://arxiv.org/abs/2607.12842</x:t>
  </x:si>
  <x:si>
    <x:t xml:space="preserve">Major expository/reference value; originality discounted relative to research papers.</x:t>
  </x:si>
  <x:si>
    <x:t xml:space="preserve">2607.12979</x:t>
  </x:si>
  <x:si>
    <x:t xml:space="preserve">min-max widths / embedded circles</x:t>
  </x:si>
  <x:si>
    <x:t xml:space="preserve">Ambient geometry via min-max widths of embedded circles</x:t>
  </x:si>
  <x:si>
    <x:t xml:space="preserve">Lucas Ambrozio; Ivan Miranda; Rafael Montezuma</x:t>
  </x:si>
  <x:si>
    <x:t xml:space="preserve">https://arxiv.org/abs/2607.12979</x:t>
  </x:si>
  <x:si>
    <x:t xml:space="preserve">Uses min-max widths of curves to probe ambient geometry.</x:t>
  </x:si>
  <x:si>
    <x:t xml:space="preserve">2607.13450</x:t>
  </x:si>
  <x:si>
    <x:t xml:space="preserve">nonlinear Hodge correspondence</x:t>
  </x:si>
  <x:si>
    <x:t xml:space="preserve">Nonlinear Hodge correspondence for morphisms</x:t>
  </x:si>
  <x:si>
    <x:t xml:space="preserve">Nianzi Li; Mao Sheng</x:t>
  </x:si>
  <x:si>
    <x:t xml:space="preserve">https://arxiv.org/abs/2607.13450</x:t>
  </x:si>
  <x:si>
    <x:t xml:space="preserve">Hodge-correspondence result with significant geometric structure.</x:t>
  </x:si>
  <x:si>
    <x:t xml:space="preserve">2607.10733</x:t>
  </x:si>
  <x:si>
    <x:t xml:space="preserve">Chern conjecture / minimal submanifolds</x:t>
  </x:si>
  <x:si>
    <x:t xml:space="preserve">On Chern's Conjecture for Minimal Submanifolds with Flat Normal Bundle in Spheres</x:t>
  </x:si>
  <x:si>
    <x:t xml:space="preserve">Jianquan Ge; Fagui Li; Yunheng Zhang</x:t>
  </x:si>
  <x:si>
    <x:t xml:space="preserve">https://arxiv.org/abs/2607.10733</x:t>
  </x:si>
  <x:si>
    <x:t xml:space="preserve">Progress around Chern-type rigidity for minimal submanifolds.</x:t>
  </x:si>
  <x:si>
    <x:t xml:space="preserve">2607.11067</x:t>
  </x:si>
  <x:si>
    <x:t xml:space="preserve">sigma_2-Yamabe equation</x:t>
  </x:si>
  <x:si>
    <x:t xml:space="preserve">Blow-up phenomena for the sigma_2-Yamabe equation</x:t>
  </x:si>
  <x:si>
    <x:t xml:space="preserve">Bin Deng; Han Lu; Jun-cheng Wei</x:t>
  </x:si>
  <x:si>
    <x:t xml:space="preserve">https://arxiv.org/abs/2607.11067</x:t>
  </x:si>
  <x:si>
    <x:t xml:space="preserve">Blow-up analysis for fully nonlinear conformal equation.</x:t>
  </x:si>
  <x:si>
    <x:t xml:space="preserve">2607.08622</x:t>
  </x:si>
  <x:si>
    <x:t xml:space="preserve">deformed Hermitian-Yang-Mills</x:t>
  </x:si>
  <x:si>
    <x:t xml:space="preserve">Deformed Hermitian-Yang-Mills equation on the manifold of full flags</x:t>
  </x:si>
  <x:si>
    <x:t xml:space="preserve">Benoit Charbonneau; Gonçalo Oliveira; Rosa Sena-Dias</x:t>
  </x:si>
  <x:si>
    <x:t xml:space="preserve">https://arxiv.org/abs/2607.08622</x:t>
  </x:si>
  <x:si>
    <x:t xml:space="preserve">dHYM equation in a homogeneous complex-geometric setting.</x:t>
  </x:si>
  <x:si>
    <x:t xml:space="preserve">2607.05755</x:t>
  </x:si>
  <x:si>
    <x:t xml:space="preserve">minimal hypersurfaces / Bernstein</x:t>
  </x:si>
  <x:si>
    <x:t xml:space="preserve">Topological Bernstein Theorems for Minimal Hypersurfaces in R^4 confined in space</x:t>
  </x:si>
  <x:si>
    <x:t xml:space="preserve">Shrey Aryan; Alexander D. McWeeney</x:t>
  </x:si>
  <x:si>
    <x:t xml:space="preserve">https://arxiv.org/abs/2607.05755</x:t>
  </x:si>
  <x:si>
    <x:t xml:space="preserve">Bernstein-type statement in R^4 under confinement assumptions.</x:t>
  </x:si>
  <x:si>
    <x:t xml:space="preserve">2607.05980</x:t>
  </x:si>
  <x:si>
    <x:t xml:space="preserve">spinors / mass-charge inequalities</x:t>
  </x:si>
  <x:si>
    <x:t xml:space="preserve">Charged parallel spinors and applications to mass-charge inequalities</x:t>
  </x:si>
  <x:si>
    <x:t xml:space="preserve">Simon Raulot</x:t>
  </x:si>
  <x:si>
    <x:t xml:space="preserve">https://arxiv.org/abs/2607.05980</x:t>
  </x:si>
  <x:si>
    <x:t xml:space="preserve">Spinorial approach to mass-charge inequalities.</x:t>
  </x:si>
  <x:si>
    <x:t xml:space="preserve">2607.06951</x:t>
  </x:si>
  <x:si>
    <x:t xml:space="preserve">Q-curvature / isoperimetry</x:t>
  </x:si>
  <x:si>
    <x:t xml:space="preserve">A sharp isoperimetric inequality and the top order Q-curvature</x:t>
  </x:si>
  <x:si>
    <x:t xml:space="preserve">Mingxiang Li; Xingwang Xu</x:t>
  </x:si>
  <x:si>
    <x:t xml:space="preserve">https://arxiv.org/abs/2607.06951</x:t>
  </x:si>
  <x:si>
    <x:t xml:space="preserve">Sharp inequality linked to top-order Q-curvature.</x:t>
  </x:si>
  <x:si>
    <x:t xml:space="preserve">2607.18782</x:t>
  </x:si>
  <x:si>
    <x:t xml:space="preserve">Carleman / Huber inequalities</x:t>
  </x:si>
  <x:si>
    <x:t xml:space="preserve">Sharp weighted Carleman and Huber isoperimetric inequalities on the unit ball in higher dimensions</x:t>
  </x:si>
  <x:si>
    <x:t xml:space="preserve">Zhijie Chen; Changfeng Gui; Shihong Zhang</x:t>
  </x:si>
  <x:si>
    <x:t xml:space="preserve">https://arxiv.org/abs/2607.18782</x:t>
  </x:si>
  <x:si>
    <x:t xml:space="preserve">Sharp weighted inequalities with geometric-analysis consequences.</x:t>
  </x:si>
  <x:si>
    <x:t xml:space="preserve">2607.18205</x:t>
  </x:si>
  <x:si>
    <x:t xml:space="preserve">Q-curvature / conformal metrics</x:t>
  </x:si>
  <x:si>
    <x:t xml:space="preserve">Positivity and non-positivity results for the sixth-order Q-curvature of conformal metrics in R^n</x:t>
  </x:si>
  <x:si>
    <x:t xml:space="preserve">Jérôme Vétois; Samuel Zeitler</x:t>
  </x:si>
  <x:si>
    <x:t xml:space="preserve">https://arxiv.org/abs/2607.18205</x:t>
  </x:si>
  <x:si>
    <x:t xml:space="preserve">Sixth-order Q-curvature positivity/non-positivity results.</x:t>
  </x:si>
  <x:si>
    <x:t xml:space="preserve">2607.29315</x:t>
  </x:si>
  <x:si>
    <x:t xml:space="preserve">sub-Riemannian geometry</x:t>
  </x:si>
  <x:si>
    <x:t xml:space="preserve">Branching of regular abnormal geodesics in sub-Riemannian manifolds of rank two</x:t>
  </x:si>
  <x:si>
    <x:t xml:space="preserve">Luca Rizzi; Mario Sigalotti; Nicolò Tedesco</x:t>
  </x:si>
  <x:si>
    <x:t xml:space="preserve">https://arxiv.org/abs/2607.29315</x:t>
  </x:si>
  <x:si>
    <x:t xml:space="preserve">Abnormal geodesic branching in rank-two sub-Riemannian geometry.</x:t>
  </x:si>
  <x:si>
    <x:t xml:space="preserve">2607.02244</x:t>
  </x:si>
  <x:si>
    <x:t xml:space="preserve">math.DG/math-ph/math.AP</x:t>
  </x:si>
  <x:si>
    <x:t xml:space="preserve">spacetime mean curvature foliations</x:t>
  </x:si>
  <x:si>
    <x:t xml:space="preserve">Foliations by constant spacetime mean curvature surfaces for asymptotically hyperboloidal initial data sets</x:t>
  </x:si>
  <x:si>
    <x:t xml:space="preserve">Jacopo Tenan</x:t>
  </x:si>
  <x:si>
    <x:t xml:space="preserve">https://arxiv.org/abs/2607.02244</x:t>
  </x:si>
  <x:si>
    <x:t xml:space="preserve">Foliation result in asymptotically hyperboloidal GR geometry.</x:t>
  </x:si>
  <x:si>
    <x:t xml:space="preserve">2607.26677</x:t>
  </x:si>
  <x:si>
    <x:t xml:space="preserve">Mostow rigidity / harmonic maps</x:t>
  </x:si>
  <x:si>
    <x:t xml:space="preserve">A Harmonic-Map Proof of Mostow Rigidity</x:t>
  </x:si>
  <x:si>
    <x:t xml:space="preserve">Guoyi Xu</x:t>
  </x:si>
  <x:si>
    <x:t xml:space="preserve">https://arxiv.org/abs/2607.26677</x:t>
  </x:si>
  <x:si>
    <x:t xml:space="preserve">Alternative harmonic-map proof of a classical rigidity theorem; expository/reframing value.</x:t>
  </x:si>
  <x:si>
    <x:t xml:space="preserve">2607.20213</x:t>
  </x:si>
  <x:si>
    <x:t xml:space="preserve">math.CO/math.DG/math.MG</x:t>
  </x:si>
  <x:si>
    <x:t xml:space="preserve">graphons / graph-to-manifold convergence</x:t>
  </x:si>
  <x:si>
    <x:t xml:space="preserve">Graphon as a Bridge between Graphs and Manifolds</x:t>
  </x:si>
  <x:si>
    <x:t xml:space="preserve">Dong Zhang</x:t>
  </x:si>
  <x:si>
    <x:t xml:space="preserve">https://arxiv.org/abs/2607.20213</x:t>
  </x:si>
  <x:si>
    <x:t xml:space="preserve">Graphon bridge between weighted geometric graphs and manifolds, with monotonicity connecting combinatorial parameters and geometric quantities.</x:t>
  </x:si>
  <x:si>
    <x:t xml:space="preserve">2607.04427</x:t>
  </x:si>
  <x:si>
    <x:t xml:space="preserve">math.GT/math.DG</x:t>
  </x:si>
  <x:si>
    <x:t xml:space="preserve">circle packing / discrete conformal geometry</x:t>
  </x:si>
  <x:si>
    <x:t xml:space="preserve">Generalized Hyperbolic Conical Circle Packings associated with Finite Polygonal Decompositions of Surfaces with Boundary</x:t>
  </x:si>
  <x:si>
    <x:t xml:space="preserve">Guangming Hu; Jun Hu; Lishan Li; Yi Qi</x:t>
  </x:si>
  <x:si>
    <x:t xml:space="preserve">https://arxiv.org/abs/2607.04427</x:t>
  </x:si>
  <x:si>
    <x:t xml:space="preserve">Existence-uniqueness, convergence of Thurston's algorithm, and a discrete Schwarz-Pick lemma for generalized hyperbolic conical circle packings.</x:t>
  </x:si>
  <x:si>
    <x:t xml:space="preserve">2607.14717</x:t>
  </x:si>
  <x:si>
    <x:t xml:space="preserve">Hessian curvature equations</x:t>
  </x:si>
  <x:si>
    <x:t xml:space="preserve">The existence of k-convex hypersurface for a class of Hessian curvature equations</x:t>
  </x:si>
  <x:si>
    <x:t xml:space="preserve">Kang Xiao; Jiabao Gong</x:t>
  </x:si>
  <x:si>
    <x:t xml:space="preserve">https://arxiv.org/abs/2607.14717</x:t>
  </x:si>
  <x:si>
    <x:t xml:space="preserve">Existence theorem for Hessian curvature equations; classical nonlinear DG/AP area.</x:t>
  </x:si>
  <x:si>
    <x:t xml:space="preserve">2607.12859</x:t>
  </x:si>
  <x:si>
    <x:t xml:space="preserve">fractional GJMS operators</x:t>
  </x:si>
  <x:si>
    <x:t xml:space="preserve">Comparison Theorems for Fractional GJMS Operators</x:t>
  </x:si>
  <x:si>
    <x:t xml:space="preserve">Huihuang Zhou</x:t>
  </x:si>
  <x:si>
    <x:t xml:space="preserve">https://arxiv.org/abs/2607.12859</x:t>
  </x:si>
  <x:si>
    <x:t xml:space="preserve">Comparison theorem for nonlocal conformal operators; useful in conformal DG.</x:t>
  </x:si>
  <x:si>
    <x:t xml:space="preserve">2607.06347</x:t>
  </x:si>
  <x:si>
    <x:t xml:space="preserve">Hermitian Yang-Mills metrics</x:t>
  </x:si>
  <x:si>
    <x:t xml:space="preserve">Limiting behavior of a class of Hermitian Yang-Mills metrics, II: exponential decay</x:t>
  </x:si>
  <x:si>
    <x:t xml:space="preserve">Jixiang Fu</x:t>
  </x:si>
  <x:si>
    <x:t xml:space="preserve">https://arxiv.org/abs/2607.06347</x:t>
  </x:si>
  <x:si>
    <x:t xml:space="preserve">Exponential decay analysis for HYM metric limits.</x:t>
  </x:si>
  <x:si>
    <x:t xml:space="preserve">2607.05002</x:t>
  </x:si>
  <x:si>
    <x:t xml:space="preserve">Einstein manifolds / boundary</x:t>
  </x:si>
  <x:si>
    <x:t xml:space="preserve">On the Stability of Einstein Manifolds with Boundary</x:t>
  </x:si>
  <x:si>
    <x:t xml:space="preserve">Rasmus Jouttijärvi</x:t>
  </x:si>
  <x:si>
    <x:t xml:space="preserve">https://arxiv.org/abs/2607.05002</x:t>
  </x:si>
  <x:si>
    <x:t xml:space="preserve">Einstein stability in boundary setting; technically useful.</x:t>
  </x:si>
  <x:si>
    <x:t xml:space="preserve">2607.20063</x:t>
  </x:si>
  <x:si>
    <x:t xml:space="preserve">math.DG/gr-qc/math.MG</x:t>
  </x:si>
  <x:si>
    <x:t xml:space="preserve">Lorentzian geometry / null distance</x:t>
  </x:si>
  <x:si>
    <x:t xml:space="preserve">Null distance on cosmological spacetimes and monotone convergence</x:t>
  </x:si>
  <x:si>
    <x:t xml:space="preserve">Miguel Prados-Abad; Omar Zoghlami</x:t>
  </x:si>
  <x:si>
    <x:t xml:space="preserve">https://arxiv.org/abs/2607.20063</x:t>
  </x:si>
  <x:si>
    <x:t xml:space="preserve">Lorentzian metric convergence result with cosmological spacetime applications.</x:t>
  </x:si>
  <x:si>
    <x:t xml:space="preserve">2607.28508</x:t>
  </x:si>
  <x:si>
    <x:t xml:space="preserve">spectral geometry / submanifolds</x:t>
  </x:si>
  <x:si>
    <x:t xml:space="preserve">Second Eigenvalue Estimates and Spectral Rigidity for Submanifolds of Compact Rank-One Symmetric Spaces</x:t>
  </x:si>
  <x:si>
    <x:t xml:space="preserve">Márcio Batista; Abraão Mendes</x:t>
  </x:si>
  <x:si>
    <x:t xml:space="preserve">https://arxiv.org/abs/2607.28508</x:t>
  </x:si>
  <x:si>
    <x:t xml:space="preserve">Spectral rigidity estimates for submanifolds in CROSS spaces.</x:t>
  </x:si>
  <x:si>
    <x:t xml:space="preserve">2607.02468</x:t>
  </x:si>
  <x:si>
    <x:t xml:space="preserve">Bifurcations of the Clifford Torus as Willmore Surfaces in Berger Spheres</x:t>
  </x:si>
  <x:si>
    <x:t xml:space="preserve">Caio B. Rodrigues</x:t>
  </x:si>
  <x:si>
    <x:t xml:space="preserve">https://arxiv.org/abs/2607.02468</x:t>
  </x:si>
  <x:si>
    <x:t xml:space="preserve">Willmore bifurcation analysis in Berger spheres.</x:t>
  </x:si>
  <x:si>
    <x:t xml:space="preserve">2607.02399</x:t>
  </x:si>
  <x:si>
    <x:t xml:space="preserve">Brown-York mass</x:t>
  </x:si>
  <x:si>
    <x:t xml:space="preserve">Intrinsic Brown-York Type Mass at Infinity in Four Dimensions</x:t>
  </x:si>
  <x:si>
    <x:t xml:space="preserve">Jiangcheng You</x:t>
  </x:si>
  <x:si>
    <x:t xml:space="preserve">https://arxiv.org/abs/2607.02399</x:t>
  </x:si>
  <x:si>
    <x:t xml:space="preserve">Intrinsic mass construction in four-dimensional asymptotic geometry.</x:t>
  </x:si>
  <x:si>
    <x:t xml:space="preserve">2607.00810</x:t>
  </x:si>
  <x:si>
    <x:t xml:space="preserve">fractional mass / codimension two</x:t>
  </x:si>
  <x:si>
    <x:t xml:space="preserve">Another look at a notion of fractional mass in codimension two</x:t>
  </x:si>
  <x:si>
    <x:t xml:space="preserve">Michele Caselli; Mattia Freguglia; Nicola Picenni</x:t>
  </x:si>
  <x:si>
    <x:t xml:space="preserve">https://arxiv.org/abs/2607.00810</x:t>
  </x:si>
  <x:si>
    <x:t xml:space="preserve">Fractional mass framework in codimension two; solid but narrower scope.</x:t>
  </x:si>
  <x:si>
    <x:t xml:space="preserve">2607.25343</x:t>
  </x:si>
  <x:si>
    <x:t xml:space="preserve">Q-curvature / Bonnet-Myers</x:t>
  </x:si>
  <x:si>
    <x:t xml:space="preserve">Bonnet-Myers type theorems for Q-curvature on four-manifolds</x:t>
  </x:si>
  <x:si>
    <x:t xml:space="preserve">Mingxiang Li</x:t>
  </x:si>
  <x:si>
    <x:t xml:space="preserve">https://arxiv.org/abs/2607.25343</x:t>
  </x:si>
  <x:si>
    <x:t xml:space="preserve">Q-curvature analogue of Bonnet-Myers; concise but useful.</x:t>
  </x:si>
  <x:si>
    <x:t xml:space="preserve">2607.25981</x:t>
  </x:si>
  <x:si>
    <x:t xml:space="preserve">Liouville equation / Ricci curvature</x:t>
  </x:si>
  <x:si>
    <x:t xml:space="preserve">Sharp rigidity for quasilinear Liouville equation on manifolds with nonnegative Ricci curvature</x:t>
  </x:si>
  <x:si>
    <x:t xml:space="preserve">Xiaohan Cai</x:t>
  </x:si>
  <x:si>
    <x:t xml:space="preserve">https://arxiv.org/abs/2607.25981</x:t>
  </x:si>
  <x:si>
    <x:t xml:space="preserve">Sharp rigidity for quasilinear Liouville equation under nonnegative Ricci curvature.</x:t>
  </x:si>
  <x:si>
    <x:t xml:space="preserve">2607.23584</x:t>
  </x:si>
  <x:si>
    <x:t xml:space="preserve">3D combinatorial Yamabe flow / infinite triangulations</x:t>
  </x:si>
  <x:si>
    <x:t xml:space="preserve">Infinite Combinatorial Yamabe Flows in Three Dimensions</x:t>
  </x:si>
  <x:si>
    <x:t xml:space="preserve">Bohao Ji</x:t>
  </x:si>
  <x:si>
    <x:t xml:space="preserve">https://arxiv.org/abs/2607.23584</x:t>
  </x:si>
  <x:si>
    <x:t xml:space="preserve">Short-time well-posedness and long-time existence of extended three-dimensional combinatorial Yamabe flows on locally finite infinite triangulations.</x:t>
  </x:si>
  <x:si>
    <x:t xml:space="preserve">2607.18312</x:t>
  </x:si>
  <x:si>
    <x:t xml:space="preserve">math-ph/cs.GR/math.DG/math.DS/math.NA/physics.flu-dyn</x:t>
  </x:si>
  <x:si>
    <x:t xml:space="preserve">discrete geometric mechanics / fluids</x:t>
  </x:si>
  <x:si>
    <x:t xml:space="preserve">Vakonomic Fluids</x:t>
  </x:si>
  <x:si>
    <x:t xml:space="preserve">Ritoban Roy-Chowdhury; Mohammad Sina Nabizadeh; Oliver Gross; Anthony Gruber; Albert Chern</x:t>
  </x:si>
  <x:si>
    <x:t xml:space="preserve">https://arxiv.org/abs/2607.18312</x:t>
  </x:si>
  <x:si>
    <x:t xml:space="preserve">Vakonomic discretization of Euler retaining geodesic and Lie-Poisson structure, Casimirs, and a discrete Kelvin theorem.</x:t>
  </x:si>
  <x:si>
    <x:t xml:space="preserve">2607.25691</x:t>
  </x:si>
  <x:si>
    <x:t xml:space="preserve">surface combinatorial Yamabe flow</x:t>
  </x:si>
  <x:si>
    <x:t xml:space="preserve">Combinatorial Yamabe flow on infinitely triangulated hyperbolic surfaces</x:t>
  </x:si>
  <x:si>
    <x:t xml:space="preserve">Yuerong Bian; Xu Xu</x:t>
  </x:si>
  <x:si>
    <x:t xml:space="preserve">https://arxiv.org/abs/2607.25691</x:t>
  </x:si>
  <x:si>
    <x:t xml:space="preserve">Well-posedness of the combinatorial Yamabe flow and global extended flow on infinitely triangulated hyperbolic surfaces.</x:t>
  </x:si>
  <x:si>
    <x:t xml:space="preserve">2607.02297</x:t>
  </x:si>
  <x:si>
    <x:t xml:space="preserve">math.CO/math.DG</x:t>
  </x:si>
  <x:si>
    <x:t xml:space="preserve">Ollivier/LLY graph curvature / extremal graphs</x:t>
  </x:si>
  <x:si>
    <x:t xml:space="preserve">An extremal theorem for positive curvature of graphs</x:t>
  </x:si>
  <x:si>
    <x:t xml:space="preserve">Kaizhe Chen; Shiping Liu; Zhe You</x:t>
  </x:si>
  <x:si>
    <x:t xml:space="preserve">https://arxiv.org/abs/2607.02297</x:t>
  </x:si>
  <x:si>
    <x:t xml:space="preserve">Sharp edge threshold for positive Ollivier/Lin-Lu-Yau curvature, with optimality and classification of extremal cases.</x:t>
  </x:si>
  <x:si>
    <x:t xml:space="preserve">2607.01024</x:t>
  </x:si>
  <x:si>
    <x:t xml:space="preserve">math.DG/math-ph/math.SG</x:t>
  </x:si>
  <x:si>
    <x:t xml:space="preserve">Poisson geometry / Madelung hydrodynamics</x:t>
  </x:si>
  <x:si>
    <x:t xml:space="preserve">Madelung hydrodynamics and Poisson geometry of wave functions</x:t>
  </x:si>
  <x:si>
    <x:t xml:space="preserve">Boris Khesin; Klas Modin</x:t>
  </x:si>
  <x:si>
    <x:t xml:space="preserve">https://arxiv.org/abs/2607.01024</x:t>
  </x:si>
  <x:si>
    <x:t xml:space="preserve">Conceptual Poisson-geometric reinterpretation of wave-function hydrodynamics.</x:t>
  </x:si>
  <x:si>
    <x:t xml:space="preserve">2607.03604</x:t>
  </x:si>
  <x:si>
    <x:t xml:space="preserve">conic connections</x:t>
  </x:si>
  <x:si>
    <x:t xml:space="preserve">Geometry of conic connections</x:t>
  </x:si>
  <x:si>
    <x:t xml:space="preserve">Andreas Čap; Katharina Neusser</x:t>
  </x:si>
  <x:si>
    <x:t xml:space="preserve">https://arxiv.org/abs/2607.03604</x:t>
  </x:si>
  <x:si>
    <x:t xml:space="preserve">Parabolic/conformal style differential geometry with solid structural value.</x:t>
  </x:si>
  <x:si>
    <x:t xml:space="preserve">2607.03782</x:t>
  </x:si>
  <x:si>
    <x:t xml:space="preserve">math.DG/math.AT</x:t>
  </x:si>
  <x:si>
    <x:t xml:space="preserve">string topology / iterated integrals</x:t>
  </x:si>
  <x:si>
    <x:t xml:space="preserve">String topology operations under Chen's iterated integrals and homotopy transfer</x:t>
  </x:si>
  <x:si>
    <x:t xml:space="preserve">Kai Cieliebak; Evgeny Volkov</x:t>
  </x:si>
  <x:si>
    <x:t xml:space="preserve">https://arxiv.org/abs/2607.03782</x:t>
  </x:si>
  <x:si>
    <x:t xml:space="preserve">Long paper connecting string topology and iterated integrals; more topological than core DG.</x:t>
  </x:si>
  <x:si>
    <x:t xml:space="preserve">2607.04208</x:t>
  </x:si>
  <x:si>
    <x:t xml:space="preserve">Killing tensors / Lie groups</x:t>
  </x:si>
  <x:si>
    <x:t xml:space="preserve">Quadratic Killing tensors on classical Lie groups are decomposable</x:t>
  </x:si>
  <x:si>
    <x:t xml:space="preserve">Vladimir Matveev; An Ky Nguyen; Yuri Nikolayevsky</x:t>
  </x:si>
  <x:si>
    <x:t xml:space="preserve">https://arxiv.org/abs/2607.04208</x:t>
  </x:si>
  <x:si>
    <x:t xml:space="preserve">Clean decomposition result for Killing tensors; includes computational ancillary materials.</x:t>
  </x:si>
  <x:si>
    <x:t xml:space="preserve">2607.04297</x:t>
  </x:si>
  <x:si>
    <x:t xml:space="preserve">self-shrinkers / MCF</x:t>
  </x:si>
  <x:si>
    <x:t xml:space="preserve">The Rigidity Theorems for Self-Shrinkers in the Mean Curvature Flow</x:t>
  </x:si>
  <x:si>
    <x:t xml:space="preserve">https://arxiv.org/abs/2607.04297</x:t>
  </x:si>
  <x:si>
    <x:t xml:space="preserve">Rigidity for self-shrinkers; useful but narrower impact than top flow papers.</x:t>
  </x:si>
  <x:si>
    <x:t xml:space="preserve">2607.04588</x:t>
  </x:si>
  <x:si>
    <x:t xml:space="preserve">Witten Laplacian / eigenvalue comparison</x:t>
  </x:si>
  <x:si>
    <x:t xml:space="preserve">Eigenvalue comparison theorems for the Witten-Laplacian and the weighted p-Laplacian on complete manifolds with modified Ricci curvature bounded from below</x:t>
  </x:si>
  <x:si>
    <x:t xml:space="preserve">Ruifeng Chen; Qiyue Ma; Jing Mao</x:t>
  </x:si>
  <x:si>
    <x:t xml:space="preserve">https://arxiv.org/abs/2607.04588</x:t>
  </x:si>
  <x:si>
    <x:t xml:space="preserve">Weighted eigenvalue comparison theorem; standard but technically mature.</x:t>
  </x:si>
  <x:si>
    <x:t xml:space="preserve">2607.04859</x:t>
  </x:si>
  <x:si>
    <x:t xml:space="preserve">math.DG/math-ph/math.CO</x:t>
  </x:si>
  <x:si>
    <x:t xml:space="preserve">v-systems / PK arrangements</x:t>
  </x:si>
  <x:si>
    <x:t xml:space="preserve">Euclidean v-systems and real PK arrangements</x:t>
  </x:si>
  <x:si>
    <x:t xml:space="preserve">Martin de Borbon; Dmitri Panov; Alexander P. Veselov</x:t>
  </x:si>
  <x:si>
    <x:t xml:space="preserve">https://arxiv.org/abs/2607.04859</x:t>
  </x:si>
  <x:si>
    <x:t xml:space="preserve">Special geometry/combinatorics construction with math-physics links.</x:t>
  </x:si>
  <x:si>
    <x:t xml:space="preserve">2607.05267</x:t>
  </x:si>
  <x:si>
    <x:t xml:space="preserve">multisymplectic structures</x:t>
  </x:si>
  <x:si>
    <x:t xml:space="preserve">The Spencer cohomology and integrability of multisymplectic structures</x:t>
  </x:si>
  <x:si>
    <x:t xml:space="preserve">Manuel de León; Rubén Izquierdo-López; Manuel Lainz</x:t>
  </x:si>
  <x:si>
    <x:t xml:space="preserve">https://arxiv.org/abs/2607.05267</x:t>
  </x:si>
  <x:si>
    <x:t xml:space="preserve">Formal/integrability work on multisymplectic geometry.</x:t>
  </x:si>
  <x:si>
    <x:t xml:space="preserve">2607.05819</x:t>
  </x:si>
  <x:si>
    <x:t xml:space="preserve">Killing tensors / projective spaces</x:t>
  </x:si>
  <x:si>
    <x:t xml:space="preserve">Killing tensors on projective spaces</x:t>
  </x:si>
  <x:si>
    <x:t xml:space="preserve">Owen Dearricott; Yuri Nikolayevsky</x:t>
  </x:si>
  <x:si>
    <x:t xml:space="preserve">https://arxiv.org/abs/2607.05819</x:t>
  </x:si>
  <x:si>
    <x:t xml:space="preserve">Killing tensor classification on projective spaces.</x:t>
  </x:si>
  <x:si>
    <x:t xml:space="preserve">2607.06508</x:t>
  </x:si>
  <x:si>
    <x:t xml:space="preserve">scalar curvature / parabolicity</x:t>
  </x:si>
  <x:si>
    <x:t xml:space="preserve">Bottom spectrum and parabolicity of 3-manifolds with scalar curvature lower bound</x:t>
  </x:si>
  <x:si>
    <x:t xml:space="preserve">Ovidiu Munteanu; Jiaping Wang</x:t>
  </x:si>
  <x:si>
    <x:t xml:space="preserve">https://arxiv.org/abs/2607.06508</x:t>
  </x:si>
  <x:si>
    <x:t xml:space="preserve">Spectral/parabolicity result under scalar curvature lower bounds.</x:t>
  </x:si>
  <x:si>
    <x:t xml:space="preserve">2607.07986</x:t>
  </x:si>
  <x:si>
    <x:t xml:space="preserve">asymptotic Plateau problem</x:t>
  </x:si>
  <x:si>
    <x:t xml:space="preserve">Invariant solutions for the asymptotic Plateau problem in H^3</x:t>
  </x:si>
  <x:si>
    <x:t xml:space="preserve">Matheus Pimentel Gomes; Patrícia Kruse Klaser; Jaime Bruck Ripoll; Leonardo Prange Bonorino</x:t>
  </x:si>
  <x:si>
    <x:t xml:space="preserve">https://arxiv.org/abs/2607.07986</x:t>
  </x:si>
  <x:si>
    <x:t xml:space="preserve">Invariant solution construction for asymptotic Plateau problem.</x:t>
  </x:si>
  <x:si>
    <x:t xml:space="preserve">2607.09353</x:t>
  </x:si>
  <x:si>
    <x:t xml:space="preserve">quasiregular curves</x:t>
  </x:si>
  <x:si>
    <x:t xml:space="preserve">A rescaling principle for quasiregular curves with applications to hyperbolicity</x:t>
  </x:si>
  <x:si>
    <x:t xml:space="preserve">Toni Ikonen; Jonathan Pim</x:t>
  </x:si>
  <x:si>
    <x:t xml:space="preserve">https://arxiv.org/abs/2607.09353</x:t>
  </x:si>
  <x:si>
    <x:t xml:space="preserve">Complex/geometric rescaling principle with hyperbolicity applications.</x:t>
  </x:si>
  <x:si>
    <x:t xml:space="preserve">2607.10424</x:t>
  </x:si>
  <x:si>
    <x:t xml:space="preserve">hyperbolic volume comparison</x:t>
  </x:si>
  <x:si>
    <x:t xml:space="preserve">Uniform Comparison of Hyperbolic Ball Volumes on the Universal Cover</x:t>
  </x:si>
  <x:si>
    <x:t xml:space="preserve">https://arxiv.org/abs/2607.10424</x:t>
  </x:si>
  <x:si>
    <x:t xml:space="preserve">Uniform volume comparison in hyperbolic/universal cover setting.</x:t>
  </x:si>
  <x:si>
    <x:t xml:space="preserve">2607.10426</x:t>
  </x:si>
  <x:si>
    <x:t xml:space="preserve">Brakke flows / pseudo-Euclidean space</x:t>
  </x:si>
  <x:si>
    <x:t xml:space="preserve">Spacelike Brakke flows with boundary in pseudo-Euclidean space</x:t>
  </x:si>
  <x:si>
    <x:t xml:space="preserve">Javier Hervás</x:t>
  </x:si>
  <x:si>
    <x:t xml:space="preserve">https://arxiv.org/abs/2607.10426</x:t>
  </x:si>
  <x:si>
    <x:t xml:space="preserve">Weak flow theory for spacelike Brakke flows with boundary.</x:t>
  </x:si>
  <x:si>
    <x:t xml:space="preserve">2607.10662</x:t>
  </x:si>
  <x:si>
    <x:t xml:space="preserve">math.DG/math.NA</x:t>
  </x:si>
  <x:si>
    <x:t xml:space="preserve">BGG construction</x:t>
  </x:si>
  <x:si>
    <x:t xml:space="preserve">The Bernstein-Gelfand-Gelfand (BGG) Construction: Algebra, Geometry, and Analysis; Part I</x:t>
  </x:si>
  <x:si>
    <x:t xml:space="preserve">Andreas Čap</x:t>
  </x:si>
  <x:si>
    <x:t xml:space="preserve">https://arxiv.org/abs/2607.10662</x:t>
  </x:si>
  <x:si>
    <x:t xml:space="preserve">Expository/structural BGG construction; originality discounted.</x:t>
  </x:si>
  <x:si>
    <x:t xml:space="preserve">2607.10837</x:t>
  </x:si>
  <x:si>
    <x:t xml:space="preserve">heat flow on lens spaces</x:t>
  </x:si>
  <x:si>
    <x:t xml:space="preserve">Eventual Morse Minimality of Heat Flow on Lens Spaces</x:t>
  </x:si>
  <x:si>
    <x:t xml:space="preserve">Carlos A. Cadavid; Dairo J. Hernández; Juan Diego Vélez</x:t>
  </x:si>
  <x:si>
    <x:t xml:space="preserve">https://arxiv.org/abs/2607.10837</x:t>
  </x:si>
  <x:si>
    <x:t xml:space="preserve">Heat-flow Morse minimality result in lens spaces.</x:t>
  </x:si>
  <x:si>
    <x:t xml:space="preserve">2607.10904</x:t>
  </x:si>
  <x:si>
    <x:t xml:space="preserve">Yang-Mills / Ehresmann connections</x:t>
  </x:si>
  <x:si>
    <x:t xml:space="preserve">Yang-Mills theory for multiplicative Ehresmann connections</x:t>
  </x:si>
  <x:si>
    <x:t xml:space="preserve">Žan Grad</x:t>
  </x:si>
  <x:si>
    <x:t xml:space="preserve">https://arxiv.org/abs/2607.10904</x:t>
  </x:si>
  <x:si>
    <x:t xml:space="preserve">Yang-Mills formalism for multiplicative Ehresmann connections.</x:t>
  </x:si>
  <x:si>
    <x:t xml:space="preserve">2607.11296</x:t>
  </x:si>
  <x:si>
    <x:t xml:space="preserve">2-Hessian equation / Kähler manifolds</x:t>
  </x:si>
  <x:si>
    <x:t xml:space="preserve">A Numerical Criterion for the 2-Hessian Equation on Compact Kähler Manifolds</x:t>
  </x:si>
  <x:si>
    <x:t xml:space="preserve">Jixiang Fu; Dekai Zhang; Ziyi Zhang</x:t>
  </x:si>
  <x:si>
    <x:t xml:space="preserve">https://arxiv.org/abs/2607.11296</x:t>
  </x:si>
  <x:si>
    <x:t xml:space="preserve">Numerical criterion in fully nonlinear Kähler geometry.</x:t>
  </x:si>
  <x:si>
    <x:t xml:space="preserve">2607.12530</x:t>
  </x:si>
  <x:si>
    <x:t xml:space="preserve">math.DG/math.MG/math.OC</x:t>
  </x:si>
  <x:si>
    <x:t xml:space="preserve">sub-Riemannian Sard property</x:t>
  </x:si>
  <x:si>
    <x:t xml:space="preserve">Sard property for rank 2 polarizations in metabelian Lie groups</x:t>
  </x:si>
  <x:si>
    <x:t xml:space="preserve">Enrico Le Donne; Antonio Lerario; Luca Nalon; Nicola Paddeu; Luca Rizzi</x:t>
  </x:si>
  <x:si>
    <x:t xml:space="preserve">https://arxiv.org/abs/2607.12530</x:t>
  </x:si>
  <x:si>
    <x:t xml:space="preserve">Sard property for rank-two distributions in metabelian groups.</x:t>
  </x:si>
  <x:si>
    <x:t xml:space="preserve">2607.00949</x:t>
  </x:si>
  <x:si>
    <x:t xml:space="preserve">Veronese rigidity</x:t>
  </x:si>
  <x:si>
    <x:t xml:space="preserve">Maximal Normal Curvature and Veronese Rigidity</x:t>
  </x:si>
  <x:si>
    <x:t xml:space="preserve">https://arxiv.org/abs/2607.00949</x:t>
  </x:si>
  <x:si>
    <x:t xml:space="preserve">Rigidity theorem around maximal normal curvature and Veronese-type geometry.</x:t>
  </x:si>
  <x:si>
    <x:t xml:space="preserve">2607.25705</x:t>
  </x:si>
  <x:si>
    <x:t xml:space="preserve">spherical ring patterns / discrete curvature</x:t>
  </x:si>
  <x:si>
    <x:t xml:space="preserve">Spherical orthogonal ring patterns on surfaces and modified combinatorial total geodesic curvatures</x:t>
  </x:si>
  <x:si>
    <x:t xml:space="preserve">Zhiwen Xiong; Xu Xu</x:t>
  </x:si>
  <x:si>
    <x:t xml:space="preserve">https://arxiv.org/abs/2607.25705</x:t>
  </x:si>
  <x:si>
    <x:t xml:space="preserve">Rigidity of spherical orthogonal ring patterns via modified combinatorial total geodesic curvature and variational principles.</x:t>
  </x:si>
  <x:si>
    <x:t xml:space="preserve">Rank</x:t>
  </x:si>
  <x:si>
    <x:t xml:space="preserve">Month</x:t>
  </x:si>
  <x:si>
    <x:t xml:space="preserve">Title</x:t>
  </x:si>
  <x:si>
    <x:t xml:space="preserve">Authors</x:t>
  </x:si>
  <x:si>
    <x:t xml:space="preserve">Theme</x:t>
  </x:si>
  <x:si>
    <x:t xml:space="preserve">Pages</x:t>
  </x:si>
  <x:si>
    <x:t xml:space="preserve">Final_S_eq</x:t>
  </x:si>
  <x:si>
    <x:t xml:space="preserve">SourceURL</x:t>
  </x:si>
  <x:si>
    <x:t xml:space="preserve">综合判断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</x:si>
</x:sst>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0"/>
    <x:numFmt numFmtId="201" formatCode="0.0"/>
    <x:numFmt numFmtId="202" formatCode="0"/>
  </x:numFmts>
  <x:fonts count="27">
    <x:font>
      <x:sz val="11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rgb="FF3F3F76"/>
      <x:name val="Calibri"/>
    </x:font>
    <x:font>
      <x:sz val="11"/>
      <x:color rgb="FF9C0006"/>
      <x:name val="Calibri"/>
    </x:font>
    <x:font>
      <x:sz val="11"/>
      <x:color theme="0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b/>
      <x:sz val="11"/>
      <x:color theme="3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6500"/>
      <x:name val="Calibri"/>
    </x:font>
    <x:font>
      <x:b/>
      <x:sz val="10"/>
      <x:color rgb="FFFFFFFF"/>
      <x:name val="Carlito"/>
    </x:font>
    <x:font>
      <x:sz val="10"/>
      <x:name val="Carlito"/>
    </x:font>
  </x:fonts>
  <x:fills count="38">
    <x:fill>
      <x:patternFill patternType="none"/>
    </x:fill>
    <x:fill>
      <x:patternFill patternType="gray125"/>
    </x:fill>
    <x:fill>
      <x:patternFill patternType="solid">
        <x:fgColor rgb="FF0B4F71"/>
      </x:patternFill>
    </x:fill>
    <x:fill>
      <x:patternFill patternType="solid">
        <x:fgColor rgb="FF12405F"/>
      </x:patternFill>
    </x:fill>
    <x:fill>
      <x:patternFill patternType="solid">
        <x:fgColor rgb="FF0B2942"/>
      </x:patternFill>
    </x:fill>
    <x:fill>
      <x:patternFill patternType="solid">
        <x:fgColor theme="6" tint="0.79998"/>
      </x:patternFill>
    </x:fill>
    <x:fill>
      <x:patternFill patternType="solid">
        <x:fgColor rgb="FFFFCC99"/>
      </x:patternFill>
    </x:fill>
    <x:fill>
      <x:patternFill patternType="solid">
        <x:fgColor theme="6" tint="0.59999"/>
      </x:patternFill>
    </x:fill>
    <x:fill>
      <x:patternFill patternType="solid">
        <x:fgColor rgb="FFFFC7CE"/>
      </x:patternFill>
    </x:fill>
    <x:fill>
      <x:patternFill patternType="solid">
        <x:fgColor theme="6" tint="0.39998"/>
      </x:patternFill>
    </x:fill>
    <x:fill>
      <x:patternFill patternType="solid">
        <x:fgColor rgb="FFFFFFCC"/>
      </x:patternFill>
    </x:fill>
    <x:fill>
      <x:patternFill patternType="solid">
        <x:fgColor theme="5" tint="0.39998"/>
      </x:patternFill>
    </x:fill>
    <x:fill>
      <x:patternFill patternType="solid">
        <x:fgColor theme="4" tint="0.39998"/>
      </x:patternFill>
    </x:fill>
    <x:fill>
      <x:patternFill patternType="solid">
        <x:fgColor theme="7" tint="0.39998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theme="9" tint="0.79998"/>
      </x:patternFill>
    </x:fill>
    <x:fill>
      <x:patternFill patternType="solid">
        <x:fgColor theme="5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theme="8" tint="0.79998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2405F"/>
      </x:patternFill>
    </x:fill>
    <x:fill>
      <x:patternFill patternType="solid">
        <x:fgColor rgb="FFEAF3F8"/>
      </x:patternFill>
    </x:fill>
  </x:fills>
  <x:borders count="32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  <x:border>
      <x:left style="thin">
        <x:color rgb="FF6E8796"/>
      </x:left>
      <x:top style="thin">
        <x:color rgb="FF6E8796"/>
      </x:top>
      <x:bottom style="thin">
        <x:color rgb="FF6E8796"/>
      </x:bottom>
    </x:border>
    <x:border>
      <x:top style="thin">
        <x:color rgb="FF6E8796"/>
      </x:top>
      <x:bottom style="thin">
        <x:color rgb="FF6E8796"/>
      </x:bottom>
    </x:border>
    <x:border>
      <x:right style="thin">
        <x:color rgb="FF6E8796"/>
      </x:right>
      <x:top style="thin">
        <x:color rgb="FF6E8796"/>
      </x:top>
      <x:bottom style="thin">
        <x:color rgb="FF6E8796"/>
      </x:bottom>
    </x:border>
    <x:border>
      <x:left style="thin">
        <x:color rgb="FF6E8796"/>
      </x:left>
      <x:top style="thin">
        <x:color rgb="FF6E8796"/>
      </x:top>
      <x:bottom style="thin">
        <x:color rgb="FF6E8796"/>
      </x:bottom>
    </x:border>
    <x:border>
      <x:top style="thin">
        <x:color rgb="FF6E8796"/>
      </x:top>
      <x:bottom style="thin">
        <x:color rgb="FF6E8796"/>
      </x:bottom>
    </x:border>
    <x:border>
      <x:right style="thin">
        <x:color rgb="FF6E8796"/>
      </x:right>
      <x:top style="thin">
        <x:color rgb="FF6E8796"/>
      </x:top>
      <x:bottom style="thin">
        <x:color rgb="FF6E8796"/>
      </x:bottom>
    </x:border>
    <x:border>
      <x:left style="hair">
        <x:color rgb="FFB7C9D3"/>
      </x:left>
      <x:top style="hair">
        <x:color rgb="FFB7C9D3"/>
      </x:top>
    </x:border>
    <x:border>
      <x:top style="hair">
        <x:color rgb="FFB7C9D3"/>
      </x:top>
    </x:border>
    <x:border>
      <x:right style="hair">
        <x:color rgb="FFB7C9D3"/>
      </x:right>
      <x:top style="hair">
        <x:color rgb="FFB7C9D3"/>
      </x:top>
    </x:border>
    <x:border>
      <x:left style="hair">
        <x:color rgb="FFB7C9D3"/>
      </x:left>
    </x:border>
    <x:border>
      <x:right style="hair">
        <x:color rgb="FFB7C9D3"/>
      </x:right>
    </x:border>
    <x:border>
      <x:left style="hair">
        <x:color rgb="FFB7C9D3"/>
      </x:left>
      <x:bottom style="hair">
        <x:color rgb="FFB7C9D3"/>
      </x:bottom>
    </x:border>
    <x:border>
      <x:bottom style="hair">
        <x:color rgb="FFB7C9D3"/>
      </x:bottom>
    </x:border>
    <x:border>
      <x:right style="hair">
        <x:color rgb="FFB7C9D3"/>
      </x:right>
      <x:bottom style="hair">
        <x:color rgb="FFB7C9D3"/>
      </x:bottom>
    </x:border>
    <x:border>
      <x:left style="hair">
        <x:color rgb="FFB7C9D3"/>
      </x:left>
      <x:top style="hair">
        <x:color rgb="FFB7C9D3"/>
      </x:top>
    </x:border>
    <x:border>
      <x:top style="hair">
        <x:color rgb="FFB7C9D3"/>
      </x:top>
    </x:border>
    <x:border>
      <x:right style="hair">
        <x:color rgb="FFB7C9D3"/>
      </x:right>
      <x:top style="hair">
        <x:color rgb="FFB7C9D3"/>
      </x:top>
    </x:border>
    <x:border>
      <x:left style="hair">
        <x:color rgb="FFB7C9D3"/>
      </x:left>
    </x:border>
    <x:border>
      <x:right style="hair">
        <x:color rgb="FFB7C9D3"/>
      </x:right>
    </x:border>
    <x:border>
      <x:left style="hair">
        <x:color rgb="FFB7C9D3"/>
      </x:left>
      <x:bottom style="hair">
        <x:color rgb="FFB7C9D3"/>
      </x:bottom>
    </x:border>
    <x:border>
      <x:bottom style="hair">
        <x:color rgb="FFB7C9D3"/>
      </x:bottom>
    </x:border>
    <x:border>
      <x:right style="hair">
        <x:color rgb="FFB7C9D3"/>
      </x:right>
      <x:bottom style="hair">
        <x:color rgb="FFB7C9D3"/>
      </x:bottom>
    </x:border>
  </x:borders>
  <x:cellStyleXfs count="50">
    <x:xf numFmtId="0" fontId="5" fillId="0" borderId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5" borderId="0" applyNumberFormat="0" applyBorder="0" applyAlignment="0" applyProtection="0">
      <x:alignment vertical="center"/>
    </x:xf>
    <x:xf numFmtId="0" fontId="7" fillId="6" borderId="1" applyNumberFormat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0" fontId="6" fillId="7" borderId="0" applyNumberFormat="0" applyBorder="0" applyAlignment="0" applyProtection="0">
      <x:alignment vertical="center"/>
    </x:xf>
    <x:xf numFmtId="0" fontId="8" fillId="8" borderId="0" applyNumberFormat="0" applyBorder="0" applyAlignment="0" applyProtection="0">
      <x:alignment vertical="center"/>
    </x:xf>
    <x:xf numFmtId="43" fontId="5" fillId="0" borderId="0" applyFont="0" applyFill="0" applyBorder="0" applyAlignment="0" applyProtection="0">
      <x:alignment vertical="center"/>
    </x:xf>
    <x:xf numFmtId="0" fontId="9" fillId="9" borderId="0" applyNumberFormat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5" fillId="10" borderId="2" applyNumberFormat="0" applyFont="0" applyAlignment="0" applyProtection="0">
      <x:alignment vertical="center"/>
    </x:xf>
    <x:xf numFmtId="0" fontId="9" fillId="11" borderId="0" applyNumberFormat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3" applyNumberFormat="0" applyFill="0" applyAlignment="0" applyProtection="0">
      <x:alignment vertical="center"/>
    </x:xf>
    <x:xf numFmtId="0" fontId="17" fillId="0" borderId="3" applyNumberFormat="0" applyFill="0" applyAlignment="0" applyProtection="0">
      <x:alignment vertical="center"/>
    </x:xf>
    <x:xf numFmtId="0" fontId="9" fillId="12" borderId="0" applyNumberFormat="0" applyBorder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9" fillId="13" borderId="0" applyNumberFormat="0" applyBorder="0" applyAlignment="0" applyProtection="0">
      <x:alignment vertical="center"/>
    </x:xf>
    <x:xf numFmtId="0" fontId="18" fillId="14" borderId="5" applyNumberFormat="0" applyAlignment="0" applyProtection="0">
      <x:alignment vertical="center"/>
    </x:xf>
    <x:xf numFmtId="0" fontId="19" fillId="14" borderId="1" applyNumberFormat="0" applyAlignment="0" applyProtection="0">
      <x:alignment vertical="center"/>
    </x:xf>
    <x:xf numFmtId="0" fontId="20" fillId="15" borderId="6" applyNumberFormat="0" applyAlignment="0" applyProtection="0">
      <x:alignment vertical="center"/>
    </x:xf>
    <x:xf numFmtId="0" fontId="6" fillId="16" borderId="0" applyNumberFormat="0" applyBorder="0" applyAlignment="0" applyProtection="0">
      <x:alignment vertical="center"/>
    </x:xf>
    <x:xf numFmtId="0" fontId="9" fillId="17" borderId="0" applyNumberFormat="0" applyBorder="0" applyAlignment="0" applyProtection="0">
      <x:alignment vertical="center"/>
    </x:xf>
    <x:xf numFmtId="0" fontId="21" fillId="0" borderId="7" applyNumberFormat="0" applyFill="0" applyAlignment="0" applyProtection="0">
      <x:alignment vertical="center"/>
    </x:xf>
    <x:xf numFmtId="0" fontId="22" fillId="0" borderId="8" applyNumberFormat="0" applyFill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6" fillId="20" borderId="0" applyNumberFormat="0" applyBorder="0" applyAlignment="0" applyProtection="0">
      <x:alignment vertical="center"/>
    </x:xf>
    <x:xf numFmtId="0" fontId="9" fillId="21" borderId="0" applyNumberFormat="0" applyBorder="0" applyAlignment="0" applyProtection="0">
      <x:alignment vertical="center"/>
    </x:xf>
    <x:xf numFmtId="0" fontId="6" fillId="22" borderId="0" applyNumberFormat="0" applyBorder="0" applyAlignment="0" applyProtection="0">
      <x:alignment vertical="center"/>
    </x:xf>
    <x:xf numFmtId="0" fontId="6" fillId="23" borderId="0" applyNumberFormat="0" applyBorder="0" applyAlignment="0" applyProtection="0">
      <x:alignment vertical="center"/>
    </x:xf>
    <x:xf numFmtId="0" fontId="6" fillId="24" borderId="0" applyNumberFormat="0" applyBorder="0" applyAlignment="0" applyProtection="0">
      <x:alignment vertical="center"/>
    </x:xf>
    <x:xf numFmtId="0" fontId="6" fillId="25" borderId="0" applyNumberFormat="0" applyBorder="0" applyAlignment="0" applyProtection="0">
      <x:alignment vertical="center"/>
    </x:xf>
    <x:xf numFmtId="0" fontId="9" fillId="26" borderId="0" applyNumberFormat="0" applyBorder="0" applyAlignment="0" applyProtection="0">
      <x:alignment vertical="center"/>
    </x:xf>
    <x:xf numFmtId="0" fontId="9" fillId="27" borderId="0" applyNumberFormat="0" applyBorder="0" applyAlignment="0" applyProtection="0">
      <x:alignment vertical="center"/>
    </x:xf>
    <x:xf numFmtId="0" fontId="6" fillId="28" borderId="0" applyNumberFormat="0" applyBorder="0" applyAlignment="0" applyProtection="0">
      <x:alignment vertical="center"/>
    </x:xf>
    <x:xf numFmtId="0" fontId="6" fillId="29" borderId="0" applyNumberFormat="0" applyBorder="0" applyAlignment="0" applyProtection="0">
      <x:alignment vertical="center"/>
    </x:xf>
    <x:xf numFmtId="0" fontId="9" fillId="30" borderId="0" applyNumberFormat="0" applyBorder="0" applyAlignment="0" applyProtection="0">
      <x:alignment vertical="center"/>
    </x:xf>
    <x:xf numFmtId="0" fontId="6" fillId="31" borderId="0" applyNumberFormat="0" applyBorder="0" applyAlignment="0" applyProtection="0">
      <x:alignment vertical="center"/>
    </x:xf>
    <x:xf numFmtId="0" fontId="9" fillId="32" borderId="0" applyNumberFormat="0" applyBorder="0" applyAlignment="0" applyProtection="0">
      <x:alignment vertical="center"/>
    </x:xf>
    <x:xf numFmtId="0" fontId="9" fillId="33" borderId="0" applyNumberFormat="0" applyBorder="0" applyAlignment="0" applyProtection="0">
      <x:alignment vertical="center"/>
    </x:xf>
    <x:xf numFmtId="0" fontId="6" fillId="34" borderId="0" applyNumberFormat="0" applyBorder="0" applyAlignment="0" applyProtection="0">
      <x:alignment vertical="center"/>
    </x:xf>
    <x:xf numFmtId="0" fontId="9" fillId="35" borderId="0" applyNumberFormat="0" applyBorder="0" applyAlignment="0" applyProtection="0">
      <x:alignment vertical="center"/>
    </x:xf>
    <x:xf numFmtId="0" fontId="0" fillId="0" borderId="0"/>
  </x:cellStyleXfs>
  <x:cellXfs count="176">
    <x:xf numFmtId="0" fontId="0" fillId="0" borderId="0" xfId="49"/>
    <x:xf numFmtId="0" fontId="1" fillId="2" borderId="0" xfId="49" applyNumberFormat="1" applyFont="1" applyFill="1" applyBorder="1" applyAlignment="1">
      <x:alignment horizontal="center" vertical="top" wrapText="1"/>
    </x:xf>
    <x:xf numFmtId="1" fontId="2" fillId="0" borderId="0" xfId="49" applyNumberFormat="1" applyFont="1" applyFill="1" applyBorder="1" applyAlignment="1">
      <x:alignment vertical="top" wrapText="1"/>
    </x:xf>
    <x:xf numFmtId="0" fontId="2" fillId="0" borderId="0" xfId="49" applyNumberFormat="1" applyFont="1" applyFill="1" applyBorder="1" applyAlignment="1">
      <x:alignment vertical="top" wrapText="1"/>
    </x:xf>
    <x:xf numFmtId="2" fontId="2" fillId="0" borderId="0" xfId="49" applyNumberFormat="1" applyFont="1" applyFill="1" applyBorder="1" applyAlignment="1">
      <x:alignment vertical="top" wrapText="1"/>
    </x:xf>
    <x:xf numFmtId="0" fontId="3" fillId="3" borderId="0" xfId="49" applyNumberFormat="1" applyFont="1" applyFill="1" applyBorder="1" applyAlignment="1">
      <x:alignment horizontal="center" vertical="center" wrapText="1"/>
    </x:xf>
    <x:xf numFmtId="2" fontId="0" fillId="0" borderId="0" xfId="49" applyNumberFormat="1" applyFont="1" applyFill="1" applyBorder="1" applyAlignment="1">
      <x:alignment vertical="top" wrapText="1"/>
    </x:xf>
    <x:xf numFmtId="0" fontId="0" fillId="0" borderId="0" xfId="49" applyNumberFormat="1" applyFont="1" applyFill="1" applyBorder="1" applyAlignment="1">
      <x:alignment vertical="top" wrapText="1"/>
    </x:xf>
    <x:xf numFmtId="0" fontId="4" fillId="4" borderId="0" xfId="49" applyNumberFormat="1" applyFont="1" applyFill="1" applyBorder="1" applyAlignment="1">
      <x:alignment horizontal="center" wrapText="1"/>
    </x:xf>
    <x:xf numFmtId="0" fontId="3" fillId="3" borderId="0" xfId="49" applyNumberFormat="1" applyFont="1" applyFill="1" applyBorder="1" applyAlignment="1">
      <x:alignment horizontal="center" wrapText="1"/>
    </x:xf>
    <x:xf numFmtId="0" fontId="0" fillId="0" borderId="0" xfId="49" applyNumberFormat="1" applyFont="1" applyFill="1" applyBorder="1" applyAlignment="1">
      <x:alignment wrapText="1"/>
    </x:xf>
    <x:xf numFmtId="0" fontId="3" fillId="3" borderId="0" xfId="49" applyNumberFormat="1" applyFont="1" applyFill="1" applyBorder="1" applyAlignment="1">
      <x:alignment wrapText="1"/>
    </x:xf>
    <x:xf numFmtId="0" fontId="1" fillId="2" borderId="0" xfId="49" applyNumberFormat="1" applyFont="1" applyFill="1" applyBorder="1" applyAlignment="1">
      <x:alignment horizontal="center" vertical="center" wrapText="1"/>
    </x:xf>
    <x:xf numFmtId="0" fontId="2" fillId="0" borderId="0" xfId="49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1" fillId="2" borderId="9" xfId="0" applyNumberFormat="1" applyFont="1" applyFill="1" applyBorder="1" applyAlignment="1">
      <x:alignment horizontal="center" vertical="top" wrapText="1"/>
    </x:xf>
    <x:xf numFmtId="1" fontId="2" fillId="0" borderId="9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2" fontId="2" fillId="0" borderId="9" xfId="0" applyNumberFormat="1" applyFont="1" applyFill="1" applyBorder="1" applyAlignment="1">
      <x:alignment vertical="top" wrapText="1"/>
    </x:xf>
    <x:xf numFmtId="0" fontId="3" fillId="3" borderId="9" xfId="0" applyNumberFormat="1" applyFont="1" applyFill="1" applyBorder="1" applyAlignment="1">
      <x:alignment horizontal="center" vertical="center" wrapText="1"/>
    </x:xf>
    <x:xf numFmtId="2" fontId="0" fillId="0" borderId="9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horizontal="center" wrapText="1"/>
    </x:xf>
    <x:xf numFmtId="0" fontId="3" fillId="3" borderId="9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9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9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/>
    <x:xf numFmtId="200" fontId="2" fillId="0" borderId="0" xfId="0" applyNumberFormat="1" applyFont="1" applyFill="1" applyBorder="1" applyAlignment="1">
      <x:alignment vertical="top" wrapText="1"/>
    </x:xf>
    <x:xf numFmtId="200" fontId="2" fillId="0" borderId="9" xfId="0" applyNumberFormat="1" applyFont="1" applyFill="1" applyBorder="1" applyAlignment="1">
      <x:alignment vertical="top" wrapText="1"/>
    </x:xf>
    <x:xf numFmtId="0" fontId="0" fillId="36" borderId="0" xfId="0" applyNumberFormat="1" applyFont="1" applyFill="1" applyBorder="1"/>
    <x:xf numFmtId="0" fontId="25" fillId="36" borderId="0" xfId="0" applyNumberFormat="1" applyFont="1" applyFill="1" applyBorder="1"/>
    <x:xf numFmtId="0" fontId="25" fillId="36" borderId="10" xfId="0" applyNumberFormat="1" applyFont="1" applyFill="1" applyBorder="1"/>
    <x:xf numFmtId="0" fontId="25" fillId="36" borderId="11" xfId="0" applyNumberFormat="1" applyFont="1" applyFill="1" applyBorder="1"/>
    <x:xf numFmtId="0" fontId="25" fillId="36" borderId="12" xfId="0" applyNumberFormat="1" applyFont="1" applyFill="1" applyBorder="1"/>
    <x:xf numFmtId="0" fontId="25" fillId="36" borderId="10" xfId="0" applyNumberFormat="1" applyFont="1" applyFill="1" applyBorder="1" applyAlignment="1">
      <x:alignment wrapText="1"/>
    </x:xf>
    <x:xf numFmtId="0" fontId="25" fillId="36" borderId="11" xfId="0" applyNumberFormat="1" applyFont="1" applyFill="1" applyBorder="1" applyAlignment="1">
      <x:alignment wrapText="1"/>
    </x:xf>
    <x:xf numFmtId="0" fontId="25" fillId="36" borderId="12" xfId="0" applyNumberFormat="1" applyFont="1" applyFill="1" applyBorder="1" applyAlignment="1">
      <x:alignment wrapText="1"/>
    </x:xf>
    <x:xf numFmtId="0" fontId="25" fillId="36" borderId="10" xfId="0" applyNumberFormat="1" applyFont="1" applyFill="1" applyBorder="1" applyAlignment="1">
      <x:alignment horizontal="center" wrapText="1"/>
    </x:xf>
    <x:xf numFmtId="0" fontId="25" fillId="36" borderId="11" xfId="0" applyNumberFormat="1" applyFont="1" applyFill="1" applyBorder="1" applyAlignment="1">
      <x:alignment horizontal="center" wrapText="1"/>
    </x:xf>
    <x:xf numFmtId="0" fontId="25" fillId="36" borderId="12" xfId="0" applyNumberFormat="1" applyFont="1" applyFill="1" applyBorder="1" applyAlignment="1">
      <x:alignment horizontal="center" wrapText="1"/>
    </x:xf>
    <x:xf numFmtId="0" fontId="25" fillId="36" borderId="10" xfId="0" applyNumberFormat="1" applyFont="1" applyFill="1" applyBorder="1" applyAlignment="1">
      <x:alignment horizontal="center" vertical="center" wrapText="1"/>
    </x:xf>
    <x:xf numFmtId="0" fontId="25" fillId="36" borderId="11" xfId="0" applyNumberFormat="1" applyFont="1" applyFill="1" applyBorder="1" applyAlignment="1">
      <x:alignment horizontal="center" vertical="center" wrapText="1"/>
    </x:xf>
    <x:xf numFmtId="0" fontId="25" fillId="36" borderId="12" xfId="0" applyNumberFormat="1" applyFont="1" applyFill="1" applyBorder="1" applyAlignment="1">
      <x:alignment horizontal="center" vertical="center" wrapText="1"/>
    </x:xf>
    <x:xf numFmtId="0" fontId="0" fillId="36" borderId="9" xfId="0" applyNumberFormat="1" applyFont="1" applyFill="1" applyBorder="1"/>
    <x:xf numFmtId="0" fontId="25" fillId="36" borderId="9" xfId="0" applyNumberFormat="1" applyFont="1" applyFill="1" applyBorder="1"/>
    <x:xf numFmtId="0" fontId="25" fillId="36" borderId="13" xfId="0" applyNumberFormat="1" applyFont="1" applyFill="1" applyBorder="1"/>
    <x:xf numFmtId="0" fontId="25" fillId="36" borderId="14" xfId="0" applyNumberFormat="1" applyFont="1" applyFill="1" applyBorder="1"/>
    <x:xf numFmtId="0" fontId="25" fillId="36" borderId="15" xfId="0" applyNumberFormat="1" applyFont="1" applyFill="1" applyBorder="1"/>
    <x:xf numFmtId="0" fontId="25" fillId="36" borderId="13" xfId="0" applyNumberFormat="1" applyFont="1" applyFill="1" applyBorder="1" applyAlignment="1">
      <x:alignment wrapText="1"/>
    </x:xf>
    <x:xf numFmtId="0" fontId="25" fillId="36" borderId="14" xfId="0" applyNumberFormat="1" applyFont="1" applyFill="1" applyBorder="1" applyAlignment="1">
      <x:alignment wrapText="1"/>
    </x:xf>
    <x:xf numFmtId="0" fontId="25" fillId="36" borderId="15" xfId="0" applyNumberFormat="1" applyFont="1" applyFill="1" applyBorder="1" applyAlignment="1">
      <x:alignment wrapText="1"/>
    </x:xf>
    <x:xf numFmtId="0" fontId="25" fillId="36" borderId="13" xfId="0" applyNumberFormat="1" applyFont="1" applyFill="1" applyBorder="1" applyAlignment="1">
      <x:alignment horizontal="center" wrapText="1"/>
    </x:xf>
    <x:xf numFmtId="0" fontId="25" fillId="36" borderId="14" xfId="0" applyNumberFormat="1" applyFont="1" applyFill="1" applyBorder="1" applyAlignment="1">
      <x:alignment horizontal="center" wrapText="1"/>
    </x:xf>
    <x:xf numFmtId="0" fontId="25" fillId="36" borderId="15" xfId="0" applyNumberFormat="1" applyFont="1" applyFill="1" applyBorder="1" applyAlignment="1">
      <x:alignment horizontal="center" wrapText="1"/>
    </x:xf>
    <x:xf numFmtId="0" fontId="25" fillId="36" borderId="13" xfId="0" applyNumberFormat="1" applyFont="1" applyFill="1" applyBorder="1" applyAlignment="1">
      <x:alignment horizontal="center" vertical="center" wrapText="1"/>
    </x:xf>
    <x:xf numFmtId="0" fontId="25" fillId="36" borderId="14" xfId="0" applyNumberFormat="1" applyFont="1" applyFill="1" applyBorder="1" applyAlignment="1">
      <x:alignment horizontal="center" vertical="center" wrapText="1"/>
    </x:xf>
    <x:xf numFmtId="0" fontId="25" fillId="36" borderId="15" xfId="0" applyNumberFormat="1" applyFont="1" applyFill="1" applyBorder="1" applyAlignment="1">
      <x:alignment horizontal="center" vertical="center" wrapText="1"/>
    </x:xf>
    <x:xf numFmtId="0" fontId="26" fillId="0" borderId="0" xfId="0" applyNumberFormat="1" applyFont="1" applyFill="1" applyBorder="1"/>
    <x:xf numFmtId="200" fontId="26" fillId="0" borderId="0" xfId="0" applyNumberFormat="1" applyFont="1" applyFill="1" applyBorder="1"/>
    <x:xf numFmtId="0" fontId="26" fillId="0" borderId="16" xfId="0" applyNumberFormat="1" applyFont="1" applyFill="1" applyBorder="1"/>
    <x:xf numFmtId="0" fontId="26" fillId="0" borderId="17" xfId="0" applyNumberFormat="1" applyFont="1" applyFill="1" applyBorder="1"/>
    <x:xf numFmtId="200" fontId="26" fillId="0" borderId="17" xfId="0" applyNumberFormat="1" applyFont="1" applyFill="1" applyBorder="1"/>
    <x:xf numFmtId="0" fontId="26" fillId="0" borderId="18" xfId="0" applyNumberFormat="1" applyFont="1" applyFill="1" applyBorder="1"/>
    <x:xf numFmtId="0" fontId="26" fillId="0" borderId="19" xfId="0" applyNumberFormat="1" applyFont="1" applyFill="1" applyBorder="1"/>
    <x:xf numFmtId="0" fontId="26" fillId="0" borderId="20" xfId="0" applyNumberFormat="1" applyFont="1" applyFill="1" applyBorder="1"/>
    <x:xf numFmtId="0" fontId="26" fillId="0" borderId="21" xfId="0" applyNumberFormat="1" applyFont="1" applyFill="1" applyBorder="1"/>
    <x:xf numFmtId="0" fontId="26" fillId="0" borderId="22" xfId="0" applyNumberFormat="1" applyFont="1" applyFill="1" applyBorder="1"/>
    <x:xf numFmtId="200" fontId="26" fillId="0" borderId="22" xfId="0" applyNumberFormat="1" applyFont="1" applyFill="1" applyBorder="1"/>
    <x:xf numFmtId="0" fontId="26" fillId="0" borderId="23" xfId="0" applyNumberFormat="1" applyFont="1" applyFill="1" applyBorder="1"/>
    <x:xf numFmtId="0" fontId="26" fillId="0" borderId="16" xfId="0" applyNumberFormat="1" applyFont="1" applyFill="1" applyBorder="1" applyAlignment="1">
      <x:alignment wrapText="1"/>
    </x:xf>
    <x:xf numFmtId="0" fontId="26" fillId="0" borderId="17" xfId="0" applyNumberFormat="1" applyFont="1" applyFill="1" applyBorder="1" applyAlignment="1">
      <x:alignment wrapText="1"/>
    </x:xf>
    <x:xf numFmtId="200" fontId="26" fillId="0" borderId="17" xfId="0" applyNumberFormat="1" applyFont="1" applyFill="1" applyBorder="1" applyAlignment="1">
      <x:alignment wrapText="1"/>
    </x:xf>
    <x:xf numFmtId="0" fontId="26" fillId="0" borderId="18" xfId="0" applyNumberFormat="1" applyFont="1" applyFill="1" applyBorder="1" applyAlignment="1">
      <x:alignment wrapText="1"/>
    </x:xf>
    <x:xf numFmtId="0" fontId="26" fillId="0" borderId="19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wrapText="1"/>
    </x:xf>
    <x:xf numFmtId="200" fontId="26" fillId="0" borderId="0" xfId="0" applyNumberFormat="1" applyFont="1" applyFill="1" applyBorder="1" applyAlignment="1">
      <x:alignment wrapText="1"/>
    </x:xf>
    <x:xf numFmtId="0" fontId="26" fillId="0" borderId="20" xfId="0" applyNumberFormat="1" applyFont="1" applyFill="1" applyBorder="1" applyAlignment="1">
      <x:alignment wrapText="1"/>
    </x:xf>
    <x:xf numFmtId="0" fontId="26" fillId="0" borderId="21" xfId="0" applyNumberFormat="1" applyFont="1" applyFill="1" applyBorder="1" applyAlignment="1">
      <x:alignment wrapText="1"/>
    </x:xf>
    <x:xf numFmtId="0" fontId="26" fillId="0" borderId="22" xfId="0" applyNumberFormat="1" applyFont="1" applyFill="1" applyBorder="1" applyAlignment="1">
      <x:alignment wrapText="1"/>
    </x:xf>
    <x:xf numFmtId="200" fontId="26" fillId="0" borderId="22" xfId="0" applyNumberFormat="1" applyFont="1" applyFill="1" applyBorder="1" applyAlignment="1">
      <x:alignment wrapText="1"/>
    </x:xf>
    <x:xf numFmtId="0" fontId="26" fillId="0" borderId="23" xfId="0" applyNumberFormat="1" applyFont="1" applyFill="1" applyBorder="1" applyAlignment="1">
      <x:alignment wrapText="1"/>
    </x:xf>
    <x:xf numFmtId="0" fontId="26" fillId="0" borderId="16" xfId="0" applyNumberFormat="1" applyFont="1" applyFill="1" applyBorder="1" applyAlignment="1">
      <x:alignment vertical="top" wrapText="1"/>
    </x:xf>
    <x:xf numFmtId="0" fontId="26" fillId="0" borderId="17" xfId="0" applyNumberFormat="1" applyFont="1" applyFill="1" applyBorder="1" applyAlignment="1">
      <x:alignment vertical="top" wrapText="1"/>
    </x:xf>
    <x:xf numFmtId="200" fontId="26" fillId="0" borderId="17" xfId="0" applyNumberFormat="1" applyFont="1" applyFill="1" applyBorder="1" applyAlignment="1">
      <x:alignment vertical="top" wrapText="1"/>
    </x:xf>
    <x:xf numFmtId="0" fontId="26" fillId="0" borderId="18" xfId="0" applyNumberFormat="1" applyFont="1" applyFill="1" applyBorder="1" applyAlignment="1">
      <x:alignment vertical="top" wrapText="1"/>
    </x:xf>
    <x:xf numFmtId="0" fontId="26" fillId="0" borderId="19" xfId="0" applyNumberFormat="1" applyFont="1" applyFill="1" applyBorder="1" applyAlignment="1">
      <x:alignment vertical="top" wrapText="1"/>
    </x:xf>
    <x:xf numFmtId="0" fontId="26" fillId="0" borderId="0" xfId="0" applyNumberFormat="1" applyFont="1" applyFill="1" applyBorder="1" applyAlignment="1">
      <x:alignment vertical="top" wrapText="1"/>
    </x:xf>
    <x:xf numFmtId="200" fontId="26" fillId="0" borderId="0" xfId="0" applyNumberFormat="1" applyFont="1" applyFill="1" applyBorder="1" applyAlignment="1">
      <x:alignment vertical="top" wrapText="1"/>
    </x:xf>
    <x:xf numFmtId="0" fontId="26" fillId="0" borderId="20" xfId="0" applyNumberFormat="1" applyFont="1" applyFill="1" applyBorder="1" applyAlignment="1">
      <x:alignment vertical="top" wrapText="1"/>
    </x:xf>
    <x:xf numFmtId="0" fontId="26" fillId="0" borderId="21" xfId="0" applyNumberFormat="1" applyFont="1" applyFill="1" applyBorder="1" applyAlignment="1">
      <x:alignment vertical="top" wrapText="1"/>
    </x:xf>
    <x:xf numFmtId="0" fontId="26" fillId="0" borderId="22" xfId="0" applyNumberFormat="1" applyFont="1" applyFill="1" applyBorder="1" applyAlignment="1">
      <x:alignment vertical="top" wrapText="1"/>
    </x:xf>
    <x:xf numFmtId="200" fontId="26" fillId="0" borderId="22" xfId="0" applyNumberFormat="1" applyFont="1" applyFill="1" applyBorder="1" applyAlignment="1">
      <x:alignment vertical="top" wrapText="1"/>
    </x:xf>
    <x:xf numFmtId="0" fontId="26" fillId="0" borderId="23" xfId="0" applyNumberFormat="1" applyFont="1" applyFill="1" applyBorder="1" applyAlignment="1">
      <x:alignment vertical="top" wrapText="1"/>
    </x:xf>
    <x:xf numFmtId="0" fontId="26" fillId="0" borderId="9" xfId="0" applyNumberFormat="1" applyFont="1" applyFill="1" applyBorder="1"/>
    <x:xf numFmtId="200" fontId="26" fillId="0" borderId="9" xfId="0" applyNumberFormat="1" applyFont="1" applyFill="1" applyBorder="1"/>
    <x:xf numFmtId="0" fontId="26" fillId="0" borderId="24" xfId="0" applyNumberFormat="1" applyFont="1" applyFill="1" applyBorder="1"/>
    <x:xf numFmtId="0" fontId="26" fillId="0" borderId="25" xfId="0" applyNumberFormat="1" applyFont="1" applyFill="1" applyBorder="1"/>
    <x:xf numFmtId="200" fontId="26" fillId="0" borderId="25" xfId="0" applyNumberFormat="1" applyFont="1" applyFill="1" applyBorder="1"/>
    <x:xf numFmtId="0" fontId="26" fillId="0" borderId="26" xfId="0" applyNumberFormat="1" applyFont="1" applyFill="1" applyBorder="1"/>
    <x:xf numFmtId="0" fontId="26" fillId="0" borderId="27" xfId="0" applyNumberFormat="1" applyFont="1" applyFill="1" applyBorder="1"/>
    <x:xf numFmtId="0" fontId="26" fillId="0" borderId="28" xfId="0" applyNumberFormat="1" applyFont="1" applyFill="1" applyBorder="1"/>
    <x:xf numFmtId="0" fontId="26" fillId="0" borderId="29" xfId="0" applyNumberFormat="1" applyFont="1" applyFill="1" applyBorder="1"/>
    <x:xf numFmtId="0" fontId="26" fillId="0" borderId="30" xfId="0" applyNumberFormat="1" applyFont="1" applyFill="1" applyBorder="1"/>
    <x:xf numFmtId="200" fontId="26" fillId="0" borderId="30" xfId="0" applyNumberFormat="1" applyFont="1" applyFill="1" applyBorder="1"/>
    <x:xf numFmtId="0" fontId="26" fillId="0" borderId="31" xfId="0" applyNumberFormat="1" applyFont="1" applyFill="1" applyBorder="1"/>
    <x:xf numFmtId="0" fontId="26" fillId="0" borderId="24" xfId="0" applyNumberFormat="1" applyFont="1" applyFill="1" applyBorder="1" applyAlignment="1">
      <x:alignment wrapText="1"/>
    </x:xf>
    <x:xf numFmtId="0" fontId="26" fillId="0" borderId="25" xfId="0" applyNumberFormat="1" applyFont="1" applyFill="1" applyBorder="1" applyAlignment="1">
      <x:alignment wrapText="1"/>
    </x:xf>
    <x:xf numFmtId="200" fontId="26" fillId="0" borderId="25" xfId="0" applyNumberFormat="1" applyFont="1" applyFill="1" applyBorder="1" applyAlignment="1">
      <x:alignment wrapText="1"/>
    </x:xf>
    <x:xf numFmtId="0" fontId="26" fillId="0" borderId="26" xfId="0" applyNumberFormat="1" applyFont="1" applyFill="1" applyBorder="1" applyAlignment="1">
      <x:alignment wrapText="1"/>
    </x:xf>
    <x:xf numFmtId="0" fontId="26" fillId="0" borderId="27" xfId="0" applyNumberFormat="1" applyFont="1" applyFill="1" applyBorder="1" applyAlignment="1">
      <x:alignment wrapText="1"/>
    </x:xf>
    <x:xf numFmtId="0" fontId="26" fillId="0" borderId="9" xfId="0" applyNumberFormat="1" applyFont="1" applyFill="1" applyBorder="1" applyAlignment="1">
      <x:alignment wrapText="1"/>
    </x:xf>
    <x:xf numFmtId="200" fontId="26" fillId="0" borderId="9" xfId="0" applyNumberFormat="1" applyFont="1" applyFill="1" applyBorder="1" applyAlignment="1">
      <x:alignment wrapText="1"/>
    </x:xf>
    <x:xf numFmtId="0" fontId="26" fillId="0" borderId="28" xfId="0" applyNumberFormat="1" applyFont="1" applyFill="1" applyBorder="1" applyAlignment="1">
      <x:alignment wrapText="1"/>
    </x:xf>
    <x:xf numFmtId="0" fontId="26" fillId="0" borderId="29" xfId="0" applyNumberFormat="1" applyFont="1" applyFill="1" applyBorder="1" applyAlignment="1">
      <x:alignment wrapText="1"/>
    </x:xf>
    <x:xf numFmtId="0" fontId="26" fillId="0" borderId="30" xfId="0" applyNumberFormat="1" applyFont="1" applyFill="1" applyBorder="1" applyAlignment="1">
      <x:alignment wrapText="1"/>
    </x:xf>
    <x:xf numFmtId="200" fontId="26" fillId="0" borderId="30" xfId="0" applyNumberFormat="1" applyFont="1" applyFill="1" applyBorder="1" applyAlignment="1">
      <x:alignment wrapText="1"/>
    </x:xf>
    <x:xf numFmtId="0" fontId="26" fillId="0" borderId="31" xfId="0" applyNumberFormat="1" applyFont="1" applyFill="1" applyBorder="1" applyAlignment="1">
      <x:alignment wrapText="1"/>
    </x:xf>
    <x:xf numFmtId="0" fontId="26" fillId="0" borderId="24" xfId="0" applyNumberFormat="1" applyFont="1" applyFill="1" applyBorder="1" applyAlignment="1">
      <x:alignment vertical="top" wrapText="1"/>
    </x:xf>
    <x:xf numFmtId="0" fontId="26" fillId="0" borderId="25" xfId="0" applyNumberFormat="1" applyFont="1" applyFill="1" applyBorder="1" applyAlignment="1">
      <x:alignment vertical="top" wrapText="1"/>
    </x:xf>
    <x:xf numFmtId="200" fontId="26" fillId="0" borderId="25" xfId="0" applyNumberFormat="1" applyFont="1" applyFill="1" applyBorder="1" applyAlignment="1">
      <x:alignment vertical="top" wrapText="1"/>
    </x:xf>
    <x:xf numFmtId="0" fontId="26" fillId="0" borderId="26" xfId="0" applyNumberFormat="1" applyFont="1" applyFill="1" applyBorder="1" applyAlignment="1">
      <x:alignment vertical="top" wrapText="1"/>
    </x:xf>
    <x:xf numFmtId="0" fontId="26" fillId="0" borderId="27" xfId="0" applyNumberFormat="1" applyFont="1" applyFill="1" applyBorder="1" applyAlignment="1">
      <x:alignment vertical="top" wrapText="1"/>
    </x:xf>
    <x:xf numFmtId="0" fontId="26" fillId="0" borderId="9" xfId="0" applyNumberFormat="1" applyFont="1" applyFill="1" applyBorder="1" applyAlignment="1">
      <x:alignment vertical="top" wrapText="1"/>
    </x:xf>
    <x:xf numFmtId="200" fontId="26" fillId="0" borderId="9" xfId="0" applyNumberFormat="1" applyFont="1" applyFill="1" applyBorder="1" applyAlignment="1">
      <x:alignment vertical="top" wrapText="1"/>
    </x:xf>
    <x:xf numFmtId="0" fontId="26" fillId="0" borderId="28" xfId="0" applyNumberFormat="1" applyFont="1" applyFill="1" applyBorder="1" applyAlignment="1">
      <x:alignment vertical="top" wrapText="1"/>
    </x:xf>
    <x:xf numFmtId="0" fontId="26" fillId="0" borderId="29" xfId="0" applyNumberFormat="1" applyFont="1" applyFill="1" applyBorder="1" applyAlignment="1">
      <x:alignment vertical="top" wrapText="1"/>
    </x:xf>
    <x:xf numFmtId="0" fontId="26" fillId="0" borderId="30" xfId="0" applyNumberFormat="1" applyFont="1" applyFill="1" applyBorder="1" applyAlignment="1">
      <x:alignment vertical="top" wrapText="1"/>
    </x:xf>
    <x:xf numFmtId="200" fontId="26" fillId="0" borderId="30" xfId="0" applyNumberFormat="1" applyFont="1" applyFill="1" applyBorder="1" applyAlignment="1">
      <x:alignment vertical="top" wrapText="1"/>
    </x:xf>
    <x:xf numFmtId="0" fontId="26" fillId="0" borderId="31" xfId="0" applyNumberFormat="1" applyFont="1" applyFill="1" applyBorder="1" applyAlignment="1">
      <x:alignment vertical="top" wrapText="1"/>
    </x:xf>
    <x:xf numFmtId="0" fontId="26" fillId="37" borderId="19" xfId="0" applyNumberFormat="1" applyFont="1" applyFill="1" applyBorder="1" applyAlignment="1">
      <x:alignment vertical="top" wrapText="1"/>
    </x:xf>
    <x:xf numFmtId="0" fontId="26" fillId="37" borderId="0" xfId="0" applyNumberFormat="1" applyFont="1" applyFill="1" applyBorder="1" applyAlignment="1">
      <x:alignment vertical="top" wrapText="1"/>
    </x:xf>
    <x:xf numFmtId="200" fontId="26" fillId="37" borderId="0" xfId="0" applyNumberFormat="1" applyFont="1" applyFill="1" applyBorder="1" applyAlignment="1">
      <x:alignment vertical="top" wrapText="1"/>
    </x:xf>
    <x:xf numFmtId="0" fontId="26" fillId="37" borderId="20" xfId="0" applyNumberFormat="1" applyFont="1" applyFill="1" applyBorder="1" applyAlignment="1">
      <x:alignment vertical="top" wrapText="1"/>
    </x:xf>
    <x:xf numFmtId="0" fontId="26" fillId="37" borderId="27" xfId="0" applyNumberFormat="1" applyFont="1" applyFill="1" applyBorder="1" applyAlignment="1">
      <x:alignment vertical="top" wrapText="1"/>
    </x:xf>
    <x:xf numFmtId="0" fontId="26" fillId="37" borderId="9" xfId="0" applyNumberFormat="1" applyFont="1" applyFill="1" applyBorder="1" applyAlignment="1">
      <x:alignment vertical="top" wrapText="1"/>
    </x:xf>
    <x:xf numFmtId="200" fontId="26" fillId="37" borderId="9" xfId="0" applyNumberFormat="1" applyFont="1" applyFill="1" applyBorder="1" applyAlignment="1">
      <x:alignment vertical="top" wrapText="1"/>
    </x:xf>
    <x:xf numFmtId="0" fontId="26" fillId="37" borderId="28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 wrapText="1"/>
    </x:xf>
    <x:xf numFmtId="1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2" fontId="2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5" fillId="3" borderId="0" xfId="0" applyNumberFormat="1" applyFont="1" applyFill="1" applyBorder="1"/>
    <x:xf numFmtId="0" fontId="25" fillId="3" borderId="10" xfId="0" applyNumberFormat="1" applyFont="1" applyFill="1" applyBorder="1"/>
    <x:xf numFmtId="0" fontId="25" fillId="3" borderId="11" xfId="0" applyNumberFormat="1" applyFont="1" applyFill="1" applyBorder="1"/>
    <x:xf numFmtId="0" fontId="25" fillId="3" borderId="12" xfId="0" applyNumberFormat="1" applyFont="1" applyFill="1" applyBorder="1"/>
    <x:xf numFmtId="0" fontId="25" fillId="3" borderId="10" xfId="0" applyNumberFormat="1" applyFont="1" applyFill="1" applyBorder="1" applyAlignment="1">
      <x:alignment wrapText="1"/>
    </x:xf>
    <x:xf numFmtId="0" fontId="25" fillId="3" borderId="11" xfId="0" applyNumberFormat="1" applyFont="1" applyFill="1" applyBorder="1" applyAlignment="1">
      <x:alignment wrapText="1"/>
    </x:xf>
    <x:xf numFmtId="0" fontId="25" fillId="3" borderId="12" xfId="0" applyNumberFormat="1" applyFont="1" applyFill="1" applyBorder="1" applyAlignment="1">
      <x:alignment wrapText="1"/>
    </x:xf>
    <x:xf numFmtId="0" fontId="25" fillId="3" borderId="10" xfId="0" applyNumberFormat="1" applyFont="1" applyFill="1" applyBorder="1" applyAlignment="1">
      <x:alignment horizontal="center" wrapText="1"/>
    </x:xf>
    <x:xf numFmtId="0" fontId="25" fillId="3" borderId="11" xfId="0" applyNumberFormat="1" applyFont="1" applyFill="1" applyBorder="1" applyAlignment="1">
      <x:alignment horizontal="center" wrapText="1"/>
    </x:xf>
    <x:xf numFmtId="0" fontId="25" fillId="3" borderId="12" xfId="0" applyNumberFormat="1" applyFont="1" applyFill="1" applyBorder="1" applyAlignment="1">
      <x:alignment horizontal="center" wrapText="1"/>
    </x:xf>
    <x:xf numFmtId="0" fontId="25" fillId="3" borderId="10" xfId="0" applyNumberFormat="1" applyFont="1" applyFill="1" applyBorder="1" applyAlignment="1">
      <x:alignment horizontal="center" vertical="center" wrapText="1"/>
    </x:xf>
    <x:xf numFmtId="0" fontId="25" fillId="3" borderId="11" xfId="0" applyNumberFormat="1" applyFont="1" applyFill="1" applyBorder="1" applyAlignment="1">
      <x:alignment horizontal="center" vertical="center" wrapText="1"/>
    </x:xf>
    <x:xf numFmtId="0" fontId="25" fillId="3" borderId="12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</x:cellXfs>
  <x:cellStyles count="50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  <x:cellStyle name="Normal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2055150954f65" /><Relationship Type="http://schemas.openxmlformats.org/officeDocument/2006/relationships/theme" Target="/xl/theme/theme1.xml" Id="R5c692b3319d34a5e" /><Relationship Type="http://schemas.openxmlformats.org/officeDocument/2006/relationships/sharedStrings" Target="/xl/sharedStrings.xml" Id="R84c3bc888b4b41de" /><Relationship Type="http://schemas.openxmlformats.org/officeDocument/2006/relationships/worksheet" Target="/xl/worksheets/sheet1.xml" Id="R7f155ad1b1f74075" /><Relationship Type="http://schemas.openxmlformats.org/officeDocument/2006/relationships/worksheet" Target="/xl/worksheets/sheet2.xml" Id="Rdaec71724fec4fb9" /><Relationship Type="http://schemas.openxmlformats.org/officeDocument/2006/relationships/worksheet" Target="/xl/worksheets/sheet3.xml" Id="R14ecc11116574153" /><Relationship Type="http://schemas.openxmlformats.org/officeDocument/2006/relationships/worksheet" Target="/xl/worksheets/sheet4.xml" Id="Rab5a035a94974b0c" /><Relationship Type="http://schemas.openxmlformats.org/officeDocument/2006/relationships/worksheet" Target="/xl/worksheets/sheet5.xml" Id="Rdb3da4250a494867" /><Relationship Type="http://schemas.openxmlformats.org/officeDocument/2006/relationships/worksheet" Target="/xl/worksheets/sheet6.xml" Id="Rcca6cdf712594c93" /><Relationship Type="http://schemas.openxmlformats.org/officeDocument/2006/relationships/worksheet" Target="/xl/worksheets/sheet7.xml" Id="R47946600609a4b6b" /><Relationship Type="http://schemas.openxmlformats.org/officeDocument/2006/relationships/worksheet" Target="/xl/worksheets/sheet8.xml" Id="Rd8fb71fc5177446b" /><Relationship Type="http://schemas.openxmlformats.org/officeDocument/2006/relationships/worksheet" Target="/xl/worksheets/sheet9.xml" Id="R9d2dc381a9924f34" /><Relationship Type="http://schemas.openxmlformats.org/officeDocument/2006/relationships/worksheet" Target="/xl/worksheets/sheet10.xml" Id="R1e508c01a87f4eb5" /><Relationship Type="http://schemas.openxmlformats.org/officeDocument/2006/relationships/worksheet" Target="/xl/worksheets/sheet11.xml" Id="R0c5cec2843064edc" /><Relationship Type="http://schemas.openxmlformats.org/officeDocument/2006/relationships/worksheet" Target="/xl/worksheets/sheet12.xml" Id="Rcefe405f72154a93" /><Relationship Type="http://schemas.openxmlformats.org/officeDocument/2006/relationships/worksheet" Target="/xl/worksheets/sheet13.xml" Id="R5d1a586045424a1e" /></Relationships>
</file>

<file path=xl/tables/table1.xml><?xml version="1.0" encoding="utf-8"?>
<x:table xmlns:x="http://schemas.openxmlformats.org/spreadsheetml/2006/main" id="10" name="Overall_Top100_6_8_Table" displayName="Overall_Top100_6_8_Table" ref="A1:S101" totalsRowShown="0">
  <x:tableColumns count="19">
    <x:tableColumn id="1" name="OverallRank_6_8"/>
    <x:tableColumn id="2" name="Month"/>
    <x:tableColumn id="3" name="arXiv"/>
    <x:tableColumn id="4" name="Title"/>
    <x:tableColumn id="5" name="Authors"/>
    <x:tableColumn id="6" name="Theme"/>
    <x:tableColumn id="7" name="Pages"/>
    <x:tableColumn id="8" name="S_eq"/>
    <x:tableColumn id="9" name="V"/>
    <x:tableColumn id="10" name="S_H"/>
    <x:tableColumn id="11" name="I"/>
    <x:tableColumn id="12" name="O"/>
    <x:tableColumn id="13" name="T"/>
    <x:tableColumn id="14" name="B"/>
    <x:tableColumn id="15" name="H"/>
    <x:tableColumn id="16" name="R"/>
    <x:tableColumn id="17" name="AI_pct"/>
    <x:tableColumn id="18" name="SourceURL"/>
    <x:tableColumn id="19" name="综合判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JunAugAllTable" displayName="JunAugAllTable" ref="A1:T236" totalsRowShown="0">
  <x:tableColumns count="20">
    <x:tableColumn id="1" name="Rank"/>
    <x:tableColumn id="2" name="Month"/>
    <x:tableColumn id="3" name="arXiv"/>
    <x:tableColumn id="4" name="Title"/>
    <x:tableColumn id="5" name="Authors"/>
    <x:tableColumn id="6" name="Theme"/>
    <x:tableColumn id="7" name="Pages"/>
    <x:tableColumn id="8" name="Final_S_eq"/>
    <x:tableColumn id="9" name="V"/>
    <x:tableColumn id="10" name="S_H"/>
    <x:tableColumn id="11" name="I"/>
    <x:tableColumn id="12" name="O"/>
    <x:tableColumn id="13" name="T"/>
    <x:tableColumn id="14" name="B"/>
    <x:tableColumn id="15" name="H"/>
    <x:tableColumn id="16" name="R"/>
    <x:tableColumn id="17" name="AI_pct"/>
    <x:tableColumn id="18" name="SourceURL"/>
    <x:tableColumn id="19" name="Top100_flag"/>
    <x:tableColumn id="20" name="综合判断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JuneDGScoredTable" displayName="JuneDGScoredTable" ref="A1:Y118" totalsRowShown="0">
  <x:tableColumns count="25">
    <x:tableColumn id="1" name="arXiv"/>
    <x:tableColumn id="2" name="month"/>
    <x:tableColumn id="3" name="DG_status"/>
    <x:tableColumn id="4" name="theme"/>
    <x:tableColumn id="5" name="title"/>
    <x:tableColumn id="6" name="authors"/>
    <x:tableColumn id="7" name="pages"/>
    <x:tableColumn id="8" name="source_url"/>
    <x:tableColumn id="9" name="screening_note"/>
    <x:tableColumn id="10" name="I"/>
    <x:tableColumn id="11" name="O"/>
    <x:tableColumn id="12" name="T"/>
    <x:tableColumn id="13" name="B"/>
    <x:tableColumn id="14" name="H"/>
    <x:tableColumn id="15" name="R"/>
    <x:tableColumn id="16" name="AI_pct"/>
    <x:tableColumn id="17" name="AI_unc"/>
    <x:tableColumn id="18" name="V"/>
    <x:tableColumn id="19" name="S_H"/>
    <x:tableColumn id="20" name="S_eq"/>
    <x:tableColumn id="21" name="rank_formula"/>
    <x:tableColumn id="22" name="exact_bibliography"/>
    <x:tableColumn id="23" name="Top50_flag"/>
    <x:tableColumn id="24" name="source_batch"/>
    <x:tableColumn id="25" name="score_commen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JulyDGScoredTable" displayName="JulyDGScoredTable" ref="A1:Y101" totalsRowShown="0">
  <x:tableColumns count="25">
    <x:tableColumn id="1" name="arXiv"/>
    <x:tableColumn id="2" name="month"/>
    <x:tableColumn id="3" name="DG_status"/>
    <x:tableColumn id="4" name="theme"/>
    <x:tableColumn id="5" name="title"/>
    <x:tableColumn id="6" name="authors"/>
    <x:tableColumn id="7" name="pages"/>
    <x:tableColumn id="8" name="source_url"/>
    <x:tableColumn id="9" name="screening_note"/>
    <x:tableColumn id="10" name="I"/>
    <x:tableColumn id="11" name="O"/>
    <x:tableColumn id="12" name="T"/>
    <x:tableColumn id="13" name="B"/>
    <x:tableColumn id="14" name="H"/>
    <x:tableColumn id="15" name="R"/>
    <x:tableColumn id="16" name="AI_pct"/>
    <x:tableColumn id="17" name="AI_unc"/>
    <x:tableColumn id="18" name="V"/>
    <x:tableColumn id="19" name="S_H"/>
    <x:tableColumn id="20" name="S_eq"/>
    <x:tableColumn id="21" name="rank_formula"/>
    <x:tableColumn id="22" name="exact_bibliography"/>
    <x:tableColumn id="23" name="Top50_flag"/>
    <x:tableColumn id="24" name="source_batch"/>
    <x:tableColumn id="25" name="score_commen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AugDGScoredTable" displayName="AugDGScoredTable" ref="A1:Y19" totalsRowShown="0">
  <x:tableColumns count="25">
    <x:tableColumn id="1" name="arXiv"/>
    <x:tableColumn id="2" name="month"/>
    <x:tableColumn id="3" name="DG_status"/>
    <x:tableColumn id="4" name="theme"/>
    <x:tableColumn id="5" name="title"/>
    <x:tableColumn id="6" name="authors"/>
    <x:tableColumn id="7" name="pages"/>
    <x:tableColumn id="8" name="source_url"/>
    <x:tableColumn id="9" name="screening_note"/>
    <x:tableColumn id="10" name="I"/>
    <x:tableColumn id="11" name="O"/>
    <x:tableColumn id="12" name="T"/>
    <x:tableColumn id="13" name="B"/>
    <x:tableColumn id="14" name="H"/>
    <x:tableColumn id="15" name="R"/>
    <x:tableColumn id="16" name="AI_pct"/>
    <x:tableColumn id="17" name="AI_unc"/>
    <x:tableColumn id="18" name="V"/>
    <x:tableColumn id="19" name="S_H"/>
    <x:tableColumn id="20" name="S_eq"/>
    <x:tableColumn id="21" name="rank_formula"/>
    <x:tableColumn id="22" name="exact_bibliography"/>
    <x:tableColumn id="23" name="Top50_flag"/>
    <x:tableColumn id="24" name="source_batch"/>
    <x:tableColumn id="25" name="score_comment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JunAugTop100Table" displayName="JunAugTop100Table" ref="A1:T101" totalsRowShown="0">
  <x:tableColumns count="20">
    <x:tableColumn id="1" name="Rank"/>
    <x:tableColumn id="2" name="Month"/>
    <x:tableColumn id="3" name="arXiv"/>
    <x:tableColumn id="4" name="Title"/>
    <x:tableColumn id="5" name="Authors"/>
    <x:tableColumn id="6" name="Theme"/>
    <x:tableColumn id="7" name="Pages"/>
    <x:tableColumn id="8" name="Final_S_eq"/>
    <x:tableColumn id="9" name="V"/>
    <x:tableColumn id="10" name="S_H"/>
    <x:tableColumn id="11" name="I"/>
    <x:tableColumn id="12" name="O"/>
    <x:tableColumn id="13" name="T"/>
    <x:tableColumn id="14" name="B"/>
    <x:tableColumn id="15" name="H"/>
    <x:tableColumn id="16" name="R"/>
    <x:tableColumn id="17" name="AI_pct"/>
    <x:tableColumn id="18" name="SourceURL"/>
    <x:tableColumn id="19" name="Top100_flag"/>
    <x:tableColumn id="20" name="综合判断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JuneTop50Table" displayName="JuneTop50Table" ref="A1:S51" totalsRowShown="0">
  <x:tableColumns count="19">
    <x:tableColumn id="1" name="Rank"/>
    <x:tableColumn id="2" name="Month"/>
    <x:tableColumn id="3" name="arXiv"/>
    <x:tableColumn id="4" name="Title"/>
    <x:tableColumn id="5" name="Authors"/>
    <x:tableColumn id="6" name="Theme"/>
    <x:tableColumn id="7" name="Pages"/>
    <x:tableColumn id="8" name="Final_S_eq"/>
    <x:tableColumn id="9" name="V"/>
    <x:tableColumn id="10" name="S_H"/>
    <x:tableColumn id="11" name="I"/>
    <x:tableColumn id="12" name="O"/>
    <x:tableColumn id="13" name="T"/>
    <x:tableColumn id="14" name="B"/>
    <x:tableColumn id="15" name="H"/>
    <x:tableColumn id="16" name="R"/>
    <x:tableColumn id="17" name="AI_pct"/>
    <x:tableColumn id="18" name="SourceURL"/>
    <x:tableColumn id="19" name="综合判断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JulAugTop50Table" displayName="JulAugTop50Table" ref="A1:S51" totalsRowShown="0">
  <x:tableColumns count="19">
    <x:tableColumn id="1" name="Rank"/>
    <x:tableColumn id="2" name="Month"/>
    <x:tableColumn id="3" name="arXiv"/>
    <x:tableColumn id="4" name="Title"/>
    <x:tableColumn id="5" name="Authors"/>
    <x:tableColumn id="6" name="Theme"/>
    <x:tableColumn id="7" name="Pages"/>
    <x:tableColumn id="8" name="Final_S_eq"/>
    <x:tableColumn id="9" name="V"/>
    <x:tableColumn id="10" name="S_H"/>
    <x:tableColumn id="11" name="I"/>
    <x:tableColumn id="12" name="O"/>
    <x:tableColumn id="13" name="T"/>
    <x:tableColumn id="14" name="B"/>
    <x:tableColumn id="15" name="H"/>
    <x:tableColumn id="16" name="R"/>
    <x:tableColumn id="17" name="AI_pct"/>
    <x:tableColumn id="18" name="SourceURL"/>
    <x:tableColumn id="19" name="综合判断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June_Top50_GlobalRan_Table" displayName="June_Top50_GlobalRan_Table" ref="A1:T51" totalsRowShown="0">
  <x:tableColumns count="20">
    <x:tableColumn id="1" name="MonthlyRank"/>
    <x:tableColumn id="2" name="OverallRank_6_8"/>
    <x:tableColumn id="3" name="Month"/>
    <x:tableColumn id="4" name="arXiv"/>
    <x:tableColumn id="5" name="Title"/>
    <x:tableColumn id="6" name="Authors"/>
    <x:tableColumn id="7" name="Theme"/>
    <x:tableColumn id="8" name="Pages"/>
    <x:tableColumn id="9" name="S_eq"/>
    <x:tableColumn id="10" name="V"/>
    <x:tableColumn id="11" name="S_H"/>
    <x:tableColumn id="12" name="I"/>
    <x:tableColumn id="13" name="O"/>
    <x:tableColumn id="14" name="T"/>
    <x:tableColumn id="15" name="B"/>
    <x:tableColumn id="16" name="H"/>
    <x:tableColumn id="17" name="R"/>
    <x:tableColumn id="18" name="AI_pct"/>
    <x:tableColumn id="19" name="SourceURL"/>
    <x:tableColumn id="20" name="综合判断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JulAug_Top50_GlobalR_Table" displayName="JulAug_Top50_GlobalR_Table" ref="A1:T51" totalsRowShown="0">
  <x:tableColumns count="20">
    <x:tableColumn id="1" name="MonthlyRank"/>
    <x:tableColumn id="2" name="OverallRank_6_8"/>
    <x:tableColumn id="3" name="Month"/>
    <x:tableColumn id="4" name="arXiv"/>
    <x:tableColumn id="5" name="Title"/>
    <x:tableColumn id="6" name="Authors"/>
    <x:tableColumn id="7" name="Theme"/>
    <x:tableColumn id="8" name="Pages"/>
    <x:tableColumn id="9" name="S_eq"/>
    <x:tableColumn id="10" name="V"/>
    <x:tableColumn id="11" name="S_H"/>
    <x:tableColumn id="12" name="I"/>
    <x:tableColumn id="13" name="O"/>
    <x:tableColumn id="14" name="T"/>
    <x:tableColumn id="15" name="B"/>
    <x:tableColumn id="16" name="H"/>
    <x:tableColumn id="17" name="R"/>
    <x:tableColumn id="18" name="AI_pct"/>
    <x:tableColumn id="19" name="SourceURL"/>
    <x:tableColumn id="20" name="综合判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cfd0e1091848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70c827243548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f17915e2cd49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3b34d6b25d43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0e5862838346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4a0ceaa7ae4f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aa3ce92c9344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4fb67be3854ca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cd74a3151c34c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9caf967569446b1" /></Relationships>
</file>

<file path=xl/worksheets/sheet1.xml><?xml version="1.0" encoding="utf-8"?>
<x:worksheet xmlns:x="http://schemas.openxmlformats.org/spreadsheetml/2006/main">
  <x:sheetFormatPr defaultColWidth="9" defaultRowHeight="13.5"/>
  <x:cols>
    <x:col min="1" max="1" width="51.38333511352539" customWidth="1"/>
    <x:col min="2" max="2" width="56.75" customWidth="1"/>
    <x:col min="3" max="3" width="13.133333206176758" customWidth="1"/>
    <x:col min="4" max="4" width="15.5" customWidth="1"/>
    <x:col min="5" max="5" width="33.38333511352539" customWidth="1"/>
  </x:cols>
  <x:sheetData>
    <x:row r="1" ht="17.600000381469727">
      <x:c r="A1" s="8" t="str">
        <x:v>2026 Jun-Aug arXiv math.DG SARE scoring workbook — updated 2026-08-10</x:v>
      </x:c>
      <x:c r="B1" s="8" t="str">
        <x:v>1</x:v>
      </x:c>
      <x:c r="C1" s="8" t="str">
        <x:v>1</x:v>
      </x:c>
      <x:c r="D1" s="8" t="str">
        <x:v>1</x:v>
      </x:c>
      <x:c r="E1" s="8" t="str">
        <x:v>1</x:v>
      </x:c>
    </x:row>
    <x:row r="2" ht="27.75">
      <x:c r="A2" s="9" t="str">
        <x:v>Dataset</x:v>
      </x:c>
      <x:c r="B2" s="9" t="str">
        <x:v>Official entries</x:v>
      </x:c>
      <x:c r="C2" s="9" t="str">
        <x:v>Scored 30% pool</x:v>
      </x:c>
      <x:c r="D2" s="9" t="str">
        <x:v>Top table</x:v>
      </x:c>
      <x:c r="E2" s="9" t="str">
        <x:v>Notes</x:v>
      </x:c>
    </x:row>
    <x:row r="3">
      <x:c r="A3" s="10" t="str">
        <x:v>June 2026 math.DG</x:v>
      </x:c>
      <x:c r="B3" s="10" t="n">
        <x:v>387</x:v>
      </x:c>
      <x:c r="C3" s="10" t="n">
        <x:v>117</x:v>
      </x:c>
      <x:c r="D3" s="10" t="str">
        <x:v>June_DG_Top50</x:v>
      </x:c>
      <x:c r="E3" s="10" t="str">
        <x:v>ceil(387*30%)=117</x:v>
      </x:c>
    </x:row>
    <x:row r="4" ht="27">
      <x:c r="A4" s="10" t="str">
        <x:v>July 2026 math.DG</x:v>
      </x:c>
      <x:c r="B4" s="10" t="n">
        <x:v>331</x:v>
      </x:c>
      <x:c r="C4" s="10" t="n">
        <x:v>100</x:v>
      </x:c>
      <x:c r="D4" s="10" t="str">
        <x:v>July_DG_scored30pct</x:v>
      </x:c>
      <x:c r="E4" s="10" t="str">
        <x:v>carried forward; monthly pool unchanged</x:v>
      </x:c>
    </x:row>
    <x:row r="5" ht="27">
      <x:c r="A5" s="10" t="str">
        <x:v>August 2026 math.DG</x:v>
      </x:c>
      <x:c r="B5" s="10" t="n">
        <x:v>70</x:v>
      </x:c>
      <x:c r="C5" s="10" t="n">
        <x:v>21</x:v>
      </x:c>
      <x:c r="D5" s="10" t="str">
        <x:v>Aug_DG_scored30pct</x:v>
      </x:c>
      <x:c r="E5" s="10" t="str">
        <x:v>updated 2026-08-10; 11 new/cross-list entries assessed; replacements excluded</x:v>
      </x:c>
    </x:row>
    <x:row r="6" ht="27">
      <x:c r="A6" s="10" t="str">
        <x:v>June-August combined</x:v>
      </x:c>
      <x:c r="B6" s="10" t="n">
        <x:v>788</x:v>
      </x:c>
      <x:c r="C6" s="10" t="n">
        <x:v>239</x:v>
      </x:c>
      <x:c r="D6" s="10" t="str">
        <x:v>JunAug_DG_Top100</x:v>
      </x:c>
      <x:c r="E6" s="10" t="str">
        <x:v>239-paper comparison set; sorted by Final_S_eq, then V, then arXiv. Official monthly pools unchanged.</x:v>
      </x:c>
    </x:row>
    <x:row r="7">
      <x:c r="A7" s="10" t="str">
        <x:v>1</x:v>
      </x:c>
      <x:c r="B7" s="10" t="str">
        <x:v>1</x:v>
      </x:c>
      <x:c r="C7" s="10" t="str">
        <x:v>1</x:v>
      </x:c>
      <x:c r="D7" s="10" t="str">
        <x:v>1</x:v>
      </x:c>
      <x:c r="E7" s="10" t="str">
        <x:v>1</x:v>
      </x:c>
    </x:row>
    <x:row r="8" ht="13.899999618530273">
      <x:c r="A8" s="11" t="str">
        <x:v>Metric</x:v>
      </x:c>
      <x:c r="B8" s="11" t="str">
        <x:v>Value</x:v>
      </x:c>
      <x:c r="C8" s="10" t="str">
        <x:v>1</x:v>
      </x:c>
      <x:c r="D8" s="10" t="str">
        <x:v>1</x:v>
      </x:c>
      <x:c r="E8" s="10" t="str">
        <x:v>1</x:v>
      </x:c>
    </x:row>
    <x:row r="9">
      <x:c r="A9" s="10" t="str">
        <x:v>June Top50 cutoff S_eq</x:v>
      </x:c>
      <x:c r="B9" s="10" t="n">
        <x:v>89</x:v>
      </x:c>
      <x:c r="C9" s="10" t="str">
        <x:v>1</x:v>
      </x:c>
      <x:c r="D9" s="10" t="str">
        <x:v>1</x:v>
      </x:c>
      <x:c r="E9" s="10" t="str">
        <x:v>1</x:v>
      </x:c>
    </x:row>
    <x:row r="10">
      <x:c r="A10" s="10" t="str">
        <x:v>Combined Top100 cutoff S_eq</x:v>
      </x:c>
      <x:c r="B10" s="10" t="n">
        <x:v>90.175</x:v>
      </x:c>
      <x:c r="C10" s="10" t="str">
        <x:v>1</x:v>
      </x:c>
      <x:c r="D10" s="10" t="str">
        <x:v>1</x:v>
      </x:c>
      <x:c r="E10" s="10" t="str">
        <x:v>1</x:v>
      </x:c>
    </x:row>
    <x:row r="11">
      <x:c r="A11" s="10" t="str">
        <x:v>Combined Top100: June count</x:v>
      </x:c>
      <x:c r="B11" s="10" t="n">
        <x:v>37</x:v>
      </x:c>
      <x:c r="C11" s="10" t="str">
        <x:v>1</x:v>
      </x:c>
      <x:c r="D11" s="10" t="str">
        <x:v>1</x:v>
      </x:c>
      <x:c r="E11" s="10" t="str">
        <x:v>1</x:v>
      </x:c>
    </x:row>
    <x:row r="12">
      <x:c r="A12" s="10" t="str">
        <x:v>Combined Top100: July count</x:v>
      </x:c>
      <x:c r="B12" s="10" t="n">
        <x:v>49</x:v>
      </x:c>
      <x:c r="C12" s="10" t="str">
        <x:v>1</x:v>
      </x:c>
      <x:c r="D12" s="10" t="str">
        <x:v>1</x:v>
      </x:c>
      <x:c r="E12" s="10" t="str">
        <x:v>1</x:v>
      </x:c>
    </x:row>
    <x:row r="13">
      <x:c r="A13" s="10" t="str">
        <x:v>Combined Top100: August count</x:v>
      </x:c>
      <x:c r="B13" s="10" t="n">
        <x:v>14</x:v>
      </x:c>
      <x:c r="C13" s="10" t="str">
        <x:v>1</x:v>
      </x:c>
      <x:c r="D13" s="10" t="str">
        <x:v>1</x:v>
      </x:c>
      <x:c r="E13" s="10" t="str">
        <x:v>1</x:v>
      </x:c>
    </x:row>
    <x:row r="14" ht="27">
      <x:c r="A14" s="10" t="str">
        <x:v>Correctness policy</x:v>
      </x:c>
      <x:c r="B14" s="10" t="str">
        <x:v>Default main conclusions are treated as correct; no line-by-line proof check.</x:v>
      </x:c>
      <x:c r="C14" s="10" t="str">
        <x:v>1</x:v>
      </x:c>
      <x:c r="D14" s="10" t="str">
        <x:v>1</x:v>
      </x:c>
      <x:c r="E14" s="10" t="str">
        <x:v>1</x:v>
      </x:c>
    </x:row>
    <x:row r="15">
      <x:c r="A15"/>
      <x:c r="B15"/>
      <x:c r="C15"/>
      <x:c r="D15"/>
      <x:c r="E15"/>
    </x:row>
    <x:row r="16" ht="28" customHeight="1">
      <x:c r="A16" s="12" t="str">
        <x:v>Updated / added sheets</x:v>
      </x:c>
      <x:c r="B16" s="12" t="str">
        <x:v>Purpose</x:v>
      </x:c>
      <x:c r="C16" s="12" t="str">
        <x:v>Rows</x:v>
      </x:c>
      <x:c r="D16" s="12" t="str">
        <x:v>Main rank column</x:v>
      </x:c>
      <x:c r="E16" s="12" t="str">
        <x:v>Notes</x:v>
      </x:c>
    </x:row>
    <x:row r="17" ht="23.25">
      <x:c r="A17" s="13" t="str">
        <x:v>Aug10_DG_batch_all11</x:v>
      </x:c>
      <x:c r="B17" s="13" t="str">
        <x:v>All 11 papers in the 2026-08-10 new/cross-list batch</x:v>
      </x:c>
      <x:c r="C17" s="13" t="n">
        <x:v>11</x:v>
      </x:c>
      <x:c r="D17" s="13" t="str">
        <x:v>DailyRank</x:v>
      </x:c>
      <x:c r="E17" s="13" t="str">
        <x:v>All receive SARE scores; 7 enter the August 30% pool</x:v>
      </x:c>
    </x:row>
    <x:row r="18" ht="23.25">
      <x:c r="A18" s="13" t="str">
        <x:v>Aug_DG_assessed_all29</x:v>
      </x:c>
      <x:c r="B18" s="13" t="str">
        <x:v>All 29 August papers assessed to date</x:v>
      </x:c>
      <x:c r="C18" s="13" t="n">
        <x:v>29</x:v>
      </x:c>
      <x:c r="D18" s="13" t="str">
        <x:v>AssessedRank</x:v>
      </x:c>
      <x:c r="E18" s="13" t="str">
        <x:v>Selected30pct marks the official 21-paper August pool</x:v>
      </x:c>
    </x:row>
    <x:row r="19">
      <x:c r="A19" s="13" t="str">
        <x:v>June_Top50_GlobalRank</x:v>
      </x:c>
      <x:c r="B19" s="13" t="str">
        <x:v>June Top 50 plus Jun-Aug overall rank</x:v>
      </x:c>
      <x:c r="C19" s="13" t="n">
        <x:v>50</x:v>
      </x:c>
      <x:c r="D19" s="13" t="str">
        <x:v>OverallRank_6_8</x:v>
      </x:c>
      <x:c r="E19" s="13" t="str">
        <x:v>Overall rank updated after the 2026-08-10 batch</x:v>
      </x:c>
    </x:row>
    <x:row r="20">
      <x:c r="A20" s="13" t="str">
        <x:v>JulAug_Top50_GlobalRank</x:v>
      </x:c>
      <x:c r="B20" s="13" t="str">
        <x:v>July-August combined Top 50 plus Jun-Aug overall rank</x:v>
      </x:c>
      <x:c r="C20" s="13" t="n">
        <x:v>50</x:v>
      </x:c>
      <x:c r="D20" s="13" t="str">
        <x:v>OverallRank_6_8</x:v>
      </x:c>
      <x:c r="E20" s="13" t="str">
        <x:v>Recomputed after the ranking update</x:v>
      </x:c>
    </x:row>
    <x:row r="21">
      <x:c r="A21" t="str">
        <x:v>Overall_Top100_6_8</x:v>
      </x:c>
      <x:c r="B21" t="str">
        <x:v>June-August combined Top 100 ranking</x:v>
      </x:c>
      <x:c r="C21" t="n">
        <x:v>100</x:v>
      </x:c>
      <x:c r="D21" t="str">
        <x:v>OverallRank_6_8</x:v>
      </x:c>
      <x:c r="E21" t="str">
        <x:v>Sorted by S_eq, then V, then arXiv</x:v>
      </x:c>
    </x:row>
    <x:row r="22">
      <x:c r="A22" t="str">
        <x:v>PDF report</x:v>
      </x:c>
      <x:c r="B22" t="str">
        <x:v>Includes combined Top 100 and monthly June/July/August tables</x:v>
      </x:c>
      <x:c r="C22"/>
      <x:c r="D22"/>
      <x:c r="E22" t="str">
        <x:v>Combined ranking updated; monthly official pools unchanged</x:v>
      </x:c>
    </x:row>
    <x:row r="23" ht="13.899999618530273">
      <x:c r="A23" s="5" t="str">
        <x:v>Item</x:v>
      </x:c>
      <x:c r="B23" s="5" t="str">
        <x:v>Definition / Formula</x:v>
      </x:c>
      <x:c r="C23" s="5" t="str">
        <x:v>Range</x:v>
      </x:c>
      <x:c r="D23" s="5" t="str">
        <x:v>Direction</x:v>
      </x:c>
      <x:c r="E23" s="5" t="str">
        <x:v>Remarks</x:v>
      </x:c>
    </x:row>
    <x:row r="24">
      <x:c r="A24" s="7" t="str">
        <x:v>I</x:v>
      </x:c>
      <x:c r="B24" s="7" t="str">
        <x:v>Intrinsic mathematical importance / problem value</x:v>
      </x:c>
      <x:c r="C24" s="7" t="str">
        <x:v>0-100</x:v>
      </x:c>
      <x:c r="D24" s="7" t="str">
        <x:v>higher is better</x:v>
      </x:c>
      <x:c r="E24" s="7" t="str">
        <x:v>weights into V</x:v>
      </x:c>
    </x:row>
    <x:row r="25">
      <x:c r="A25" s="7" t="str">
        <x:v>O</x:v>
      </x:c>
      <x:c r="B25" s="7" t="str">
        <x:v>Originality of approach and conceptual novelty</x:v>
      </x:c>
      <x:c r="C25" s="7" t="str">
        <x:v>0-100</x:v>
      </x:c>
      <x:c r="D25" s="7" t="str">
        <x:v>higher is better</x:v>
      </x:c>
      <x:c r="E25" s="7" t="str">
        <x:v>weights into V and S_H</x:v>
      </x:c>
    </x:row>
    <x:row r="26">
      <x:c r="A26" s="7" t="str">
        <x:v>T</x:v>
      </x:c>
      <x:c r="B26" s="7" t="str">
        <x:v>Technical depth and proof complexity</x:v>
      </x:c>
      <x:c r="C26" s="7" t="str">
        <x:v>0-100</x:v>
      </x:c>
      <x:c r="D26" s="7" t="str">
        <x:v>higher is better</x:v>
      </x:c>
      <x:c r="E26" s="7" t="str">
        <x:v>weights into V and S_H</x:v>
      </x:c>
    </x:row>
    <x:row r="27">
      <x:c r="A27" s="7" t="str">
        <x:v>B</x:v>
      </x:c>
      <x:c r="B27" s="7" t="str">
        <x:v>Breadth / transferability / expected downstream use</x:v>
      </x:c>
      <x:c r="C27" s="7" t="str">
        <x:v>0-100</x:v>
      </x:c>
      <x:c r="D27" s="7" t="str">
        <x:v>higher is better</x:v>
      </x:c>
      <x:c r="E27" s="7" t="str">
        <x:v>weights into V</x:v>
      </x:c>
    </x:row>
    <x:row r="28">
      <x:c r="A28" s="7" t="str">
        <x:v>H</x:v>
      </x:c>
      <x:c r="B28" s="7" t="str">
        <x:v>Human-hardness after removing AI-amenable work</x:v>
      </x:c>
      <x:c r="C28" s="7" t="str">
        <x:v>0-100</x:v>
      </x:c>
      <x:c r="D28" s="7" t="str">
        <x:v>higher is better</x:v>
      </x:c>
      <x:c r="E28" s="7" t="str">
        <x:v>weights into S_H</x:v>
      </x:c>
    </x:row>
    <x:row r="29">
      <x:c r="A29" s="7" t="str">
        <x:v>R</x:v>
      </x:c>
      <x:c r="B29" s="7" t="str">
        <x:v>Reliability / maturity / robustness proxy</x:v>
      </x:c>
      <x:c r="C29" s="7" t="str">
        <x:v>0-100</x:v>
      </x:c>
      <x:c r="D29" s="7" t="str">
        <x:v>higher is better</x:v>
      </x:c>
      <x:c r="E29" s="7" t="str">
        <x:v>weights into both</x:v>
      </x:c>
    </x:row>
    <x:row r="30">
      <x:c r="A30" s="7" t="str">
        <x:v>AI_pct</x:v>
      </x:c>
      <x:c r="B30" s="7" t="str">
        <x:v>Estimated share that present AI/computation can replace</x:v>
      </x:c>
      <x:c r="C30" s="7" t="str">
        <x:v>0-100</x:v>
      </x:c>
      <x:c r="D30" s="7" t="str">
        <x:v>lower is better</x:v>
      </x:c>
      <x:c r="E30" s="7" t="str">
        <x:v>appears as 100-AI_pct in S_H</x:v>
      </x:c>
    </x:row>
    <x:row r="31">
      <x:c r="A31" s="7" t="str">
        <x:v>V</x:v>
      </x:c>
      <x:c r="B31" s="7" t="str">
        <x:v>V = 0.30I + 0.20O + 0.25T + 0.15B + 0.10R</x:v>
      </x:c>
      <x:c r="C31" s="7" t="str">
        <x:v>1</x:v>
      </x:c>
      <x:c r="D31" s="7" t="str">
        <x:v>computed</x:v>
      </x:c>
      <x:c r="E31" s="7" t="str">
        <x:v>value score</x:v>
      </x:c>
    </x:row>
    <x:row r="32">
      <x:c r="A32" s="7" t="str">
        <x:v>S_H</x:v>
      </x:c>
      <x:c r="B32" s="7" t="str">
        <x:v>S_H = 0.30H + 0.20T + 0.20O + 0.15R + 0.15(100-AI_pct)</x:v>
      </x:c>
      <x:c r="C32" s="7" t="str">
        <x:v>1</x:v>
      </x:c>
      <x:c r="D32" s="7" t="str">
        <x:v>computed</x:v>
      </x:c>
      <x:c r="E32" s="7" t="str">
        <x:v>human-residual score</x:v>
      </x:c>
    </x:row>
    <x:row r="33">
      <x:c r="A33" s="7" t="str">
        <x:v>S_eq</x:v>
      </x:c>
      <x:c r="B33" s="7" t="str">
        <x:v>S_eq = (V + S_H)/2</x:v>
      </x:c>
      <x:c r="C33" s="7" t="str">
        <x:v>1</x:v>
      </x:c>
      <x:c r="D33" s="7" t="str">
        <x:v>computed</x:v>
      </x:c>
      <x:c r="E33" s="7" t="str">
        <x:v>final ranking score</x:v>
      </x:c>
    </x:row>
    <x:row r="34" ht="27">
      <x:c r="A34" s="7" t="str">
        <x:v>Selection rule</x:v>
      </x:c>
      <x:c r="B34" s="7" t="str">
        <x:v>Score ceil(30%) of official monthly math.DG entries; the combined comparison list uses the same SARE rule.</x:v>
      </x:c>
      <x:c r="C34" s="7" t="str">
        <x:v>1</x:v>
      </x:c>
      <x:c r="D34" s="7" t="str">
        <x:v>1</x:v>
      </x:c>
      <x:c r="E34" s="7" t="str">
        <x:v>1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1" width="15" customWidth="1"/>
    <x:col min="2" max="2" width="10" customWidth="1"/>
    <x:col min="3" max="3" width="12" customWidth="1"/>
    <x:col min="4" max="4" width="42" customWidth="1"/>
    <x:col min="5" max="5" width="28" customWidth="1"/>
    <x:col min="6" max="6" width="24" customWidth="1"/>
    <x:col min="7" max="10" width="8" customWidth="1"/>
    <x:col min="11" max="17" width="6" customWidth="1"/>
    <x:col min="18" max="18" width="34" customWidth="1"/>
    <x:col min="19" max="19" width="48" customWidth="1"/>
  </x:cols>
  <x:sheetData>
    <x:row r="1" ht="28" customHeight="1">
      <x:c r="A1" s="1" t="str">
        <x:v>OverallRank_6_8</x:v>
      </x:c>
      <x:c r="B1" s="1" t="str">
        <x:v>Month</x:v>
      </x:c>
      <x:c r="C1" s="1" t="str">
        <x:v>arXiv</x:v>
      </x:c>
      <x:c r="D1" s="1" t="str">
        <x:v>Title</x:v>
      </x:c>
      <x:c r="E1" s="1" t="str">
        <x:v>Authors</x:v>
      </x:c>
      <x:c r="F1" s="1" t="str">
        <x:v>Theme</x:v>
      </x:c>
      <x:c r="G1" s="1" t="str">
        <x:v>Pages</x:v>
      </x:c>
      <x:c r="H1" s="1" t="str">
        <x:v>S_eq</x:v>
      </x:c>
      <x:c r="I1" s="1" t="str">
        <x:v>V</x:v>
      </x:c>
      <x:c r="J1" s="1" t="str">
        <x:v>S_H</x:v>
      </x:c>
      <x:c r="K1" s="1" t="str">
        <x:v>I</x:v>
      </x:c>
      <x:c r="L1" s="1" t="str">
        <x:v>O</x:v>
      </x:c>
      <x:c r="M1" s="1" t="str">
        <x:v>T</x:v>
      </x:c>
      <x:c r="N1" s="1" t="str">
        <x:v>B</x:v>
      </x:c>
      <x:c r="O1" s="1" t="str">
        <x:v>H</x:v>
      </x:c>
      <x:c r="P1" s="1" t="str">
        <x:v>R</x:v>
      </x:c>
      <x:c r="Q1" s="1" t="str">
        <x:v>AI_pct</x:v>
      </x:c>
      <x:c r="R1" s="1" t="str">
        <x:v>SourceURL</x:v>
      </x:c>
      <x:c r="S1" s="1" t="str">
        <x:v>综合判断</x:v>
      </x:c>
    </x:row>
    <x:row r="2" ht="45" customHeight="1">
      <x:c r="A2" s="2" t="n">
        <x:v>1</x:v>
      </x:c>
      <x:c r="B2" s="3" t="str">
        <x:v>2026-06</x:v>
      </x:c>
      <x:c r="C2" s="3" t="str">
        <x:v>2606.01511</x:v>
      </x:c>
      <x:c r="D2" s="3" t="str">
        <x:v>A Branch Set Stratification for Stationary Varifolds with Epsilon-Regularity</x:v>
      </x:c>
      <x:c r="E2" s="3" t="str">
        <x:v>Brian Krummel; Paul Minter; Neshan Wickramasekera</x:v>
      </x:c>
      <x:c r="F2" s="3" t="str">
        <x:v>GMT / stationary varifolds</x:v>
      </x:c>
      <x:c r="G2" s="2" t="n">
        <x:v>119</x:v>
      </x:c>
      <x:c r="H2" s="36" t="n">
        <x:v>95.3</x:v>
      </x:c>
      <x:c r="I2" s="36" t="n">
        <x:v>95.7</x:v>
      </x:c>
      <x:c r="J2" s="36" t="n">
        <x:v>94.9</x:v>
      </x:c>
      <x:c r="K2" s="2" t="n">
        <x:v>98</x:v>
      </x:c>
      <x:c r="L2" s="2" t="n">
        <x:v>95</x:v>
      </x:c>
      <x:c r="M2" s="2" t="n">
        <x:v>96</x:v>
      </x:c>
      <x:c r="N2" s="2" t="n">
        <x:v>94</x:v>
      </x:c>
      <x:c r="O2" s="2" t="n">
        <x:v>97</x:v>
      </x:c>
      <x:c r="P2" s="2" t="n">
        <x:v>92</x:v>
      </x:c>
      <x:c r="Q2" s="2" t="n">
        <x:v>8</x:v>
      </x:c>
      <x:c r="R2" s="3" t="str">
        <x:v>https://arxiv.org/abs/2606.01511</x:v>
      </x:c>
      <x:c r="S2" s="3" t="str">
        <x:v>Long branch-set stratification and epsilon-regularity framework for stationary varifolds.</x:v>
      </x:c>
    </x:row>
    <x:row r="3" ht="45" customHeight="1">
      <x:c r="A3" s="2" t="n">
        <x:v>2</x:v>
      </x:c>
      <x:c r="B3" s="3" t="str">
        <x:v>2026-06</x:v>
      </x:c>
      <x:c r="C3" s="3" t="str">
        <x:v>2606.03583</x:v>
      </x:c>
      <x:c r="D3" s="3" t="str">
        <x:v>Closed minimal surfaces of index one in Riemannian manifolds</x:v>
      </x:c>
      <x:c r="E3" s="3" t="str">
        <x:v>Fernando C. Marques; André Neves</x:v>
      </x:c>
      <x:c r="F3" s="3" t="str">
        <x:v>minimal surfaces / min-max</x:v>
      </x:c>
      <x:c r="G3" s="2" t="n">
        <x:v>58</x:v>
      </x:c>
      <x:c r="H3" s="36" t="n">
        <x:v>95.07</x:v>
      </x:c>
      <x:c r="I3" s="36" t="n">
        <x:v>95.25</x:v>
      </x:c>
      <x:c r="J3" s="36" t="n">
        <x:v>94.9</x:v>
      </x:c>
      <x:c r="K3" s="2" t="n">
        <x:v>97</x:v>
      </x:c>
      <x:c r="L3" s="2" t="n">
        <x:v>95</x:v>
      </x:c>
      <x:c r="M3" s="2" t="n">
        <x:v>96</x:v>
      </x:c>
      <x:c r="N3" s="2" t="n">
        <x:v>93</x:v>
      </x:c>
      <x:c r="O3" s="2" t="n">
        <x:v>97</x:v>
      </x:c>
      <x:c r="P3" s="2" t="n">
        <x:v>92</x:v>
      </x:c>
      <x:c r="Q3" s="2" t="n">
        <x:v>8</x:v>
      </x:c>
      <x:c r="R3" s="3" t="str">
        <x:v>https://arxiv.org/abs/2606.03583</x:v>
      </x:c>
      <x:c r="S3" s="3" t="str">
        <x:v>Index-one minimal surface theory by leading min-max authors; high conceptual and technical weight.</x:v>
      </x:c>
    </x:row>
    <x:row r="4" ht="45" customHeight="1">
      <x:c r="A4" s="2" t="n">
        <x:v>3</x:v>
      </x:c>
      <x:c r="B4" s="3" t="str">
        <x:v>2026-06</x:v>
      </x:c>
      <x:c r="C4" s="3" t="str">
        <x:v>2606.12257</x:v>
      </x:c>
      <x:c r="D4" s="3" t="str">
        <x:v>Quantum cohomology and split generation in Lagrangian Floer theory</x:v>
      </x:c>
      <x:c r="E4" s="3" t="str">
        <x:v>Mohammed Abouzaid; Kenji Fukaya; Yong-Geun Oh; Hiroshi Ohta; Kaoru Ono</x:v>
      </x:c>
      <x:c r="F4" s="3" t="str">
        <x:v>Floer theory / symplectic geometry</x:v>
      </x:c>
      <x:c r="G4" s="2" t="n">
        <x:v>333</x:v>
      </x:c>
      <x:c r="H4" s="36" t="n">
        <x:v>94.85</x:v>
      </x:c>
      <x:c r="I4" s="36" t="n">
        <x:v>95</x:v>
      </x:c>
      <x:c r="J4" s="36" t="n">
        <x:v>94.7</x:v>
      </x:c>
      <x:c r="K4" s="2" t="n">
        <x:v>97</x:v>
      </x:c>
      <x:c r="L4" s="2" t="n">
        <x:v>95</x:v>
      </x:c>
      <x:c r="M4" s="2" t="n">
        <x:v>95</x:v>
      </x:c>
      <x:c r="N4" s="2" t="n">
        <x:v>93</x:v>
      </x:c>
      <x:c r="O4" s="2" t="n">
        <x:v>97</x:v>
      </x:c>
      <x:c r="P4" s="2" t="n">
        <x:v>92</x:v>
      </x:c>
      <x:c r="Q4" s="2" t="n">
        <x:v>8</x:v>
      </x:c>
      <x:c r="R4" s="3" t="str">
        <x:v>https://arxiv.org/abs/2606.12257</x:v>
      </x:c>
      <x:c r="S4" s="3" t="str">
        <x:v>Massive foundational Floer-theoretic contribution with strong downstream value.</x:v>
      </x:c>
    </x:row>
    <x:row r="5" ht="45" customHeight="1">
      <x:c r="A5" s="2" t="n">
        <x:v>4</x:v>
      </x:c>
      <x:c r="B5" s="3" t="str">
        <x:v>2026-06</x:v>
      </x:c>
      <x:c r="C5" s="3" t="str">
        <x:v>2606.30098</x:v>
      </x:c>
      <x:c r="D5" s="3" t="str">
        <x:v>Min-Max Construction of Anisotropic Minimal Surfaces with Genus Bound</x:v>
      </x:c>
      <x:c r="E5" s="3" t="str">
        <x:v>Antonio De Rosa; Aria Halavati; Ling Wang</x:v>
      </x:c>
      <x:c r="F5" s="3" t="str">
        <x:v>anisotropic minimal surfaces</x:v>
      </x:c>
      <x:c r="G5" s="2" t="n">
        <x:v>77</x:v>
      </x:c>
      <x:c r="H5" s="36" t="n">
        <x:v>94.38</x:v>
      </x:c>
      <x:c r="I5" s="36" t="n">
        <x:v>94.7</x:v>
      </x:c>
      <x:c r="J5" s="36" t="n">
        <x:v>94.05</x:v>
      </x:c>
      <x:c r="K5" s="2" t="n">
        <x:v>97</x:v>
      </x:c>
      <x:c r="L5" s="2" t="n">
        <x:v>94</x:v>
      </x:c>
      <x:c r="M5" s="2" t="n">
        <x:v>95</x:v>
      </x:c>
      <x:c r="N5" s="2" t="n">
        <x:v>93</x:v>
      </x:c>
      <x:c r="O5" s="2" t="n">
        <x:v>96</x:v>
      </x:c>
      <x:c r="P5" s="2" t="n">
        <x:v>91</x:v>
      </x:c>
      <x:c r="Q5" s="2" t="n">
        <x:v>8</x:v>
      </x:c>
      <x:c r="R5" s="3" t="str">
        <x:v>https://arxiv.org/abs/2606.30098</x:v>
      </x:c>
      <x:c r="S5" s="3" t="str">
        <x:v>Min-max construction with genus control in anisotropic surface theory.</x:v>
      </x:c>
    </x:row>
    <x:row r="6" ht="45" customHeight="1">
      <x:c r="A6" s="2" t="n">
        <x:v>5</x:v>
      </x:c>
      <x:c r="B6" s="3" t="str">
        <x:v>2026-07</x:v>
      </x:c>
      <x:c r="C6" s="3" t="str">
        <x:v>2607.07134</x:v>
      </x:c>
      <x:c r="D6" s="3" t="str">
        <x:v>Naked Singularities beyond Spherical Symmetry: Singular Inner Cauchy Horizons for the Einstein-Scalar Field System</x:v>
      </x:c>
      <x:c r="E6" s="3" t="str">
        <x:v>Xinliang An; Shengrong Wu</x:v>
      </x:c>
      <x:c r="F6" s="3" t="str">
        <x:v>Einstein equations / singularities</x:v>
      </x:c>
      <x:c r="G6" s="2" t="n">
        <x:v>116</x:v>
      </x:c>
      <x:c r="H6" s="36" t="n">
        <x:v>94.35</x:v>
      </x:c>
      <x:c r="I6" s="36" t="n">
        <x:v>94.7</x:v>
      </x:c>
      <x:c r="J6" s="36" t="n">
        <x:v>94</x:v>
      </x:c>
      <x:c r="K6" s="2" t="n">
        <x:v>97</x:v>
      </x:c>
      <x:c r="L6" s="2" t="n">
        <x:v>94</x:v>
      </x:c>
      <x:c r="M6" s="2" t="n">
        <x:v>97</x:v>
      </x:c>
      <x:c r="N6" s="2" t="n">
        <x:v>93</x:v>
      </x:c>
      <x:c r="O6" s="2" t="n">
        <x:v>97</x:v>
      </x:c>
      <x:c r="P6" s="2" t="n">
        <x:v>86</x:v>
      </x:c>
      <x:c r="Q6" s="2" t="n">
        <x:v>8</x:v>
      </x:c>
      <x:c r="R6" s="3" t="str">
        <x:v>https://arxiv.org/abs/2607.07134</x:v>
      </x:c>
      <x:c r="S6" s="3" t="str">
        <x:v>Major GR-PDE construction beyond spherical symmetry; strong geometric analysis relevance.</x:v>
      </x:c>
    </x:row>
    <x:row r="7" ht="45" customHeight="1">
      <x:c r="A7" s="2" t="n">
        <x:v>6</x:v>
      </x:c>
      <x:c r="B7" s="3" t="str">
        <x:v>2026-07</x:v>
      </x:c>
      <x:c r="C7" s="3" t="str">
        <x:v>2607.13356</x:v>
      </x:c>
      <x:c r="D7" s="3" t="str">
        <x:v>Analysis of singularities of area-minimizing currents, Part III: branch points of planar frequency != 2, higher order asymptotics, and the local topology</x:v>
      </x:c>
      <x:c r="E7" s="3" t="str">
        <x:v>Brian Krummel; Neshan Wickramasekera</x:v>
      </x:c>
      <x:c r="F7" s="3" t="str">
        <x:v>minimal currents / singularity theory</x:v>
      </x:c>
      <x:c r="G7" s="2" t="n">
        <x:v>156</x:v>
      </x:c>
      <x:c r="H7" s="36" t="n">
        <x:v>94.35</x:v>
      </x:c>
      <x:c r="I7" s="36" t="n">
        <x:v>94.7</x:v>
      </x:c>
      <x:c r="J7" s="36" t="n">
        <x:v>94</x:v>
      </x:c>
      <x:c r="K7" s="2" t="n">
        <x:v>97</x:v>
      </x:c>
      <x:c r="L7" s="2" t="n">
        <x:v>94</x:v>
      </x:c>
      <x:c r="M7" s="2" t="n">
        <x:v>97</x:v>
      </x:c>
      <x:c r="N7" s="2" t="n">
        <x:v>93</x:v>
      </x:c>
      <x:c r="O7" s="2" t="n">
        <x:v>97</x:v>
      </x:c>
      <x:c r="P7" s="2" t="n">
        <x:v>86</x:v>
      </x:c>
      <x:c r="Q7" s="2" t="n">
        <x:v>8</x:v>
      </x:c>
      <x:c r="R7" s="3" t="str">
        <x:v>https://arxiv.org/abs/2607.13356</x:v>
      </x:c>
      <x:c r="S7" s="3" t="str">
        <x:v>Large-scale regularity/singularity analysis for area-minimizing currents; exceptional human proof complexity.</x:v>
      </x:c>
    </x:row>
    <x:row r="8" ht="45" customHeight="1">
      <x:c r="A8" s="2" t="n">
        <x:v>7</x:v>
      </x:c>
      <x:c r="B8" s="3" t="str">
        <x:v>2026-06</x:v>
      </x:c>
      <x:c r="C8" s="3" t="str">
        <x:v>2606.13335</x:v>
      </x:c>
      <x:c r="D8" s="3" t="str">
        <x:v>Sharp stability of Alexandrov's theorem for C^1 domains in the small-excess regime</x:v>
      </x:c>
      <x:c r="E8" s="3" t="str">
        <x:v>Alessio Figalli; Yi Ru-Ya Zhang</x:v>
      </x:c>
      <x:c r="F8" s="3" t="str">
        <x:v>geometric inequalities / stability</x:v>
      </x:c>
      <x:c r="G8" s="2" t="n">
        <x:v>59</x:v>
      </x:c>
      <x:c r="H8" s="36" t="n">
        <x:v>94.07</x:v>
      </x:c>
      <x:c r="I8" s="36" t="n">
        <x:v>94.4</x:v>
      </x:c>
      <x:c r="J8" s="36" t="n">
        <x:v>93.75</x:v>
      </x:c>
      <x:c r="K8" s="2" t="n">
        <x:v>96</x:v>
      </x:c>
      <x:c r="L8" s="2" t="n">
        <x:v>94</x:v>
      </x:c>
      <x:c r="M8" s="2" t="n">
        <x:v>95</x:v>
      </x:c>
      <x:c r="N8" s="2" t="n">
        <x:v>93</x:v>
      </x:c>
      <x:c r="O8" s="2" t="n">
        <x:v>95</x:v>
      </x:c>
      <x:c r="P8" s="2" t="n">
        <x:v>91</x:v>
      </x:c>
      <x:c r="Q8" s="2" t="n">
        <x:v>8</x:v>
      </x:c>
      <x:c r="R8" s="3" t="str">
        <x:v>https://arxiv.org/abs/2606.13335</x:v>
      </x:c>
      <x:c r="S8" s="3" t="str">
        <x:v>Sharp quantitative stability for Alexandrov-type rigidity.</x:v>
      </x:c>
    </x:row>
    <x:row r="9" ht="45" customHeight="1">
      <x:c r="A9" s="2" t="n">
        <x:v>8</x:v>
      </x:c>
      <x:c r="B9" s="3" t="str">
        <x:v>2026-06</x:v>
      </x:c>
      <x:c r="C9" s="3" t="str">
        <x:v>2606.15795</x:v>
      </x:c>
      <x:c r="D9" s="3" t="str">
        <x:v>Entire area-minimizing surfaces in R^n of density two are quadratic or planar</x:v>
      </x:c>
      <x:c r="E9" s="3" t="str">
        <x:v>Nick Edelen; Luis Atzin Franco Reyna; Paul Minter</x:v>
      </x:c>
      <x:c r="F9" s="3" t="str">
        <x:v>area-minimizing currents</x:v>
      </x:c>
      <x:c r="G9" s="2" t="n">
        <x:v>44</x:v>
      </x:c>
      <x:c r="H9" s="36" t="n">
        <x:v>94.07</x:v>
      </x:c>
      <x:c r="I9" s="36" t="n">
        <x:v>94.4</x:v>
      </x:c>
      <x:c r="J9" s="36" t="n">
        <x:v>93.75</x:v>
      </x:c>
      <x:c r="K9" s="2" t="n">
        <x:v>96</x:v>
      </x:c>
      <x:c r="L9" s="2" t="n">
        <x:v>94</x:v>
      </x:c>
      <x:c r="M9" s="2" t="n">
        <x:v>95</x:v>
      </x:c>
      <x:c r="N9" s="2" t="n">
        <x:v>93</x:v>
      </x:c>
      <x:c r="O9" s="2" t="n">
        <x:v>95</x:v>
      </x:c>
      <x:c r="P9" s="2" t="n">
        <x:v>91</x:v>
      </x:c>
      <x:c r="Q9" s="2" t="n">
        <x:v>8</x:v>
      </x:c>
      <x:c r="R9" s="3" t="str">
        <x:v>https://arxiv.org/abs/2606.15795</x:v>
      </x:c>
      <x:c r="S9" s="3" t="str">
        <x:v>Sharp classification for density-two entire area minimizers.</x:v>
      </x:c>
    </x:row>
    <x:row r="10" ht="45" customHeight="1">
      <x:c r="A10" s="2" t="n">
        <x:v>9</x:v>
      </x:c>
      <x:c r="B10" s="3" t="str">
        <x:v>2026-06</x:v>
      </x:c>
      <x:c r="C10" s="3" t="str">
        <x:v>2606.22355</x:v>
      </x:c>
      <x:c r="D10" s="3" t="str">
        <x:v>Uncountably many non-rotationally symmetric type II ancient Yamabe flows on the sphere</x:v>
      </x:c>
      <x:c r="E10" s="3" t="str">
        <x:v>Haixia Chen; Seunghyeok Kim; Monica Musso</x:v>
      </x:c>
      <x:c r="F10" s="3" t="str">
        <x:v>Yamabe flow / ancient solutions</x:v>
      </x:c>
      <x:c r="G10" s="2" t="str">
        <x:v>-</x:v>
      </x:c>
      <x:c r="H10" s="36" t="n">
        <x:v>94</x:v>
      </x:c>
      <x:c r="I10" s="36" t="n">
        <x:v>94.25</x:v>
      </x:c>
      <x:c r="J10" s="36" t="n">
        <x:v>93.75</x:v>
      </x:c>
      <x:c r="K10" s="2" t="n">
        <x:v>96</x:v>
      </x:c>
      <x:c r="L10" s="2" t="n">
        <x:v>94</x:v>
      </x:c>
      <x:c r="M10" s="2" t="n">
        <x:v>95</x:v>
      </x:c>
      <x:c r="N10" s="2" t="n">
        <x:v>92</x:v>
      </x:c>
      <x:c r="O10" s="2" t="n">
        <x:v>95</x:v>
      </x:c>
      <x:c r="P10" s="2" t="n">
        <x:v>91</x:v>
      </x:c>
      <x:c r="Q10" s="2" t="n">
        <x:v>8</x:v>
      </x:c>
      <x:c r="R10" s="3" t="str">
        <x:v>https://arxiv.org/abs/2606.22355</x:v>
      </x:c>
      <x:c r="S10" s="3" t="str">
        <x:v>Constructs large family of type-II ancient Yamabe flows with symmetry breaking.</x:v>
      </x:c>
    </x:row>
    <x:row r="11" ht="45" customHeight="1">
      <x:c r="A11" s="2" t="n">
        <x:v>10</x:v>
      </x:c>
      <x:c r="B11" s="3" t="str">
        <x:v>2026-07</x:v>
      </x:c>
      <x:c r="C11" s="3" t="str">
        <x:v>2607.15522</x:v>
      </x:c>
      <x:c r="D11" s="3" t="str">
        <x:v>Nonnegative Bakry--Émery Curvature on Bounded-Degree Graphs Implies Volume Doubling and Poincaré Inequalities</x:v>
      </x:c>
      <x:c r="E11" s="3" t="str">
        <x:v>Qi Guo; Xueping Huang; Yi C. Huang</x:v>
      </x:c>
      <x:c r="F11" s="3" t="str">
        <x:v>discrete Bakry-Émery curvature / graph heat flow</x:v>
      </x:c>
      <x:c r="G11" s="2" t="n">
        <x:v>34</x:v>
      </x:c>
      <x:c r="H11" s="36" t="n">
        <x:v>93.65</x:v>
      </x:c>
      <x:c r="I11" s="36" t="n">
        <x:v>94.3</x:v>
      </x:c>
      <x:c r="J11" s="36" t="n">
        <x:v>93</x:v>
      </x:c>
      <x:c r="K11" s="2" t="n">
        <x:v>96</x:v>
      </x:c>
      <x:c r="L11" s="2" t="n">
        <x:v>94</x:v>
      </x:c>
      <x:c r="M11" s="2" t="n">
        <x:v>95</x:v>
      </x:c>
      <x:c r="N11" s="2" t="n">
        <x:v>95</x:v>
      </x:c>
      <x:c r="O11" s="2" t="n">
        <x:v>95</x:v>
      </x:c>
      <x:c r="P11" s="2" t="n">
        <x:v>87</x:v>
      </x:c>
      <x:c r="Q11" s="2" t="n">
        <x:v>9</x:v>
      </x:c>
      <x:c r="R11" s="3" t="str">
        <x:v>https://arxiv.org/abs/2607.15522</x:v>
      </x:c>
      <x:c r="S11" s="3" t="str">
        <x:v>Bounded-degree CD(0,∞) graphs are uniformly volume doubling and satisfy a scale-invariant L2 Poincaré inequality; settles the Cushing-Liu-Peyerimhoff polynomial-growth conjecture in a stronger form.</x:v>
      </x:c>
    </x:row>
    <x:row r="12" ht="45" customHeight="1">
      <x:c r="A12" s="2" t="n">
        <x:v>11</x:v>
      </x:c>
      <x:c r="B12" s="3" t="str">
        <x:v>2026-06</x:v>
      </x:c>
      <x:c r="C12" s="3" t="str">
        <x:v>2606.00964</x:v>
      </x:c>
      <x:c r="D12" s="3" t="str">
        <x:v>Mean convex flows with surgery</x:v>
      </x:c>
      <x:c r="E12" s="3" t="str">
        <x:v>Gabor Szekelyhidi</x:v>
      </x:c>
      <x:c r="F12" s="3" t="str">
        <x:v>mean curvature flow / surgery</x:v>
      </x:c>
      <x:c r="G12" s="2" t="n">
        <x:v>56</x:v>
      </x:c>
      <x:c r="H12" s="36" t="n">
        <x:v>93.55</x:v>
      </x:c>
      <x:c r="I12" s="36" t="n">
        <x:v>93.7</x:v>
      </x:c>
      <x:c r="J12" s="36" t="n">
        <x:v>93.4</x:v>
      </x:c>
      <x:c r="K12" s="2" t="n">
        <x:v>95</x:v>
      </x:c>
      <x:c r="L12" s="2" t="n">
        <x:v>94</x:v>
      </x:c>
      <x:c r="M12" s="2" t="n">
        <x:v>94</x:v>
      </x:c>
      <x:c r="N12" s="2" t="n">
        <x:v>92</x:v>
      </x:c>
      <x:c r="O12" s="2" t="n">
        <x:v>95</x:v>
      </x:c>
      <x:c r="P12" s="2" t="n">
        <x:v>91</x:v>
      </x:c>
      <x:c r="Q12" s="2" t="n">
        <x:v>9</x:v>
      </x:c>
      <x:c r="R12" s="3" t="str">
        <x:v>https://arxiv.org/abs/2606.00964</x:v>
      </x:c>
      <x:c r="S12" s="3" t="str">
        <x:v>Mean-convex MCF with surgery; high technical geometric-flow relevance.</x:v>
      </x:c>
    </x:row>
    <x:row r="13" ht="45" customHeight="1">
      <x:c r="A13" s="2" t="n">
        <x:v>12</x:v>
      </x:c>
      <x:c r="B13" s="3" t="str">
        <x:v>2026-06</x:v>
      </x:c>
      <x:c r="C13" s="3" t="str">
        <x:v>2606.15816</x:v>
      </x:c>
      <x:c r="D13" s="3" t="str">
        <x:v>Kähler-Ricci Flow: from divisors to cusps</x:v>
      </x:c>
      <x:c r="E13" s="3" t="str">
        <x:v>Eleonora Di Nezza; Vincent Guedj; Chinh H. Lu</x:v>
      </x:c>
      <x:c r="F13" s="3" t="str">
        <x:v>Kähler-Ricci flow</x:v>
      </x:c>
      <x:c r="G13" s="2" t="str">
        <x:v>-</x:v>
      </x:c>
      <x:c r="H13" s="36" t="n">
        <x:v>93.55</x:v>
      </x:c>
      <x:c r="I13" s="36" t="n">
        <x:v>93.7</x:v>
      </x:c>
      <x:c r="J13" s="36" t="n">
        <x:v>93.4</x:v>
      </x:c>
      <x:c r="K13" s="2" t="n">
        <x:v>95</x:v>
      </x:c>
      <x:c r="L13" s="2" t="n">
        <x:v>94</x:v>
      </x:c>
      <x:c r="M13" s="2" t="n">
        <x:v>94</x:v>
      </x:c>
      <x:c r="N13" s="2" t="n">
        <x:v>92</x:v>
      </x:c>
      <x:c r="O13" s="2" t="n">
        <x:v>95</x:v>
      </x:c>
      <x:c r="P13" s="2" t="n">
        <x:v>91</x:v>
      </x:c>
      <x:c r="Q13" s="2" t="n">
        <x:v>9</x:v>
      </x:c>
      <x:c r="R13" s="3" t="str">
        <x:v>https://arxiv.org/abs/2606.15816</x:v>
      </x:c>
      <x:c r="S13" s="3" t="str">
        <x:v>Kähler-Ricci flow transition from divisorial to cusp singularities.</x:v>
      </x:c>
    </x:row>
    <x:row r="14" ht="45" customHeight="1">
      <x:c r="A14" s="2" t="n">
        <x:v>13</x:v>
      </x:c>
      <x:c r="B14" s="3" t="str">
        <x:v>2026-08</x:v>
      </x:c>
      <x:c r="C14" s="3" t="str">
        <x:v>2608.07240</x:v>
      </x:c>
      <x:c r="D14" s="3" t="str">
        <x:v>Critical Geller Equations on Complex Hyperbolic Space: Nondegeneracy, Geodesic Symmetry, and Global Compactness</x:v>
      </x:c>
      <x:c r="E14" s="3" t="str">
        <x:v>Jungang Li</x:v>
      </x:c>
      <x:c r="F14" s="3" t="str">
        <x:v>critical Geller equations / complex hyperbolic geometry</x:v>
      </x:c>
      <x:c r="G14" s="2" t="n">
        <x:v>59</x:v>
      </x:c>
      <x:c r="H14" s="36" t="n">
        <x:v>93.45</x:v>
      </x:c>
      <x:c r="I14" s="36" t="n">
        <x:v>94</x:v>
      </x:c>
      <x:c r="J14" s="36" t="n">
        <x:v>92.9</x:v>
      </x:c>
      <x:c r="K14" s="2" t="n">
        <x:v>95</x:v>
      </x:c>
      <x:c r="L14" s="2" t="n">
        <x:v>94</x:v>
      </x:c>
      <x:c r="M14" s="2" t="n">
        <x:v>96</x:v>
      </x:c>
      <x:c r="N14" s="2" t="n">
        <x:v>94</x:v>
      </x:c>
      <x:c r="O14" s="2" t="n">
        <x:v>95</x:v>
      </x:c>
      <x:c r="P14" s="2" t="n">
        <x:v>86</x:v>
      </x:c>
      <x:c r="Q14" s="2" t="n">
        <x:v>10</x:v>
      </x:c>
      <x:c r="R14" s="3" t="str">
        <x:v>https://arxiv.org/abs/2608.07240</x:v>
      </x:c>
      <x:c r="S14" s="3" t="str">
        <x:v>Builds a broad critical Geller/Brezis-Nirenberg theory: sharp constants and classification, invariant-sector profiles and stability, nondegeneracy, compactness, symmetry, asymptotics, and perturbative existence.</x:v>
      </x:c>
    </x:row>
    <x:row r="15" ht="45" customHeight="1">
      <x:c r="A15" s="2" t="n">
        <x:v>14</x:v>
      </x:c>
      <x:c r="B15" s="3" t="str">
        <x:v>2026-06</x:v>
      </x:c>
      <x:c r="C15" s="3" t="str">
        <x:v>2606.30130</x:v>
      </x:c>
      <x:c r="D15" s="3" t="str">
        <x:v>Gromov's dihedral rigidity conjecture in dimension three</x:v>
      </x:c>
      <x:c r="E15" s="3" t="str">
        <x:v>Jinmin Wang; Zhizhang Xie; Guoliang Yu</x:v>
      </x:c>
      <x:c r="F15" s="3" t="str">
        <x:v>scalar curvature / rigidity</x:v>
      </x:c>
      <x:c r="G15" s="2" t="n">
        <x:v>74</x:v>
      </x:c>
      <x:c r="H15" s="36" t="n">
        <x:v>93.38</x:v>
      </x:c>
      <x:c r="I15" s="36" t="n">
        <x:v>93.7</x:v>
      </x:c>
      <x:c r="J15" s="36" t="n">
        <x:v>93.05</x:v>
      </x:c>
      <x:c r="K15" s="2" t="n">
        <x:v>96</x:v>
      </x:c>
      <x:c r="L15" s="2" t="n">
        <x:v>93</x:v>
      </x:c>
      <x:c r="M15" s="2" t="n">
        <x:v>94</x:v>
      </x:c>
      <x:c r="N15" s="2" t="n">
        <x:v>92</x:v>
      </x:c>
      <x:c r="O15" s="2" t="n">
        <x:v>95</x:v>
      </x:c>
      <x:c r="P15" s="2" t="n">
        <x:v>90</x:v>
      </x:c>
      <x:c r="Q15" s="2" t="n">
        <x:v>9</x:v>
      </x:c>
      <x:c r="R15" s="3" t="str">
        <x:v>https://arxiv.org/abs/2606.30130</x:v>
      </x:c>
      <x:c r="S15" s="3" t="str">
        <x:v>Major scalar-curvature rigidity conjecture in dimension three.</x:v>
      </x:c>
    </x:row>
    <x:row r="16" ht="45" customHeight="1">
      <x:c r="A16" s="2" t="n">
        <x:v>15</x:v>
      </x:c>
      <x:c r="B16" s="3" t="str">
        <x:v>2026-07</x:v>
      </x:c>
      <x:c r="C16" s="3" t="str">
        <x:v>2607.03152</x:v>
      </x:c>
      <x:c r="D16" s="3" t="str">
        <x:v>Finite-Time Singularities of Lagrangian Mean Curvature Flow with Quantitatively Precise Dynamics</x:v>
      </x:c>
      <x:c r="E16" s="3" t="str">
        <x:v>Maxwell Stolarski; Wei-Bo Su</x:v>
      </x:c>
      <x:c r="F16" s="3" t="str">
        <x:v>Lagrangian mean curvature flow</x:v>
      </x:c>
      <x:c r="G16" s="2" t="n">
        <x:v>110</x:v>
      </x:c>
      <x:c r="H16" s="36" t="n">
        <x:v>93.325</x:v>
      </x:c>
      <x:c r="I16" s="36" t="n">
        <x:v>93.5</x:v>
      </x:c>
      <x:c r="J16" s="36" t="n">
        <x:v>93.15</x:v>
      </x:c>
      <x:c r="K16" s="2" t="n">
        <x:v>95</x:v>
      </x:c>
      <x:c r="L16" s="2" t="n">
        <x:v>93</x:v>
      </x:c>
      <x:c r="M16" s="2" t="n">
        <x:v>96</x:v>
      </x:c>
      <x:c r="N16" s="2" t="n">
        <x:v>92</x:v>
      </x:c>
      <x:c r="O16" s="2" t="n">
        <x:v>96</x:v>
      </x:c>
      <x:c r="P16" s="2" t="n">
        <x:v>86</x:v>
      </x:c>
      <x:c r="Q16" s="2" t="n">
        <x:v>9</x:v>
      </x:c>
      <x:c r="R16" s="3" t="str">
        <x:v>https://arxiv.org/abs/2607.03152</x:v>
      </x:c>
      <x:c r="S16" s="3" t="str">
        <x:v>Quantitative singularity dynamics for Lagrangian MCF; technically deep and reusable.</x:v>
      </x:c>
    </x:row>
    <x:row r="17" ht="45" customHeight="1">
      <x:c r="A17" s="2" t="n">
        <x:v>16</x:v>
      </x:c>
      <x:c r="B17" s="3" t="str">
        <x:v>2026-07</x:v>
      </x:c>
      <x:c r="C17" s="3" t="str">
        <x:v>2607.03383</x:v>
      </x:c>
      <x:c r="D17" s="3" t="str">
        <x:v>Unique asymptotics of SO(k)xSO(n-k+1) symmetric ancient ovals of Ricci flow</x:v>
      </x:c>
      <x:c r="E17" s="3" t="str">
        <x:v>Panagiota Daskalopoulos; Wenkui Du; Natasa Sesum; Ziyi Zhao</x:v>
      </x:c>
      <x:c r="F17" s="3" t="str">
        <x:v>Ricci flow / ancient solutions</x:v>
      </x:c>
      <x:c r="G17" s="2" t="n">
        <x:v>78</x:v>
      </x:c>
      <x:c r="H17" s="36" t="n">
        <x:v>93.325</x:v>
      </x:c>
      <x:c r="I17" s="36" t="n">
        <x:v>93.5</x:v>
      </x:c>
      <x:c r="J17" s="36" t="n">
        <x:v>93.15</x:v>
      </x:c>
      <x:c r="K17" s="2" t="n">
        <x:v>95</x:v>
      </x:c>
      <x:c r="L17" s="2" t="n">
        <x:v>93</x:v>
      </x:c>
      <x:c r="M17" s="2" t="n">
        <x:v>96</x:v>
      </x:c>
      <x:c r="N17" s="2" t="n">
        <x:v>92</x:v>
      </x:c>
      <x:c r="O17" s="2" t="n">
        <x:v>96</x:v>
      </x:c>
      <x:c r="P17" s="2" t="n">
        <x:v>86</x:v>
      </x:c>
      <x:c r="Q17" s="2" t="n">
        <x:v>9</x:v>
      </x:c>
      <x:c r="R17" s="3" t="str">
        <x:v>https://arxiv.org/abs/2607.03383</x:v>
      </x:c>
      <x:c r="S17" s="3" t="str">
        <x:v>Ancient Ricci-flow asymptotics by leading flow techniques; high geometric PDE value.</x:v>
      </x:c>
    </x:row>
    <x:row r="18" ht="45" customHeight="1">
      <x:c r="A18" s="2" t="n">
        <x:v>17</x:v>
      </x:c>
      <x:c r="B18" s="3" t="str">
        <x:v>2026-07</x:v>
      </x:c>
      <x:c r="C18" s="3" t="str">
        <x:v>2607.11236</x:v>
      </x:c>
      <x:c r="D18" s="3" t="str">
        <x:v>Formation of Trapped Surfaces from Spacelike Initial Data</x:v>
      </x:c>
      <x:c r="E18" s="3" t="str">
        <x:v>Xuantao Chen; Sergiu Klainerman</x:v>
      </x:c>
      <x:c r="F18" s="3" t="str">
        <x:v>general relativity / trapped surfaces</x:v>
      </x:c>
      <x:c r="G18" s="2" t="str">
        <x:v>-</x:v>
      </x:c>
      <x:c r="H18" s="36" t="n">
        <x:v>93.325</x:v>
      </x:c>
      <x:c r="I18" s="36" t="n">
        <x:v>93.5</x:v>
      </x:c>
      <x:c r="J18" s="36" t="n">
        <x:v>93.15</x:v>
      </x:c>
      <x:c r="K18" s="2" t="n">
        <x:v>95</x:v>
      </x:c>
      <x:c r="L18" s="2" t="n">
        <x:v>93</x:v>
      </x:c>
      <x:c r="M18" s="2" t="n">
        <x:v>96</x:v>
      </x:c>
      <x:c r="N18" s="2" t="n">
        <x:v>92</x:v>
      </x:c>
      <x:c r="O18" s="2" t="n">
        <x:v>96</x:v>
      </x:c>
      <x:c r="P18" s="2" t="n">
        <x:v>86</x:v>
      </x:c>
      <x:c r="Q18" s="2" t="n">
        <x:v>9</x:v>
      </x:c>
      <x:c r="R18" s="3" t="str">
        <x:v>https://arxiv.org/abs/2607.11236</x:v>
      </x:c>
      <x:c r="S18" s="3" t="str">
        <x:v>High-value trapped-surface formation result; long nonlinear geometric PDE proof architecture.</x:v>
      </x:c>
    </x:row>
    <x:row r="19" ht="45" customHeight="1">
      <x:c r="A19" s="2" t="n">
        <x:v>18</x:v>
      </x:c>
      <x:c r="B19" s="3" t="str">
        <x:v>2026-08</x:v>
      </x:c>
      <x:c r="C19" s="3" t="str">
        <x:v>2608.05128</x:v>
      </x:c>
      <x:c r="D19" s="3" t="str">
        <x:v>Large mass limits of G_2 and Calabi-Yau monopoles: calibrated concentration, Higgs zeros, and abelianization</x:v>
      </x:c>
      <x:c r="E19" s="3" t="str">
        <x:v>Daniel Fadel; Gonçalo Oliveira</x:v>
      </x:c>
      <x:c r="F19" s="3" t="str">
        <x:v>G2/CY monopoles / calibrated geometry</x:v>
      </x:c>
      <x:c r="G19" s="2" t="n">
        <x:v>148</x:v>
      </x:c>
      <x:c r="H19" s="36" t="n">
        <x:v>93.325</x:v>
      </x:c>
      <x:c r="I19" s="36" t="n">
        <x:v>93.5</x:v>
      </x:c>
      <x:c r="J19" s="36" t="n">
        <x:v>93.15</x:v>
      </x:c>
      <x:c r="K19" s="2" t="n">
        <x:v>95</x:v>
      </x:c>
      <x:c r="L19" s="2" t="n">
        <x:v>93</x:v>
      </x:c>
      <x:c r="M19" s="2" t="n">
        <x:v>96</x:v>
      </x:c>
      <x:c r="N19" s="2" t="n">
        <x:v>92</x:v>
      </x:c>
      <x:c r="O19" s="2" t="n">
        <x:v>96</x:v>
      </x:c>
      <x:c r="P19" s="2" t="n">
        <x:v>86</x:v>
      </x:c>
      <x:c r="Q19" s="2" t="n">
        <x:v>9</x:v>
      </x:c>
      <x:c r="R19" s="3" t="str">
        <x:v>https://arxiv.org/abs/2608.05128</x:v>
      </x:c>
      <x:c r="S19" s="3" t="str">
        <x:v>Very large gauge/calibrated-geometry work; high human proof burden and structural value.</x:v>
      </x:c>
    </x:row>
    <x:row r="20" ht="45" customHeight="1">
      <x:c r="A20" s="2" t="n">
        <x:v>19</x:v>
      </x:c>
      <x:c r="B20" s="3" t="str">
        <x:v>2026-06</x:v>
      </x:c>
      <x:c r="C20" s="3" t="str">
        <x:v>2606.29135</x:v>
      </x:c>
      <x:c r="D20" s="3" t="str">
        <x:v>Gromov's Simplicial Volume Vanishing Conjecture for Positive Scalar Curvature and Fundamental Group Decay</x:v>
      </x:c>
      <x:c r="E20" s="3" t="str">
        <x:v>Qiaochu Ma; Guoliang Yu</x:v>
      </x:c>
      <x:c r="F20" s="3" t="str">
        <x:v>positive scalar curvature / K-theory</x:v>
      </x:c>
      <x:c r="G20" s="2" t="n">
        <x:v>27</x:v>
      </x:c>
      <x:c r="H20" s="36" t="n">
        <x:v>93.15</x:v>
      </x:c>
      <x:c r="I20" s="36" t="n">
        <x:v>93.25</x:v>
      </x:c>
      <x:c r="J20" s="36" t="n">
        <x:v>93.05</x:v>
      </x:c>
      <x:c r="K20" s="2" t="n">
        <x:v>95</x:v>
      </x:c>
      <x:c r="L20" s="2" t="n">
        <x:v>93</x:v>
      </x:c>
      <x:c r="M20" s="2" t="n">
        <x:v>94</x:v>
      </x:c>
      <x:c r="N20" s="2" t="n">
        <x:v>91</x:v>
      </x:c>
      <x:c r="O20" s="2" t="n">
        <x:v>95</x:v>
      </x:c>
      <x:c r="P20" s="2" t="n">
        <x:v>90</x:v>
      </x:c>
      <x:c r="Q20" s="2" t="n">
        <x:v>9</x:v>
      </x:c>
      <x:c r="R20" s="3" t="str">
        <x:v>https://arxiv.org/abs/2606.29135</x:v>
      </x:c>
      <x:c r="S20" s="3" t="str">
        <x:v>Important PSC-topology result toward Gromov-type vanishing conjectures.</x:v>
      </x:c>
    </x:row>
    <x:row r="21" ht="45" customHeight="1">
      <x:c r="A21" s="2" t="n">
        <x:v>20</x:v>
      </x:c>
      <x:c r="B21" s="3" t="str">
        <x:v>2026-06</x:v>
      </x:c>
      <x:c r="C21" s="3" t="str">
        <x:v>2606.21062</x:v>
      </x:c>
      <x:c r="D21" s="3" t="str">
        <x:v>The prescribed Hermitian-Yang-Mills flow I</x:v>
      </x:c>
      <x:c r="E21" s="3" t="str">
        <x:v>Zhiyao Xiong; Xiaokui Yang; Shing-Tung Yau</x:v>
      </x:c>
      <x:c r="F21" s="3" t="str">
        <x:v>Hermitian-Yang-Mills flow</x:v>
      </x:c>
      <x:c r="G21" s="2" t="str">
        <x:v>-</x:v>
      </x:c>
      <x:c r="H21" s="36" t="n">
        <x:v>93.07</x:v>
      </x:c>
      <x:c r="I21" s="36" t="n">
        <x:v>93.4</x:v>
      </x:c>
      <x:c r="J21" s="36" t="n">
        <x:v>92.75</x:v>
      </x:c>
      <x:c r="K21" s="2" t="n">
        <x:v>95</x:v>
      </x:c>
      <x:c r="L21" s="2" t="n">
        <x:v>93</x:v>
      </x:c>
      <x:c r="M21" s="2" t="n">
        <x:v>94</x:v>
      </x:c>
      <x:c r="N21" s="2" t="n">
        <x:v>92</x:v>
      </x:c>
      <x:c r="O21" s="2" t="n">
        <x:v>94</x:v>
      </x:c>
      <x:c r="P21" s="2" t="n">
        <x:v>90</x:v>
      </x:c>
      <x:c r="Q21" s="2" t="n">
        <x:v>9</x:v>
      </x:c>
      <x:c r="R21" s="3" t="str">
        <x:v>https://arxiv.org/abs/2606.21062</x:v>
      </x:c>
      <x:c r="S21" s="3" t="str">
        <x:v>First part of prescribed HYM flow program; strong complex differential geometry content.</x:v>
      </x:c>
    </x:row>
    <x:row r="22" ht="45" customHeight="1">
      <x:c r="A22" s="2" t="n">
        <x:v>21</x:v>
      </x:c>
      <x:c r="B22" s="3" t="str">
        <x:v>2026-06</x:v>
      </x:c>
      <x:c r="C22" s="3" t="str">
        <x:v>2606.21073</x:v>
      </x:c>
      <x:c r="D22" s="3" t="str">
        <x:v>The prescribed Hermitian-Yang-Mills flow II</x:v>
      </x:c>
      <x:c r="E22" s="3" t="str">
        <x:v>Zhiyao Xiong; Xiaokui Yang; Shing-Tung Yau</x:v>
      </x:c>
      <x:c r="F22" s="3" t="str">
        <x:v>Hermitian-Yang-Mills flow</x:v>
      </x:c>
      <x:c r="G22" s="2" t="str">
        <x:v>-</x:v>
      </x:c>
      <x:c r="H22" s="36" t="n">
        <x:v>93.07</x:v>
      </x:c>
      <x:c r="I22" s="36" t="n">
        <x:v>93.4</x:v>
      </x:c>
      <x:c r="J22" s="36" t="n">
        <x:v>92.75</x:v>
      </x:c>
      <x:c r="K22" s="2" t="n">
        <x:v>95</x:v>
      </x:c>
      <x:c r="L22" s="2" t="n">
        <x:v>93</x:v>
      </x:c>
      <x:c r="M22" s="2" t="n">
        <x:v>94</x:v>
      </x:c>
      <x:c r="N22" s="2" t="n">
        <x:v>92</x:v>
      </x:c>
      <x:c r="O22" s="2" t="n">
        <x:v>94</x:v>
      </x:c>
      <x:c r="P22" s="2" t="n">
        <x:v>90</x:v>
      </x:c>
      <x:c r="Q22" s="2" t="n">
        <x:v>9</x:v>
      </x:c>
      <x:c r="R22" s="3" t="str">
        <x:v>https://arxiv.org/abs/2606.21073</x:v>
      </x:c>
      <x:c r="S22" s="3" t="str">
        <x:v>Second part of prescribed HYM flow program; complements Part I.</x:v>
      </x:c>
    </x:row>
    <x:row r="23" ht="45" customHeight="1">
      <x:c r="A23" s="2" t="n">
        <x:v>22</x:v>
      </x:c>
      <x:c r="B23" s="3" t="str">
        <x:v>2026-08</x:v>
      </x:c>
      <x:c r="C23" s="3" t="str">
        <x:v>2608.06320</x:v>
      </x:c>
      <x:c r="D23" s="3" t="str">
        <x:v>Dihedral Rigidity for Convex Polytopes by Smooth Approximation</x:v>
      </x:c>
      <x:c r="E23" s="3" t="str">
        <x:v>Yuchen Bi</x:v>
      </x:c>
      <x:c r="F23" s="3" t="str">
        <x:v>polytope dihedral rigidity</x:v>
      </x:c>
      <x:c r="G23" s="2" t="n">
        <x:v>18</x:v>
      </x:c>
      <x:c r="H23" s="36" t="n">
        <x:v>93</x:v>
      </x:c>
      <x:c r="I23" s="36" t="n">
        <x:v>93.55</x:v>
      </x:c>
      <x:c r="J23" s="36" t="n">
        <x:v>92.45</x:v>
      </x:c>
      <x:c r="K23" s="2" t="n">
        <x:v>96</x:v>
      </x:c>
      <x:c r="L23" s="2" t="n">
        <x:v>93</x:v>
      </x:c>
      <x:c r="M23" s="2" t="n">
        <x:v>94</x:v>
      </x:c>
      <x:c r="N23" s="2" t="n">
        <x:v>93</x:v>
      </x:c>
      <x:c r="O23" s="2" t="n">
        <x:v>94</x:v>
      </x:c>
      <x:c r="P23" s="2" t="n">
        <x:v>87</x:v>
      </x:c>
      <x:c r="Q23" s="2" t="n">
        <x:v>8</x:v>
      </x:c>
      <x:c r="R23" s="3" t="str">
        <x:v>https://arxiv.org/abs/2608.06320</x:v>
      </x:c>
      <x:c r="S23" s="3" t="str">
        <x:v>Smooth-approximation proof of Gromov's dihedral rigidity conjecture for convex polytopes.</x:v>
      </x:c>
    </x:row>
    <x:row r="24" ht="45" customHeight="1">
      <x:c r="A24" s="2" t="n">
        <x:v>23</x:v>
      </x:c>
      <x:c r="B24" s="3" t="str">
        <x:v>2026-08</x:v>
      </x:c>
      <x:c r="C24" s="3" t="str">
        <x:v>2608.07231</x:v>
      </x:c>
      <x:c r="D24" s="3" t="str">
        <x:v>Liouville Rigidity for Entire Strictly Spacelike Solutions of a Lorentzian Prescribed Mean Curvature Equation</x:v>
      </x:c>
      <x:c r="E24" s="3" t="str">
        <x:v>Xi-Nan Ma; Tian Wu; Wangzhe Wu; Bao Yu</x:v>
      </x:c>
      <x:c r="F24" s="3" t="str">
        <x:v>Lorentzian prescribed mean curvature / Liouville rigidity</x:v>
      </x:c>
      <x:c r="G24" s="2" t="n">
        <x:v>25</x:v>
      </x:c>
      <x:c r="H24" s="36" t="n">
        <x:v>92.725</x:v>
      </x:c>
      <x:c r="I24" s="36" t="n">
        <x:v>92.95</x:v>
      </x:c>
      <x:c r="J24" s="36" t="n">
        <x:v>92.5</x:v>
      </x:c>
      <x:c r="K24" s="2" t="n">
        <x:v>94</x:v>
      </x:c>
      <x:c r="L24" s="2" t="n">
        <x:v>93</x:v>
      </x:c>
      <x:c r="M24" s="2" t="n">
        <x:v>95</x:v>
      </x:c>
      <x:c r="N24" s="2" t="n">
        <x:v>92</x:v>
      </x:c>
      <x:c r="O24" s="2" t="n">
        <x:v>95</x:v>
      </x:c>
      <x:c r="P24" s="2" t="n">
        <x:v>86</x:v>
      </x:c>
      <x:c r="Q24" s="2" t="n">
        <x:v>10</x:v>
      </x:c>
      <x:c r="R24" s="3" t="str">
        <x:v>https://arxiv.org/abs/2608.07231</x:v>
      </x:c>
      <x:c r="S24" s="3" t="str">
        <x:v>Removes radial, decay, integrability, and uniform-gap assumptions in a subcritical Lorentzian prescribed-mean-curvature Liouville problem, using global Lorentz-factor bounds and new weighted tensor identities.</x:v>
      </x:c>
    </x:row>
    <x:row r="25" ht="45" customHeight="1">
      <x:c r="A25" s="2" t="n">
        <x:v>24</x:v>
      </x:c>
      <x:c r="B25" s="3" t="str">
        <x:v>2026-06</x:v>
      </x:c>
      <x:c r="C25" s="3" t="str">
        <x:v>2606.13301</x:v>
      </x:c>
      <x:c r="D25" s="3" t="str">
        <x:v>Gromov-Hausdorff convergence of time-slices of singular Ricci flows in dimension three</x:v>
      </x:c>
      <x:c r="E25" s="3" t="str">
        <x:v>Yu Li</x:v>
      </x:c>
      <x:c r="F25" s="3" t="str">
        <x:v>singular Ricci flow</x:v>
      </x:c>
      <x:c r="G25" s="2" t="str">
        <x:v>-</x:v>
      </x:c>
      <x:c r="H25" s="36" t="n">
        <x:v>92.62</x:v>
      </x:c>
      <x:c r="I25" s="36" t="n">
        <x:v>92.7</x:v>
      </x:c>
      <x:c r="J25" s="36" t="n">
        <x:v>92.55</x:v>
      </x:c>
      <x:c r="K25" s="2" t="n">
        <x:v>94</x:v>
      </x:c>
      <x:c r="L25" s="2" t="n">
        <x:v>93</x:v>
      </x:c>
      <x:c r="M25" s="2" t="n">
        <x:v>93</x:v>
      </x:c>
      <x:c r="N25" s="2" t="n">
        <x:v>91</x:v>
      </x:c>
      <x:c r="O25" s="2" t="n">
        <x:v>94</x:v>
      </x:c>
      <x:c r="P25" s="2" t="n">
        <x:v>90</x:v>
      </x:c>
      <x:c r="Q25" s="2" t="n">
        <x:v>9</x:v>
      </x:c>
      <x:c r="R25" s="3" t="str">
        <x:v>https://arxiv.org/abs/2606.13301</x:v>
      </x:c>
      <x:c r="S25" s="3" t="str">
        <x:v>GH convergence analysis for singular 3D Ricci flows.</x:v>
      </x:c>
    </x:row>
    <x:row r="26" ht="45" customHeight="1">
      <x:c r="A26" s="2" t="n">
        <x:v>25</x:v>
      </x:c>
      <x:c r="B26" s="3" t="str">
        <x:v>2026-06</x:v>
      </x:c>
      <x:c r="C26" s="3" t="str">
        <x:v>2606.21541</x:v>
      </x:c>
      <x:c r="D26" s="3" t="str">
        <x:v>Spectral Analysis for Finite-Time Singularities of Lagrangian Mean Curvature Flow</x:v>
      </x:c>
      <x:c r="E26" s="3" t="str">
        <x:v>Maxwell Stolarski; Wei-Bo Su</x:v>
      </x:c>
      <x:c r="F26" s="3" t="str">
        <x:v>Lagrangian MCF</x:v>
      </x:c>
      <x:c r="G26" s="2" t="n">
        <x:v>64</x:v>
      </x:c>
      <x:c r="H26" s="36" t="n">
        <x:v>92.62</x:v>
      </x:c>
      <x:c r="I26" s="36" t="n">
        <x:v>92.7</x:v>
      </x:c>
      <x:c r="J26" s="36" t="n">
        <x:v>92.55</x:v>
      </x:c>
      <x:c r="K26" s="2" t="n">
        <x:v>94</x:v>
      </x:c>
      <x:c r="L26" s="2" t="n">
        <x:v>93</x:v>
      </x:c>
      <x:c r="M26" s="2" t="n">
        <x:v>93</x:v>
      </x:c>
      <x:c r="N26" s="2" t="n">
        <x:v>91</x:v>
      </x:c>
      <x:c r="O26" s="2" t="n">
        <x:v>94</x:v>
      </x:c>
      <x:c r="P26" s="2" t="n">
        <x:v>90</x:v>
      </x:c>
      <x:c r="Q26" s="2" t="n">
        <x:v>9</x:v>
      </x:c>
      <x:c r="R26" s="3" t="str">
        <x:v>https://arxiv.org/abs/2606.21541</x:v>
      </x:c>
      <x:c r="S26" s="3" t="str">
        <x:v>Spectral analysis around finite-time singularity models in Lagrangian MCF.</x:v>
      </x:c>
    </x:row>
    <x:row r="27" ht="45" customHeight="1">
      <x:c r="A27" s="2" t="n">
        <x:v>26</x:v>
      </x:c>
      <x:c r="B27" s="3" t="str">
        <x:v>2026-08</x:v>
      </x:c>
      <x:c r="C27" s="3" t="str">
        <x:v>2608.03575</x:v>
      </x:c>
      <x:c r="D27" s="3" t="str">
        <x:v>A Gauss-Bonnet-Type Dichotomy for Unimodular Random Infinite Trivalent Hyperbolic Polyhedra</x:v>
      </x:c>
      <x:c r="E27" s="3" t="str">
        <x:v>Huabin Ge; Yangxiang Lu; Chuwen Wang; Tian Zhou</x:v>
      </x:c>
      <x:c r="F27" s="3" t="str">
        <x:v>random hyperbolic polyhedra / circle patterns</x:v>
      </x:c>
      <x:c r="G27" s="2" t="n">
        <x:v>39</x:v>
      </x:c>
      <x:c r="H27" s="36" t="n">
        <x:v>92.5</x:v>
      </x:c>
      <x:c r="I27" s="36" t="n">
        <x:v>92.9</x:v>
      </x:c>
      <x:c r="J27" s="36" t="n">
        <x:v>92.1</x:v>
      </x:c>
      <x:c r="K27" s="2" t="n">
        <x:v>93</x:v>
      </x:c>
      <x:c r="L27" s="2" t="n">
        <x:v>95</x:v>
      </x:c>
      <x:c r="M27" s="2" t="n">
        <x:v>94</x:v>
      </x:c>
      <x:c r="N27" s="2" t="n">
        <x:v>94</x:v>
      </x:c>
      <x:c r="O27" s="2" t="n">
        <x:v>94</x:v>
      </x:c>
      <x:c r="P27" s="2" t="n">
        <x:v>84</x:v>
      </x:c>
      <x:c r="Q27" s="2" t="n">
        <x:v>10</x:v>
      </x:c>
      <x:c r="R27" s="3" t="str">
        <x:v>https://arxiv.org/abs/2608.03575</x:v>
      </x:c>
      <x:c r="S27" s="3" t="str">
        <x:v>Unimodular Gauss-Bonnet dichotomy, finite-limit obstruction, a refined ring lemma, Poisson-boundary identification, and positive hyperbolic speed.</x:v>
      </x:c>
    </x:row>
    <x:row r="28" ht="45" customHeight="1">
      <x:c r="A28" s="2" t="n">
        <x:v>27</x:v>
      </x:c>
      <x:c r="B28" s="3" t="str">
        <x:v>2026-07</x:v>
      </x:c>
      <x:c r="C28" s="3" t="str">
        <x:v>2607.03930</x:v>
      </x:c>
      <x:c r="D28" s="3" t="str">
        <x:v>De Giorgi varifold solutions to Mean Curvature Flow: a minimizing movements approach</x:v>
      </x:c>
      <x:c r="E28" s="3" t="str">
        <x:v>Tim Laux; Andrea Poiatti</x:v>
      </x:c>
      <x:c r="F28" s="3" t="str">
        <x:v>mean curvature flow / varifolds</x:v>
      </x:c>
      <x:c r="G28" s="2" t="str">
        <x:v>-</x:v>
      </x:c>
      <x:c r="H28" s="36" t="n">
        <x:v>92.45</x:v>
      </x:c>
      <x:c r="I28" s="36" t="n">
        <x:v>92.6</x:v>
      </x:c>
      <x:c r="J28" s="36" t="n">
        <x:v>92.3</x:v>
      </x:c>
      <x:c r="K28" s="2" t="n">
        <x:v>94</x:v>
      </x:c>
      <x:c r="L28" s="2" t="n">
        <x:v>92</x:v>
      </x:c>
      <x:c r="M28" s="2" t="n">
        <x:v>95</x:v>
      </x:c>
      <x:c r="N28" s="2" t="n">
        <x:v>91</x:v>
      </x:c>
      <x:c r="O28" s="2" t="n">
        <x:v>95</x:v>
      </x:c>
      <x:c r="P28" s="2" t="n">
        <x:v>86</x:v>
      </x:c>
      <x:c r="Q28" s="2" t="n">
        <x:v>10</x:v>
      </x:c>
      <x:c r="R28" s="3" t="str">
        <x:v>https://arxiv.org/abs/2607.03930</x:v>
      </x:c>
      <x:c r="S28" s="3" t="str">
        <x:v>Variational weak solution framework for MCF; high method transfer potential.</x:v>
      </x:c>
    </x:row>
    <x:row r="29" ht="45" customHeight="1">
      <x:c r="A29" s="2" t="n">
        <x:v>28</x:v>
      </x:c>
      <x:c r="B29" s="3" t="str">
        <x:v>2026-07</x:v>
      </x:c>
      <x:c r="C29" s="3" t="str">
        <x:v>2607.06688</x:v>
      </x:c>
      <x:c r="D29" s="3" t="str">
        <x:v>Poisson K-stability and the semiclassical Yau-Tian-Donaldson correspondence</x:v>
      </x:c>
      <x:c r="E29" s="3" t="str">
        <x:v>Vestislav Apostolov; Brent Pym; Jeffrey Streets</x:v>
      </x:c>
      <x:c r="F29" s="3" t="str">
        <x:v>Poisson K-stability / YTD</x:v>
      </x:c>
      <x:c r="G29" s="2" t="str">
        <x:v>-</x:v>
      </x:c>
      <x:c r="H29" s="36" t="n">
        <x:v>92.45</x:v>
      </x:c>
      <x:c r="I29" s="36" t="n">
        <x:v>92.6</x:v>
      </x:c>
      <x:c r="J29" s="36" t="n">
        <x:v>92.3</x:v>
      </x:c>
      <x:c r="K29" s="2" t="n">
        <x:v>94</x:v>
      </x:c>
      <x:c r="L29" s="2" t="n">
        <x:v>92</x:v>
      </x:c>
      <x:c r="M29" s="2" t="n">
        <x:v>95</x:v>
      </x:c>
      <x:c r="N29" s="2" t="n">
        <x:v>91</x:v>
      </x:c>
      <x:c r="O29" s="2" t="n">
        <x:v>95</x:v>
      </x:c>
      <x:c r="P29" s="2" t="n">
        <x:v>86</x:v>
      </x:c>
      <x:c r="Q29" s="2" t="n">
        <x:v>10</x:v>
      </x:c>
      <x:c r="R29" s="3" t="str">
        <x:v>https://arxiv.org/abs/2607.06688</x:v>
      </x:c>
      <x:c r="S29" s="3" t="str">
        <x:v>Connects K-stability/YTD ideas with Poisson geometry; high conceptual breadth.</x:v>
      </x:c>
    </x:row>
    <x:row r="30" ht="45" customHeight="1">
      <x:c r="A30" s="2" t="n">
        <x:v>29</x:v>
      </x:c>
      <x:c r="B30" s="3" t="str">
        <x:v>2026-07</x:v>
      </x:c>
      <x:c r="C30" s="3" t="str">
        <x:v>2607.20741</x:v>
      </x:c>
      <x:c r="D30" s="3" t="str">
        <x:v>The Penrose conjecture for initial data sets satisfying a 2-convexity condition</x:v>
      </x:c>
      <x:c r="E30" s="3" t="str">
        <x:v>Conghan Dong</x:v>
      </x:c>
      <x:c r="F30" s="3" t="str">
        <x:v>Penrose inequality / scalar curvature</x:v>
      </x:c>
      <x:c r="G30" s="2" t="str">
        <x:v>-</x:v>
      </x:c>
      <x:c r="H30" s="36" t="n">
        <x:v>92.45</x:v>
      </x:c>
      <x:c r="I30" s="36" t="n">
        <x:v>92.6</x:v>
      </x:c>
      <x:c r="J30" s="36" t="n">
        <x:v>92.3</x:v>
      </x:c>
      <x:c r="K30" s="2" t="n">
        <x:v>94</x:v>
      </x:c>
      <x:c r="L30" s="2" t="n">
        <x:v>92</x:v>
      </x:c>
      <x:c r="M30" s="2" t="n">
        <x:v>95</x:v>
      </x:c>
      <x:c r="N30" s="2" t="n">
        <x:v>91</x:v>
      </x:c>
      <x:c r="O30" s="2" t="n">
        <x:v>95</x:v>
      </x:c>
      <x:c r="P30" s="2" t="n">
        <x:v>86</x:v>
      </x:c>
      <x:c r="Q30" s="2" t="n">
        <x:v>10</x:v>
      </x:c>
      <x:c r="R30" s="3" t="str">
        <x:v>https://arxiv.org/abs/2607.20741</x:v>
      </x:c>
      <x:c r="S30" s="3" t="str">
        <x:v>Penrose-type result under geometric convexity; important in scalar-curvature/GR interface.</x:v>
      </x:c>
    </x:row>
    <x:row r="31" ht="45" customHeight="1">
      <x:c r="A31" s="2" t="n">
        <x:v>30</x:v>
      </x:c>
      <x:c r="B31" s="3" t="str">
        <x:v>2026-07</x:v>
      </x:c>
      <x:c r="C31" s="3" t="str">
        <x:v>2607.23879</x:v>
      </x:c>
      <x:c r="D31" s="3" t="str">
        <x:v>Closed mean curvature flows with prescribed tangent flows</x:v>
      </x:c>
      <x:c r="E31" s="3" t="str">
        <x:v>Jingwen Chen; Tang-Kai Lee; Ao Sun; Xinrui Zhao</x:v>
      </x:c>
      <x:c r="F31" s="3" t="str">
        <x:v>mean curvature flow / tangent flows</x:v>
      </x:c>
      <x:c r="G31" s="2" t="n">
        <x:v>40</x:v>
      </x:c>
      <x:c r="H31" s="36" t="n">
        <x:v>92.45</x:v>
      </x:c>
      <x:c r="I31" s="36" t="n">
        <x:v>92.6</x:v>
      </x:c>
      <x:c r="J31" s="36" t="n">
        <x:v>92.3</x:v>
      </x:c>
      <x:c r="K31" s="2" t="n">
        <x:v>94</x:v>
      </x:c>
      <x:c r="L31" s="2" t="n">
        <x:v>92</x:v>
      </x:c>
      <x:c r="M31" s="2" t="n">
        <x:v>95</x:v>
      </x:c>
      <x:c r="N31" s="2" t="n">
        <x:v>91</x:v>
      </x:c>
      <x:c r="O31" s="2" t="n">
        <x:v>95</x:v>
      </x:c>
      <x:c r="P31" s="2" t="n">
        <x:v>86</x:v>
      </x:c>
      <x:c r="Q31" s="2" t="n">
        <x:v>10</x:v>
      </x:c>
      <x:c r="R31" s="3" t="str">
        <x:v>https://arxiv.org/abs/2607.23879</x:v>
      </x:c>
      <x:c r="S31" s="3" t="str">
        <x:v>Prescribed tangent-flow phenomena for closed MCF; strong singularity-theory relevance.</x:v>
      </x:c>
    </x:row>
    <x:row r="32" ht="45" customHeight="1">
      <x:c r="A32" s="2" t="n">
        <x:v>31</x:v>
      </x:c>
      <x:c r="B32" s="3" t="str">
        <x:v>2026-07</x:v>
      </x:c>
      <x:c r="C32" s="3" t="str">
        <x:v>2607.25644</x:v>
      </x:c>
      <x:c r="D32" s="3" t="str">
        <x:v>Gromov-Hausdorff Limits of Noncollapsed Kähler-Ricci Flows and the Geometry of Ricci Shrinkers</x:v>
      </x:c>
      <x:c r="E32" s="3" t="str">
        <x:v>Yu Li; Junsheng Zhang</x:v>
      </x:c>
      <x:c r="F32" s="3" t="str">
        <x:v>Kähler-Ricci flow / Ricci shrinkers</x:v>
      </x:c>
      <x:c r="G32" s="2" t="n">
        <x:v>62</x:v>
      </x:c>
      <x:c r="H32" s="36" t="n">
        <x:v>92.45</x:v>
      </x:c>
      <x:c r="I32" s="36" t="n">
        <x:v>92.6</x:v>
      </x:c>
      <x:c r="J32" s="36" t="n">
        <x:v>92.3</x:v>
      </x:c>
      <x:c r="K32" s="2" t="n">
        <x:v>94</x:v>
      </x:c>
      <x:c r="L32" s="2" t="n">
        <x:v>92</x:v>
      </x:c>
      <x:c r="M32" s="2" t="n">
        <x:v>95</x:v>
      </x:c>
      <x:c r="N32" s="2" t="n">
        <x:v>91</x:v>
      </x:c>
      <x:c r="O32" s="2" t="n">
        <x:v>95</x:v>
      </x:c>
      <x:c r="P32" s="2" t="n">
        <x:v>86</x:v>
      </x:c>
      <x:c r="Q32" s="2" t="n">
        <x:v>10</x:v>
      </x:c>
      <x:c r="R32" s="3" t="str">
        <x:v>https://arxiv.org/abs/2607.25644</x:v>
      </x:c>
      <x:c r="S32" s="3" t="str">
        <x:v>Noncollapsed KRF limits and shrinker geometry; central geometric-flow problem area.</x:v>
      </x:c>
    </x:row>
    <x:row r="33" ht="45" customHeight="1">
      <x:c r="A33" s="2" t="n">
        <x:v>32</x:v>
      </x:c>
      <x:c r="B33" s="3" t="str">
        <x:v>2026-07</x:v>
      </x:c>
      <x:c r="C33" s="3" t="str">
        <x:v>2607.29502</x:v>
      </x:c>
      <x:c r="D33" s="3" t="str">
        <x:v>A dichotomy for minimal submanifolds</x:v>
      </x:c>
      <x:c r="E33" s="3" t="str">
        <x:v>Tobias Holck Colding; William P. Minicozzi II</x:v>
      </x:c>
      <x:c r="F33" s="3" t="str">
        <x:v>minimal submanifolds</x:v>
      </x:c>
      <x:c r="G33" s="2" t="str">
        <x:v>-</x:v>
      </x:c>
      <x:c r="H33" s="36" t="n">
        <x:v>92.45</x:v>
      </x:c>
      <x:c r="I33" s="36" t="n">
        <x:v>92.6</x:v>
      </x:c>
      <x:c r="J33" s="36" t="n">
        <x:v>92.3</x:v>
      </x:c>
      <x:c r="K33" s="2" t="n">
        <x:v>94</x:v>
      </x:c>
      <x:c r="L33" s="2" t="n">
        <x:v>92</x:v>
      </x:c>
      <x:c r="M33" s="2" t="n">
        <x:v>95</x:v>
      </x:c>
      <x:c r="N33" s="2" t="n">
        <x:v>91</x:v>
      </x:c>
      <x:c r="O33" s="2" t="n">
        <x:v>95</x:v>
      </x:c>
      <x:c r="P33" s="2" t="n">
        <x:v>86</x:v>
      </x:c>
      <x:c r="Q33" s="2" t="n">
        <x:v>10</x:v>
      </x:c>
      <x:c r="R33" s="3" t="str">
        <x:v>https://arxiv.org/abs/2607.29502</x:v>
      </x:c>
      <x:c r="S33" s="3" t="str">
        <x:v>Conceptual dichotomy statement in minimal-submanifold theory by leading authors.</x:v>
      </x:c>
    </x:row>
    <x:row r="34" ht="45" customHeight="1">
      <x:c r="A34" s="2" t="n">
        <x:v>33</x:v>
      </x:c>
      <x:c r="B34" s="3" t="str">
        <x:v>2026-07</x:v>
      </x:c>
      <x:c r="C34" s="3" t="str">
        <x:v>2607.29632</x:v>
      </x:c>
      <x:c r="D34" s="3" t="str">
        <x:v>Regularity of branched stable minimal immersed hypersurfaces</x:v>
      </x:c>
      <x:c r="E34" s="3" t="str">
        <x:v>Gaoming Wang; Xuwen Zhang</x:v>
      </x:c>
      <x:c r="F34" s="3" t="str">
        <x:v>minimal hypersurface regularity</x:v>
      </x:c>
      <x:c r="G34" s="2" t="n">
        <x:v>60</x:v>
      </x:c>
      <x:c r="H34" s="36" t="n">
        <x:v>92.45</x:v>
      </x:c>
      <x:c r="I34" s="36" t="n">
        <x:v>92.6</x:v>
      </x:c>
      <x:c r="J34" s="36" t="n">
        <x:v>92.3</x:v>
      </x:c>
      <x:c r="K34" s="2" t="n">
        <x:v>94</x:v>
      </x:c>
      <x:c r="L34" s="2" t="n">
        <x:v>92</x:v>
      </x:c>
      <x:c r="M34" s="2" t="n">
        <x:v>95</x:v>
      </x:c>
      <x:c r="N34" s="2" t="n">
        <x:v>91</x:v>
      </x:c>
      <x:c r="O34" s="2" t="n">
        <x:v>95</x:v>
      </x:c>
      <x:c r="P34" s="2" t="n">
        <x:v>86</x:v>
      </x:c>
      <x:c r="Q34" s="2" t="n">
        <x:v>10</x:v>
      </x:c>
      <x:c r="R34" s="3" t="str">
        <x:v>https://arxiv.org/abs/2607.29632</x:v>
      </x:c>
      <x:c r="S34" s="3" t="str">
        <x:v>Regularity theory for branched stable minimal hypersurfaces; substantial proof burden.</x:v>
      </x:c>
    </x:row>
    <x:row r="35" ht="45" customHeight="1">
      <x:c r="A35" s="2" t="n">
        <x:v>34</x:v>
      </x:c>
      <x:c r="B35" s="3" t="str">
        <x:v>2026-08</x:v>
      </x:c>
      <x:c r="C35" s="3" t="str">
        <x:v>2608.01682</x:v>
      </x:c>
      <x:c r="D35" s="3" t="str">
        <x:v>Positive mass theorems for singular asymptotically hyperbolic manifolds</x:v>
      </x:c>
      <x:c r="E35" s="3" t="str">
        <x:v>Yuguang Shi; Chengzhang Sun; Zijun Wang</x:v>
      </x:c>
      <x:c r="F35" s="3" t="str">
        <x:v>positive mass theorem / singular AH manifolds</x:v>
      </x:c>
      <x:c r="G35" s="2" t="n">
        <x:v>42</x:v>
      </x:c>
      <x:c r="H35" s="36" t="n">
        <x:v>92.45</x:v>
      </x:c>
      <x:c r="I35" s="36" t="n">
        <x:v>92.6</x:v>
      </x:c>
      <x:c r="J35" s="36" t="n">
        <x:v>92.3</x:v>
      </x:c>
      <x:c r="K35" s="2" t="n">
        <x:v>94</x:v>
      </x:c>
      <x:c r="L35" s="2" t="n">
        <x:v>92</x:v>
      </x:c>
      <x:c r="M35" s="2" t="n">
        <x:v>95</x:v>
      </x:c>
      <x:c r="N35" s="2" t="n">
        <x:v>91</x:v>
      </x:c>
      <x:c r="O35" s="2" t="n">
        <x:v>95</x:v>
      </x:c>
      <x:c r="P35" s="2" t="n">
        <x:v>86</x:v>
      </x:c>
      <x:c r="Q35" s="2" t="n">
        <x:v>10</x:v>
      </x:c>
      <x:c r="R35" s="3" t="str">
        <x:v>https://arxiv.org/abs/2608.01682</x:v>
      </x:c>
      <x:c r="S35" s="3" t="str">
        <x:v>Positive mass theorem in singular asymptotically hyperbolic setting; strong geometric analysis.</x:v>
      </x:c>
    </x:row>
    <x:row r="36" ht="45" customHeight="1">
      <x:c r="A36" s="2" t="n">
        <x:v>35</x:v>
      </x:c>
      <x:c r="B36" s="3" t="str">
        <x:v>2026-06</x:v>
      </x:c>
      <x:c r="C36" s="3" t="str">
        <x:v>2606.02396</x:v>
      </x:c>
      <x:c r="D36" s="3" t="str">
        <x:v>Existence of free boundary minimal disks in convex regions</x:v>
      </x:c>
      <x:c r="E36" s="3" t="str">
        <x:v>Lorenzo Sarnataro; Douglas Stryker; Zhichao Wang; Xin Zhou</x:v>
      </x:c>
      <x:c r="F36" s="3" t="str">
        <x:v>free boundary minimal surfaces</x:v>
      </x:c>
      <x:c r="G36" s="2" t="n">
        <x:v>22</x:v>
      </x:c>
      <x:c r="H36" s="36" t="n">
        <x:v>92.38</x:v>
      </x:c>
      <x:c r="I36" s="36" t="n">
        <x:v>92.7</x:v>
      </x:c>
      <x:c r="J36" s="36" t="n">
        <x:v>92.05</x:v>
      </x:c>
      <x:c r="K36" s="2" t="n">
        <x:v>95</x:v>
      </x:c>
      <x:c r="L36" s="2" t="n">
        <x:v>92</x:v>
      </x:c>
      <x:c r="M36" s="2" t="n">
        <x:v>93</x:v>
      </x:c>
      <x:c r="N36" s="2" t="n">
        <x:v>91</x:v>
      </x:c>
      <x:c r="O36" s="2" t="n">
        <x:v>94</x:v>
      </x:c>
      <x:c r="P36" s="2" t="n">
        <x:v>89</x:v>
      </x:c>
      <x:c r="Q36" s="2" t="n">
        <x:v>10</x:v>
      </x:c>
      <x:c r="R36" s="3" t="str">
        <x:v>https://arxiv.org/abs/2606.02396</x:v>
      </x:c>
      <x:c r="S36" s="3" t="str">
        <x:v>Existence result for free-boundary minimal disks in convex regions.</x:v>
      </x:c>
    </x:row>
    <x:row r="37" ht="45" customHeight="1">
      <x:c r="A37" s="2" t="n">
        <x:v>36</x:v>
      </x:c>
      <x:c r="B37" s="3" t="str">
        <x:v>2026-06</x:v>
      </x:c>
      <x:c r="C37" s="3" t="str">
        <x:v>2606.24682</x:v>
      </x:c>
      <x:c r="D37" s="3" t="str">
        <x:v>The linearized minimal surfaces problem</x:v>
      </x:c>
      <x:c r="E37" s="3" t="str">
        <x:v>Haim Grebnev; Plamen Stefanov; Gunther Uhlmann; Hanming Zhou</x:v>
      </x:c>
      <x:c r="F37" s="3" t="str">
        <x:v>inverse problems / minimal surfaces</x:v>
      </x:c>
      <x:c r="G37" s="2" t="str">
        <x:v>-</x:v>
      </x:c>
      <x:c r="H37" s="36" t="n">
        <x:v>92.38</x:v>
      </x:c>
      <x:c r="I37" s="36" t="n">
        <x:v>92.7</x:v>
      </x:c>
      <x:c r="J37" s="36" t="n">
        <x:v>92.05</x:v>
      </x:c>
      <x:c r="K37" s="2" t="n">
        <x:v>95</x:v>
      </x:c>
      <x:c r="L37" s="2" t="n">
        <x:v>92</x:v>
      </x:c>
      <x:c r="M37" s="2" t="n">
        <x:v>93</x:v>
      </x:c>
      <x:c r="N37" s="2" t="n">
        <x:v>91</x:v>
      </x:c>
      <x:c r="O37" s="2" t="n">
        <x:v>94</x:v>
      </x:c>
      <x:c r="P37" s="2" t="n">
        <x:v>89</x:v>
      </x:c>
      <x:c r="Q37" s="2" t="n">
        <x:v>10</x:v>
      </x:c>
      <x:c r="R37" s="3" t="str">
        <x:v>https://arxiv.org/abs/2606.24682</x:v>
      </x:c>
      <x:c r="S37" s="3" t="str">
        <x:v>Linearized inverse-type problem for minimal surfaces with strong analysis component.</x:v>
      </x:c>
    </x:row>
    <x:row r="38" ht="45" customHeight="1">
      <x:c r="A38" s="2" t="n">
        <x:v>37</x:v>
      </x:c>
      <x:c r="B38" s="3" t="str">
        <x:v>2026-06</x:v>
      </x:c>
      <x:c r="C38" s="3" t="str">
        <x:v>2606.24754</x:v>
      </x:c>
      <x:c r="D38" s="3" t="str">
        <x:v>Existence of classical minimal surfaces in 4 and 5-manifolds</x:v>
      </x:c>
      <x:c r="E38" s="3" t="str">
        <x:v>Da Rong Cheng; Xin Zhou</x:v>
      </x:c>
      <x:c r="F38" s="3" t="str">
        <x:v>minimal hypersurfaces</x:v>
      </x:c>
      <x:c r="G38" s="2" t="str">
        <x:v>-</x:v>
      </x:c>
      <x:c r="H38" s="36" t="n">
        <x:v>92.3</x:v>
      </x:c>
      <x:c r="I38" s="36" t="n">
        <x:v>92.55</x:v>
      </x:c>
      <x:c r="J38" s="36" t="n">
        <x:v>92.05</x:v>
      </x:c>
      <x:c r="K38" s="2" t="n">
        <x:v>95</x:v>
      </x:c>
      <x:c r="L38" s="2" t="n">
        <x:v>92</x:v>
      </x:c>
      <x:c r="M38" s="2" t="n">
        <x:v>93</x:v>
      </x:c>
      <x:c r="N38" s="2" t="n">
        <x:v>90</x:v>
      </x:c>
      <x:c r="O38" s="2" t="n">
        <x:v>94</x:v>
      </x:c>
      <x:c r="P38" s="2" t="n">
        <x:v>89</x:v>
      </x:c>
      <x:c r="Q38" s="2" t="n">
        <x:v>10</x:v>
      </x:c>
      <x:c r="R38" s="3" t="str">
        <x:v>https://arxiv.org/abs/2606.24754</x:v>
      </x:c>
      <x:c r="S38" s="3" t="str">
        <x:v>Classical minimal surface existence in low-dimensional manifolds.</x:v>
      </x:c>
    </x:row>
    <x:row r="39" ht="45" customHeight="1">
      <x:c r="A39" s="2" t="n">
        <x:v>38</x:v>
      </x:c>
      <x:c r="B39" s="3" t="str">
        <x:v>2026-06</x:v>
      </x:c>
      <x:c r="C39" s="3" t="str">
        <x:v>2606.13011</x:v>
      </x:c>
      <x:c r="D39" s="3" t="str">
        <x:v>Complete Calabi-Yau metrics on noncompact K3 fibered threefolds</x:v>
      </x:c>
      <x:c r="E39" s="3" t="str">
        <x:v>Ruiming Liang</x:v>
      </x:c>
      <x:c r="F39" s="3" t="str">
        <x:v>Calabi-Yau metrics</x:v>
      </x:c>
      <x:c r="G39" s="2" t="n">
        <x:v>71</x:v>
      </x:c>
      <x:c r="H39" s="36" t="n">
        <x:v>92.08</x:v>
      </x:c>
      <x:c r="I39" s="36" t="n">
        <x:v>92.4</x:v>
      </x:c>
      <x:c r="J39" s="36" t="n">
        <x:v>91.75</x:v>
      </x:c>
      <x:c r="K39" s="2" t="n">
        <x:v>94</x:v>
      </x:c>
      <x:c r="L39" s="2" t="n">
        <x:v>92</x:v>
      </x:c>
      <x:c r="M39" s="2" t="n">
        <x:v>93</x:v>
      </x:c>
      <x:c r="N39" s="2" t="n">
        <x:v>91</x:v>
      </x:c>
      <x:c r="O39" s="2" t="n">
        <x:v>93</x:v>
      </x:c>
      <x:c r="P39" s="2" t="n">
        <x:v>89</x:v>
      </x:c>
      <x:c r="Q39" s="2" t="n">
        <x:v>10</x:v>
      </x:c>
      <x:c r="R39" s="3" t="str">
        <x:v>https://arxiv.org/abs/2606.13011</x:v>
      </x:c>
      <x:c r="S39" s="3" t="str">
        <x:v>Construction and analysis of complete CY metrics on noncompact K3-fibered threefolds.</x:v>
      </x:c>
    </x:row>
    <x:row r="40" ht="45" customHeight="1">
      <x:c r="A40" s="2" t="n">
        <x:v>39</x:v>
      </x:c>
      <x:c r="B40" s="3" t="str">
        <x:v>2026-06</x:v>
      </x:c>
      <x:c r="C40" s="3" t="str">
        <x:v>2606.16033</x:v>
      </x:c>
      <x:c r="D40" s="3" t="str">
        <x:v>Admissibility, Topology, and the sigma_k-Loewner-Nirenberg problem</x:v>
      </x:c>
      <x:c r="E40" s="3" t="str">
        <x:v>Hao Fang; Matthew J. Gursky</x:v>
      </x:c>
      <x:c r="F40" s="3" t="str">
        <x:v>conformal geometry / fully nonlinear PDE</x:v>
      </x:c>
      <x:c r="G40" s="2" t="str">
        <x:v>-</x:v>
      </x:c>
      <x:c r="H40" s="36" t="n">
        <x:v>92.08</x:v>
      </x:c>
      <x:c r="I40" s="36" t="n">
        <x:v>92.4</x:v>
      </x:c>
      <x:c r="J40" s="36" t="n">
        <x:v>91.75</x:v>
      </x:c>
      <x:c r="K40" s="2" t="n">
        <x:v>94</x:v>
      </x:c>
      <x:c r="L40" s="2" t="n">
        <x:v>92</x:v>
      </x:c>
      <x:c r="M40" s="2" t="n">
        <x:v>93</x:v>
      </x:c>
      <x:c r="N40" s="2" t="n">
        <x:v>91</x:v>
      </x:c>
      <x:c r="O40" s="2" t="n">
        <x:v>93</x:v>
      </x:c>
      <x:c r="P40" s="2" t="n">
        <x:v>89</x:v>
      </x:c>
      <x:c r="Q40" s="2" t="n">
        <x:v>10</x:v>
      </x:c>
      <x:c r="R40" s="3" t="str">
        <x:v>https://arxiv.org/abs/2606.16033</x:v>
      </x:c>
      <x:c r="S40" s="3" t="str">
        <x:v>Topology and admissibility in the sigma_k-Loewner-Nirenberg problem.</x:v>
      </x:c>
    </x:row>
    <x:row r="41" ht="45" customHeight="1">
      <x:c r="A41" s="2" t="n">
        <x:v>40</x:v>
      </x:c>
      <x:c r="B41" s="3" t="str">
        <x:v>2026-06</x:v>
      </x:c>
      <x:c r="C41" s="3" t="str">
        <x:v>2606.22441</x:v>
      </x:c>
      <x:c r="D41" s="3" t="str">
        <x:v>Parabolic rectifiability of the Brakke flow</x:v>
      </x:c>
      <x:c r="E41" s="3" t="str">
        <x:v>Yu Tong Liu; Myles Workman</x:v>
      </x:c>
      <x:c r="F41" s="3" t="str">
        <x:v>Brakke flow / rectifiability</x:v>
      </x:c>
      <x:c r="G41" s="2" t="n">
        <x:v>22</x:v>
      </x:c>
      <x:c r="H41" s="36" t="n">
        <x:v>92.08</x:v>
      </x:c>
      <x:c r="I41" s="36" t="n">
        <x:v>92.4</x:v>
      </x:c>
      <x:c r="J41" s="36" t="n">
        <x:v>91.75</x:v>
      </x:c>
      <x:c r="K41" s="2" t="n">
        <x:v>94</x:v>
      </x:c>
      <x:c r="L41" s="2" t="n">
        <x:v>92</x:v>
      </x:c>
      <x:c r="M41" s="2" t="n">
        <x:v>93</x:v>
      </x:c>
      <x:c r="N41" s="2" t="n">
        <x:v>91</x:v>
      </x:c>
      <x:c r="O41" s="2" t="n">
        <x:v>93</x:v>
      </x:c>
      <x:c r="P41" s="2" t="n">
        <x:v>89</x:v>
      </x:c>
      <x:c r="Q41" s="2" t="n">
        <x:v>10</x:v>
      </x:c>
      <x:c r="R41" s="3" t="str">
        <x:v>https://arxiv.org/abs/2606.22441</x:v>
      </x:c>
      <x:c r="S41" s="3" t="str">
        <x:v>Parabolic rectifiability for Brakke flows; useful geometric measure theory tool.</x:v>
      </x:c>
    </x:row>
    <x:row r="42" ht="45" customHeight="1">
      <x:c r="A42" s="2" t="n">
        <x:v>41</x:v>
      </x:c>
      <x:c r="B42" s="3" t="str">
        <x:v>2026-07</x:v>
      </x:c>
      <x:c r="C42" s="3" t="str">
        <x:v>2607.27162</x:v>
      </x:c>
      <x:c r="D42" s="3" t="str">
        <x:v>Pointwise subexponential growth and near-diffusive displacement on bounded-degree graphs with non-negative Ollivier--Ricci curvature</x:v>
      </x:c>
      <x:c r="E42" s="3" t="str">
        <x:v>Chiyu Zhou</x:v>
      </x:c>
      <x:c r="F42" s="3" t="str">
        <x:v>Ollivier-Ricci curvature / graph random walks</x:v>
      </x:c>
      <x:c r="G42" s="2" t="n">
        <x:v>23</x:v>
      </x:c>
      <x:c r="H42" s="36" t="n">
        <x:v>91.875</x:v>
      </x:c>
      <x:c r="I42" s="36" t="n">
        <x:v>92.1</x:v>
      </x:c>
      <x:c r="J42" s="36" t="n">
        <x:v>91.65</x:v>
      </x:c>
      <x:c r="K42" s="2" t="n">
        <x:v>93</x:v>
      </x:c>
      <x:c r="L42" s="2" t="n">
        <x:v>92</x:v>
      </x:c>
      <x:c r="M42" s="2" t="n">
        <x:v>94</x:v>
      </x:c>
      <x:c r="N42" s="2" t="n">
        <x:v>92</x:v>
      </x:c>
      <x:c r="O42" s="2" t="n">
        <x:v>94</x:v>
      </x:c>
      <x:c r="P42" s="2" t="n">
        <x:v>85</x:v>
      </x:c>
      <x:c r="Q42" s="2" t="n">
        <x:v>10</x:v>
      </x:c>
      <x:c r="R42" s="3" t="str">
        <x:v>https://arxiv.org/abs/2607.27162</x:v>
      </x:c>
      <x:c r="S42" s="3" t="str">
        <x:v>Near-diffusive displacement and pointwise subexponential volume growth for bounded-degree graphs with nonnegative Ollivier-Ricci curvature.</x:v>
      </x:c>
    </x:row>
    <x:row r="43" ht="45" customHeight="1">
      <x:c r="A43" s="2" t="n">
        <x:v>42</x:v>
      </x:c>
      <x:c r="B43" s="3" t="str">
        <x:v>2026-06</x:v>
      </x:c>
      <x:c r="C43" s="3" t="str">
        <x:v>2606.04586</x:v>
      </x:c>
      <x:c r="D43" s="3" t="str">
        <x:v>Calibration energy and mean curvature flow</x:v>
      </x:c>
      <x:c r="E43" s="3" t="str">
        <x:v>Tatsuya Miura; Fabian Rupp</x:v>
      </x:c>
      <x:c r="F43" s="3" t="str">
        <x:v>mean curvature flow</x:v>
      </x:c>
      <x:c r="G43" s="2" t="n">
        <x:v>43</x:v>
      </x:c>
      <x:c r="H43" s="36" t="n">
        <x:v>91.85</x:v>
      </x:c>
      <x:c r="I43" s="36" t="n">
        <x:v>91.95</x:v>
      </x:c>
      <x:c r="J43" s="36" t="n">
        <x:v>91.75</x:v>
      </x:c>
      <x:c r="K43" s="2" t="n">
        <x:v>93</x:v>
      </x:c>
      <x:c r="L43" s="2" t="n">
        <x:v>92</x:v>
      </x:c>
      <x:c r="M43" s="2" t="n">
        <x:v>93</x:v>
      </x:c>
      <x:c r="N43" s="2" t="n">
        <x:v>90</x:v>
      </x:c>
      <x:c r="O43" s="2" t="n">
        <x:v>93</x:v>
      </x:c>
      <x:c r="P43" s="2" t="n">
        <x:v>89</x:v>
      </x:c>
      <x:c r="Q43" s="2" t="n">
        <x:v>10</x:v>
      </x:c>
      <x:c r="R43" s="3" t="str">
        <x:v>https://arxiv.org/abs/2606.04586</x:v>
      </x:c>
      <x:c r="S43" s="3" t="str">
        <x:v>Calibration-energy perspective for MCF; technically robust.</x:v>
      </x:c>
    </x:row>
    <x:row r="44" ht="45" customHeight="1">
      <x:c r="A44" s="2" t="n">
        <x:v>43</x:v>
      </x:c>
      <x:c r="B44" s="3" t="str">
        <x:v>2026-06</x:v>
      </x:c>
      <x:c r="C44" s="3" t="str">
        <x:v>2606.08006</x:v>
      </x:c>
      <x:c r="D44" s="3" t="str">
        <x:v>Optimal spectral rigidity of the hypercube via Bakry-Emery curvature</x:v>
      </x:c>
      <x:c r="E44" s="3" t="str">
        <x:v>Yanlong Ding; Shiping Liu; Chiyu Zhou</x:v>
      </x:c>
      <x:c r="F44" s="3" t="str">
        <x:v>discrete Ricci curvature / spectral rigidity</x:v>
      </x:c>
      <x:c r="G44" s="2" t="n">
        <x:v>23</x:v>
      </x:c>
      <x:c r="H44" s="36" t="n">
        <x:v>91.78</x:v>
      </x:c>
      <x:c r="I44" s="36" t="n">
        <x:v>92</x:v>
      </x:c>
      <x:c r="J44" s="36" t="n">
        <x:v>91.55</x:v>
      </x:c>
      <x:c r="K44" s="2" t="n">
        <x:v>94</x:v>
      </x:c>
      <x:c r="L44" s="2" t="n">
        <x:v>92</x:v>
      </x:c>
      <x:c r="M44" s="2" t="n">
        <x:v>92</x:v>
      </x:c>
      <x:c r="N44" s="2" t="n">
        <x:v>90</x:v>
      </x:c>
      <x:c r="O44" s="2" t="n">
        <x:v>94</x:v>
      </x:c>
      <x:c r="P44" s="2" t="n">
        <x:v>89</x:v>
      </x:c>
      <x:c r="Q44" s="2" t="n">
        <x:v>12</x:v>
      </x:c>
      <x:c r="R44" s="3" t="str">
        <x:v>https://arxiv.org/abs/2606.08006</x:v>
      </x:c>
      <x:c r="S44" s="3" t="str">
        <x:v>Sharp discrete curvature/spectral rigidity on the hypercube.</x:v>
      </x:c>
    </x:row>
    <x:row r="45" ht="45" customHeight="1">
      <x:c r="A45" s="2" t="n">
        <x:v>44</x:v>
      </x:c>
      <x:c r="B45" s="3" t="str">
        <x:v>2026-08</x:v>
      </x:c>
      <x:c r="C45" s="3" t="str">
        <x:v>2608.07263</x:v>
      </x:c>
      <x:c r="D45" s="3" t="str">
        <x:v>Diagonalization of the Toda flow for arbitrary isospectral symmetric matrices</x:v>
      </x:c>
      <x:c r="E45" s="3" t="str">
        <x:v>David Martínez Torres; Carlos Tomei</x:v>
      </x:c>
      <x:c r="F45" s="3" t="str">
        <x:v>Toda flow / isospectral manifolds</x:v>
      </x:c>
      <x:c r="G45" s="2" t="n">
        <x:v>16</x:v>
      </x:c>
      <x:c r="H45" s="36" t="n">
        <x:v>91.5</x:v>
      </x:c>
      <x:c r="I45" s="36" t="n">
        <x:v>91.8</x:v>
      </x:c>
      <x:c r="J45" s="36" t="n">
        <x:v>91.2</x:v>
      </x:c>
      <x:c r="K45" s="2" t="n">
        <x:v>92</x:v>
      </x:c>
      <x:c r="L45" s="2" t="n">
        <x:v>94</x:v>
      </x:c>
      <x:c r="M45" s="2" t="n">
        <x:v>92</x:v>
      </x:c>
      <x:c r="N45" s="2" t="n">
        <x:v>92</x:v>
      </x:c>
      <x:c r="O45" s="2" t="n">
        <x:v>93</x:v>
      </x:c>
      <x:c r="P45" s="2" t="n">
        <x:v>86</x:v>
      </x:c>
      <x:c r="Q45" s="2" t="n">
        <x:v>12</x:v>
      </x:c>
      <x:c r="R45" s="3" t="str">
        <x:v>https://arxiv.org/abs/2608.07263</x:v>
      </x:c>
      <x:c r="S45" s="3" t="str">
        <x:v>Constructs a dense covering atlas that linearizes the Toda flow on arbitrary symmetric isospectral manifolds, based on a new constrained QLU factorization of independent interest.</x:v>
      </x:c>
    </x:row>
    <x:row r="46" ht="45" customHeight="1">
      <x:c r="A46" s="2" t="n">
        <x:v>45</x:v>
      </x:c>
      <x:c r="B46" s="3" t="str">
        <x:v>2026-06</x:v>
      </x:c>
      <x:c r="C46" s="3" t="str">
        <x:v>2606.08086</x:v>
      </x:c>
      <x:c r="D46" s="3" t="str">
        <x:v>Monotone quantities on 3-manifolds with nonnegative scalar curvature</x:v>
      </x:c>
      <x:c r="E46" s="3" t="str">
        <x:v>Jiannan Chen; Haiping Fu</x:v>
      </x:c>
      <x:c r="F46" s="3" t="str">
        <x:v>scalar curvature / monotonicity</x:v>
      </x:c>
      <x:c r="G46" s="2" t="n">
        <x:v>28</x:v>
      </x:c>
      <x:c r="H46" s="36" t="n">
        <x:v>91.38</x:v>
      </x:c>
      <x:c r="I46" s="36" t="n">
        <x:v>91.7</x:v>
      </x:c>
      <x:c r="J46" s="36" t="n">
        <x:v>91.05</x:v>
      </x:c>
      <x:c r="K46" s="2" t="n">
        <x:v>94</x:v>
      </x:c>
      <x:c r="L46" s="2" t="n">
        <x:v>91</x:v>
      </x:c>
      <x:c r="M46" s="2" t="n">
        <x:v>92</x:v>
      </x:c>
      <x:c r="N46" s="2" t="n">
        <x:v>90</x:v>
      </x:c>
      <x:c r="O46" s="2" t="n">
        <x:v>93</x:v>
      </x:c>
      <x:c r="P46" s="2" t="n">
        <x:v>88</x:v>
      </x:c>
      <x:c r="Q46" s="2" t="n">
        <x:v>11</x:v>
      </x:c>
      <x:c r="R46" s="3" t="str">
        <x:v>https://arxiv.org/abs/2606.08086</x:v>
      </x:c>
      <x:c r="S46" s="3" t="str">
        <x:v>Monotone quantities in 3D nonnegative scalar curvature geometry.</x:v>
      </x:c>
    </x:row>
    <x:row r="47" ht="45" customHeight="1">
      <x:c r="A47" s="2" t="n">
        <x:v>46</x:v>
      </x:c>
      <x:c r="B47" s="3" t="str">
        <x:v>2026-06</x:v>
      </x:c>
      <x:c r="C47" s="3" t="str">
        <x:v>2606.12063</x:v>
      </x:c>
      <x:c r="D47" s="3" t="str">
        <x:v>Optimal geometric estimates for compact Kähler manifolds of a Nash entropy bound</x:v>
      </x:c>
      <x:c r="E47" s="3" t="str">
        <x:v>Weiqi Zhang; Yashan Zhang</x:v>
      </x:c>
      <x:c r="F47" s="3" t="str">
        <x:v>Kähler geometry / entropy</x:v>
      </x:c>
      <x:c r="G47" s="2" t="str">
        <x:v>-</x:v>
      </x:c>
      <x:c r="H47" s="36" t="n">
        <x:v>91.07</x:v>
      </x:c>
      <x:c r="I47" s="36" t="n">
        <x:v>91.4</x:v>
      </x:c>
      <x:c r="J47" s="36" t="n">
        <x:v>90.75</x:v>
      </x:c>
      <x:c r="K47" s="2" t="n">
        <x:v>93</x:v>
      </x:c>
      <x:c r="L47" s="2" t="n">
        <x:v>91</x:v>
      </x:c>
      <x:c r="M47" s="2" t="n">
        <x:v>92</x:v>
      </x:c>
      <x:c r="N47" s="2" t="n">
        <x:v>90</x:v>
      </x:c>
      <x:c r="O47" s="2" t="n">
        <x:v>92</x:v>
      </x:c>
      <x:c r="P47" s="2" t="n">
        <x:v>88</x:v>
      </x:c>
      <x:c r="Q47" s="2" t="n">
        <x:v>11</x:v>
      </x:c>
      <x:c r="R47" s="3" t="str">
        <x:v>https://arxiv.org/abs/2606.12063</x:v>
      </x:c>
      <x:c r="S47" s="3" t="str">
        <x:v>Optimal estimates under Nash entropy bounds in compact Kähler setting.</x:v>
      </x:c>
    </x:row>
    <x:row r="48" ht="45" customHeight="1">
      <x:c r="A48" s="2" t="n">
        <x:v>47</x:v>
      </x:c>
      <x:c r="B48" s="3" t="str">
        <x:v>2026-06</x:v>
      </x:c>
      <x:c r="C48" s="3" t="str">
        <x:v>2606.12379</x:v>
      </x:c>
      <x:c r="D48" s="3" t="str">
        <x:v>A Local Singularity Analysis for the Ricci Flow and its Applications to Ricci Flows with Bounded Scalar Curvature -- Part II</x:v>
      </x:c>
      <x:c r="E48" s="3" t="str">
        <x:v>Reto Buzano; Gianmichele Di Matteo</x:v>
      </x:c>
      <x:c r="F48" s="3" t="str">
        <x:v>Ricci flow singularities</x:v>
      </x:c>
      <x:c r="G48" s="2" t="n">
        <x:v>21</x:v>
      </x:c>
      <x:c r="H48" s="36" t="n">
        <x:v>91.07</x:v>
      </x:c>
      <x:c r="I48" s="36" t="n">
        <x:v>91.4</x:v>
      </x:c>
      <x:c r="J48" s="36" t="n">
        <x:v>90.75</x:v>
      </x:c>
      <x:c r="K48" s="2" t="n">
        <x:v>93</x:v>
      </x:c>
      <x:c r="L48" s="2" t="n">
        <x:v>91</x:v>
      </x:c>
      <x:c r="M48" s="2" t="n">
        <x:v>92</x:v>
      </x:c>
      <x:c r="N48" s="2" t="n">
        <x:v>90</x:v>
      </x:c>
      <x:c r="O48" s="2" t="n">
        <x:v>92</x:v>
      </x:c>
      <x:c r="P48" s="2" t="n">
        <x:v>88</x:v>
      </x:c>
      <x:c r="Q48" s="2" t="n">
        <x:v>11</x:v>
      </x:c>
      <x:c r="R48" s="3" t="str">
        <x:v>https://arxiv.org/abs/2606.12379</x:v>
      </x:c>
      <x:c r="S48" s="3" t="str">
        <x:v>Local singularity analysis for scalar-curvature-bounded Ricci flows.</x:v>
      </x:c>
    </x:row>
    <x:row r="49" ht="45" customHeight="1">
      <x:c r="A49" s="2" t="n">
        <x:v>48</x:v>
      </x:c>
      <x:c r="B49" s="3" t="str">
        <x:v>2026-06</x:v>
      </x:c>
      <x:c r="C49" s="3" t="str">
        <x:v>2606.19801</x:v>
      </x:c>
      <x:c r="D49" s="3" t="str">
        <x:v>Positive mass theorem and the Yamabe equation on CR manifolds</x:v>
      </x:c>
      <x:c r="E49" s="3" t="str">
        <x:v>Jih-Hsin Cheng</x:v>
      </x:c>
      <x:c r="F49" s="3" t="str">
        <x:v>CR geometry / Yamabe equation</x:v>
      </x:c>
      <x:c r="G49" s="2" t="str">
        <x:v>-</x:v>
      </x:c>
      <x:c r="H49" s="36" t="n">
        <x:v>91.07</x:v>
      </x:c>
      <x:c r="I49" s="36" t="n">
        <x:v>91.4</x:v>
      </x:c>
      <x:c r="J49" s="36" t="n">
        <x:v>90.75</x:v>
      </x:c>
      <x:c r="K49" s="2" t="n">
        <x:v>93</x:v>
      </x:c>
      <x:c r="L49" s="2" t="n">
        <x:v>91</x:v>
      </x:c>
      <x:c r="M49" s="2" t="n">
        <x:v>92</x:v>
      </x:c>
      <x:c r="N49" s="2" t="n">
        <x:v>90</x:v>
      </x:c>
      <x:c r="O49" s="2" t="n">
        <x:v>92</x:v>
      </x:c>
      <x:c r="P49" s="2" t="n">
        <x:v>88</x:v>
      </x:c>
      <x:c r="Q49" s="2" t="n">
        <x:v>11</x:v>
      </x:c>
      <x:c r="R49" s="3" t="str">
        <x:v>https://arxiv.org/abs/2606.19801</x:v>
      </x:c>
      <x:c r="S49" s="3" t="str">
        <x:v>Positive mass theorem linked to CR Yamabe equation.</x:v>
      </x:c>
    </x:row>
    <x:row r="50" ht="45" customHeight="1">
      <x:c r="A50" s="2" t="n">
        <x:v>49</x:v>
      </x:c>
      <x:c r="B50" s="3" t="str">
        <x:v>2026-06</x:v>
      </x:c>
      <x:c r="C50" s="3" t="str">
        <x:v>2606.19806</x:v>
      </x:c>
      <x:c r="D50" s="3" t="str">
        <x:v>The top Yau-Yang conjecture for Kähler manifolds with positive sectional curvature</x:v>
      </x:c>
      <x:c r="E50" s="3" t="str">
        <x:v>Ved V. Datar; Vamsi P. Pingali; Harish Seshadri</x:v>
      </x:c>
      <x:c r="F50" s="3" t="str">
        <x:v>Kähler geometry / curvature</x:v>
      </x:c>
      <x:c r="G50" s="2" t="n">
        <x:v>10</x:v>
      </x:c>
      <x:c r="H50" s="36" t="n">
        <x:v>91.07</x:v>
      </x:c>
      <x:c r="I50" s="36" t="n">
        <x:v>91.4</x:v>
      </x:c>
      <x:c r="J50" s="36" t="n">
        <x:v>90.75</x:v>
      </x:c>
      <x:c r="K50" s="2" t="n">
        <x:v>93</x:v>
      </x:c>
      <x:c r="L50" s="2" t="n">
        <x:v>91</x:v>
      </x:c>
      <x:c r="M50" s="2" t="n">
        <x:v>92</x:v>
      </x:c>
      <x:c r="N50" s="2" t="n">
        <x:v>90</x:v>
      </x:c>
      <x:c r="O50" s="2" t="n">
        <x:v>92</x:v>
      </x:c>
      <x:c r="P50" s="2" t="n">
        <x:v>88</x:v>
      </x:c>
      <x:c r="Q50" s="2" t="n">
        <x:v>11</x:v>
      </x:c>
      <x:c r="R50" s="3" t="str">
        <x:v>https://arxiv.org/abs/2606.19806</x:v>
      </x:c>
      <x:c r="S50" s="3" t="str">
        <x:v>Concise result on the top Yau-Yang conjecture for positively curved Kähler manifolds.</x:v>
      </x:c>
    </x:row>
    <x:row r="51" ht="45" customHeight="1">
      <x:c r="A51" s="2" t="n">
        <x:v>50</x:v>
      </x:c>
      <x:c r="B51" s="3" t="str">
        <x:v>2026-06</x:v>
      </x:c>
      <x:c r="C51" s="3" t="str">
        <x:v>2606.19858</x:v>
      </x:c>
      <x:c r="D51" s="3" t="str">
        <x:v>Spectral Positive Mass Theorem for Asymptotically Hyperbolic 3-manifolds with Toroidal Infinity</x:v>
      </x:c>
      <x:c r="E51" s="3" t="str">
        <x:v>Xiaoxiang Chai; Yimin Chen; Juncheol Pyo</x:v>
      </x:c>
      <x:c r="F51" s="3" t="str">
        <x:v>positive mass / AH geometry</x:v>
      </x:c>
      <x:c r="G51" s="2" t="n">
        <x:v>16</x:v>
      </x:c>
      <x:c r="H51" s="36" t="n">
        <x:v>91.07</x:v>
      </x:c>
      <x:c r="I51" s="36" t="n">
        <x:v>91.4</x:v>
      </x:c>
      <x:c r="J51" s="36" t="n">
        <x:v>90.75</x:v>
      </x:c>
      <x:c r="K51" s="2" t="n">
        <x:v>93</x:v>
      </x:c>
      <x:c r="L51" s="2" t="n">
        <x:v>91</x:v>
      </x:c>
      <x:c r="M51" s="2" t="n">
        <x:v>92</x:v>
      </x:c>
      <x:c r="N51" s="2" t="n">
        <x:v>90</x:v>
      </x:c>
      <x:c r="O51" s="2" t="n">
        <x:v>92</x:v>
      </x:c>
      <x:c r="P51" s="2" t="n">
        <x:v>88</x:v>
      </x:c>
      <x:c r="Q51" s="2" t="n">
        <x:v>11</x:v>
      </x:c>
      <x:c r="R51" s="3" t="str">
        <x:v>https://arxiv.org/abs/2606.19858</x:v>
      </x:c>
      <x:c r="S51" s="3" t="str">
        <x:v>Spectral positive mass theorem in AH three-manifolds with toroidal infinity.</x:v>
      </x:c>
    </x:row>
    <x:row r="52" ht="45" customHeight="1">
      <x:c r="A52" s="2" t="n">
        <x:v>51</x:v>
      </x:c>
      <x:c r="B52" s="3" t="str">
        <x:v>2026-06</x:v>
      </x:c>
      <x:c r="C52" s="3" t="str">
        <x:v>2606.28897</x:v>
      </x:c>
      <x:c r="D52" s="3" t="str">
        <x:v>Scalar-Flatness for Critical Metrics of the L2-Scalar Curvature Functional in Dimensions 5&lt;=n&lt;=9</x:v>
      </x:c>
      <x:c r="E52" s="3" t="str">
        <x:v>Heng Zhang</x:v>
      </x:c>
      <x:c r="F52" s="3" t="str">
        <x:v>scalar curvature functional</x:v>
      </x:c>
      <x:c r="G52" s="2" t="n">
        <x:v>16</x:v>
      </x:c>
      <x:c r="H52" s="36" t="n">
        <x:v>91.07</x:v>
      </x:c>
      <x:c r="I52" s="36" t="n">
        <x:v>91.25</x:v>
      </x:c>
      <x:c r="J52" s="36" t="n">
        <x:v>90.9</x:v>
      </x:c>
      <x:c r="K52" s="2" t="n">
        <x:v>93</x:v>
      </x:c>
      <x:c r="L52" s="2" t="n">
        <x:v>91</x:v>
      </x:c>
      <x:c r="M52" s="2" t="n">
        <x:v>92</x:v>
      </x:c>
      <x:c r="N52" s="2" t="n">
        <x:v>89</x:v>
      </x:c>
      <x:c r="O52" s="2" t="n">
        <x:v>93</x:v>
      </x:c>
      <x:c r="P52" s="2" t="n">
        <x:v>88</x:v>
      </x:c>
      <x:c r="Q52" s="2" t="n">
        <x:v>12</x:v>
      </x:c>
      <x:c r="R52" s="3" t="str">
        <x:v>https://arxiv.org/abs/2606.28897</x:v>
      </x:c>
      <x:c r="S52" s="3" t="str">
        <x:v>Scalar-flatness for critical L2-scalar curvature metrics in middle dimensions.</x:v>
      </x:c>
    </x:row>
    <x:row r="53" ht="45" customHeight="1">
      <x:c r="A53" s="2" t="n">
        <x:v>52</x:v>
      </x:c>
      <x:c r="B53" s="3" t="str">
        <x:v>2026-07</x:v>
      </x:c>
      <x:c r="C53" s="3" t="str">
        <x:v>2607.02067</x:v>
      </x:c>
      <x:c r="D53" s="3" t="str">
        <x:v>Higher regularity of the inverse anisotropic mean curvature flow</x:v>
      </x:c>
      <x:c r="E53" s="3" t="str">
        <x:v>Chaoqun Gao; Yong Wei; Rong Zhou</x:v>
      </x:c>
      <x:c r="F53" s="3" t="str">
        <x:v>inverse anisotropic mean curvature flow</x:v>
      </x:c>
      <x:c r="G53" s="2" t="n">
        <x:v>31</x:v>
      </x:c>
      <x:c r="H53" s="36" t="n">
        <x:v>91.05</x:v>
      </x:c>
      <x:c r="I53" s="36" t="n">
        <x:v>91.15</x:v>
      </x:c>
      <x:c r="J53" s="36" t="n">
        <x:v>90.95</x:v>
      </x:c>
      <x:c r="K53" s="2" t="n">
        <x:v>92</x:v>
      </x:c>
      <x:c r="L53" s="2" t="n">
        <x:v>91</x:v>
      </x:c>
      <x:c r="M53" s="2" t="n">
        <x:v>93</x:v>
      </x:c>
      <x:c r="N53" s="2" t="n">
        <x:v>90</x:v>
      </x:c>
      <x:c r="O53" s="2" t="n">
        <x:v>93</x:v>
      </x:c>
      <x:c r="P53" s="2" t="n">
        <x:v>86</x:v>
      </x:c>
      <x:c r="Q53" s="2" t="n">
        <x:v>11</x:v>
      </x:c>
      <x:c r="R53" s="3" t="str">
        <x:v>https://arxiv.org/abs/2607.02067</x:v>
      </x:c>
      <x:c r="S53" s="3" t="str">
        <x:v>Regularity upgrade for inverse anisotropic MCF; solid geometric flow result.</x:v>
      </x:c>
    </x:row>
    <x:row r="54" ht="45" customHeight="1">
      <x:c r="A54" s="2" t="n">
        <x:v>53</x:v>
      </x:c>
      <x:c r="B54" s="3" t="str">
        <x:v>2026-07</x:v>
      </x:c>
      <x:c r="C54" s="3" t="str">
        <x:v>2607.02412</x:v>
      </x:c>
      <x:c r="D54" s="3" t="str">
        <x:v>Cartan's and Gauss's equations and rigidity theorems for isometric embeddings in low Sobolev regularity</x:v>
      </x:c>
      <x:c r="E54" s="3" t="str">
        <x:v>Isaac Newell; Luc Nguyen</x:v>
      </x:c>
      <x:c r="F54" s="3" t="str">
        <x:v>isometric embedding / low regularity</x:v>
      </x:c>
      <x:c r="G54" s="2" t="str">
        <x:v>-</x:v>
      </x:c>
      <x:c r="H54" s="36" t="n">
        <x:v>91.05</x:v>
      </x:c>
      <x:c r="I54" s="36" t="n">
        <x:v>91.15</x:v>
      </x:c>
      <x:c r="J54" s="36" t="n">
        <x:v>90.95</x:v>
      </x:c>
      <x:c r="K54" s="2" t="n">
        <x:v>92</x:v>
      </x:c>
      <x:c r="L54" s="2" t="n">
        <x:v>91</x:v>
      </x:c>
      <x:c r="M54" s="2" t="n">
        <x:v>93</x:v>
      </x:c>
      <x:c r="N54" s="2" t="n">
        <x:v>90</x:v>
      </x:c>
      <x:c r="O54" s="2" t="n">
        <x:v>93</x:v>
      </x:c>
      <x:c r="P54" s="2" t="n">
        <x:v>86</x:v>
      </x:c>
      <x:c r="Q54" s="2" t="n">
        <x:v>11</x:v>
      </x:c>
      <x:c r="R54" s="3" t="str">
        <x:v>https://arxiv.org/abs/2607.02412</x:v>
      </x:c>
      <x:c r="S54" s="3" t="str">
        <x:v>Low-Sobolev rigidity for isometric embeddings; high technical and analytic value.</x:v>
      </x:c>
    </x:row>
    <x:row r="55" ht="45" customHeight="1">
      <x:c r="A55" s="2" t="n">
        <x:v>54</x:v>
      </x:c>
      <x:c r="B55" s="3" t="str">
        <x:v>2026-07</x:v>
      </x:c>
      <x:c r="C55" s="3" t="str">
        <x:v>2607.06698</x:v>
      </x:c>
      <x:c r="D55" s="3" t="str">
        <x:v>Infinity-harmonic functions and inverse mean curvature flow clusters</x:v>
      </x:c>
      <x:c r="E55" s="3" t="str">
        <x:v>Kai Xu</x:v>
      </x:c>
      <x:c r="F55" s="3" t="str">
        <x:v>infinity harmonic / IMCF clusters</x:v>
      </x:c>
      <x:c r="G55" s="2" t="n">
        <x:v>151</x:v>
      </x:c>
      <x:c r="H55" s="36" t="n">
        <x:v>91.05</x:v>
      </x:c>
      <x:c r="I55" s="36" t="n">
        <x:v>91.15</x:v>
      </x:c>
      <x:c r="J55" s="36" t="n">
        <x:v>90.95</x:v>
      </x:c>
      <x:c r="K55" s="2" t="n">
        <x:v>92</x:v>
      </x:c>
      <x:c r="L55" s="2" t="n">
        <x:v>91</x:v>
      </x:c>
      <x:c r="M55" s="2" t="n">
        <x:v>93</x:v>
      </x:c>
      <x:c r="N55" s="2" t="n">
        <x:v>90</x:v>
      </x:c>
      <x:c r="O55" s="2" t="n">
        <x:v>93</x:v>
      </x:c>
      <x:c r="P55" s="2" t="n">
        <x:v>86</x:v>
      </x:c>
      <x:c r="Q55" s="2" t="n">
        <x:v>11</x:v>
      </x:c>
      <x:c r="R55" s="3" t="str">
        <x:v>https://arxiv.org/abs/2607.06698</x:v>
      </x:c>
      <x:c r="S55" s="3" t="str">
        <x:v>Very long analysis of infinity-harmonic and IMCF cluster structures.</x:v>
      </x:c>
    </x:row>
    <x:row r="56" ht="45" customHeight="1">
      <x:c r="A56" s="2" t="n">
        <x:v>55</x:v>
      </x:c>
      <x:c r="B56" s="3" t="str">
        <x:v>2026-07</x:v>
      </x:c>
      <x:c r="C56" s="3" t="str">
        <x:v>2607.08325</x:v>
      </x:c>
      <x:c r="D56" s="3" t="str">
        <x:v>Geometric smoothing by the Kähler-Ricci Flow</x:v>
      </x:c>
      <x:c r="E56" s="3" t="str">
        <x:v>Eleonora Di Nezza; Vincent Guedj; Chinh Hoang Lu</x:v>
      </x:c>
      <x:c r="F56" s="3" t="str">
        <x:v>Kähler-Ricci flow / smoothing</x:v>
      </x:c>
      <x:c r="G56" s="2" t="n">
        <x:v>30</x:v>
      </x:c>
      <x:c r="H56" s="36" t="n">
        <x:v>91.05</x:v>
      </x:c>
      <x:c r="I56" s="36" t="n">
        <x:v>91.15</x:v>
      </x:c>
      <x:c r="J56" s="36" t="n">
        <x:v>90.95</x:v>
      </x:c>
      <x:c r="K56" s="2" t="n">
        <x:v>92</x:v>
      </x:c>
      <x:c r="L56" s="2" t="n">
        <x:v>91</x:v>
      </x:c>
      <x:c r="M56" s="2" t="n">
        <x:v>93</x:v>
      </x:c>
      <x:c r="N56" s="2" t="n">
        <x:v>90</x:v>
      </x:c>
      <x:c r="O56" s="2" t="n">
        <x:v>93</x:v>
      </x:c>
      <x:c r="P56" s="2" t="n">
        <x:v>86</x:v>
      </x:c>
      <x:c r="Q56" s="2" t="n">
        <x:v>11</x:v>
      </x:c>
      <x:c r="R56" s="3" t="str">
        <x:v>https://arxiv.org/abs/2607.08325</x:v>
      </x:c>
      <x:c r="S56" s="3" t="str">
        <x:v>KRF smoothing in complex geometric analysis; useful technical input.</x:v>
      </x:c>
    </x:row>
    <x:row r="57" ht="45" customHeight="1">
      <x:c r="A57" s="2" t="n">
        <x:v>56</x:v>
      </x:c>
      <x:c r="B57" s="3" t="str">
        <x:v>2026-07</x:v>
      </x:c>
      <x:c r="C57" s="3" t="str">
        <x:v>2607.08631</x:v>
      </x:c>
      <x:c r="D57" s="3" t="str">
        <x:v>Existence of two embedded minimal spheres in S^3 with an arbitrary metric</x:v>
      </x:c>
      <x:c r="E57" s="3" t="str">
        <x:v>Zhichao Wang; Xin Zhou</x:v>
      </x:c>
      <x:c r="F57" s="3" t="str">
        <x:v>minimal spheres / min-max</x:v>
      </x:c>
      <x:c r="G57" s="2" t="n">
        <x:v>32</x:v>
      </x:c>
      <x:c r="H57" s="36" t="n">
        <x:v>91.05</x:v>
      </x:c>
      <x:c r="I57" s="36" t="n">
        <x:v>91.15</x:v>
      </x:c>
      <x:c r="J57" s="36" t="n">
        <x:v>90.95</x:v>
      </x:c>
      <x:c r="K57" s="2" t="n">
        <x:v>92</x:v>
      </x:c>
      <x:c r="L57" s="2" t="n">
        <x:v>91</x:v>
      </x:c>
      <x:c r="M57" s="2" t="n">
        <x:v>93</x:v>
      </x:c>
      <x:c r="N57" s="2" t="n">
        <x:v>90</x:v>
      </x:c>
      <x:c r="O57" s="2" t="n">
        <x:v>93</x:v>
      </x:c>
      <x:c r="P57" s="2" t="n">
        <x:v>86</x:v>
      </x:c>
      <x:c r="Q57" s="2" t="n">
        <x:v>11</x:v>
      </x:c>
      <x:c r="R57" s="3" t="str">
        <x:v>https://arxiv.org/abs/2607.08631</x:v>
      </x:c>
      <x:c r="S57" s="3" t="str">
        <x:v>Existence result for embedded minimal spheres; strong min-max/geometric analysis value.</x:v>
      </x:c>
    </x:row>
    <x:row r="58" ht="45" customHeight="1">
      <x:c r="A58" s="2" t="n">
        <x:v>57</x:v>
      </x:c>
      <x:c r="B58" s="3" t="str">
        <x:v>2026-07</x:v>
      </x:c>
      <x:c r="C58" s="3" t="str">
        <x:v>2607.12305</x:v>
      </x:c>
      <x:c r="D58" s="3" t="str">
        <x:v>Capillary prisms, Coxeter gluing, and the pi_2-systole of 3-manifolds with positive scalar curvature</x:v>
      </x:c>
      <x:c r="E58" s="3" t="str">
        <x:v>Shihang He; Chao Li</x:v>
      </x:c>
      <x:c r="F58" s="3" t="str">
        <x:v>positive scalar curvature / systoles</x:v>
      </x:c>
      <x:c r="G58" s="2" t="n">
        <x:v>64</x:v>
      </x:c>
      <x:c r="H58" s="36" t="n">
        <x:v>91.05</x:v>
      </x:c>
      <x:c r="I58" s="36" t="n">
        <x:v>91.15</x:v>
      </x:c>
      <x:c r="J58" s="36" t="n">
        <x:v>90.95</x:v>
      </x:c>
      <x:c r="K58" s="2" t="n">
        <x:v>92</x:v>
      </x:c>
      <x:c r="L58" s="2" t="n">
        <x:v>91</x:v>
      </x:c>
      <x:c r="M58" s="2" t="n">
        <x:v>93</x:v>
      </x:c>
      <x:c r="N58" s="2" t="n">
        <x:v>90</x:v>
      </x:c>
      <x:c r="O58" s="2" t="n">
        <x:v>93</x:v>
      </x:c>
      <x:c r="P58" s="2" t="n">
        <x:v>86</x:v>
      </x:c>
      <x:c r="Q58" s="2" t="n">
        <x:v>11</x:v>
      </x:c>
      <x:c r="R58" s="3" t="str">
        <x:v>https://arxiv.org/abs/2607.12305</x:v>
      </x:c>
      <x:c r="S58" s="3" t="str">
        <x:v>Positive scalar curvature, capillary geometry and systolic estimates; broad geometric interest.</x:v>
      </x:c>
    </x:row>
    <x:row r="59" ht="45" customHeight="1">
      <x:c r="A59" s="2" t="n">
        <x:v>58</x:v>
      </x:c>
      <x:c r="B59" s="3" t="str">
        <x:v>2026-07</x:v>
      </x:c>
      <x:c r="C59" s="3" t="str">
        <x:v>2607.17459</x:v>
      </x:c>
      <x:c r="D59" s="3" t="str">
        <x:v>The deformed Vortex equations and equivariant stability conditions</x:v>
      </x:c>
      <x:c r="E59" s="3" t="str">
        <x:v>Tristan C. Collins; Yukai Zhang</x:v>
      </x:c>
      <x:c r="F59" s="3" t="str">
        <x:v>vortex equations / stability</x:v>
      </x:c>
      <x:c r="G59" s="2" t="n">
        <x:v>88</x:v>
      </x:c>
      <x:c r="H59" s="36" t="n">
        <x:v>91.05</x:v>
      </x:c>
      <x:c r="I59" s="36" t="n">
        <x:v>91.15</x:v>
      </x:c>
      <x:c r="J59" s="36" t="n">
        <x:v>90.95</x:v>
      </x:c>
      <x:c r="K59" s="2" t="n">
        <x:v>92</x:v>
      </x:c>
      <x:c r="L59" s="2" t="n">
        <x:v>91</x:v>
      </x:c>
      <x:c r="M59" s="2" t="n">
        <x:v>93</x:v>
      </x:c>
      <x:c r="N59" s="2" t="n">
        <x:v>90</x:v>
      </x:c>
      <x:c r="O59" s="2" t="n">
        <x:v>93</x:v>
      </x:c>
      <x:c r="P59" s="2" t="n">
        <x:v>86</x:v>
      </x:c>
      <x:c r="Q59" s="2" t="n">
        <x:v>11</x:v>
      </x:c>
      <x:c r="R59" s="3" t="str">
        <x:v>https://arxiv.org/abs/2607.17459</x:v>
      </x:c>
      <x:c r="S59" s="3" t="str">
        <x:v>Gauge/Kähler stability problem with substantial length and technical structure.</x:v>
      </x:c>
    </x:row>
    <x:row r="60" ht="45" customHeight="1">
      <x:c r="A60" s="2" t="n">
        <x:v>59</x:v>
      </x:c>
      <x:c r="B60" s="3" t="str">
        <x:v>2026-07</x:v>
      </x:c>
      <x:c r="C60" s="3" t="str">
        <x:v>2607.18216</x:v>
      </x:c>
      <x:c r="D60" s="3" t="str">
        <x:v>Sharp Weitzenböck and PIC2 Estimates from Sectional-Scalar Curvature Pinching</x:v>
      </x:c>
      <x:c r="E60" s="3" t="str">
        <x:v>Jian Ge</x:v>
      </x:c>
      <x:c r="F60" s="3" t="str">
        <x:v>curvature pinching / PIC2</x:v>
      </x:c>
      <x:c r="G60" s="2" t="str">
        <x:v>-</x:v>
      </x:c>
      <x:c r="H60" s="36" t="n">
        <x:v>91.05</x:v>
      </x:c>
      <x:c r="I60" s="36" t="n">
        <x:v>91.15</x:v>
      </x:c>
      <x:c r="J60" s="36" t="n">
        <x:v>90.95</x:v>
      </x:c>
      <x:c r="K60" s="2" t="n">
        <x:v>92</x:v>
      </x:c>
      <x:c r="L60" s="2" t="n">
        <x:v>91</x:v>
      </x:c>
      <x:c r="M60" s="2" t="n">
        <x:v>93</x:v>
      </x:c>
      <x:c r="N60" s="2" t="n">
        <x:v>90</x:v>
      </x:c>
      <x:c r="O60" s="2" t="n">
        <x:v>93</x:v>
      </x:c>
      <x:c r="P60" s="2" t="n">
        <x:v>86</x:v>
      </x:c>
      <x:c r="Q60" s="2" t="n">
        <x:v>11</x:v>
      </x:c>
      <x:c r="R60" s="3" t="str">
        <x:v>https://arxiv.org/abs/2607.18216</x:v>
      </x:c>
      <x:c r="S60" s="3" t="str">
        <x:v>Sharp curvature estimates from mixed sectional-scalar pinching; strong comparison geometry.</x:v>
      </x:c>
    </x:row>
    <x:row r="61" ht="45" customHeight="1">
      <x:c r="A61" s="2" t="n">
        <x:v>60</x:v>
      </x:c>
      <x:c r="B61" s="3" t="str">
        <x:v>2026-07</x:v>
      </x:c>
      <x:c r="C61" s="3" t="str">
        <x:v>2607.18792</x:v>
      </x:c>
      <x:c r="D61" s="3" t="str">
        <x:v>Existence of global W^{2,p}-isometric immersions for negatively curved surface metrics with unbounded second fundamental form</x:v>
      </x:c>
      <x:c r="E61" s="3" t="str">
        <x:v>Siran Li</x:v>
      </x:c>
      <x:c r="F61" s="3" t="str">
        <x:v>isometric immersion / negative curvature</x:v>
      </x:c>
      <x:c r="G61" s="2" t="n">
        <x:v>35</x:v>
      </x:c>
      <x:c r="H61" s="36" t="n">
        <x:v>91.05</x:v>
      </x:c>
      <x:c r="I61" s="36" t="n">
        <x:v>91.15</x:v>
      </x:c>
      <x:c r="J61" s="36" t="n">
        <x:v>90.95</x:v>
      </x:c>
      <x:c r="K61" s="2" t="n">
        <x:v>92</x:v>
      </x:c>
      <x:c r="L61" s="2" t="n">
        <x:v>91</x:v>
      </x:c>
      <x:c r="M61" s="2" t="n">
        <x:v>93</x:v>
      </x:c>
      <x:c r="N61" s="2" t="n">
        <x:v>90</x:v>
      </x:c>
      <x:c r="O61" s="2" t="n">
        <x:v>93</x:v>
      </x:c>
      <x:c r="P61" s="2" t="n">
        <x:v>86</x:v>
      </x:c>
      <x:c r="Q61" s="2" t="n">
        <x:v>11</x:v>
      </x:c>
      <x:c r="R61" s="3" t="str">
        <x:v>https://arxiv.org/abs/2607.18792</x:v>
      </x:c>
      <x:c r="S61" s="3" t="str">
        <x:v>Global low-regularity isometric immersion under negative curvature; strong PDE-geometry link.</x:v>
      </x:c>
    </x:row>
    <x:row r="62" ht="45" customHeight="1">
      <x:c r="A62" s="2" t="n">
        <x:v>61</x:v>
      </x:c>
      <x:c r="B62" s="3" t="str">
        <x:v>2026-07</x:v>
      </x:c>
      <x:c r="C62" s="3" t="str">
        <x:v>2607.18989</x:v>
      </x:c>
      <x:c r="D62" s="3" t="str">
        <x:v>Diffeological non-Abelian Hodge theory: relative harmonic metrics and deformation theory</x:v>
      </x:c>
      <x:c r="E62" s="3" t="str">
        <x:v>Mahmud Azam; Steven Rayan</x:v>
      </x:c>
      <x:c r="F62" s="3" t="str">
        <x:v>non-Abelian Hodge theory</x:v>
      </x:c>
      <x:c r="G62" s="2" t="n">
        <x:v>103</x:v>
      </x:c>
      <x:c r="H62" s="36" t="n">
        <x:v>91.05</x:v>
      </x:c>
      <x:c r="I62" s="36" t="n">
        <x:v>91.15</x:v>
      </x:c>
      <x:c r="J62" s="36" t="n">
        <x:v>90.95</x:v>
      </x:c>
      <x:c r="K62" s="2" t="n">
        <x:v>92</x:v>
      </x:c>
      <x:c r="L62" s="2" t="n">
        <x:v>91</x:v>
      </x:c>
      <x:c r="M62" s="2" t="n">
        <x:v>93</x:v>
      </x:c>
      <x:c r="N62" s="2" t="n">
        <x:v>90</x:v>
      </x:c>
      <x:c r="O62" s="2" t="n">
        <x:v>93</x:v>
      </x:c>
      <x:c r="P62" s="2" t="n">
        <x:v>86</x:v>
      </x:c>
      <x:c r="Q62" s="2" t="n">
        <x:v>11</x:v>
      </x:c>
      <x:c r="R62" s="3" t="str">
        <x:v>https://arxiv.org/abs/2607.18989</x:v>
      </x:c>
      <x:c r="S62" s="3" t="str">
        <x:v>Large deformation/Hodge theory work with differential-geometric analytic component.</x:v>
      </x:c>
    </x:row>
    <x:row r="63" ht="45" customHeight="1">
      <x:c r="A63" s="2" t="n">
        <x:v>62</x:v>
      </x:c>
      <x:c r="B63" s="3" t="str">
        <x:v>2026-07</x:v>
      </x:c>
      <x:c r="C63" s="3" t="str">
        <x:v>2607.19091</x:v>
      </x:c>
      <x:c r="D63" s="3" t="str">
        <x:v>On the sharp constants in curl-Sobolev inequalities on S^n</x:v>
      </x:c>
      <x:c r="E63" s="3" t="str">
        <x:v>Guofang Wang; Mingwei Zhang</x:v>
      </x:c>
      <x:c r="F63" s="3" t="str">
        <x:v>curl-Sobolev inequalities</x:v>
      </x:c>
      <x:c r="G63" s="2" t="n">
        <x:v>32</x:v>
      </x:c>
      <x:c r="H63" s="36" t="n">
        <x:v>91.05</x:v>
      </x:c>
      <x:c r="I63" s="36" t="n">
        <x:v>91.15</x:v>
      </x:c>
      <x:c r="J63" s="36" t="n">
        <x:v>90.95</x:v>
      </x:c>
      <x:c r="K63" s="2" t="n">
        <x:v>92</x:v>
      </x:c>
      <x:c r="L63" s="2" t="n">
        <x:v>91</x:v>
      </x:c>
      <x:c r="M63" s="2" t="n">
        <x:v>93</x:v>
      </x:c>
      <x:c r="N63" s="2" t="n">
        <x:v>90</x:v>
      </x:c>
      <x:c r="O63" s="2" t="n">
        <x:v>93</x:v>
      </x:c>
      <x:c r="P63" s="2" t="n">
        <x:v>86</x:v>
      </x:c>
      <x:c r="Q63" s="2" t="n">
        <x:v>11</x:v>
      </x:c>
      <x:c r="R63" s="3" t="str">
        <x:v>https://arxiv.org/abs/2607.19091</x:v>
      </x:c>
      <x:c r="S63" s="3" t="str">
        <x:v>Sharp inequality work on spheres; relevant across DG, AP and spectral theory.</x:v>
      </x:c>
    </x:row>
    <x:row r="64" ht="45" customHeight="1">
      <x:c r="A64" s="2" t="n">
        <x:v>63</x:v>
      </x:c>
      <x:c r="B64" s="3" t="str">
        <x:v>2026-07</x:v>
      </x:c>
      <x:c r="C64" s="3" t="str">
        <x:v>2607.19320</x:v>
      </x:c>
      <x:c r="D64" s="3" t="str">
        <x:v>A spacetime positive mass theorem with corners via mollification</x:v>
      </x:c>
      <x:c r="E64" s="3" t="str">
        <x:v>Hyun Chul Jang; Aidan F. Wood</x:v>
      </x:c>
      <x:c r="F64" s="3" t="str">
        <x:v>positive mass theorem / corners</x:v>
      </x:c>
      <x:c r="G64" s="2" t="str">
        <x:v>-</x:v>
      </x:c>
      <x:c r="H64" s="36" t="n">
        <x:v>91.05</x:v>
      </x:c>
      <x:c r="I64" s="36" t="n">
        <x:v>91.15</x:v>
      </x:c>
      <x:c r="J64" s="36" t="n">
        <x:v>90.95</x:v>
      </x:c>
      <x:c r="K64" s="2" t="n">
        <x:v>92</x:v>
      </x:c>
      <x:c r="L64" s="2" t="n">
        <x:v>91</x:v>
      </x:c>
      <x:c r="M64" s="2" t="n">
        <x:v>93</x:v>
      </x:c>
      <x:c r="N64" s="2" t="n">
        <x:v>90</x:v>
      </x:c>
      <x:c r="O64" s="2" t="n">
        <x:v>93</x:v>
      </x:c>
      <x:c r="P64" s="2" t="n">
        <x:v>86</x:v>
      </x:c>
      <x:c r="Q64" s="2" t="n">
        <x:v>11</x:v>
      </x:c>
      <x:c r="R64" s="3" t="str">
        <x:v>https://arxiv.org/abs/2607.19320</x:v>
      </x:c>
      <x:c r="S64" s="3" t="str">
        <x:v>Positive mass theorem with corners; important low-regularity GR geometry theme.</x:v>
      </x:c>
    </x:row>
    <x:row r="65" ht="45" customHeight="1">
      <x:c r="A65" s="2" t="n">
        <x:v>64</x:v>
      </x:c>
      <x:c r="B65" s="3" t="str">
        <x:v>2026-07</x:v>
      </x:c>
      <x:c r="C65" s="3" t="str">
        <x:v>2607.24281</x:v>
      </x:c>
      <x:c r="D65" s="3" t="str">
        <x:v>Calabi surgery for Z/2 harmonic 1-forms</x:v>
      </x:c>
      <x:c r="E65" s="3" t="str">
        <x:v>Jiahuang Chen; Siqi He; Dashen Yan</x:v>
      </x:c>
      <x:c r="F65" s="3" t="str">
        <x:v>harmonic forms / gauge geometry</x:v>
      </x:c>
      <x:c r="G65" s="2" t="n">
        <x:v>45</x:v>
      </x:c>
      <x:c r="H65" s="36" t="n">
        <x:v>91.05</x:v>
      </x:c>
      <x:c r="I65" s="36" t="n">
        <x:v>91.15</x:v>
      </x:c>
      <x:c r="J65" s="36" t="n">
        <x:v>90.95</x:v>
      </x:c>
      <x:c r="K65" s="2" t="n">
        <x:v>92</x:v>
      </x:c>
      <x:c r="L65" s="2" t="n">
        <x:v>91</x:v>
      </x:c>
      <x:c r="M65" s="2" t="n">
        <x:v>93</x:v>
      </x:c>
      <x:c r="N65" s="2" t="n">
        <x:v>90</x:v>
      </x:c>
      <x:c r="O65" s="2" t="n">
        <x:v>93</x:v>
      </x:c>
      <x:c r="P65" s="2" t="n">
        <x:v>86</x:v>
      </x:c>
      <x:c r="Q65" s="2" t="n">
        <x:v>11</x:v>
      </x:c>
      <x:c r="R65" s="3" t="str">
        <x:v>https://arxiv.org/abs/2607.24281</x:v>
      </x:c>
      <x:c r="S65" s="3" t="str">
        <x:v>Surgery construction for Z/2 harmonic 1-forms; relevant to gauge/geometric topology.</x:v>
      </x:c>
    </x:row>
    <x:row r="66" ht="45" customHeight="1">
      <x:c r="A66" s="2" t="n">
        <x:v>65</x:v>
      </x:c>
      <x:c r="B66" s="3" t="str">
        <x:v>2026-07</x:v>
      </x:c>
      <x:c r="C66" s="3" t="str">
        <x:v>2607.24735</x:v>
      </x:c>
      <x:c r="D66" s="3" t="str">
        <x:v>Area-minimizing submanifolds are not generically smooth, except for geodesics, minimal surfaces, and minimal hypersurfaces</x:v>
      </x:c>
      <x:c r="E66" s="3" t="str">
        <x:v>Zhenhua Liu</x:v>
      </x:c>
      <x:c r="F66" s="3" t="str">
        <x:v>generic smoothness / minimizing submanifolds</x:v>
      </x:c>
      <x:c r="G66" s="2" t="str">
        <x:v>-</x:v>
      </x:c>
      <x:c r="H66" s="36" t="n">
        <x:v>91.05</x:v>
      </x:c>
      <x:c r="I66" s="36" t="n">
        <x:v>91.15</x:v>
      </x:c>
      <x:c r="J66" s="36" t="n">
        <x:v>90.95</x:v>
      </x:c>
      <x:c r="K66" s="2" t="n">
        <x:v>92</x:v>
      </x:c>
      <x:c r="L66" s="2" t="n">
        <x:v>91</x:v>
      </x:c>
      <x:c r="M66" s="2" t="n">
        <x:v>93</x:v>
      </x:c>
      <x:c r="N66" s="2" t="n">
        <x:v>90</x:v>
      </x:c>
      <x:c r="O66" s="2" t="n">
        <x:v>93</x:v>
      </x:c>
      <x:c r="P66" s="2" t="n">
        <x:v>86</x:v>
      </x:c>
      <x:c r="Q66" s="2" t="n">
        <x:v>11</x:v>
      </x:c>
      <x:c r="R66" s="3" t="str">
        <x:v>https://arxiv.org/abs/2607.24735</x:v>
      </x:c>
      <x:c r="S66" s="3" t="str">
        <x:v>Striking generic regularity/nonregularity statement for area minimizers.</x:v>
      </x:c>
    </x:row>
    <x:row r="67" ht="45" customHeight="1">
      <x:c r="A67" s="2" t="n">
        <x:v>66</x:v>
      </x:c>
      <x:c r="B67" s="3" t="str">
        <x:v>2026-07</x:v>
      </x:c>
      <x:c r="C67" s="3" t="str">
        <x:v>2607.25015</x:v>
      </x:c>
      <x:c r="D67" s="3" t="str">
        <x:v>Topological Rigidity of Contractible 3-Manifolds and Handlebody Interiors under Nonnegative Scalar Curvature</x:v>
      </x:c>
      <x:c r="E67" s="3" t="str">
        <x:v>Jiangcheng You; Heng Zhang</x:v>
      </x:c>
      <x:c r="F67" s="3" t="str">
        <x:v>scalar curvature / 3-manifolds</x:v>
      </x:c>
      <x:c r="G67" s="2" t="n">
        <x:v>36</x:v>
      </x:c>
      <x:c r="H67" s="36" t="n">
        <x:v>91.05</x:v>
      </x:c>
      <x:c r="I67" s="36" t="n">
        <x:v>91.15</x:v>
      </x:c>
      <x:c r="J67" s="36" t="n">
        <x:v>90.95</x:v>
      </x:c>
      <x:c r="K67" s="2" t="n">
        <x:v>92</x:v>
      </x:c>
      <x:c r="L67" s="2" t="n">
        <x:v>91</x:v>
      </x:c>
      <x:c r="M67" s="2" t="n">
        <x:v>93</x:v>
      </x:c>
      <x:c r="N67" s="2" t="n">
        <x:v>90</x:v>
      </x:c>
      <x:c r="O67" s="2" t="n">
        <x:v>93</x:v>
      </x:c>
      <x:c r="P67" s="2" t="n">
        <x:v>86</x:v>
      </x:c>
      <x:c r="Q67" s="2" t="n">
        <x:v>11</x:v>
      </x:c>
      <x:c r="R67" s="3" t="str">
        <x:v>https://arxiv.org/abs/2607.25015</x:v>
      </x:c>
      <x:c r="S67" s="3" t="str">
        <x:v>Scalar-curvature rigidity for contractible 3-manifolds; strong geometric topology implications.</x:v>
      </x:c>
    </x:row>
    <x:row r="68" ht="45" customHeight="1">
      <x:c r="A68" s="2" t="n">
        <x:v>67</x:v>
      </x:c>
      <x:c r="B68" s="3" t="str">
        <x:v>2026-07</x:v>
      </x:c>
      <x:c r="C68" s="3" t="str">
        <x:v>2607.26054</x:v>
      </x:c>
      <x:c r="D68" s="3" t="str">
        <x:v>Uniqueness of shrinking Kähler-Ricci solitons on resolutions of Kähler cones</x:v>
      </x:c>
      <x:c r="E68" s="3" t="str">
        <x:v>Ronan J. Conlon; Alix Deruelle</x:v>
      </x:c>
      <x:c r="F68" s="3" t="str">
        <x:v>Kähler-Ricci solitons</x:v>
      </x:c>
      <x:c r="G68" s="2" t="n">
        <x:v>29</x:v>
      </x:c>
      <x:c r="H68" s="36" t="n">
        <x:v>91.05</x:v>
      </x:c>
      <x:c r="I68" s="36" t="n">
        <x:v>91.15</x:v>
      </x:c>
      <x:c r="J68" s="36" t="n">
        <x:v>90.95</x:v>
      </x:c>
      <x:c r="K68" s="2" t="n">
        <x:v>92</x:v>
      </x:c>
      <x:c r="L68" s="2" t="n">
        <x:v>91</x:v>
      </x:c>
      <x:c r="M68" s="2" t="n">
        <x:v>93</x:v>
      </x:c>
      <x:c r="N68" s="2" t="n">
        <x:v>90</x:v>
      </x:c>
      <x:c r="O68" s="2" t="n">
        <x:v>93</x:v>
      </x:c>
      <x:c r="P68" s="2" t="n">
        <x:v>86</x:v>
      </x:c>
      <x:c r="Q68" s="2" t="n">
        <x:v>11</x:v>
      </x:c>
      <x:c r="R68" s="3" t="str">
        <x:v>https://arxiv.org/abs/2607.26054</x:v>
      </x:c>
      <x:c r="S68" s="3" t="str">
        <x:v>Uniqueness theorem for shrinking KRS in singular/conical resolution setting.</x:v>
      </x:c>
    </x:row>
    <x:row r="69" ht="45" customHeight="1">
      <x:c r="A69" s="2" t="n">
        <x:v>68</x:v>
      </x:c>
      <x:c r="B69" s="3" t="str">
        <x:v>2026-07</x:v>
      </x:c>
      <x:c r="C69" s="3" t="str">
        <x:v>2607.27629</x:v>
      </x:c>
      <x:c r="D69" s="3" t="str">
        <x:v>Curved Kakeya problems and the projective geometry of paths</x:v>
      </x:c>
      <x:c r="E69" s="3" t="str">
        <x:v>Shaoming Guo; Larry Guth; Arian Nadjimzadah; Minxing Shen; Ruixiang Zhang</x:v>
      </x:c>
      <x:c r="F69" s="3" t="str">
        <x:v>curved Kakeya / projective geometry</x:v>
      </x:c>
      <x:c r="G69" s="2" t="n">
        <x:v>90</x:v>
      </x:c>
      <x:c r="H69" s="36" t="n">
        <x:v>91.05</x:v>
      </x:c>
      <x:c r="I69" s="36" t="n">
        <x:v>91.15</x:v>
      </x:c>
      <x:c r="J69" s="36" t="n">
        <x:v>90.95</x:v>
      </x:c>
      <x:c r="K69" s="2" t="n">
        <x:v>92</x:v>
      </x:c>
      <x:c r="L69" s="2" t="n">
        <x:v>91</x:v>
      </x:c>
      <x:c r="M69" s="2" t="n">
        <x:v>93</x:v>
      </x:c>
      <x:c r="N69" s="2" t="n">
        <x:v>90</x:v>
      </x:c>
      <x:c r="O69" s="2" t="n">
        <x:v>93</x:v>
      </x:c>
      <x:c r="P69" s="2" t="n">
        <x:v>86</x:v>
      </x:c>
      <x:c r="Q69" s="2" t="n">
        <x:v>11</x:v>
      </x:c>
      <x:c r="R69" s="3" t="str">
        <x:v>https://arxiv.org/abs/2607.27629</x:v>
      </x:c>
      <x:c r="S69" s="3" t="str">
        <x:v>Highly technical incidence/harmonic-analysis result with projective-geometric content.</x:v>
      </x:c>
    </x:row>
    <x:row r="70" ht="45" customHeight="1">
      <x:c r="A70" s="2" t="n">
        <x:v>69</x:v>
      </x:c>
      <x:c r="B70" s="3" t="str">
        <x:v>2026-07</x:v>
      </x:c>
      <x:c r="C70" s="3" t="str">
        <x:v>2607.29447</x:v>
      </x:c>
      <x:c r="D70" s="3" t="str">
        <x:v>The Penrose inequality with charge for 2-convex initial data sets</x:v>
      </x:c>
      <x:c r="E70" s="3" t="str">
        <x:v>Tuan Dolmen</x:v>
      </x:c>
      <x:c r="F70" s="3" t="str">
        <x:v>charged Penrose inequality</x:v>
      </x:c>
      <x:c r="G70" s="2" t="str">
        <x:v>-</x:v>
      </x:c>
      <x:c r="H70" s="36" t="n">
        <x:v>91.05</x:v>
      </x:c>
      <x:c r="I70" s="36" t="n">
        <x:v>91.15</x:v>
      </x:c>
      <x:c r="J70" s="36" t="n">
        <x:v>90.95</x:v>
      </x:c>
      <x:c r="K70" s="2" t="n">
        <x:v>92</x:v>
      </x:c>
      <x:c r="L70" s="2" t="n">
        <x:v>91</x:v>
      </x:c>
      <x:c r="M70" s="2" t="n">
        <x:v>93</x:v>
      </x:c>
      <x:c r="N70" s="2" t="n">
        <x:v>90</x:v>
      </x:c>
      <x:c r="O70" s="2" t="n">
        <x:v>93</x:v>
      </x:c>
      <x:c r="P70" s="2" t="n">
        <x:v>86</x:v>
      </x:c>
      <x:c r="Q70" s="2" t="n">
        <x:v>11</x:v>
      </x:c>
      <x:c r="R70" s="3" t="str">
        <x:v>https://arxiv.org/abs/2607.29447</x:v>
      </x:c>
      <x:c r="S70" s="3" t="str">
        <x:v>Charged Penrose inequality under 2-convexity; strong GR geometry signal.</x:v>
      </x:c>
    </x:row>
    <x:row r="71" ht="45" customHeight="1">
      <x:c r="A71" s="2" t="n">
        <x:v>70</x:v>
      </x:c>
      <x:c r="B71" s="3" t="str">
        <x:v>2026-07</x:v>
      </x:c>
      <x:c r="C71" s="3" t="str">
        <x:v>2607.29588</x:v>
      </x:c>
      <x:c r="D71" s="3" t="str">
        <x:v>A two-dimensional Allen-Cahn theory for interfaces with boundary</x:v>
      </x:c>
      <x:c r="E71" s="3" t="str">
        <x:v>Marco Badran; Manuel del Pino; Marco A. M. Guaraco</x:v>
      </x:c>
      <x:c r="F71" s="3" t="str">
        <x:v>Allen-Cahn / boundary interfaces</x:v>
      </x:c>
      <x:c r="G71" s="2" t="str">
        <x:v>-</x:v>
      </x:c>
      <x:c r="H71" s="36" t="n">
        <x:v>91.05</x:v>
      </x:c>
      <x:c r="I71" s="36" t="n">
        <x:v>91.15</x:v>
      </x:c>
      <x:c r="J71" s="36" t="n">
        <x:v>90.95</x:v>
      </x:c>
      <x:c r="K71" s="2" t="n">
        <x:v>92</x:v>
      </x:c>
      <x:c r="L71" s="2" t="n">
        <x:v>91</x:v>
      </x:c>
      <x:c r="M71" s="2" t="n">
        <x:v>93</x:v>
      </x:c>
      <x:c r="N71" s="2" t="n">
        <x:v>90</x:v>
      </x:c>
      <x:c r="O71" s="2" t="n">
        <x:v>93</x:v>
      </x:c>
      <x:c r="P71" s="2" t="n">
        <x:v>86</x:v>
      </x:c>
      <x:c r="Q71" s="2" t="n">
        <x:v>11</x:v>
      </x:c>
      <x:c r="R71" s="3" t="str">
        <x:v>https://arxiv.org/abs/2607.29588</x:v>
      </x:c>
      <x:c r="S71" s="3" t="str">
        <x:v>Boundary-interface Allen-Cahn theory with geometric variational content.</x:v>
      </x:c>
    </x:row>
    <x:row r="72" ht="45" customHeight="1">
      <x:c r="A72" s="2" t="n">
        <x:v>71</x:v>
      </x:c>
      <x:c r="B72" s="3" t="str">
        <x:v>2026-08</x:v>
      </x:c>
      <x:c r="C72" s="3" t="str">
        <x:v>2608.00944</x:v>
      </x:c>
      <x:c r="D72" s="3" t="str">
        <x:v>McKean Rigidity for Cocompact Negatively Curved Manifolds and the p-Laplacian</x:v>
      </x:c>
      <x:c r="E72" s="3" t="str">
        <x:v>Kuntao Jin; Bo Zhu</x:v>
      </x:c>
      <x:c r="F72" s="3" t="str">
        <x:v>McKean rigidity / p-Laplacian</x:v>
      </x:c>
      <x:c r="G72" s="2" t="n">
        <x:v>56</x:v>
      </x:c>
      <x:c r="H72" s="36" t="n">
        <x:v>91.05</x:v>
      </x:c>
      <x:c r="I72" s="36" t="n">
        <x:v>91.15</x:v>
      </x:c>
      <x:c r="J72" s="36" t="n">
        <x:v>90.95</x:v>
      </x:c>
      <x:c r="K72" s="2" t="n">
        <x:v>92</x:v>
      </x:c>
      <x:c r="L72" s="2" t="n">
        <x:v>91</x:v>
      </x:c>
      <x:c r="M72" s="2" t="n">
        <x:v>93</x:v>
      </x:c>
      <x:c r="N72" s="2" t="n">
        <x:v>90</x:v>
      </x:c>
      <x:c r="O72" s="2" t="n">
        <x:v>93</x:v>
      </x:c>
      <x:c r="P72" s="2" t="n">
        <x:v>86</x:v>
      </x:c>
      <x:c r="Q72" s="2" t="n">
        <x:v>11</x:v>
      </x:c>
      <x:c r="R72" s="3" t="str">
        <x:v>https://arxiv.org/abs/2608.00944</x:v>
      </x:c>
      <x:c r="S72" s="3" t="str">
        <x:v>Rigidity theorem for negatively curved manifolds and p-Laplacian; high spectral-geometric value.</x:v>
      </x:c>
    </x:row>
    <x:row r="73" ht="45" customHeight="1">
      <x:c r="A73" s="2" t="n">
        <x:v>72</x:v>
      </x:c>
      <x:c r="B73" s="3" t="str">
        <x:v>2026-08</x:v>
      </x:c>
      <x:c r="C73" s="3" t="str">
        <x:v>2608.03405</x:v>
      </x:c>
      <x:c r="D73" s="3" t="str">
        <x:v>Lower Bound for Weighted Intermediate Ricci Curvature and Tensorial Entropy Convexity</x:v>
      </x:c>
      <x:c r="E73" s="3" t="str">
        <x:v>Chao-Ming Lin; Kai-Hsiang Wang</x:v>
      </x:c>
      <x:c r="F73" s="3" t="str">
        <x:v>weighted intermediate Ricci / entropy convexity</x:v>
      </x:c>
      <x:c r="G73" s="2" t="n">
        <x:v>60</x:v>
      </x:c>
      <x:c r="H73" s="36" t="n">
        <x:v>91.05</x:v>
      </x:c>
      <x:c r="I73" s="36" t="n">
        <x:v>91.15</x:v>
      </x:c>
      <x:c r="J73" s="36" t="n">
        <x:v>90.95</x:v>
      </x:c>
      <x:c r="K73" s="2" t="n">
        <x:v>92</x:v>
      </x:c>
      <x:c r="L73" s="2" t="n">
        <x:v>91</x:v>
      </x:c>
      <x:c r="M73" s="2" t="n">
        <x:v>93</x:v>
      </x:c>
      <x:c r="N73" s="2" t="n">
        <x:v>90</x:v>
      </x:c>
      <x:c r="O73" s="2" t="n">
        <x:v>93</x:v>
      </x:c>
      <x:c r="P73" s="2" t="n">
        <x:v>86</x:v>
      </x:c>
      <x:c r="Q73" s="2" t="n">
        <x:v>11</x:v>
      </x:c>
      <x:c r="R73" s="3" t="str">
        <x:v>https://arxiv.org/abs/2608.03405</x:v>
      </x:c>
      <x:c r="S73" s="3" t="str">
        <x:v>Weighted curvature lower bounds and entropy convexity; strong synthetic/geometric analysis link.</x:v>
      </x:c>
    </x:row>
    <x:row r="74" ht="45" customHeight="1">
      <x:c r="A74" s="2" t="n">
        <x:v>73</x:v>
      </x:c>
      <x:c r="B74" s="3" t="str">
        <x:v>2026-08</x:v>
      </x:c>
      <x:c r="C74" s="3" t="str">
        <x:v>2608.04364</x:v>
      </x:c>
      <x:c r="D74" s="3" t="str">
        <x:v>Calabi-Yau Conjecture for Minimal Hypersurfaces in R^4 with bounded geometry</x:v>
      </x:c>
      <x:c r="E74" s="3" t="str">
        <x:v>Shrey Aryan; Alexander D. McWeeney; Giuseppe Tinaglia</x:v>
      </x:c>
      <x:c r="F74" s="3" t="str">
        <x:v>minimal hypersurfaces / Calabi-Yau conjecture</x:v>
      </x:c>
      <x:c r="G74" s="2" t="n">
        <x:v>9</x:v>
      </x:c>
      <x:c r="H74" s="36" t="n">
        <x:v>91.05</x:v>
      </x:c>
      <x:c r="I74" s="36" t="n">
        <x:v>91.15</x:v>
      </x:c>
      <x:c r="J74" s="36" t="n">
        <x:v>90.95</x:v>
      </x:c>
      <x:c r="K74" s="2" t="n">
        <x:v>92</x:v>
      </x:c>
      <x:c r="L74" s="2" t="n">
        <x:v>91</x:v>
      </x:c>
      <x:c r="M74" s="2" t="n">
        <x:v>93</x:v>
      </x:c>
      <x:c r="N74" s="2" t="n">
        <x:v>90</x:v>
      </x:c>
      <x:c r="O74" s="2" t="n">
        <x:v>93</x:v>
      </x:c>
      <x:c r="P74" s="2" t="n">
        <x:v>86</x:v>
      </x:c>
      <x:c r="Q74" s="2" t="n">
        <x:v>11</x:v>
      </x:c>
      <x:c r="R74" s="3" t="str">
        <x:v>https://arxiv.org/abs/2608.04364</x:v>
      </x:c>
      <x:c r="S74" s="3" t="str">
        <x:v>Concise theorem around Calabi-Yau conjecture for minimal hypersurfaces.</x:v>
      </x:c>
    </x:row>
    <x:row r="75" ht="45" customHeight="1">
      <x:c r="A75" s="2" t="n">
        <x:v>74</x:v>
      </x:c>
      <x:c r="B75" s="3" t="str">
        <x:v>2026-06</x:v>
      </x:c>
      <x:c r="C75" s="3" t="str">
        <x:v>2606.09017</x:v>
      </x:c>
      <x:c r="D75" s="3" t="str">
        <x:v>The Ollivier Ricci flow with prescribed curvature on infinite graphs</x:v>
      </x:c>
      <x:c r="E75" s="3" t="str">
        <x:v>Bobo Hua; Yong Lin; Shuang Liu</x:v>
      </x:c>
      <x:c r="F75" s="3" t="str">
        <x:v>discrete Ricci flow</x:v>
      </x:c>
      <x:c r="G75" s="2" t="str">
        <x:v>-</x:v>
      </x:c>
      <x:c r="H75" s="36" t="n">
        <x:v>90.92</x:v>
      </x:c>
      <x:c r="I75" s="36" t="n">
        <x:v>91.4</x:v>
      </x:c>
      <x:c r="J75" s="36" t="n">
        <x:v>90.45</x:v>
      </x:c>
      <x:c r="K75" s="2" t="n">
        <x:v>93</x:v>
      </x:c>
      <x:c r="L75" s="2" t="n">
        <x:v>91</x:v>
      </x:c>
      <x:c r="M75" s="2" t="n">
        <x:v>92</x:v>
      </x:c>
      <x:c r="N75" s="2" t="n">
        <x:v>90</x:v>
      </x:c>
      <x:c r="O75" s="2" t="n">
        <x:v>92</x:v>
      </x:c>
      <x:c r="P75" s="2" t="n">
        <x:v>88</x:v>
      </x:c>
      <x:c r="Q75" s="2" t="n">
        <x:v>13</x:v>
      </x:c>
      <x:c r="R75" s="3" t="str">
        <x:v>https://arxiv.org/abs/2606.09017</x:v>
      </x:c>
      <x:c r="S75" s="3" t="str">
        <x:v>Prescribed-curvature Ollivier Ricci flow on infinite graphs.</x:v>
      </x:c>
    </x:row>
    <x:row r="76" ht="45" customHeight="1">
      <x:c r="A76" s="2" t="n">
        <x:v>75</x:v>
      </x:c>
      <x:c r="B76" s="3" t="str">
        <x:v>2026-06</x:v>
      </x:c>
      <x:c r="C76" s="3" t="str">
        <x:v>2606.28767</x:v>
      </x:c>
      <x:c r="D76" s="3" t="str">
        <x:v>Infinite-Time Singularities with Vanishing Mean Curvature for Lagrangian Mean Curvature Flow in Gibbons-Hawking Spaces</x:v>
      </x:c>
      <x:c r="E76" s="3" t="str">
        <x:v>Ping-Hung Lee; Chung-Jun Tsai</x:v>
      </x:c>
      <x:c r="F76" s="3" t="str">
        <x:v>Lagrangian MCF</x:v>
      </x:c>
      <x:c r="G76" s="2" t="n">
        <x:v>31</x:v>
      </x:c>
      <x:c r="H76" s="36" t="n">
        <x:v>90.92</x:v>
      </x:c>
      <x:c r="I76" s="36" t="n">
        <x:v>91.25</x:v>
      </x:c>
      <x:c r="J76" s="36" t="n">
        <x:v>90.6</x:v>
      </x:c>
      <x:c r="K76" s="2" t="n">
        <x:v>93</x:v>
      </x:c>
      <x:c r="L76" s="2" t="n">
        <x:v>91</x:v>
      </x:c>
      <x:c r="M76" s="2" t="n">
        <x:v>92</x:v>
      </x:c>
      <x:c r="N76" s="2" t="n">
        <x:v>89</x:v>
      </x:c>
      <x:c r="O76" s="2" t="n">
        <x:v>92</x:v>
      </x:c>
      <x:c r="P76" s="2" t="n">
        <x:v>88</x:v>
      </x:c>
      <x:c r="Q76" s="2" t="n">
        <x:v>12</x:v>
      </x:c>
      <x:c r="R76" s="3" t="str">
        <x:v>https://arxiv.org/abs/2606.28767</x:v>
      </x:c>
      <x:c r="S76" s="3" t="str">
        <x:v>Infinite-time singularities in Gibbons-Hawking Lagrangian MCF setting.</x:v>
      </x:c>
    </x:row>
    <x:row r="77" ht="45" customHeight="1">
      <x:c r="A77" s="2" t="n">
        <x:v>76</x:v>
      </x:c>
      <x:c r="B77" s="3" t="str">
        <x:v>2026-06</x:v>
      </x:c>
      <x:c r="C77" s="3" t="str">
        <x:v>2606.29231</x:v>
      </x:c>
      <x:c r="D77" s="3" t="str">
        <x:v>On questions of Pogorelov and Toponogov</x:v>
      </x:c>
      <x:c r="E77" s="3" t="str">
        <x:v>Lei Ni; Wei Zhang; Yijian Zhang</x:v>
      </x:c>
      <x:c r="F77" s="3" t="str">
        <x:v>comparison geometry / rigidity</x:v>
      </x:c>
      <x:c r="G77" s="2" t="n">
        <x:v>10</x:v>
      </x:c>
      <x:c r="H77" s="36" t="n">
        <x:v>90.85</x:v>
      </x:c>
      <x:c r="I77" s="36" t="n">
        <x:v>91</x:v>
      </x:c>
      <x:c r="J77" s="36" t="n">
        <x:v>90.7</x:v>
      </x:c>
      <x:c r="K77" s="2" t="n">
        <x:v>93</x:v>
      </x:c>
      <x:c r="L77" s="2" t="n">
        <x:v>91</x:v>
      </x:c>
      <x:c r="M77" s="2" t="n">
        <x:v>91</x:v>
      </x:c>
      <x:c r="N77" s="2" t="n">
        <x:v>89</x:v>
      </x:c>
      <x:c r="O77" s="2" t="n">
        <x:v>93</x:v>
      </x:c>
      <x:c r="P77" s="2" t="n">
        <x:v>88</x:v>
      </x:c>
      <x:c r="Q77" s="2" t="n">
        <x:v>12</x:v>
      </x:c>
      <x:c r="R77" s="3" t="str">
        <x:v>https://arxiv.org/abs/2606.29231</x:v>
      </x:c>
      <x:c r="S77" s="3" t="str">
        <x:v>Addresses classical Pogorelov-Toponogov type questions.</x:v>
      </x:c>
    </x:row>
    <x:row r="78" ht="45" customHeight="1">
      <x:c r="A78" s="2" t="n">
        <x:v>77</x:v>
      </x:c>
      <x:c r="B78" s="3" t="str">
        <x:v>2026-06</x:v>
      </x:c>
      <x:c r="C78" s="3" t="str">
        <x:v>2606.29246</x:v>
      </x:c>
      <x:c r="D78" s="3" t="str">
        <x:v>Rigidity of Closed Minimal Hypersurfaces in S^5</x:v>
      </x:c>
      <x:c r="E78" s="3" t="str">
        <x:v>Jianquan Ge; Tong Liu; Keyan Luo; Wenjiao Yan</x:v>
      </x:c>
      <x:c r="F78" s="3" t="str">
        <x:v>minimal hypersurface rigidity</x:v>
      </x:c>
      <x:c r="G78" s="2" t="n">
        <x:v>31</x:v>
      </x:c>
      <x:c r="H78" s="36" t="n">
        <x:v>90.85</x:v>
      </x:c>
      <x:c r="I78" s="36" t="n">
        <x:v>91</x:v>
      </x:c>
      <x:c r="J78" s="36" t="n">
        <x:v>90.7</x:v>
      </x:c>
      <x:c r="K78" s="2" t="n">
        <x:v>93</x:v>
      </x:c>
      <x:c r="L78" s="2" t="n">
        <x:v>91</x:v>
      </x:c>
      <x:c r="M78" s="2" t="n">
        <x:v>91</x:v>
      </x:c>
      <x:c r="N78" s="2" t="n">
        <x:v>89</x:v>
      </x:c>
      <x:c r="O78" s="2" t="n">
        <x:v>93</x:v>
      </x:c>
      <x:c r="P78" s="2" t="n">
        <x:v>88</x:v>
      </x:c>
      <x:c r="Q78" s="2" t="n">
        <x:v>12</x:v>
      </x:c>
      <x:c r="R78" s="3" t="str">
        <x:v>https://arxiv.org/abs/2606.29246</x:v>
      </x:c>
      <x:c r="S78" s="3" t="str">
        <x:v>Rigidity result for closed minimal hypersurfaces in the five-sphere.</x:v>
      </x:c>
    </x:row>
    <x:row r="79" ht="45" customHeight="1">
      <x:c r="A79" s="2" t="n">
        <x:v>78</x:v>
      </x:c>
      <x:c r="B79" s="3" t="str">
        <x:v>2026-08</x:v>
      </x:c>
      <x:c r="C79" s="3" t="str">
        <x:v>2608.02405</x:v>
      </x:c>
      <x:c r="D79" s="3" t="str">
        <x:v>A Weighted Discretization of Riemannian Manifolds with Lower Ricci Bounds</x:v>
      </x:c>
      <x:c r="E79" s="3" t="str">
        <x:v>Aditya Tiwari</x:v>
      </x:c>
      <x:c r="F79" s="3" t="str">
        <x:v>weighted graph discretization / Ricci lower bounds</x:v>
      </x:c>
      <x:c r="G79" s="2" t="n">
        <x:v>16</x:v>
      </x:c>
      <x:c r="H79" s="36" t="n">
        <x:v>90.775</x:v>
      </x:c>
      <x:c r="I79" s="36" t="n">
        <x:v>91.2</x:v>
      </x:c>
      <x:c r="J79" s="36" t="n">
        <x:v>90.35</x:v>
      </x:c>
      <x:c r="K79" s="2" t="n">
        <x:v>92</x:v>
      </x:c>
      <x:c r="L79" s="2" t="n">
        <x:v>92</x:v>
      </x:c>
      <x:c r="M79" s="2" t="n">
        <x:v>92</x:v>
      </x:c>
      <x:c r="N79" s="2" t="n">
        <x:v>92</x:v>
      </x:c>
      <x:c r="O79" s="2" t="n">
        <x:v>92</x:v>
      </x:c>
      <x:c r="P79" s="2" t="n">
        <x:v>84</x:v>
      </x:c>
      <x:c r="Q79" s="2" t="n">
        <x:v>11</x:v>
      </x:c>
      <x:c r="R79" s="3" t="str">
        <x:v>https://arxiv.org/abs/2608.02405</x:v>
      </x:c>
      <x:c r="S79" s="3" t="str">
        <x:v>Weighted combinatorial Laplacian with spectral comparison independent of injectivity radius and stability under measured Gromov-Hausdorff convergence.</x:v>
      </x:c>
    </x:row>
    <x:row r="80" ht="45" customHeight="1">
      <x:c r="A80" s="2" t="n">
        <x:v>79</x:v>
      </x:c>
      <x:c r="B80" s="3" t="str">
        <x:v>2026-08</x:v>
      </x:c>
      <x:c r="C80" s="3" t="str">
        <x:v>2608.06974</x:v>
      </x:c>
      <x:c r="D80" s="3" t="str">
        <x:v>Left-invariant metrics on step-two Carnot groups are uniformly doubling</x:v>
      </x:c>
      <x:c r="E80" s="3" t="str">
        <x:v>Cheng Bi; Ye Zhang</x:v>
      </x:c>
      <x:c r="F80" s="3" t="str">
        <x:v>Carnot groups / uniform doubling</x:v>
      </x:c>
      <x:c r="G80" s="2" t="n">
        <x:v>7</x:v>
      </x:c>
      <x:c r="H80" s="36" t="n">
        <x:v>90.725</x:v>
      </x:c>
      <x:c r="I80" s="36" t="n">
        <x:v>91.15</x:v>
      </x:c>
      <x:c r="J80" s="36" t="n">
        <x:v>90.3</x:v>
      </x:c>
      <x:c r="K80" s="2" t="n">
        <x:v>92</x:v>
      </x:c>
      <x:c r="L80" s="2" t="n">
        <x:v>92</x:v>
      </x:c>
      <x:c r="M80" s="2" t="n">
        <x:v>91</x:v>
      </x:c>
      <x:c r="N80" s="2" t="n">
        <x:v>92</x:v>
      </x:c>
      <x:c r="O80" s="2" t="n">
        <x:v>92</x:v>
      </x:c>
      <x:c r="P80" s="2" t="n">
        <x:v>86</x:v>
      </x:c>
      <x:c r="Q80" s="2" t="n">
        <x:v>12</x:v>
      </x:c>
      <x:c r="R80" s="3" t="str">
        <x:v>https://arxiv.org/abs/2608.06974</x:v>
      </x:c>
      <x:c r="S80" s="3" t="str">
        <x:v>Proves the sharp uniform doubling constant 2^Q for all left-invariant Riemannian metrics on every step-two Carnot group, together with a Bishop-Gromov-type estimate.</x:v>
      </x:c>
    </x:row>
    <x:row r="81" ht="45" customHeight="1">
      <x:c r="A81" s="2" t="n">
        <x:v>80</x:v>
      </x:c>
      <x:c r="B81" s="3" t="str">
        <x:v>2026-07</x:v>
      </x:c>
      <x:c r="C81" s="3" t="str">
        <x:v>2607.29654</x:v>
      </x:c>
      <x:c r="D81" s="3" t="str">
        <x:v>Elastic Curves via Geometric Mechanics</x:v>
      </x:c>
      <x:c r="E81" s="3" t="str">
        <x:v>Oliver Gross; Rohit Jammula; Albert Chern</x:v>
      </x:c>
      <x:c r="F81" s="3" t="str">
        <x:v>discrete elastic curves / geometric mechanics</x:v>
      </x:c>
      <x:c r="G81" s="2" t="n">
        <x:v>23</x:v>
      </x:c>
      <x:c r="H81" s="36" t="n">
        <x:v>90.5</x:v>
      </x:c>
      <x:c r="I81" s="36" t="n">
        <x:v>90.95</x:v>
      </x:c>
      <x:c r="J81" s="36" t="n">
        <x:v>90.05</x:v>
      </x:c>
      <x:c r="K81" s="2" t="n">
        <x:v>91</x:v>
      </x:c>
      <x:c r="L81" s="2" t="n">
        <x:v>93</x:v>
      </x:c>
      <x:c r="M81" s="2" t="n">
        <x:v>91</x:v>
      </x:c>
      <x:c r="N81" s="2" t="n">
        <x:v>92</x:v>
      </x:c>
      <x:c r="O81" s="2" t="n">
        <x:v>91</x:v>
      </x:c>
      <x:c r="P81" s="2" t="n">
        <x:v>85</x:v>
      </x:c>
      <x:c r="Q81" s="2" t="n">
        <x:v>12</x:v>
      </x:c>
      <x:c r="R81" s="3" t="str">
        <x:v>https://arxiv.org/abs/2607.29654</x:v>
      </x:c>
      <x:c r="S81" s="3" t="str">
        <x:v>New isoperimetric characterization and exact structure-preserving polygonal theory; carries canonical symplectic dynamics to discrete curves.</x:v>
      </x:c>
    </x:row>
    <x:row r="82" ht="45" customHeight="1">
      <x:c r="A82" s="2" t="n">
        <x:v>81</x:v>
      </x:c>
      <x:c r="B82" s="3" t="str">
        <x:v>2026-08</x:v>
      </x:c>
      <x:c r="C82" s="3" t="str">
        <x:v>2507.16794</x:v>
      </x:c>
      <x:c r="D82" s="3" t="str">
        <x:v>Spectral gaps for noncompact hyperbolic surfaces with linearly many cusps</x:v>
      </x:c>
      <x:c r="E82" s="3" t="str">
        <x:v>Qi Guo; Bobo Hua; Yang Shen</x:v>
      </x:c>
      <x:c r="F82" s="3" t="str">
        <x:v>spectral geometry / hyperbolic surfaces / expander graphs</x:v>
      </x:c>
      <x:c r="G82" s="2" t="n">
        <x:v>23</x:v>
      </x:c>
      <x:c r="H82" s="36" t="n">
        <x:v>90.4</x:v>
      </x:c>
      <x:c r="I82" s="36" t="n">
        <x:v>90.95</x:v>
      </x:c>
      <x:c r="J82" s="36" t="n">
        <x:v>89.85</x:v>
      </x:c>
      <x:c r="K82" s="2" t="n">
        <x:v>92</x:v>
      </x:c>
      <x:c r="L82" s="2" t="n">
        <x:v>93</x:v>
      </x:c>
      <x:c r="M82" s="2" t="n">
        <x:v>90</x:v>
      </x:c>
      <x:c r="N82" s="2" t="n">
        <x:v>91</x:v>
      </x:c>
      <x:c r="O82" s="2" t="n">
        <x:v>92</x:v>
      </x:c>
      <x:c r="P82" s="2" t="n">
        <x:v>86</x:v>
      </x:c>
      <x:c r="Q82" s="2" t="n">
        <x:v>15</x:v>
      </x:c>
      <x:c r="R82" s="3" t="str">
        <x:v>https://arxiv.org/abs/2507.16794</x:v>
      </x:c>
      <x:c r="S82" s="3" t="str">
        <x:v>Closes the linear-cusp existence regime through a quantitative expander-graph construction and proves a complementary Steklov obstruction for superlinear cusp growth.</x:v>
      </x:c>
    </x:row>
    <x:row r="83" ht="45" customHeight="1">
      <x:c r="A83" s="2" t="n">
        <x:v>82</x:v>
      </x:c>
      <x:c r="B83" s="3" t="str">
        <x:v>2026-07</x:v>
      </x:c>
      <x:c r="C83" s="3" t="str">
        <x:v>2607.05023</x:v>
      </x:c>
      <x:c r="D83" s="3" t="str">
        <x:v>Rigidity on compact surfaces through hyperbolic symmetries</x:v>
      </x:c>
      <x:c r="E83" s="3" t="str">
        <x:v>Sean Dewar; Alison La Porta; Rebecca Monks; Anthony Nixon; Klara Stokes; Joannes Vermant</x:v>
      </x:c>
      <x:c r="F83" s="3" t="str">
        <x:v>surface rigidity / hyperbolic symmetries</x:v>
      </x:c>
      <x:c r="G83" s="2" t="n">
        <x:v>45</x:v>
      </x:c>
      <x:c r="H83" s="36" t="n">
        <x:v>90.4</x:v>
      </x:c>
      <x:c r="I83" s="36" t="n">
        <x:v>90.45</x:v>
      </x:c>
      <x:c r="J83" s="36" t="n">
        <x:v>90.35</x:v>
      </x:c>
      <x:c r="K83" s="2" t="n">
        <x:v>90</x:v>
      </x:c>
      <x:c r="L83" s="2" t="n">
        <x:v>93</x:v>
      </x:c>
      <x:c r="M83" s="2" t="n">
        <x:v>91</x:v>
      </x:c>
      <x:c r="N83" s="2" t="n">
        <x:v>90</x:v>
      </x:c>
      <x:c r="O83" s="2" t="n">
        <x:v>91</x:v>
      </x:c>
      <x:c r="P83" s="2" t="n">
        <x:v>86</x:v>
      </x:c>
      <x:c r="Q83" s="2" t="n">
        <x:v>11</x:v>
      </x:c>
      <x:c r="R83" s="3" t="str">
        <x:v>https://arxiv.org/abs/2607.05023</x:v>
      </x:c>
      <x:c r="S83" s="3" t="str">
        <x:v>First finite combinatorial characterization of generic rigidity for frameworks on compact surfaces of genus at least two, via hyperbolic symmetries and gain graphs.</x:v>
      </x:c>
    </x:row>
    <x:row r="84" ht="45" customHeight="1">
      <x:c r="A84" s="2" t="n">
        <x:v>83</x:v>
      </x:c>
      <x:c r="B84" s="3" t="str">
        <x:v>2026-06</x:v>
      </x:c>
      <x:c r="C84" s="3" t="str">
        <x:v>2606.31393</x:v>
      </x:c>
      <x:c r="D84" s="3" t="str">
        <x:v>Montel's theorem and tautness in calibrated geometry</x:v>
      </x:c>
      <x:c r="E84" s="3" t="str">
        <x:v>Anton Iliashenko; Spiro Karigiannis; Jesse Madnick</x:v>
      </x:c>
      <x:c r="F84" s="3" t="str">
        <x:v>calibrated geometry</x:v>
      </x:c>
      <x:c r="G84" s="2" t="n">
        <x:v>27</x:v>
      </x:c>
      <x:c r="H84" s="36" t="n">
        <x:v>90.35</x:v>
      </x:c>
      <x:c r="I84" s="36" t="n">
        <x:v>90.5</x:v>
      </x:c>
      <x:c r="J84" s="36" t="n">
        <x:v>90.2</x:v>
      </x:c>
      <x:c r="K84" s="2" t="n">
        <x:v>92</x:v>
      </x:c>
      <x:c r="L84" s="2" t="n">
        <x:v>90</x:v>
      </x:c>
      <x:c r="M84" s="2" t="n">
        <x:v>91</x:v>
      </x:c>
      <x:c r="N84" s="2" t="n">
        <x:v>89</x:v>
      </x:c>
      <x:c r="O84" s="2" t="n">
        <x:v>92</x:v>
      </x:c>
      <x:c r="P84" s="2" t="n">
        <x:v>88</x:v>
      </x:c>
      <x:c r="Q84" s="2" t="n">
        <x:v>12</x:v>
      </x:c>
      <x:c r="R84" s="3" t="str">
        <x:v>https://arxiv.org/abs/2606.31393</x:v>
      </x:c>
      <x:c r="S84" s="3" t="str">
        <x:v>Montel/tautness theory in calibrated geometry.</x:v>
      </x:c>
    </x:row>
    <x:row r="85" ht="45" customHeight="1">
      <x:c r="A85" s="2" t="n">
        <x:v>84</x:v>
      </x:c>
      <x:c r="B85" s="3" t="str">
        <x:v>2026-06</x:v>
      </x:c>
      <x:c r="C85" s="3" t="str">
        <x:v>2606.15402</x:v>
      </x:c>
      <x:c r="D85" s="3" t="str">
        <x:v>Rigidity Theorems for the Weyl Problem of Convex Surfaces in Hyperbolic 3-Space</x:v>
      </x:c>
      <x:c r="E85" s="3" t="str">
        <x:v>Xinrong Zhao</x:v>
      </x:c>
      <x:c r="F85" s="3" t="str">
        <x:v>convex surface rigidity</x:v>
      </x:c>
      <x:c r="G85" s="2" t="n">
        <x:v>43</x:v>
      </x:c>
      <x:c r="H85" s="36" t="n">
        <x:v>90.3</x:v>
      </x:c>
      <x:c r="I85" s="36" t="n">
        <x:v>90.7</x:v>
      </x:c>
      <x:c r="J85" s="36" t="n">
        <x:v>89.9</x:v>
      </x:c>
      <x:c r="K85" s="2" t="n">
        <x:v>93</x:v>
      </x:c>
      <x:c r="L85" s="2" t="n">
        <x:v>90</x:v>
      </x:c>
      <x:c r="M85" s="2" t="n">
        <x:v>91</x:v>
      </x:c>
      <x:c r="N85" s="2" t="n">
        <x:v>89</x:v>
      </x:c>
      <x:c r="O85" s="2" t="n">
        <x:v>92</x:v>
      </x:c>
      <x:c r="P85" s="2" t="n">
        <x:v>87</x:v>
      </x:c>
      <x:c r="Q85" s="2" t="n">
        <x:v>13</x:v>
      </x:c>
      <x:c r="R85" s="3" t="str">
        <x:v>https://arxiv.org/abs/2606.15402</x:v>
      </x:c>
      <x:c r="S85" s="3" t="str">
        <x:v>Rigidity theorems for hyperbolic Weyl problem.</x:v>
      </x:c>
    </x:row>
    <x:row r="86" ht="45" customHeight="1">
      <x:c r="A86" s="2" t="n">
        <x:v>85</x:v>
      </x:c>
      <x:c r="B86" s="3" t="str">
        <x:v>2026-06</x:v>
      </x:c>
      <x:c r="C86" s="3" t="str">
        <x:v>2606.15827</x:v>
      </x:c>
      <x:c r="D86" s="3" t="str">
        <x:v>Rigidity Estimate for Hyperbolic Shells and its Application in Gamma-limit Theory</x:v>
      </x:c>
      <x:c r="E86" s="3" t="str">
        <x:v>Liang-Biao Chen; Peng-Fei Yao</x:v>
      </x:c>
      <x:c r="F86" s="3" t="str">
        <x:v>elasticity / rigidity estimates</x:v>
      </x:c>
      <x:c r="G86" s="2" t="str">
        <x:v>-</x:v>
      </x:c>
      <x:c r="H86" s="36" t="n">
        <x:v>90.3</x:v>
      </x:c>
      <x:c r="I86" s="36" t="n">
        <x:v>90.7</x:v>
      </x:c>
      <x:c r="J86" s="36" t="n">
        <x:v>89.9</x:v>
      </x:c>
      <x:c r="K86" s="2" t="n">
        <x:v>93</x:v>
      </x:c>
      <x:c r="L86" s="2" t="n">
        <x:v>90</x:v>
      </x:c>
      <x:c r="M86" s="2" t="n">
        <x:v>91</x:v>
      </x:c>
      <x:c r="N86" s="2" t="n">
        <x:v>89</x:v>
      </x:c>
      <x:c r="O86" s="2" t="n">
        <x:v>92</x:v>
      </x:c>
      <x:c r="P86" s="2" t="n">
        <x:v>87</x:v>
      </x:c>
      <x:c r="Q86" s="2" t="n">
        <x:v>13</x:v>
      </x:c>
      <x:c r="R86" s="3" t="str">
        <x:v>https://arxiv.org/abs/2606.15827</x:v>
      </x:c>
      <x:c r="S86" s="3" t="str">
        <x:v>Rigidity estimate for hyperbolic shells with Gamma-limit applications.</x:v>
      </x:c>
    </x:row>
    <x:row r="87" ht="45" customHeight="1">
      <x:c r="A87" s="2" t="n">
        <x:v>86</x:v>
      </x:c>
      <x:c r="B87" s="3" t="str">
        <x:v>2026-08</x:v>
      </x:c>
      <x:c r="C87" s="3" t="str">
        <x:v>2608.07351</x:v>
      </x:c>
      <x:c r="D87" s="3" t="str">
        <x:v>Finite-Rank Lie Algebroids for Singular Foliations of Prescribed Vanishing Order</x:v>
      </x:c>
      <x:c r="E87" s="3" t="str">
        <x:v>Austin Davis; Cheng-Yi Hung; Sangjun Ko; Kaichuan Qi</x:v>
      </x:c>
      <x:c r="F87" s="3" t="str">
        <x:v>singular foliations / Lie algebroids</x:v>
      </x:c>
      <x:c r="G87" s="2" t="n">
        <x:v>11</x:v>
      </x:c>
      <x:c r="H87" s="36" t="n">
        <x:v>90.175</x:v>
      </x:c>
      <x:c r="I87" s="36" t="n">
        <x:v>90.5</x:v>
      </x:c>
      <x:c r="J87" s="36" t="n">
        <x:v>89.85</x:v>
      </x:c>
      <x:c r="K87" s="2" t="n">
        <x:v>91</x:v>
      </x:c>
      <x:c r="L87" s="2" t="n">
        <x:v>94</x:v>
      </x:c>
      <x:c r="M87" s="2" t="n">
        <x:v>89</x:v>
      </x:c>
      <x:c r="N87" s="2" t="n">
        <x:v>91</x:v>
      </x:c>
      <x:c r="O87" s="2" t="n">
        <x:v>92</x:v>
      </x:c>
      <x:c r="P87" s="2" t="n">
        <x:v>85</x:v>
      </x:c>
      <x:c r="Q87" s="2" t="n">
        <x:v>14</x:v>
      </x:c>
      <x:c r="R87" s="3" t="str">
        <x:v>https://arxiv.org/abs/2608.07351</x:v>
      </x:c>
      <x:c r="S87" s="3" t="str">
        <x:v>Solves a finite-rank realizability problem for prescribed-order vanishing singular foliations via a new construction from left-symmetric and sub-adjacent Lie algebroids.</x:v>
      </x:c>
    </x:row>
    <x:row r="88" ht="45" customHeight="1">
      <x:c r="A88" s="2" t="n">
        <x:v>87</x:v>
      </x:c>
      <x:c r="B88" s="3" t="str">
        <x:v>2026-07</x:v>
      </x:c>
      <x:c r="C88" s="3" t="str">
        <x:v>2607.02244</x:v>
      </x:c>
      <x:c r="D88" s="3" t="str">
        <x:v>Foliations by constant spacetime mean curvature surfaces for asymptotically hyperboloidal initial data sets</x:v>
      </x:c>
      <x:c r="E88" s="3" t="str">
        <x:v>Jacopo Tenan</x:v>
      </x:c>
      <x:c r="F88" s="3" t="str">
        <x:v>spacetime mean curvature foliations</x:v>
      </x:c>
      <x:c r="G88" s="2" t="str">
        <x:v>-</x:v>
      </x:c>
      <x:c r="H88" s="36" t="n">
        <x:v>90.175</x:v>
      </x:c>
      <x:c r="I88" s="36" t="n">
        <x:v>90.25</x:v>
      </x:c>
      <x:c r="J88" s="36" t="n">
        <x:v>90.1</x:v>
      </x:c>
      <x:c r="K88" s="2" t="n">
        <x:v>91</x:v>
      </x:c>
      <x:c r="L88" s="2" t="n">
        <x:v>90</x:v>
      </x:c>
      <x:c r="M88" s="2" t="n">
        <x:v>92</x:v>
      </x:c>
      <x:c r="N88" s="2" t="n">
        <x:v>89</x:v>
      </x:c>
      <x:c r="O88" s="2" t="n">
        <x:v>92</x:v>
      </x:c>
      <x:c r="P88" s="2" t="n">
        <x:v>86</x:v>
      </x:c>
      <x:c r="Q88" s="2" t="n">
        <x:v>12</x:v>
      </x:c>
      <x:c r="R88" s="3" t="str">
        <x:v>https://arxiv.org/abs/2607.02244</x:v>
      </x:c>
      <x:c r="S88" s="3" t="str">
        <x:v>Foliation result in asymptotically hyperboloidal GR geometry.</x:v>
      </x:c>
    </x:row>
    <x:row r="89" ht="45" customHeight="1">
      <x:c r="A89" s="2" t="n">
        <x:v>88</x:v>
      </x:c>
      <x:c r="B89" s="3" t="str">
        <x:v>2026-07</x:v>
      </x:c>
      <x:c r="C89" s="3" t="str">
        <x:v>2607.05755</x:v>
      </x:c>
      <x:c r="D89" s="3" t="str">
        <x:v>Topological Bernstein Theorems for Minimal Hypersurfaces in R^4 confined in space</x:v>
      </x:c>
      <x:c r="E89" s="3" t="str">
        <x:v>Shrey Aryan; Alexander D. McWeeney</x:v>
      </x:c>
      <x:c r="F89" s="3" t="str">
        <x:v>minimal hypersurfaces / Bernstein</x:v>
      </x:c>
      <x:c r="G89" s="2" t="n">
        <x:v>29</x:v>
      </x:c>
      <x:c r="H89" s="36" t="n">
        <x:v>90.175</x:v>
      </x:c>
      <x:c r="I89" s="36" t="n">
        <x:v>90.25</x:v>
      </x:c>
      <x:c r="J89" s="36" t="n">
        <x:v>90.1</x:v>
      </x:c>
      <x:c r="K89" s="2" t="n">
        <x:v>91</x:v>
      </x:c>
      <x:c r="L89" s="2" t="n">
        <x:v>90</x:v>
      </x:c>
      <x:c r="M89" s="2" t="n">
        <x:v>92</x:v>
      </x:c>
      <x:c r="N89" s="2" t="n">
        <x:v>89</x:v>
      </x:c>
      <x:c r="O89" s="2" t="n">
        <x:v>92</x:v>
      </x:c>
      <x:c r="P89" s="2" t="n">
        <x:v>86</x:v>
      </x:c>
      <x:c r="Q89" s="2" t="n">
        <x:v>12</x:v>
      </x:c>
      <x:c r="R89" s="3" t="str">
        <x:v>https://arxiv.org/abs/2607.05755</x:v>
      </x:c>
      <x:c r="S89" s="3" t="str">
        <x:v>Bernstein-type statement in R^4 under confinement assumptions.</x:v>
      </x:c>
    </x:row>
    <x:row r="90" ht="45" customHeight="1">
      <x:c r="A90" s="2" t="n">
        <x:v>89</x:v>
      </x:c>
      <x:c r="B90" s="3" t="str">
        <x:v>2026-07</x:v>
      </x:c>
      <x:c r="C90" s="3" t="str">
        <x:v>2607.05980</x:v>
      </x:c>
      <x:c r="D90" s="3" t="str">
        <x:v>Charged parallel spinors and applications to mass-charge inequalities</x:v>
      </x:c>
      <x:c r="E90" s="3" t="str">
        <x:v>Simon Raulot</x:v>
      </x:c>
      <x:c r="F90" s="3" t="str">
        <x:v>spinors / mass-charge inequalities</x:v>
      </x:c>
      <x:c r="G90" s="2" t="n">
        <x:v>32</x:v>
      </x:c>
      <x:c r="H90" s="36" t="n">
        <x:v>90.175</x:v>
      </x:c>
      <x:c r="I90" s="36" t="n">
        <x:v>90.25</x:v>
      </x:c>
      <x:c r="J90" s="36" t="n">
        <x:v>90.1</x:v>
      </x:c>
      <x:c r="K90" s="2" t="n">
        <x:v>91</x:v>
      </x:c>
      <x:c r="L90" s="2" t="n">
        <x:v>90</x:v>
      </x:c>
      <x:c r="M90" s="2" t="n">
        <x:v>92</x:v>
      </x:c>
      <x:c r="N90" s="2" t="n">
        <x:v>89</x:v>
      </x:c>
      <x:c r="O90" s="2" t="n">
        <x:v>92</x:v>
      </x:c>
      <x:c r="P90" s="2" t="n">
        <x:v>86</x:v>
      </x:c>
      <x:c r="Q90" s="2" t="n">
        <x:v>12</x:v>
      </x:c>
      <x:c r="R90" s="3" t="str">
        <x:v>https://arxiv.org/abs/2607.05980</x:v>
      </x:c>
      <x:c r="S90" s="3" t="str">
        <x:v>Spinorial approach to mass-charge inequalities.</x:v>
      </x:c>
    </x:row>
    <x:row r="91" ht="45" customHeight="1">
      <x:c r="A91" s="2" t="n">
        <x:v>90</x:v>
      </x:c>
      <x:c r="B91" s="3" t="str">
        <x:v>2026-07</x:v>
      </x:c>
      <x:c r="C91" s="3" t="str">
        <x:v>2607.06951</x:v>
      </x:c>
      <x:c r="D91" s="3" t="str">
        <x:v>A sharp isoperimetric inequality and the top order Q-curvature</x:v>
      </x:c>
      <x:c r="E91" s="3" t="str">
        <x:v>Mingxiang Li; Xingwang Xu</x:v>
      </x:c>
      <x:c r="F91" s="3" t="str">
        <x:v>Q-curvature / isoperimetry</x:v>
      </x:c>
      <x:c r="G91" s="2" t="n">
        <x:v>33</x:v>
      </x:c>
      <x:c r="H91" s="36" t="n">
        <x:v>90.175</x:v>
      </x:c>
      <x:c r="I91" s="36" t="n">
        <x:v>90.25</x:v>
      </x:c>
      <x:c r="J91" s="36" t="n">
        <x:v>90.1</x:v>
      </x:c>
      <x:c r="K91" s="2" t="n">
        <x:v>91</x:v>
      </x:c>
      <x:c r="L91" s="2" t="n">
        <x:v>90</x:v>
      </x:c>
      <x:c r="M91" s="2" t="n">
        <x:v>92</x:v>
      </x:c>
      <x:c r="N91" s="2" t="n">
        <x:v>89</x:v>
      </x:c>
      <x:c r="O91" s="2" t="n">
        <x:v>92</x:v>
      </x:c>
      <x:c r="P91" s="2" t="n">
        <x:v>86</x:v>
      </x:c>
      <x:c r="Q91" s="2" t="n">
        <x:v>12</x:v>
      </x:c>
      <x:c r="R91" s="3" t="str">
        <x:v>https://arxiv.org/abs/2607.06951</x:v>
      </x:c>
      <x:c r="S91" s="3" t="str">
        <x:v>Sharp inequality linked to top-order Q-curvature.</x:v>
      </x:c>
    </x:row>
    <x:row r="92" ht="45" customHeight="1">
      <x:c r="A92" s="2" t="n">
        <x:v>91</x:v>
      </x:c>
      <x:c r="B92" s="3" t="str">
        <x:v>2026-07</x:v>
      </x:c>
      <x:c r="C92" s="3" t="str">
        <x:v>2607.08622</x:v>
      </x:c>
      <x:c r="D92" s="3" t="str">
        <x:v>Deformed Hermitian-Yang-Mills equation on the manifold of full flags</x:v>
      </x:c>
      <x:c r="E92" s="3" t="str">
        <x:v>Benoit Charbonneau; Gonçalo Oliveira; Rosa Sena-Dias</x:v>
      </x:c>
      <x:c r="F92" s="3" t="str">
        <x:v>deformed Hermitian-Yang-Mills</x:v>
      </x:c>
      <x:c r="G92" s="2" t="n">
        <x:v>48</x:v>
      </x:c>
      <x:c r="H92" s="36" t="n">
        <x:v>90.175</x:v>
      </x:c>
      <x:c r="I92" s="36" t="n">
        <x:v>90.25</x:v>
      </x:c>
      <x:c r="J92" s="36" t="n">
        <x:v>90.1</x:v>
      </x:c>
      <x:c r="K92" s="2" t="n">
        <x:v>91</x:v>
      </x:c>
      <x:c r="L92" s="2" t="n">
        <x:v>90</x:v>
      </x:c>
      <x:c r="M92" s="2" t="n">
        <x:v>92</x:v>
      </x:c>
      <x:c r="N92" s="2" t="n">
        <x:v>89</x:v>
      </x:c>
      <x:c r="O92" s="2" t="n">
        <x:v>92</x:v>
      </x:c>
      <x:c r="P92" s="2" t="n">
        <x:v>86</x:v>
      </x:c>
      <x:c r="Q92" s="2" t="n">
        <x:v>12</x:v>
      </x:c>
      <x:c r="R92" s="3" t="str">
        <x:v>https://arxiv.org/abs/2607.08622</x:v>
      </x:c>
      <x:c r="S92" s="3" t="str">
        <x:v>dHYM equation in a homogeneous complex-geometric setting.</x:v>
      </x:c>
    </x:row>
    <x:row r="93" ht="45" customHeight="1">
      <x:c r="A93" s="2" t="n">
        <x:v>92</x:v>
      </x:c>
      <x:c r="B93" s="3" t="str">
        <x:v>2026-07</x:v>
      </x:c>
      <x:c r="C93" s="3" t="str">
        <x:v>2607.10733</x:v>
      </x:c>
      <x:c r="D93" s="3" t="str">
        <x:v>On Chern's Conjecture for Minimal Submanifolds with Flat Normal Bundle in Spheres</x:v>
      </x:c>
      <x:c r="E93" s="3" t="str">
        <x:v>Jianquan Ge; Fagui Li; Yunheng Zhang</x:v>
      </x:c>
      <x:c r="F93" s="3" t="str">
        <x:v>Chern conjecture / minimal submanifolds</x:v>
      </x:c>
      <x:c r="G93" s="2" t="n">
        <x:v>43</x:v>
      </x:c>
      <x:c r="H93" s="36" t="n">
        <x:v>90.175</x:v>
      </x:c>
      <x:c r="I93" s="36" t="n">
        <x:v>90.25</x:v>
      </x:c>
      <x:c r="J93" s="36" t="n">
        <x:v>90.1</x:v>
      </x:c>
      <x:c r="K93" s="2" t="n">
        <x:v>91</x:v>
      </x:c>
      <x:c r="L93" s="2" t="n">
        <x:v>90</x:v>
      </x:c>
      <x:c r="M93" s="2" t="n">
        <x:v>92</x:v>
      </x:c>
      <x:c r="N93" s="2" t="n">
        <x:v>89</x:v>
      </x:c>
      <x:c r="O93" s="2" t="n">
        <x:v>92</x:v>
      </x:c>
      <x:c r="P93" s="2" t="n">
        <x:v>86</x:v>
      </x:c>
      <x:c r="Q93" s="2" t="n">
        <x:v>12</x:v>
      </x:c>
      <x:c r="R93" s="3" t="str">
        <x:v>https://arxiv.org/abs/2607.10733</x:v>
      </x:c>
      <x:c r="S93" s="3" t="str">
        <x:v>Progress around Chern-type rigidity for minimal submanifolds.</x:v>
      </x:c>
    </x:row>
    <x:row r="94" ht="45" customHeight="1">
      <x:c r="A94" s="2" t="n">
        <x:v>93</x:v>
      </x:c>
      <x:c r="B94" s="3" t="str">
        <x:v>2026-07</x:v>
      </x:c>
      <x:c r="C94" s="3" t="str">
        <x:v>2607.11067</x:v>
      </x:c>
      <x:c r="D94" s="3" t="str">
        <x:v>Blow-up phenomena for the sigma_2-Yamabe equation</x:v>
      </x:c>
      <x:c r="E94" s="3" t="str">
        <x:v>Bin Deng; Han Lu; Jun-cheng Wei</x:v>
      </x:c>
      <x:c r="F94" s="3" t="str">
        <x:v>sigma_2-Yamabe equation</x:v>
      </x:c>
      <x:c r="G94" s="2" t="str">
        <x:v>-</x:v>
      </x:c>
      <x:c r="H94" s="36" t="n">
        <x:v>90.175</x:v>
      </x:c>
      <x:c r="I94" s="36" t="n">
        <x:v>90.25</x:v>
      </x:c>
      <x:c r="J94" s="36" t="n">
        <x:v>90.1</x:v>
      </x:c>
      <x:c r="K94" s="2" t="n">
        <x:v>91</x:v>
      </x:c>
      <x:c r="L94" s="2" t="n">
        <x:v>90</x:v>
      </x:c>
      <x:c r="M94" s="2" t="n">
        <x:v>92</x:v>
      </x:c>
      <x:c r="N94" s="2" t="n">
        <x:v>89</x:v>
      </x:c>
      <x:c r="O94" s="2" t="n">
        <x:v>92</x:v>
      </x:c>
      <x:c r="P94" s="2" t="n">
        <x:v>86</x:v>
      </x:c>
      <x:c r="Q94" s="2" t="n">
        <x:v>12</x:v>
      </x:c>
      <x:c r="R94" s="3" t="str">
        <x:v>https://arxiv.org/abs/2607.11067</x:v>
      </x:c>
      <x:c r="S94" s="3" t="str">
        <x:v>Blow-up analysis for fully nonlinear conformal equation.</x:v>
      </x:c>
    </x:row>
    <x:row r="95" ht="45" customHeight="1">
      <x:c r="A95" s="2" t="n">
        <x:v>94</x:v>
      </x:c>
      <x:c r="B95" s="3" t="str">
        <x:v>2026-07</x:v>
      </x:c>
      <x:c r="C95" s="3" t="str">
        <x:v>2607.12842</x:v>
      </x:c>
      <x:c r="D95" s="3" t="str">
        <x:v>Lectures on Alexandrov spaces with curvature bounded below</x:v>
      </x:c>
      <x:c r="E95" s="3" t="str">
        <x:v>Vitali Kapovitch; Nina Lebedeva; Anton Petrunin</x:v>
      </x:c>
      <x:c r="F95" s="3" t="str">
        <x:v>Alexandrov spaces / lecture notes</x:v>
      </x:c>
      <x:c r="G95" s="2" t="n">
        <x:v>161</x:v>
      </x:c>
      <x:c r="H95" s="36" t="n">
        <x:v>90.175</x:v>
      </x:c>
      <x:c r="I95" s="36" t="n">
        <x:v>90.25</x:v>
      </x:c>
      <x:c r="J95" s="36" t="n">
        <x:v>90.1</x:v>
      </x:c>
      <x:c r="K95" s="2" t="n">
        <x:v>91</x:v>
      </x:c>
      <x:c r="L95" s="2" t="n">
        <x:v>90</x:v>
      </x:c>
      <x:c r="M95" s="2" t="n">
        <x:v>92</x:v>
      </x:c>
      <x:c r="N95" s="2" t="n">
        <x:v>89</x:v>
      </x:c>
      <x:c r="O95" s="2" t="n">
        <x:v>92</x:v>
      </x:c>
      <x:c r="P95" s="2" t="n">
        <x:v>86</x:v>
      </x:c>
      <x:c r="Q95" s="2" t="n">
        <x:v>12</x:v>
      </x:c>
      <x:c r="R95" s="3" t="str">
        <x:v>https://arxiv.org/abs/2607.12842</x:v>
      </x:c>
      <x:c r="S95" s="3" t="str">
        <x:v>Major expository/reference value; originality discounted relative to research papers.</x:v>
      </x:c>
    </x:row>
    <x:row r="96" ht="45" customHeight="1">
      <x:c r="A96" s="2" t="n">
        <x:v>95</x:v>
      </x:c>
      <x:c r="B96" s="3" t="str">
        <x:v>2026-07</x:v>
      </x:c>
      <x:c r="C96" s="3" t="str">
        <x:v>2607.12979</x:v>
      </x:c>
      <x:c r="D96" s="3" t="str">
        <x:v>Ambient geometry via min-max widths of embedded circles</x:v>
      </x:c>
      <x:c r="E96" s="3" t="str">
        <x:v>Lucas Ambrozio; Ivan Miranda; Rafael Montezuma</x:v>
      </x:c>
      <x:c r="F96" s="3" t="str">
        <x:v>min-max widths / embedded circles</x:v>
      </x:c>
      <x:c r="G96" s="2" t="n">
        <x:v>31</x:v>
      </x:c>
      <x:c r="H96" s="36" t="n">
        <x:v>90.175</x:v>
      </x:c>
      <x:c r="I96" s="36" t="n">
        <x:v>90.25</x:v>
      </x:c>
      <x:c r="J96" s="36" t="n">
        <x:v>90.1</x:v>
      </x:c>
      <x:c r="K96" s="2" t="n">
        <x:v>91</x:v>
      </x:c>
      <x:c r="L96" s="2" t="n">
        <x:v>90</x:v>
      </x:c>
      <x:c r="M96" s="2" t="n">
        <x:v>92</x:v>
      </x:c>
      <x:c r="N96" s="2" t="n">
        <x:v>89</x:v>
      </x:c>
      <x:c r="O96" s="2" t="n">
        <x:v>92</x:v>
      </x:c>
      <x:c r="P96" s="2" t="n">
        <x:v>86</x:v>
      </x:c>
      <x:c r="Q96" s="2" t="n">
        <x:v>12</x:v>
      </x:c>
      <x:c r="R96" s="3" t="str">
        <x:v>https://arxiv.org/abs/2607.12979</x:v>
      </x:c>
      <x:c r="S96" s="3" t="str">
        <x:v>Uses min-max widths of curves to probe ambient geometry.</x:v>
      </x:c>
    </x:row>
    <x:row r="97" ht="45" customHeight="1">
      <x:c r="A97" s="2" t="n">
        <x:v>96</x:v>
      </x:c>
      <x:c r="B97" s="3" t="str">
        <x:v>2026-07</x:v>
      </x:c>
      <x:c r="C97" s="3" t="str">
        <x:v>2607.13450</x:v>
      </x:c>
      <x:c r="D97" s="3" t="str">
        <x:v>Nonlinear Hodge correspondence for morphisms</x:v>
      </x:c>
      <x:c r="E97" s="3" t="str">
        <x:v>Nianzi Li; Mao Sheng</x:v>
      </x:c>
      <x:c r="F97" s="3" t="str">
        <x:v>nonlinear Hodge correspondence</x:v>
      </x:c>
      <x:c r="G97" s="2" t="n">
        <x:v>63</x:v>
      </x:c>
      <x:c r="H97" s="36" t="n">
        <x:v>90.175</x:v>
      </x:c>
      <x:c r="I97" s="36" t="n">
        <x:v>90.25</x:v>
      </x:c>
      <x:c r="J97" s="36" t="n">
        <x:v>90.1</x:v>
      </x:c>
      <x:c r="K97" s="2" t="n">
        <x:v>91</x:v>
      </x:c>
      <x:c r="L97" s="2" t="n">
        <x:v>90</x:v>
      </x:c>
      <x:c r="M97" s="2" t="n">
        <x:v>92</x:v>
      </x:c>
      <x:c r="N97" s="2" t="n">
        <x:v>89</x:v>
      </x:c>
      <x:c r="O97" s="2" t="n">
        <x:v>92</x:v>
      </x:c>
      <x:c r="P97" s="2" t="n">
        <x:v>86</x:v>
      </x:c>
      <x:c r="Q97" s="2" t="n">
        <x:v>12</x:v>
      </x:c>
      <x:c r="R97" s="3" t="str">
        <x:v>https://arxiv.org/abs/2607.13450</x:v>
      </x:c>
      <x:c r="S97" s="3" t="str">
        <x:v>Hodge-correspondence result with significant geometric structure.</x:v>
      </x:c>
    </x:row>
    <x:row r="98" ht="45" customHeight="1">
      <x:c r="A98" s="2" t="n">
        <x:v>97</x:v>
      </x:c>
      <x:c r="B98" s="3" t="str">
        <x:v>2026-07</x:v>
      </x:c>
      <x:c r="C98" s="3" t="str">
        <x:v>2607.13742</x:v>
      </x:c>
      <x:c r="D98" s="3" t="str">
        <x:v>A sharp relative comparison inequality for conformal fillings of Poincare-Einstein manifolds</x:v>
      </x:c>
      <x:c r="E98" s="3" t="str">
        <x:v>Nan Wu</x:v>
      </x:c>
      <x:c r="F98" s="3" t="str">
        <x:v>Poincare-Einstein fillings</x:v>
      </x:c>
      <x:c r="G98" s="2" t="n">
        <x:v>30</x:v>
      </x:c>
      <x:c r="H98" s="36" t="n">
        <x:v>90.175</x:v>
      </x:c>
      <x:c r="I98" s="36" t="n">
        <x:v>90.25</x:v>
      </x:c>
      <x:c r="J98" s="36" t="n">
        <x:v>90.1</x:v>
      </x:c>
      <x:c r="K98" s="2" t="n">
        <x:v>91</x:v>
      </x:c>
      <x:c r="L98" s="2" t="n">
        <x:v>90</x:v>
      </x:c>
      <x:c r="M98" s="2" t="n">
        <x:v>92</x:v>
      </x:c>
      <x:c r="N98" s="2" t="n">
        <x:v>89</x:v>
      </x:c>
      <x:c r="O98" s="2" t="n">
        <x:v>92</x:v>
      </x:c>
      <x:c r="P98" s="2" t="n">
        <x:v>86</x:v>
      </x:c>
      <x:c r="Q98" s="2" t="n">
        <x:v>12</x:v>
      </x:c>
      <x:c r="R98" s="3" t="str">
        <x:v>https://arxiv.org/abs/2607.13742</x:v>
      </x:c>
      <x:c r="S98" s="3" t="str">
        <x:v>Sharp comparison inequality in conformal/geometric analysis.</x:v>
      </x:c>
    </x:row>
    <x:row r="99" ht="45" customHeight="1">
      <x:c r="A99" s="2" t="n">
        <x:v>98</x:v>
      </x:c>
      <x:c r="B99" s="3" t="str">
        <x:v>2026-07</x:v>
      </x:c>
      <x:c r="C99" s="3" t="str">
        <x:v>2607.13760</x:v>
      </x:c>
      <x:c r="D99" s="3" t="str">
        <x:v>Strict concavity of the growth indicator function for relatively Anosov groups</x:v>
      </x:c>
      <x:c r="E99" s="3" t="str">
        <x:v>Dongryul M. Kim; Hee Oh; Andrew Zimmer</x:v>
      </x:c>
      <x:c r="F99" s="3" t="str">
        <x:v>Anosov groups / growth indicators</x:v>
      </x:c>
      <x:c r="G99" s="2" t="n">
        <x:v>31</x:v>
      </x:c>
      <x:c r="H99" s="36" t="n">
        <x:v>90.175</x:v>
      </x:c>
      <x:c r="I99" s="36" t="n">
        <x:v>90.25</x:v>
      </x:c>
      <x:c r="J99" s="36" t="n">
        <x:v>90.1</x:v>
      </x:c>
      <x:c r="K99" s="2" t="n">
        <x:v>91</x:v>
      </x:c>
      <x:c r="L99" s="2" t="n">
        <x:v>90</x:v>
      </x:c>
      <x:c r="M99" s="2" t="n">
        <x:v>92</x:v>
      </x:c>
      <x:c r="N99" s="2" t="n">
        <x:v>89</x:v>
      </x:c>
      <x:c r="O99" s="2" t="n">
        <x:v>92</x:v>
      </x:c>
      <x:c r="P99" s="2" t="n">
        <x:v>86</x:v>
      </x:c>
      <x:c r="Q99" s="2" t="n">
        <x:v>12</x:v>
      </x:c>
      <x:c r="R99" s="3" t="str">
        <x:v>https://arxiv.org/abs/2607.13760</x:v>
      </x:c>
      <x:c r="S99" s="3" t="str">
        <x:v>Growth indicator concavity for relatively Anosov groups; strong dynamics/geometry cross-value.</x:v>
      </x:c>
    </x:row>
    <x:row r="100" ht="45" customHeight="1">
      <x:c r="A100" s="2" t="n">
        <x:v>99</x:v>
      </x:c>
      <x:c r="B100" s="3" t="str">
        <x:v>2026-07</x:v>
      </x:c>
      <x:c r="C100" s="3" t="str">
        <x:v>2607.13890</x:v>
      </x:c>
      <x:c r="D100" s="3" t="str">
        <x:v>Heat Kernel and Closed Geodesic Asymptotics for Nilpotent Coverings</x:v>
      </x:c>
      <x:c r="E100" s="3" t="str">
        <x:v>Atsushi Katsuda</x:v>
      </x:c>
      <x:c r="F100" s="3" t="str">
        <x:v>heat kernels / closed geodesics</x:v>
      </x:c>
      <x:c r="G100" s="2" t="n">
        <x:v>84</x:v>
      </x:c>
      <x:c r="H100" s="36" t="n">
        <x:v>90.175</x:v>
      </x:c>
      <x:c r="I100" s="36" t="n">
        <x:v>90.25</x:v>
      </x:c>
      <x:c r="J100" s="36" t="n">
        <x:v>90.1</x:v>
      </x:c>
      <x:c r="K100" s="2" t="n">
        <x:v>91</x:v>
      </x:c>
      <x:c r="L100" s="2" t="n">
        <x:v>90</x:v>
      </x:c>
      <x:c r="M100" s="2" t="n">
        <x:v>92</x:v>
      </x:c>
      <x:c r="N100" s="2" t="n">
        <x:v>89</x:v>
      </x:c>
      <x:c r="O100" s="2" t="n">
        <x:v>92</x:v>
      </x:c>
      <x:c r="P100" s="2" t="n">
        <x:v>86</x:v>
      </x:c>
      <x:c r="Q100" s="2" t="n">
        <x:v>12</x:v>
      </x:c>
      <x:c r="R100" s="3" t="str">
        <x:v>https://arxiv.org/abs/2607.13890</x:v>
      </x:c>
      <x:c r="S100" s="3" t="str">
        <x:v>Heat-kernel and closed-geodesic asymptotics; useful spectral-geometric contribution.</x:v>
      </x:c>
    </x:row>
    <x:row r="101" ht="45" customHeight="1">
      <x:c r="A101" s="2" t="n">
        <x:v>100</x:v>
      </x:c>
      <x:c r="B101" s="3" t="str">
        <x:v>2026-07</x:v>
      </x:c>
      <x:c r="C101" s="3" t="str">
        <x:v>2607.14244</x:v>
      </x:c>
      <x:c r="D101" s="3" t="str">
        <x:v>Scalar Curvature and Product Manifolds</x:v>
      </x:c>
      <x:c r="E101" s="3" t="str">
        <x:v>Claude LeBrun</x:v>
      </x:c>
      <x:c r="F101" s="3" t="str">
        <x:v>scalar curvature / product manifolds</x:v>
      </x:c>
      <x:c r="G101" s="2" t="n">
        <x:v>11</x:v>
      </x:c>
      <x:c r="H101" s="36" t="n">
        <x:v>90.175</x:v>
      </x:c>
      <x:c r="I101" s="36" t="n">
        <x:v>90.25</x:v>
      </x:c>
      <x:c r="J101" s="36" t="n">
        <x:v>90.1</x:v>
      </x:c>
      <x:c r="K101" s="2" t="n">
        <x:v>91</x:v>
      </x:c>
      <x:c r="L101" s="2" t="n">
        <x:v>90</x:v>
      </x:c>
      <x:c r="M101" s="2" t="n">
        <x:v>92</x:v>
      </x:c>
      <x:c r="N101" s="2" t="n">
        <x:v>89</x:v>
      </x:c>
      <x:c r="O101" s="2" t="n">
        <x:v>92</x:v>
      </x:c>
      <x:c r="P101" s="2" t="n">
        <x:v>86</x:v>
      </x:c>
      <x:c r="Q101" s="2" t="n">
        <x:v>12</x:v>
      </x:c>
      <x:c r="R101" s="3" t="str">
        <x:v>https://arxiv.org/abs/2607.14244</x:v>
      </x:c>
      <x:c r="S101" s="3" t="str">
        <x:v>Concise scalar-curvature result by a leading author; high conceptual signal.</x:v>
      </x:c>
    </x:row>
  </x:sheetData>
  <x:pageMargins left="0.7" right="0.7" top="0.75" bottom="0.75" header="0.3" footer="0.3"/>
  <x:tableParts count="1">
    <x:tablePart xmlns:r="http://schemas.openxmlformats.org/officeDocument/2006/relationships" r:id="R9bcfd0e109184842"/>
  </x:tableParts>
</x:worksheet>
</file>

<file path=xl/worksheets/sheet3.xml><?xml version="1.0" encoding="utf-8"?>
<x:worksheet xmlns:x="http://schemas.openxmlformats.org/spreadsheetml/2006/main">
  <x:sheetFormatPr defaultColWidth="9" defaultRowHeight="13.5"/>
  <x:cols>
    <x:col min="1" max="1" width="8" customWidth="1"/>
    <x:col min="2" max="3" width="12" customWidth="1"/>
    <x:col min="4" max="4" width="48" customWidth="1"/>
    <x:col min="5" max="5" width="34" customWidth="1"/>
    <x:col min="6" max="6" width="26" customWidth="1"/>
    <x:col min="7" max="17" width="8" customWidth="1"/>
    <x:col min="18" max="18" width="30" customWidth="1"/>
    <x:col min="19" max="19" width="12" customWidth="1"/>
    <x:col min="20" max="20" width="48" customWidth="1"/>
  </x:cols>
  <x:sheetData>
    <x:row r="1" ht="28" customHeight="1">
      <x:c r="A1" s="5" t="str">
        <x:v>Rank</x:v>
      </x:c>
      <x:c r="B1" s="5" t="str">
        <x:v>Month</x:v>
      </x:c>
      <x:c r="C1" s="5" t="str">
        <x:v>arXiv</x:v>
      </x:c>
      <x:c r="D1" s="5" t="str">
        <x:v>Title</x:v>
      </x:c>
      <x:c r="E1" s="5" t="str">
        <x:v>Authors</x:v>
      </x:c>
      <x:c r="F1" s="5" t="str">
        <x:v>Theme</x:v>
      </x:c>
      <x:c r="G1" s="5" t="str">
        <x:v>Pages</x:v>
      </x:c>
      <x:c r="H1" s="5" t="str">
        <x:v>Final_S_eq</x:v>
      </x:c>
      <x:c r="I1" s="5" t="str">
        <x:v>V</x:v>
      </x:c>
      <x:c r="J1" s="5" t="str">
        <x:v>S_H</x:v>
      </x:c>
      <x:c r="K1" s="5" t="str">
        <x:v>I</x:v>
      </x:c>
      <x:c r="L1" s="5" t="str">
        <x:v>O</x:v>
      </x:c>
      <x:c r="M1" s="5" t="str">
        <x:v>T</x:v>
      </x:c>
      <x:c r="N1" s="5" t="str">
        <x:v>B</x:v>
      </x:c>
      <x:c r="O1" s="5" t="str">
        <x:v>H</x:v>
      </x:c>
      <x:c r="P1" s="5" t="str">
        <x:v>R</x:v>
      </x:c>
      <x:c r="Q1" s="5" t="str">
        <x:v>AI_pct</x:v>
      </x:c>
      <x:c r="R1" s="5" t="str">
        <x:v>SourceURL</x:v>
      </x:c>
      <x:c r="S1" s="5" t="str">
        <x:v>Top100_flag</x:v>
      </x:c>
      <x:c r="T1" s="5" t="str">
        <x:v>综合判断</x:v>
      </x:c>
    </x:row>
    <x:row r="2" ht="38" customHeight="1">
      <x:c r="A2" s="174" t="n">
        <x:v>1</x:v>
      </x:c>
      <x:c r="B2" s="7" t="str">
        <x:v>2026-06</x:v>
      </x:c>
      <x:c r="C2" s="7" t="str">
        <x:v>2606.01511</x:v>
      </x:c>
      <x:c r="D2" s="7" t="str">
        <x:v>A Branch Set Stratification for Stationary Varifolds with Epsilon-Regularity</x:v>
      </x:c>
      <x:c r="E2" s="7" t="str">
        <x:v>Brian Krummel; Paul Minter; Neshan Wickramasekera</x:v>
      </x:c>
      <x:c r="F2" s="7" t="str">
        <x:v>GMT / stationary varifolds</x:v>
      </x:c>
      <x:c r="G2" s="6" t="n">
        <x:v>119</x:v>
      </x:c>
      <x:c r="H2" s="28" t="n">
        <x:v>95.3</x:v>
      </x:c>
      <x:c r="I2" s="28" t="n">
        <x:v>95.7</x:v>
      </x:c>
      <x:c r="J2" s="28" t="n">
        <x:v>94.9</x:v>
      </x:c>
      <x:c r="K2" s="174" t="n">
        <x:v>98</x:v>
      </x:c>
      <x:c r="L2" s="174" t="n">
        <x:v>95</x:v>
      </x:c>
      <x:c r="M2" s="174" t="n">
        <x:v>96</x:v>
      </x:c>
      <x:c r="N2" s="174" t="n">
        <x:v>94</x:v>
      </x:c>
      <x:c r="O2" s="174" t="n">
        <x:v>97</x:v>
      </x:c>
      <x:c r="P2" s="174" t="n">
        <x:v>92</x:v>
      </x:c>
      <x:c r="Q2" s="174" t="n">
        <x:v>8</x:v>
      </x:c>
      <x:c r="R2" s="7" t="str">
        <x:v>https://arxiv.org/abs/2606.01511</x:v>
      </x:c>
      <x:c r="S2" s="7" t="str">
        <x:v>Top100</x:v>
      </x:c>
      <x:c r="T2" s="7" t="str">
        <x:v>Long branch-set stratification and epsilon-regularity framework for stationary varifolds.</x:v>
      </x:c>
    </x:row>
    <x:row r="3" ht="38" customHeight="1">
      <x:c r="A3" s="174" t="n">
        <x:v>2</x:v>
      </x:c>
      <x:c r="B3" s="7" t="str">
        <x:v>2026-06</x:v>
      </x:c>
      <x:c r="C3" s="7" t="str">
        <x:v>2606.03583</x:v>
      </x:c>
      <x:c r="D3" s="7" t="str">
        <x:v>Closed minimal surfaces of index one in Riemannian manifolds</x:v>
      </x:c>
      <x:c r="E3" s="7" t="str">
        <x:v>Fernando C. Marques; André Neves</x:v>
      </x:c>
      <x:c r="F3" s="7" t="str">
        <x:v>minimal surfaces / min-max</x:v>
      </x:c>
      <x:c r="G3" s="6" t="n">
        <x:v>58</x:v>
      </x:c>
      <x:c r="H3" s="28" t="n">
        <x:v>95.07</x:v>
      </x:c>
      <x:c r="I3" s="28" t="n">
        <x:v>95.25</x:v>
      </x:c>
      <x:c r="J3" s="28" t="n">
        <x:v>94.9</x:v>
      </x:c>
      <x:c r="K3" s="174" t="n">
        <x:v>97</x:v>
      </x:c>
      <x:c r="L3" s="174" t="n">
        <x:v>95</x:v>
      </x:c>
      <x:c r="M3" s="174" t="n">
        <x:v>96</x:v>
      </x:c>
      <x:c r="N3" s="174" t="n">
        <x:v>93</x:v>
      </x:c>
      <x:c r="O3" s="174" t="n">
        <x:v>97</x:v>
      </x:c>
      <x:c r="P3" s="174" t="n">
        <x:v>92</x:v>
      </x:c>
      <x:c r="Q3" s="174" t="n">
        <x:v>8</x:v>
      </x:c>
      <x:c r="R3" s="7" t="str">
        <x:v>https://arxiv.org/abs/2606.03583</x:v>
      </x:c>
      <x:c r="S3" s="7" t="str">
        <x:v>Top100</x:v>
      </x:c>
      <x:c r="T3" s="7" t="str">
        <x:v>Index-one minimal surface theory by leading min-max authors; high conceptual and technical weight.</x:v>
      </x:c>
    </x:row>
    <x:row r="4" ht="38" customHeight="1">
      <x:c r="A4" s="174" t="n">
        <x:v>3</x:v>
      </x:c>
      <x:c r="B4" s="7" t="str">
        <x:v>2026-06</x:v>
      </x:c>
      <x:c r="C4" s="7" t="str">
        <x:v>2606.12257</x:v>
      </x:c>
      <x:c r="D4" s="7" t="str">
        <x:v>Quantum cohomology and split generation in Lagrangian Floer theory</x:v>
      </x:c>
      <x:c r="E4" s="7" t="str">
        <x:v>Mohammed Abouzaid; Kenji Fukaya; Yong-Geun Oh; Hiroshi Ohta; Kaoru Ono</x:v>
      </x:c>
      <x:c r="F4" s="7" t="str">
        <x:v>Floer theory / symplectic geometry</x:v>
      </x:c>
      <x:c r="G4" s="6" t="n">
        <x:v>333</x:v>
      </x:c>
      <x:c r="H4" s="28" t="n">
        <x:v>94.85</x:v>
      </x:c>
      <x:c r="I4" s="28" t="n">
        <x:v>95</x:v>
      </x:c>
      <x:c r="J4" s="28" t="n">
        <x:v>94.7</x:v>
      </x:c>
      <x:c r="K4" s="174" t="n">
        <x:v>97</x:v>
      </x:c>
      <x:c r="L4" s="174" t="n">
        <x:v>95</x:v>
      </x:c>
      <x:c r="M4" s="174" t="n">
        <x:v>95</x:v>
      </x:c>
      <x:c r="N4" s="174" t="n">
        <x:v>93</x:v>
      </x:c>
      <x:c r="O4" s="174" t="n">
        <x:v>97</x:v>
      </x:c>
      <x:c r="P4" s="174" t="n">
        <x:v>92</x:v>
      </x:c>
      <x:c r="Q4" s="174" t="n">
        <x:v>8</x:v>
      </x:c>
      <x:c r="R4" s="7" t="str">
        <x:v>https://arxiv.org/abs/2606.12257</x:v>
      </x:c>
      <x:c r="S4" s="7" t="str">
        <x:v>Top100</x:v>
      </x:c>
      <x:c r="T4" s="7" t="str">
        <x:v>Massive foundational Floer-theoretic contribution with strong downstream value.</x:v>
      </x:c>
    </x:row>
    <x:row r="5" ht="38" customHeight="1">
      <x:c r="A5" s="174" t="n">
        <x:v>4</x:v>
      </x:c>
      <x:c r="B5" s="7" t="str">
        <x:v>2026-06</x:v>
      </x:c>
      <x:c r="C5" s="7" t="str">
        <x:v>2606.30098</x:v>
      </x:c>
      <x:c r="D5" s="7" t="str">
        <x:v>Min-Max Construction of Anisotropic Minimal Surfaces with Genus Bound</x:v>
      </x:c>
      <x:c r="E5" s="7" t="str">
        <x:v>Antonio De Rosa; Aria Halavati; Ling Wang</x:v>
      </x:c>
      <x:c r="F5" s="7" t="str">
        <x:v>anisotropic minimal surfaces</x:v>
      </x:c>
      <x:c r="G5" s="6" t="n">
        <x:v>77</x:v>
      </x:c>
      <x:c r="H5" s="28" t="n">
        <x:v>94.38</x:v>
      </x:c>
      <x:c r="I5" s="28" t="n">
        <x:v>94.7</x:v>
      </x:c>
      <x:c r="J5" s="28" t="n">
        <x:v>94.05</x:v>
      </x:c>
      <x:c r="K5" s="174" t="n">
        <x:v>97</x:v>
      </x:c>
      <x:c r="L5" s="174" t="n">
        <x:v>94</x:v>
      </x:c>
      <x:c r="M5" s="174" t="n">
        <x:v>95</x:v>
      </x:c>
      <x:c r="N5" s="174" t="n">
        <x:v>93</x:v>
      </x:c>
      <x:c r="O5" s="174" t="n">
        <x:v>96</x:v>
      </x:c>
      <x:c r="P5" s="174" t="n">
        <x:v>91</x:v>
      </x:c>
      <x:c r="Q5" s="174" t="n">
        <x:v>8</x:v>
      </x:c>
      <x:c r="R5" s="7" t="str">
        <x:v>https://arxiv.org/abs/2606.30098</x:v>
      </x:c>
      <x:c r="S5" s="7" t="str">
        <x:v>Top100</x:v>
      </x:c>
      <x:c r="T5" s="7" t="str">
        <x:v>Min-max construction with genus control in anisotropic surface theory.</x:v>
      </x:c>
    </x:row>
    <x:row r="6" ht="38" customHeight="1">
      <x:c r="A6" s="174" t="n">
        <x:v>5</x:v>
      </x:c>
      <x:c r="B6" s="7" t="str">
        <x:v>2026-07</x:v>
      </x:c>
      <x:c r="C6" s="7" t="str">
        <x:v>2607.07134</x:v>
      </x:c>
      <x:c r="D6" s="7" t="str">
        <x:v>Naked Singularities beyond Spherical Symmetry: Singular Inner Cauchy Horizons for the Einstein-Scalar Field System</x:v>
      </x:c>
      <x:c r="E6" s="7" t="str">
        <x:v>Xinliang An; Shengrong Wu</x:v>
      </x:c>
      <x:c r="F6" s="7" t="str">
        <x:v>Einstein equations / singularities</x:v>
      </x:c>
      <x:c r="G6" s="6" t="n">
        <x:v>116</x:v>
      </x:c>
      <x:c r="H6" s="28" t="n">
        <x:v>94.35</x:v>
      </x:c>
      <x:c r="I6" s="28" t="n">
        <x:v>94.7</x:v>
      </x:c>
      <x:c r="J6" s="28" t="n">
        <x:v>94</x:v>
      </x:c>
      <x:c r="K6" s="174" t="n">
        <x:v>97</x:v>
      </x:c>
      <x:c r="L6" s="174" t="n">
        <x:v>94</x:v>
      </x:c>
      <x:c r="M6" s="174" t="n">
        <x:v>97</x:v>
      </x:c>
      <x:c r="N6" s="174" t="n">
        <x:v>93</x:v>
      </x:c>
      <x:c r="O6" s="174" t="n">
        <x:v>97</x:v>
      </x:c>
      <x:c r="P6" s="174" t="n">
        <x:v>86</x:v>
      </x:c>
      <x:c r="Q6" s="174" t="n">
        <x:v>8</x:v>
      </x:c>
      <x:c r="R6" s="7" t="str">
        <x:v>https://arxiv.org/abs/2607.07134</x:v>
      </x:c>
      <x:c r="S6" s="7" t="str">
        <x:v>Top100</x:v>
      </x:c>
      <x:c r="T6" s="7" t="str">
        <x:v>Major GR-PDE construction beyond spherical symmetry; strong geometric analysis relevance.</x:v>
      </x:c>
    </x:row>
    <x:row r="7" ht="38" customHeight="1">
      <x:c r="A7" s="174" t="n">
        <x:v>6</x:v>
      </x:c>
      <x:c r="B7" s="7" t="str">
        <x:v>2026-07</x:v>
      </x:c>
      <x:c r="C7" s="7" t="str">
        <x:v>2607.13356</x:v>
      </x:c>
      <x:c r="D7" s="7" t="str">
        <x:v>Analysis of singularities of area-minimizing currents, Part III: branch points of planar frequency != 2, higher order asymptotics, and the local topology</x:v>
      </x:c>
      <x:c r="E7" s="7" t="str">
        <x:v>Brian Krummel; Neshan Wickramasekera</x:v>
      </x:c>
      <x:c r="F7" s="7" t="str">
        <x:v>minimal currents / singularity theory</x:v>
      </x:c>
      <x:c r="G7" s="6" t="n">
        <x:v>156</x:v>
      </x:c>
      <x:c r="H7" s="28" t="n">
        <x:v>94.35</x:v>
      </x:c>
      <x:c r="I7" s="28" t="n">
        <x:v>94.7</x:v>
      </x:c>
      <x:c r="J7" s="28" t="n">
        <x:v>94</x:v>
      </x:c>
      <x:c r="K7" s="174" t="n">
        <x:v>97</x:v>
      </x:c>
      <x:c r="L7" s="174" t="n">
        <x:v>94</x:v>
      </x:c>
      <x:c r="M7" s="174" t="n">
        <x:v>97</x:v>
      </x:c>
      <x:c r="N7" s="174" t="n">
        <x:v>93</x:v>
      </x:c>
      <x:c r="O7" s="174" t="n">
        <x:v>97</x:v>
      </x:c>
      <x:c r="P7" s="174" t="n">
        <x:v>86</x:v>
      </x:c>
      <x:c r="Q7" s="174" t="n">
        <x:v>8</x:v>
      </x:c>
      <x:c r="R7" s="7" t="str">
        <x:v>https://arxiv.org/abs/2607.13356</x:v>
      </x:c>
      <x:c r="S7" s="7" t="str">
        <x:v>Top100</x:v>
      </x:c>
      <x:c r="T7" s="7" t="str">
        <x:v>Large-scale regularity/singularity analysis for area-minimizing currents; exceptional human proof complexity.</x:v>
      </x:c>
    </x:row>
    <x:row r="8" ht="38" customHeight="1">
      <x:c r="A8" s="174" t="n">
        <x:v>7</x:v>
      </x:c>
      <x:c r="B8" s="7" t="str">
        <x:v>2026-06</x:v>
      </x:c>
      <x:c r="C8" s="7" t="str">
        <x:v>2606.13335</x:v>
      </x:c>
      <x:c r="D8" s="7" t="str">
        <x:v>Sharp stability of Alexandrov's theorem for C^1 domains in the small-excess regime</x:v>
      </x:c>
      <x:c r="E8" s="7" t="str">
        <x:v>Alessio Figalli; Yi Ru-Ya Zhang</x:v>
      </x:c>
      <x:c r="F8" s="7" t="str">
        <x:v>geometric inequalities / stability</x:v>
      </x:c>
      <x:c r="G8" s="6" t="n">
        <x:v>59</x:v>
      </x:c>
      <x:c r="H8" s="28" t="n">
        <x:v>94.07</x:v>
      </x:c>
      <x:c r="I8" s="28" t="n">
        <x:v>94.4</x:v>
      </x:c>
      <x:c r="J8" s="28" t="n">
        <x:v>93.75</x:v>
      </x:c>
      <x:c r="K8" s="174" t="n">
        <x:v>96</x:v>
      </x:c>
      <x:c r="L8" s="174" t="n">
        <x:v>94</x:v>
      </x:c>
      <x:c r="M8" s="174" t="n">
        <x:v>95</x:v>
      </x:c>
      <x:c r="N8" s="174" t="n">
        <x:v>93</x:v>
      </x:c>
      <x:c r="O8" s="174" t="n">
        <x:v>95</x:v>
      </x:c>
      <x:c r="P8" s="174" t="n">
        <x:v>91</x:v>
      </x:c>
      <x:c r="Q8" s="174" t="n">
        <x:v>8</x:v>
      </x:c>
      <x:c r="R8" s="7" t="str">
        <x:v>https://arxiv.org/abs/2606.13335</x:v>
      </x:c>
      <x:c r="S8" s="7" t="str">
        <x:v>Top100</x:v>
      </x:c>
      <x:c r="T8" s="7" t="str">
        <x:v>Sharp quantitative stability for Alexandrov-type rigidity.</x:v>
      </x:c>
    </x:row>
    <x:row r="9" ht="38" customHeight="1">
      <x:c r="A9" s="174" t="n">
        <x:v>8</x:v>
      </x:c>
      <x:c r="B9" s="7" t="str">
        <x:v>2026-06</x:v>
      </x:c>
      <x:c r="C9" s="7" t="str">
        <x:v>2606.15795</x:v>
      </x:c>
      <x:c r="D9" s="7" t="str">
        <x:v>Entire area-minimizing surfaces in R^n of density two are quadratic or planar</x:v>
      </x:c>
      <x:c r="E9" s="7" t="str">
        <x:v>Nick Edelen; Luis Atzin Franco Reyna; Paul Minter</x:v>
      </x:c>
      <x:c r="F9" s="7" t="str">
        <x:v>area-minimizing currents</x:v>
      </x:c>
      <x:c r="G9" s="6" t="n">
        <x:v>44</x:v>
      </x:c>
      <x:c r="H9" s="28" t="n">
        <x:v>94.07</x:v>
      </x:c>
      <x:c r="I9" s="28" t="n">
        <x:v>94.4</x:v>
      </x:c>
      <x:c r="J9" s="28" t="n">
        <x:v>93.75</x:v>
      </x:c>
      <x:c r="K9" s="174" t="n">
        <x:v>96</x:v>
      </x:c>
      <x:c r="L9" s="174" t="n">
        <x:v>94</x:v>
      </x:c>
      <x:c r="M9" s="174" t="n">
        <x:v>95</x:v>
      </x:c>
      <x:c r="N9" s="174" t="n">
        <x:v>93</x:v>
      </x:c>
      <x:c r="O9" s="174" t="n">
        <x:v>95</x:v>
      </x:c>
      <x:c r="P9" s="174" t="n">
        <x:v>91</x:v>
      </x:c>
      <x:c r="Q9" s="174" t="n">
        <x:v>8</x:v>
      </x:c>
      <x:c r="R9" s="7" t="str">
        <x:v>https://arxiv.org/abs/2606.15795</x:v>
      </x:c>
      <x:c r="S9" s="7" t="str">
        <x:v>Top100</x:v>
      </x:c>
      <x:c r="T9" s="7" t="str">
        <x:v>Sharp classification for density-two entire area minimizers.</x:v>
      </x:c>
    </x:row>
    <x:row r="10" ht="38" customHeight="1">
      <x:c r="A10" s="174" t="n">
        <x:v>9</x:v>
      </x:c>
      <x:c r="B10" s="7" t="str">
        <x:v>2026-06</x:v>
      </x:c>
      <x:c r="C10" s="7" t="str">
        <x:v>2606.22355</x:v>
      </x:c>
      <x:c r="D10" s="7" t="str">
        <x:v>Uncountably many non-rotationally symmetric type II ancient Yamabe flows on the sphere</x:v>
      </x:c>
      <x:c r="E10" s="7" t="str">
        <x:v>Haixia Chen; Seunghyeok Kim; Monica Musso</x:v>
      </x:c>
      <x:c r="F10" s="7" t="str">
        <x:v>Yamabe flow / ancient solutions</x:v>
      </x:c>
      <x:c r="G10" s="6" t="str">
        <x:v>-</x:v>
      </x:c>
      <x:c r="H10" s="28" t="n">
        <x:v>94</x:v>
      </x:c>
      <x:c r="I10" s="28" t="n">
        <x:v>94.25</x:v>
      </x:c>
      <x:c r="J10" s="28" t="n">
        <x:v>93.75</x:v>
      </x:c>
      <x:c r="K10" s="174" t="n">
        <x:v>96</x:v>
      </x:c>
      <x:c r="L10" s="174" t="n">
        <x:v>94</x:v>
      </x:c>
      <x:c r="M10" s="174" t="n">
        <x:v>95</x:v>
      </x:c>
      <x:c r="N10" s="174" t="n">
        <x:v>92</x:v>
      </x:c>
      <x:c r="O10" s="174" t="n">
        <x:v>95</x:v>
      </x:c>
      <x:c r="P10" s="174" t="n">
        <x:v>91</x:v>
      </x:c>
      <x:c r="Q10" s="174" t="n">
        <x:v>8</x:v>
      </x:c>
      <x:c r="R10" s="7" t="str">
        <x:v>https://arxiv.org/abs/2606.22355</x:v>
      </x:c>
      <x:c r="S10" s="7" t="str">
        <x:v>Top100</x:v>
      </x:c>
      <x:c r="T10" s="7" t="str">
        <x:v>Constructs large family of type-II ancient Yamabe flows with symmetry breaking.</x:v>
      </x:c>
    </x:row>
    <x:row r="11" ht="38" customHeight="1">
      <x:c r="A11" s="174" t="n">
        <x:v>10</x:v>
      </x:c>
      <x:c r="B11" s="7" t="str">
        <x:v>2026-07</x:v>
      </x:c>
      <x:c r="C11" s="7" t="str">
        <x:v>2607.15522</x:v>
      </x:c>
      <x:c r="D11" s="7" t="str">
        <x:v>Nonnegative Bakry--Émery Curvature on Bounded-Degree Graphs Implies Volume Doubling and Poincaré Inequalities</x:v>
      </x:c>
      <x:c r="E11" s="7" t="str">
        <x:v>Qi Guo; Xueping Huang; Yi C. Huang</x:v>
      </x:c>
      <x:c r="F11" s="7" t="str">
        <x:v>discrete Bakry-Émery curvature / graph heat flow</x:v>
      </x:c>
      <x:c r="G11" s="6" t="n">
        <x:v>34</x:v>
      </x:c>
      <x:c r="H11" s="28" t="n">
        <x:v>93.65</x:v>
      </x:c>
      <x:c r="I11" s="28" t="n">
        <x:v>94.3</x:v>
      </x:c>
      <x:c r="J11" s="28" t="n">
        <x:v>93</x:v>
      </x:c>
      <x:c r="K11" s="174" t="n">
        <x:v>96</x:v>
      </x:c>
      <x:c r="L11" s="174" t="n">
        <x:v>94</x:v>
      </x:c>
      <x:c r="M11" s="174" t="n">
        <x:v>95</x:v>
      </x:c>
      <x:c r="N11" s="174" t="n">
        <x:v>95</x:v>
      </x:c>
      <x:c r="O11" s="174" t="n">
        <x:v>95</x:v>
      </x:c>
      <x:c r="P11" s="174" t="n">
        <x:v>87</x:v>
      </x:c>
      <x:c r="Q11" s="174" t="n">
        <x:v>9</x:v>
      </x:c>
      <x:c r="R11" s="7" t="str">
        <x:v>https://arxiv.org/abs/2607.15522</x:v>
      </x:c>
      <x:c r="S11" s="7" t="str">
        <x:v>Top100</x:v>
      </x:c>
      <x:c r="T11" s="7" t="str">
        <x:v>Bounded-degree CD(0,∞) graphs are uniformly volume doubling and satisfy a scale-invariant L2 Poincaré inequality; settles the Cushing-Liu-Peyerimhoff polynomial-growth conjecture in a stronger form.</x:v>
      </x:c>
    </x:row>
    <x:row r="12" ht="38" customHeight="1">
      <x:c r="A12" s="174" t="n">
        <x:v>11</x:v>
      </x:c>
      <x:c r="B12" s="7" t="str">
        <x:v>2026-06</x:v>
      </x:c>
      <x:c r="C12" s="7" t="str">
        <x:v>2606.00964</x:v>
      </x:c>
      <x:c r="D12" s="7" t="str">
        <x:v>Mean convex flows with surgery</x:v>
      </x:c>
      <x:c r="E12" s="7" t="str">
        <x:v>Gabor Szekelyhidi</x:v>
      </x:c>
      <x:c r="F12" s="7" t="str">
        <x:v>mean curvature flow / surgery</x:v>
      </x:c>
      <x:c r="G12" s="6" t="n">
        <x:v>56</x:v>
      </x:c>
      <x:c r="H12" s="28" t="n">
        <x:v>93.55</x:v>
      </x:c>
      <x:c r="I12" s="28" t="n">
        <x:v>93.7</x:v>
      </x:c>
      <x:c r="J12" s="28" t="n">
        <x:v>93.4</x:v>
      </x:c>
      <x:c r="K12" s="174" t="n">
        <x:v>95</x:v>
      </x:c>
      <x:c r="L12" s="174" t="n">
        <x:v>94</x:v>
      </x:c>
      <x:c r="M12" s="174" t="n">
        <x:v>94</x:v>
      </x:c>
      <x:c r="N12" s="174" t="n">
        <x:v>92</x:v>
      </x:c>
      <x:c r="O12" s="174" t="n">
        <x:v>95</x:v>
      </x:c>
      <x:c r="P12" s="174" t="n">
        <x:v>91</x:v>
      </x:c>
      <x:c r="Q12" s="174" t="n">
        <x:v>9</x:v>
      </x:c>
      <x:c r="R12" s="7" t="str">
        <x:v>https://arxiv.org/abs/2606.00964</x:v>
      </x:c>
      <x:c r="S12" s="7" t="str">
        <x:v>Top100</x:v>
      </x:c>
      <x:c r="T12" s="7" t="str">
        <x:v>Mean-convex MCF with surgery; high technical geometric-flow relevance.</x:v>
      </x:c>
    </x:row>
    <x:row r="13" ht="38" customHeight="1">
      <x:c r="A13" s="174" t="n">
        <x:v>12</x:v>
      </x:c>
      <x:c r="B13" s="7" t="str">
        <x:v>2026-06</x:v>
      </x:c>
      <x:c r="C13" s="7" t="str">
        <x:v>2606.15816</x:v>
      </x:c>
      <x:c r="D13" s="7" t="str">
        <x:v>Kähler-Ricci Flow: from divisors to cusps</x:v>
      </x:c>
      <x:c r="E13" s="7" t="str">
        <x:v>Eleonora Di Nezza; Vincent Guedj; Chinh H. Lu</x:v>
      </x:c>
      <x:c r="F13" s="7" t="str">
        <x:v>Kähler-Ricci flow</x:v>
      </x:c>
      <x:c r="G13" s="6" t="str">
        <x:v>-</x:v>
      </x:c>
      <x:c r="H13" s="28" t="n">
        <x:v>93.55</x:v>
      </x:c>
      <x:c r="I13" s="28" t="n">
        <x:v>93.7</x:v>
      </x:c>
      <x:c r="J13" s="28" t="n">
        <x:v>93.4</x:v>
      </x:c>
      <x:c r="K13" s="174" t="n">
        <x:v>95</x:v>
      </x:c>
      <x:c r="L13" s="174" t="n">
        <x:v>94</x:v>
      </x:c>
      <x:c r="M13" s="174" t="n">
        <x:v>94</x:v>
      </x:c>
      <x:c r="N13" s="174" t="n">
        <x:v>92</x:v>
      </x:c>
      <x:c r="O13" s="174" t="n">
        <x:v>95</x:v>
      </x:c>
      <x:c r="P13" s="174" t="n">
        <x:v>91</x:v>
      </x:c>
      <x:c r="Q13" s="174" t="n">
        <x:v>9</x:v>
      </x:c>
      <x:c r="R13" s="7" t="str">
        <x:v>https://arxiv.org/abs/2606.15816</x:v>
      </x:c>
      <x:c r="S13" s="7" t="str">
        <x:v>Top100</x:v>
      </x:c>
      <x:c r="T13" s="7" t="str">
        <x:v>Kähler-Ricci flow transition from divisorial to cusp singularities.</x:v>
      </x:c>
    </x:row>
    <x:row r="14" ht="38" customHeight="1">
      <x:c r="A14" s="174" t="n">
        <x:v>13</x:v>
      </x:c>
      <x:c r="B14" s="7" t="str">
        <x:v>2026-08</x:v>
      </x:c>
      <x:c r="C14" s="7" t="str">
        <x:v>2608.07240</x:v>
      </x:c>
      <x:c r="D14" s="7" t="str">
        <x:v>Critical Geller Equations on Complex Hyperbolic Space: Nondegeneracy, Geodesic Symmetry, and Global Compactness</x:v>
      </x:c>
      <x:c r="E14" s="7" t="str">
        <x:v>Jungang Li</x:v>
      </x:c>
      <x:c r="F14" s="7" t="str">
        <x:v>critical Geller equations / complex hyperbolic geometry</x:v>
      </x:c>
      <x:c r="G14" s="6" t="n">
        <x:v>59</x:v>
      </x:c>
      <x:c r="H14" s="28" t="n">
        <x:v>93.45</x:v>
      </x:c>
      <x:c r="I14" s="28" t="n">
        <x:v>94</x:v>
      </x:c>
      <x:c r="J14" s="28" t="n">
        <x:v>92.9</x:v>
      </x:c>
      <x:c r="K14" s="174" t="n">
        <x:v>95</x:v>
      </x:c>
      <x:c r="L14" s="174" t="n">
        <x:v>94</x:v>
      </x:c>
      <x:c r="M14" s="174" t="n">
        <x:v>96</x:v>
      </x:c>
      <x:c r="N14" s="174" t="n">
        <x:v>94</x:v>
      </x:c>
      <x:c r="O14" s="174" t="n">
        <x:v>95</x:v>
      </x:c>
      <x:c r="P14" s="174" t="n">
        <x:v>86</x:v>
      </x:c>
      <x:c r="Q14" s="174" t="n">
        <x:v>10</x:v>
      </x:c>
      <x:c r="R14" s="7" t="str">
        <x:v>https://arxiv.org/abs/2608.07240</x:v>
      </x:c>
      <x:c r="S14" s="7" t="str">
        <x:v>Top100</x:v>
      </x:c>
      <x:c r="T14" s="7" t="str">
        <x:v>Builds a broad critical Geller/Brezis-Nirenberg theory: sharp constants and classification, invariant-sector profiles and stability, nondegeneracy, compactness, symmetry, asymptotics, and perturbative existence.</x:v>
      </x:c>
    </x:row>
    <x:row r="15" ht="38" customHeight="1">
      <x:c r="A15" s="174" t="n">
        <x:v>14</x:v>
      </x:c>
      <x:c r="B15" s="7" t="str">
        <x:v>2026-06</x:v>
      </x:c>
      <x:c r="C15" s="7" t="str">
        <x:v>2606.30130</x:v>
      </x:c>
      <x:c r="D15" s="7" t="str">
        <x:v>Gromov's dihedral rigidity conjecture in dimension three</x:v>
      </x:c>
      <x:c r="E15" s="7" t="str">
        <x:v>Jinmin Wang; Zhizhang Xie; Guoliang Yu</x:v>
      </x:c>
      <x:c r="F15" s="7" t="str">
        <x:v>scalar curvature / rigidity</x:v>
      </x:c>
      <x:c r="G15" s="6" t="n">
        <x:v>74</x:v>
      </x:c>
      <x:c r="H15" s="28" t="n">
        <x:v>93.38</x:v>
      </x:c>
      <x:c r="I15" s="28" t="n">
        <x:v>93.7</x:v>
      </x:c>
      <x:c r="J15" s="28" t="n">
        <x:v>93.05</x:v>
      </x:c>
      <x:c r="K15" s="174" t="n">
        <x:v>96</x:v>
      </x:c>
      <x:c r="L15" s="174" t="n">
        <x:v>93</x:v>
      </x:c>
      <x:c r="M15" s="174" t="n">
        <x:v>94</x:v>
      </x:c>
      <x:c r="N15" s="174" t="n">
        <x:v>92</x:v>
      </x:c>
      <x:c r="O15" s="174" t="n">
        <x:v>95</x:v>
      </x:c>
      <x:c r="P15" s="174" t="n">
        <x:v>90</x:v>
      </x:c>
      <x:c r="Q15" s="174" t="n">
        <x:v>9</x:v>
      </x:c>
      <x:c r="R15" s="7" t="str">
        <x:v>https://arxiv.org/abs/2606.30130</x:v>
      </x:c>
      <x:c r="S15" s="7" t="str">
        <x:v>Top100</x:v>
      </x:c>
      <x:c r="T15" s="7" t="str">
        <x:v>Major scalar-curvature rigidity conjecture in dimension three.</x:v>
      </x:c>
    </x:row>
    <x:row r="16" ht="38" customHeight="1">
      <x:c r="A16" s="174" t="n">
        <x:v>15</x:v>
      </x:c>
      <x:c r="B16" s="7" t="str">
        <x:v>2026-07</x:v>
      </x:c>
      <x:c r="C16" s="7" t="str">
        <x:v>2607.03152</x:v>
      </x:c>
      <x:c r="D16" s="7" t="str">
        <x:v>Finite-Time Singularities of Lagrangian Mean Curvature Flow with Quantitatively Precise Dynamics</x:v>
      </x:c>
      <x:c r="E16" s="7" t="str">
        <x:v>Maxwell Stolarski; Wei-Bo Su</x:v>
      </x:c>
      <x:c r="F16" s="7" t="str">
        <x:v>Lagrangian mean curvature flow</x:v>
      </x:c>
      <x:c r="G16" s="6" t="n">
        <x:v>110</x:v>
      </x:c>
      <x:c r="H16" s="28" t="n">
        <x:v>93.325</x:v>
      </x:c>
      <x:c r="I16" s="28" t="n">
        <x:v>93.5</x:v>
      </x:c>
      <x:c r="J16" s="28" t="n">
        <x:v>93.15</x:v>
      </x:c>
      <x:c r="K16" s="174" t="n">
        <x:v>95</x:v>
      </x:c>
      <x:c r="L16" s="174" t="n">
        <x:v>93</x:v>
      </x:c>
      <x:c r="M16" s="174" t="n">
        <x:v>96</x:v>
      </x:c>
      <x:c r="N16" s="174" t="n">
        <x:v>92</x:v>
      </x:c>
      <x:c r="O16" s="174" t="n">
        <x:v>96</x:v>
      </x:c>
      <x:c r="P16" s="174" t="n">
        <x:v>86</x:v>
      </x:c>
      <x:c r="Q16" s="174" t="n">
        <x:v>9</x:v>
      </x:c>
      <x:c r="R16" s="7" t="str">
        <x:v>https://arxiv.org/abs/2607.03152</x:v>
      </x:c>
      <x:c r="S16" s="7" t="str">
        <x:v>Top100</x:v>
      </x:c>
      <x:c r="T16" s="7" t="str">
        <x:v>Quantitative singularity dynamics for Lagrangian MCF; technically deep and reusable.</x:v>
      </x:c>
    </x:row>
    <x:row r="17" ht="38" customHeight="1">
      <x:c r="A17" s="174" t="n">
        <x:v>16</x:v>
      </x:c>
      <x:c r="B17" s="7" t="str">
        <x:v>2026-07</x:v>
      </x:c>
      <x:c r="C17" s="7" t="str">
        <x:v>2607.03383</x:v>
      </x:c>
      <x:c r="D17" s="7" t="str">
        <x:v>Unique asymptotics of SO(k)xSO(n-k+1) symmetric ancient ovals of Ricci flow</x:v>
      </x:c>
      <x:c r="E17" s="7" t="str">
        <x:v>Panagiota Daskalopoulos; Wenkui Du; Natasa Sesum; Ziyi Zhao</x:v>
      </x:c>
      <x:c r="F17" s="7" t="str">
        <x:v>Ricci flow / ancient solutions</x:v>
      </x:c>
      <x:c r="G17" s="6" t="n">
        <x:v>78</x:v>
      </x:c>
      <x:c r="H17" s="28" t="n">
        <x:v>93.325</x:v>
      </x:c>
      <x:c r="I17" s="28" t="n">
        <x:v>93.5</x:v>
      </x:c>
      <x:c r="J17" s="28" t="n">
        <x:v>93.15</x:v>
      </x:c>
      <x:c r="K17" s="174" t="n">
        <x:v>95</x:v>
      </x:c>
      <x:c r="L17" s="174" t="n">
        <x:v>93</x:v>
      </x:c>
      <x:c r="M17" s="174" t="n">
        <x:v>96</x:v>
      </x:c>
      <x:c r="N17" s="174" t="n">
        <x:v>92</x:v>
      </x:c>
      <x:c r="O17" s="174" t="n">
        <x:v>96</x:v>
      </x:c>
      <x:c r="P17" s="174" t="n">
        <x:v>86</x:v>
      </x:c>
      <x:c r="Q17" s="174" t="n">
        <x:v>9</x:v>
      </x:c>
      <x:c r="R17" s="7" t="str">
        <x:v>https://arxiv.org/abs/2607.03383</x:v>
      </x:c>
      <x:c r="S17" s="7" t="str">
        <x:v>Top100</x:v>
      </x:c>
      <x:c r="T17" s="7" t="str">
        <x:v>Ancient Ricci-flow asymptotics by leading flow techniques; high geometric PDE value.</x:v>
      </x:c>
    </x:row>
    <x:row r="18" ht="38" customHeight="1">
      <x:c r="A18" s="174" t="n">
        <x:v>17</x:v>
      </x:c>
      <x:c r="B18" s="7" t="str">
        <x:v>2026-07</x:v>
      </x:c>
      <x:c r="C18" s="7" t="str">
        <x:v>2607.11236</x:v>
      </x:c>
      <x:c r="D18" s="7" t="str">
        <x:v>Formation of Trapped Surfaces from Spacelike Initial Data</x:v>
      </x:c>
      <x:c r="E18" s="7" t="str">
        <x:v>Xuantao Chen; Sergiu Klainerman</x:v>
      </x:c>
      <x:c r="F18" s="7" t="str">
        <x:v>general relativity / trapped surfaces</x:v>
      </x:c>
      <x:c r="G18" s="6" t="str">
        <x:v>-</x:v>
      </x:c>
      <x:c r="H18" s="28" t="n">
        <x:v>93.325</x:v>
      </x:c>
      <x:c r="I18" s="28" t="n">
        <x:v>93.5</x:v>
      </x:c>
      <x:c r="J18" s="28" t="n">
        <x:v>93.15</x:v>
      </x:c>
      <x:c r="K18" s="174" t="n">
        <x:v>95</x:v>
      </x:c>
      <x:c r="L18" s="174" t="n">
        <x:v>93</x:v>
      </x:c>
      <x:c r="M18" s="174" t="n">
        <x:v>96</x:v>
      </x:c>
      <x:c r="N18" s="174" t="n">
        <x:v>92</x:v>
      </x:c>
      <x:c r="O18" s="174" t="n">
        <x:v>96</x:v>
      </x:c>
      <x:c r="P18" s="174" t="n">
        <x:v>86</x:v>
      </x:c>
      <x:c r="Q18" s="174" t="n">
        <x:v>9</x:v>
      </x:c>
      <x:c r="R18" s="7" t="str">
        <x:v>https://arxiv.org/abs/2607.11236</x:v>
      </x:c>
      <x:c r="S18" s="7" t="str">
        <x:v>Top100</x:v>
      </x:c>
      <x:c r="T18" s="7" t="str">
        <x:v>High-value trapped-surface formation result; long nonlinear geometric PDE proof architecture.</x:v>
      </x:c>
    </x:row>
    <x:row r="19" ht="38" customHeight="1">
      <x:c r="A19" s="174" t="n">
        <x:v>18</x:v>
      </x:c>
      <x:c r="B19" s="7" t="str">
        <x:v>2026-08</x:v>
      </x:c>
      <x:c r="C19" s="7" t="str">
        <x:v>2608.05128</x:v>
      </x:c>
      <x:c r="D19" s="7" t="str">
        <x:v>Large mass limits of G_2 and Calabi-Yau monopoles: calibrated concentration, Higgs zeros, and abelianization</x:v>
      </x:c>
      <x:c r="E19" s="7" t="str">
        <x:v>Daniel Fadel; Gonçalo Oliveira</x:v>
      </x:c>
      <x:c r="F19" s="7" t="str">
        <x:v>G2/CY monopoles / calibrated geometry</x:v>
      </x:c>
      <x:c r="G19" s="6" t="n">
        <x:v>148</x:v>
      </x:c>
      <x:c r="H19" s="28" t="n">
        <x:v>93.325</x:v>
      </x:c>
      <x:c r="I19" s="28" t="n">
        <x:v>93.5</x:v>
      </x:c>
      <x:c r="J19" s="28" t="n">
        <x:v>93.15</x:v>
      </x:c>
      <x:c r="K19" s="174" t="n">
        <x:v>95</x:v>
      </x:c>
      <x:c r="L19" s="174" t="n">
        <x:v>93</x:v>
      </x:c>
      <x:c r="M19" s="174" t="n">
        <x:v>96</x:v>
      </x:c>
      <x:c r="N19" s="174" t="n">
        <x:v>92</x:v>
      </x:c>
      <x:c r="O19" s="174" t="n">
        <x:v>96</x:v>
      </x:c>
      <x:c r="P19" s="174" t="n">
        <x:v>86</x:v>
      </x:c>
      <x:c r="Q19" s="174" t="n">
        <x:v>9</x:v>
      </x:c>
      <x:c r="R19" s="7" t="str">
        <x:v>https://arxiv.org/abs/2608.05128</x:v>
      </x:c>
      <x:c r="S19" s="7" t="str">
        <x:v>Top100</x:v>
      </x:c>
      <x:c r="T19" s="7" t="str">
        <x:v>Very large gauge/calibrated-geometry work; high human proof burden and structural value.</x:v>
      </x:c>
    </x:row>
    <x:row r="20" ht="38" customHeight="1">
      <x:c r="A20" s="174" t="n">
        <x:v>19</x:v>
      </x:c>
      <x:c r="B20" s="7" t="str">
        <x:v>2026-06</x:v>
      </x:c>
      <x:c r="C20" s="7" t="str">
        <x:v>2606.29135</x:v>
      </x:c>
      <x:c r="D20" s="7" t="str">
        <x:v>Gromov's Simplicial Volume Vanishing Conjecture for Positive Scalar Curvature and Fundamental Group Decay</x:v>
      </x:c>
      <x:c r="E20" s="7" t="str">
        <x:v>Qiaochu Ma; Guoliang Yu</x:v>
      </x:c>
      <x:c r="F20" s="7" t="str">
        <x:v>positive scalar curvature / K-theory</x:v>
      </x:c>
      <x:c r="G20" s="6" t="n">
        <x:v>27</x:v>
      </x:c>
      <x:c r="H20" s="28" t="n">
        <x:v>93.15</x:v>
      </x:c>
      <x:c r="I20" s="28" t="n">
        <x:v>93.25</x:v>
      </x:c>
      <x:c r="J20" s="28" t="n">
        <x:v>93.05</x:v>
      </x:c>
      <x:c r="K20" s="174" t="n">
        <x:v>95</x:v>
      </x:c>
      <x:c r="L20" s="174" t="n">
        <x:v>93</x:v>
      </x:c>
      <x:c r="M20" s="174" t="n">
        <x:v>94</x:v>
      </x:c>
      <x:c r="N20" s="174" t="n">
        <x:v>91</x:v>
      </x:c>
      <x:c r="O20" s="174" t="n">
        <x:v>95</x:v>
      </x:c>
      <x:c r="P20" s="174" t="n">
        <x:v>90</x:v>
      </x:c>
      <x:c r="Q20" s="174" t="n">
        <x:v>9</x:v>
      </x:c>
      <x:c r="R20" s="7" t="str">
        <x:v>https://arxiv.org/abs/2606.29135</x:v>
      </x:c>
      <x:c r="S20" s="7" t="str">
        <x:v>Top100</x:v>
      </x:c>
      <x:c r="T20" s="7" t="str">
        <x:v>Important PSC-topology result toward Gromov-type vanishing conjectures.</x:v>
      </x:c>
    </x:row>
    <x:row r="21" ht="38" customHeight="1">
      <x:c r="A21" s="174" t="n">
        <x:v>20</x:v>
      </x:c>
      <x:c r="B21" s="7" t="str">
        <x:v>2026-06</x:v>
      </x:c>
      <x:c r="C21" s="7" t="str">
        <x:v>2606.21062</x:v>
      </x:c>
      <x:c r="D21" s="7" t="str">
        <x:v>The prescribed Hermitian-Yang-Mills flow I</x:v>
      </x:c>
      <x:c r="E21" s="7" t="str">
        <x:v>Zhiyao Xiong; Xiaokui Yang; Shing-Tung Yau</x:v>
      </x:c>
      <x:c r="F21" s="7" t="str">
        <x:v>Hermitian-Yang-Mills flow</x:v>
      </x:c>
      <x:c r="G21" s="6" t="str">
        <x:v>-</x:v>
      </x:c>
      <x:c r="H21" s="28" t="n">
        <x:v>93.07</x:v>
      </x:c>
      <x:c r="I21" s="28" t="n">
        <x:v>93.4</x:v>
      </x:c>
      <x:c r="J21" s="28" t="n">
        <x:v>92.75</x:v>
      </x:c>
      <x:c r="K21" s="174" t="n">
        <x:v>95</x:v>
      </x:c>
      <x:c r="L21" s="174" t="n">
        <x:v>93</x:v>
      </x:c>
      <x:c r="M21" s="174" t="n">
        <x:v>94</x:v>
      </x:c>
      <x:c r="N21" s="174" t="n">
        <x:v>92</x:v>
      </x:c>
      <x:c r="O21" s="174" t="n">
        <x:v>94</x:v>
      </x:c>
      <x:c r="P21" s="174" t="n">
        <x:v>90</x:v>
      </x:c>
      <x:c r="Q21" s="174" t="n">
        <x:v>9</x:v>
      </x:c>
      <x:c r="R21" s="7" t="str">
        <x:v>https://arxiv.org/abs/2606.21062</x:v>
      </x:c>
      <x:c r="S21" s="7" t="str">
        <x:v>Top100</x:v>
      </x:c>
      <x:c r="T21" s="7" t="str">
        <x:v>First part of prescribed HYM flow program; strong complex differential geometry content.</x:v>
      </x:c>
    </x:row>
    <x:row r="22" ht="38" customHeight="1">
      <x:c r="A22" s="174" t="n">
        <x:v>21</x:v>
      </x:c>
      <x:c r="B22" s="7" t="str">
        <x:v>2026-06</x:v>
      </x:c>
      <x:c r="C22" s="7" t="str">
        <x:v>2606.21073</x:v>
      </x:c>
      <x:c r="D22" s="7" t="str">
        <x:v>The prescribed Hermitian-Yang-Mills flow II</x:v>
      </x:c>
      <x:c r="E22" s="7" t="str">
        <x:v>Zhiyao Xiong; Xiaokui Yang; Shing-Tung Yau</x:v>
      </x:c>
      <x:c r="F22" s="7" t="str">
        <x:v>Hermitian-Yang-Mills flow</x:v>
      </x:c>
      <x:c r="G22" s="6" t="str">
        <x:v>-</x:v>
      </x:c>
      <x:c r="H22" s="28" t="n">
        <x:v>93.07</x:v>
      </x:c>
      <x:c r="I22" s="28" t="n">
        <x:v>93.4</x:v>
      </x:c>
      <x:c r="J22" s="28" t="n">
        <x:v>92.75</x:v>
      </x:c>
      <x:c r="K22" s="174" t="n">
        <x:v>95</x:v>
      </x:c>
      <x:c r="L22" s="174" t="n">
        <x:v>93</x:v>
      </x:c>
      <x:c r="M22" s="174" t="n">
        <x:v>94</x:v>
      </x:c>
      <x:c r="N22" s="174" t="n">
        <x:v>92</x:v>
      </x:c>
      <x:c r="O22" s="174" t="n">
        <x:v>94</x:v>
      </x:c>
      <x:c r="P22" s="174" t="n">
        <x:v>90</x:v>
      </x:c>
      <x:c r="Q22" s="174" t="n">
        <x:v>9</x:v>
      </x:c>
      <x:c r="R22" s="7" t="str">
        <x:v>https://arxiv.org/abs/2606.21073</x:v>
      </x:c>
      <x:c r="S22" s="7" t="str">
        <x:v>Top100</x:v>
      </x:c>
      <x:c r="T22" s="7" t="str">
        <x:v>Second part of prescribed HYM flow program; complements Part I.</x:v>
      </x:c>
    </x:row>
    <x:row r="23" ht="38" customHeight="1">
      <x:c r="A23" s="174" t="n">
        <x:v>22</x:v>
      </x:c>
      <x:c r="B23" s="7" t="str">
        <x:v>2026-08</x:v>
      </x:c>
      <x:c r="C23" s="7" t="str">
        <x:v>2608.06320</x:v>
      </x:c>
      <x:c r="D23" s="7" t="str">
        <x:v>Dihedral Rigidity for Convex Polytopes by Smooth Approximation</x:v>
      </x:c>
      <x:c r="E23" s="7" t="str">
        <x:v>Yuchen Bi</x:v>
      </x:c>
      <x:c r="F23" s="7" t="str">
        <x:v>polytope dihedral rigidity</x:v>
      </x:c>
      <x:c r="G23" s="6" t="n">
        <x:v>18</x:v>
      </x:c>
      <x:c r="H23" s="28" t="n">
        <x:v>93</x:v>
      </x:c>
      <x:c r="I23" s="28" t="n">
        <x:v>93.55</x:v>
      </x:c>
      <x:c r="J23" s="28" t="n">
        <x:v>92.45</x:v>
      </x:c>
      <x:c r="K23" s="174" t="n">
        <x:v>96</x:v>
      </x:c>
      <x:c r="L23" s="174" t="n">
        <x:v>93</x:v>
      </x:c>
      <x:c r="M23" s="174" t="n">
        <x:v>94</x:v>
      </x:c>
      <x:c r="N23" s="174" t="n">
        <x:v>93</x:v>
      </x:c>
      <x:c r="O23" s="174" t="n">
        <x:v>94</x:v>
      </x:c>
      <x:c r="P23" s="174" t="n">
        <x:v>87</x:v>
      </x:c>
      <x:c r="Q23" s="174" t="n">
        <x:v>8</x:v>
      </x:c>
      <x:c r="R23" s="7" t="str">
        <x:v>https://arxiv.org/abs/2608.06320</x:v>
      </x:c>
      <x:c r="S23" s="7" t="str">
        <x:v>Top100</x:v>
      </x:c>
      <x:c r="T23" s="7" t="str">
        <x:v>Smooth-approximation proof of Gromov's dihedral rigidity conjecture for convex polytopes.</x:v>
      </x:c>
    </x:row>
    <x:row r="24" ht="38" customHeight="1">
      <x:c r="A24" s="174" t="n">
        <x:v>23</x:v>
      </x:c>
      <x:c r="B24" s="7" t="str">
        <x:v>2026-08</x:v>
      </x:c>
      <x:c r="C24" s="7" t="str">
        <x:v>2608.07231</x:v>
      </x:c>
      <x:c r="D24" s="7" t="str">
        <x:v>Liouville Rigidity for Entire Strictly Spacelike Solutions of a Lorentzian Prescribed Mean Curvature Equation</x:v>
      </x:c>
      <x:c r="E24" s="7" t="str">
        <x:v>Xi-Nan Ma; Tian Wu; Wangzhe Wu; Bao Yu</x:v>
      </x:c>
      <x:c r="F24" s="7" t="str">
        <x:v>Lorentzian prescribed mean curvature / Liouville rigidity</x:v>
      </x:c>
      <x:c r="G24" s="6" t="n">
        <x:v>25</x:v>
      </x:c>
      <x:c r="H24" s="28" t="n">
        <x:v>92.725</x:v>
      </x:c>
      <x:c r="I24" s="28" t="n">
        <x:v>92.95</x:v>
      </x:c>
      <x:c r="J24" s="28" t="n">
        <x:v>92.5</x:v>
      </x:c>
      <x:c r="K24" s="174" t="n">
        <x:v>94</x:v>
      </x:c>
      <x:c r="L24" s="174" t="n">
        <x:v>93</x:v>
      </x:c>
      <x:c r="M24" s="174" t="n">
        <x:v>95</x:v>
      </x:c>
      <x:c r="N24" s="174" t="n">
        <x:v>92</x:v>
      </x:c>
      <x:c r="O24" s="174" t="n">
        <x:v>95</x:v>
      </x:c>
      <x:c r="P24" s="174" t="n">
        <x:v>86</x:v>
      </x:c>
      <x:c r="Q24" s="174" t="n">
        <x:v>10</x:v>
      </x:c>
      <x:c r="R24" s="7" t="str">
        <x:v>https://arxiv.org/abs/2608.07231</x:v>
      </x:c>
      <x:c r="S24" s="7" t="str">
        <x:v>Top100</x:v>
      </x:c>
      <x:c r="T24" s="7" t="str">
        <x:v>Removes radial, decay, integrability, and uniform-gap assumptions in a subcritical Lorentzian prescribed-mean-curvature Liouville problem, using global Lorentz-factor bounds and new weighted tensor identities.</x:v>
      </x:c>
    </x:row>
    <x:row r="25" ht="38" customHeight="1">
      <x:c r="A25" s="174" t="n">
        <x:v>24</x:v>
      </x:c>
      <x:c r="B25" s="7" t="str">
        <x:v>2026-06</x:v>
      </x:c>
      <x:c r="C25" s="7" t="str">
        <x:v>2606.13301</x:v>
      </x:c>
      <x:c r="D25" s="7" t="str">
        <x:v>Gromov-Hausdorff convergence of time-slices of singular Ricci flows in dimension three</x:v>
      </x:c>
      <x:c r="E25" s="7" t="str">
        <x:v>Yu Li</x:v>
      </x:c>
      <x:c r="F25" s="7" t="str">
        <x:v>singular Ricci flow</x:v>
      </x:c>
      <x:c r="G25" s="6" t="str">
        <x:v>-</x:v>
      </x:c>
      <x:c r="H25" s="28" t="n">
        <x:v>92.62</x:v>
      </x:c>
      <x:c r="I25" s="28" t="n">
        <x:v>92.7</x:v>
      </x:c>
      <x:c r="J25" s="28" t="n">
        <x:v>92.55</x:v>
      </x:c>
      <x:c r="K25" s="174" t="n">
        <x:v>94</x:v>
      </x:c>
      <x:c r="L25" s="174" t="n">
        <x:v>93</x:v>
      </x:c>
      <x:c r="M25" s="174" t="n">
        <x:v>93</x:v>
      </x:c>
      <x:c r="N25" s="174" t="n">
        <x:v>91</x:v>
      </x:c>
      <x:c r="O25" s="174" t="n">
        <x:v>94</x:v>
      </x:c>
      <x:c r="P25" s="174" t="n">
        <x:v>90</x:v>
      </x:c>
      <x:c r="Q25" s="174" t="n">
        <x:v>9</x:v>
      </x:c>
      <x:c r="R25" s="7" t="str">
        <x:v>https://arxiv.org/abs/2606.13301</x:v>
      </x:c>
      <x:c r="S25" s="7" t="str">
        <x:v>Top100</x:v>
      </x:c>
      <x:c r="T25" s="7" t="str">
        <x:v>GH convergence analysis for singular 3D Ricci flows.</x:v>
      </x:c>
    </x:row>
    <x:row r="26" ht="38" customHeight="1">
      <x:c r="A26" s="174" t="n">
        <x:v>25</x:v>
      </x:c>
      <x:c r="B26" s="7" t="str">
        <x:v>2026-06</x:v>
      </x:c>
      <x:c r="C26" s="7" t="str">
        <x:v>2606.21541</x:v>
      </x:c>
      <x:c r="D26" s="7" t="str">
        <x:v>Spectral Analysis for Finite-Time Singularities of Lagrangian Mean Curvature Flow</x:v>
      </x:c>
      <x:c r="E26" s="7" t="str">
        <x:v>Maxwell Stolarski; Wei-Bo Su</x:v>
      </x:c>
      <x:c r="F26" s="7" t="str">
        <x:v>Lagrangian MCF</x:v>
      </x:c>
      <x:c r="G26" s="6" t="n">
        <x:v>64</x:v>
      </x:c>
      <x:c r="H26" s="28" t="n">
        <x:v>92.62</x:v>
      </x:c>
      <x:c r="I26" s="28" t="n">
        <x:v>92.7</x:v>
      </x:c>
      <x:c r="J26" s="28" t="n">
        <x:v>92.55</x:v>
      </x:c>
      <x:c r="K26" s="174" t="n">
        <x:v>94</x:v>
      </x:c>
      <x:c r="L26" s="174" t="n">
        <x:v>93</x:v>
      </x:c>
      <x:c r="M26" s="174" t="n">
        <x:v>93</x:v>
      </x:c>
      <x:c r="N26" s="174" t="n">
        <x:v>91</x:v>
      </x:c>
      <x:c r="O26" s="174" t="n">
        <x:v>94</x:v>
      </x:c>
      <x:c r="P26" s="174" t="n">
        <x:v>90</x:v>
      </x:c>
      <x:c r="Q26" s="174" t="n">
        <x:v>9</x:v>
      </x:c>
      <x:c r="R26" s="7" t="str">
        <x:v>https://arxiv.org/abs/2606.21541</x:v>
      </x:c>
      <x:c r="S26" s="7" t="str">
        <x:v>Top100</x:v>
      </x:c>
      <x:c r="T26" s="7" t="str">
        <x:v>Spectral analysis around finite-time singularity models in Lagrangian MCF.</x:v>
      </x:c>
    </x:row>
    <x:row r="27" ht="38" customHeight="1">
      <x:c r="A27" s="174" t="n">
        <x:v>26</x:v>
      </x:c>
      <x:c r="B27" s="7" t="str">
        <x:v>2026-08</x:v>
      </x:c>
      <x:c r="C27" s="7" t="str">
        <x:v>2608.03575</x:v>
      </x:c>
      <x:c r="D27" s="7" t="str">
        <x:v>A Gauss-Bonnet-Type Dichotomy for Unimodular Random Infinite Trivalent Hyperbolic Polyhedra</x:v>
      </x:c>
      <x:c r="E27" s="7" t="str">
        <x:v>Huabin Ge; Yangxiang Lu; Chuwen Wang; Tian Zhou</x:v>
      </x:c>
      <x:c r="F27" s="7" t="str">
        <x:v>random hyperbolic polyhedra / circle patterns</x:v>
      </x:c>
      <x:c r="G27" s="6" t="n">
        <x:v>39</x:v>
      </x:c>
      <x:c r="H27" s="28" t="n">
        <x:v>92.5</x:v>
      </x:c>
      <x:c r="I27" s="28" t="n">
        <x:v>92.9</x:v>
      </x:c>
      <x:c r="J27" s="28" t="n">
        <x:v>92.1</x:v>
      </x:c>
      <x:c r="K27" s="174" t="n">
        <x:v>93</x:v>
      </x:c>
      <x:c r="L27" s="174" t="n">
        <x:v>95</x:v>
      </x:c>
      <x:c r="M27" s="174" t="n">
        <x:v>94</x:v>
      </x:c>
      <x:c r="N27" s="174" t="n">
        <x:v>94</x:v>
      </x:c>
      <x:c r="O27" s="174" t="n">
        <x:v>94</x:v>
      </x:c>
      <x:c r="P27" s="174" t="n">
        <x:v>84</x:v>
      </x:c>
      <x:c r="Q27" s="174" t="n">
        <x:v>10</x:v>
      </x:c>
      <x:c r="R27" s="7" t="str">
        <x:v>https://arxiv.org/abs/2608.03575</x:v>
      </x:c>
      <x:c r="S27" s="7" t="str">
        <x:v>Top100</x:v>
      </x:c>
      <x:c r="T27" s="7" t="str">
        <x:v>Unimodular Gauss-Bonnet dichotomy, finite-limit obstruction, a refined ring lemma, Poisson-boundary identification, and positive hyperbolic speed.</x:v>
      </x:c>
    </x:row>
    <x:row r="28" ht="38" customHeight="1">
      <x:c r="A28" s="174" t="n">
        <x:v>27</x:v>
      </x:c>
      <x:c r="B28" s="7" t="str">
        <x:v>2026-07</x:v>
      </x:c>
      <x:c r="C28" s="7" t="str">
        <x:v>2607.03930</x:v>
      </x:c>
      <x:c r="D28" s="7" t="str">
        <x:v>De Giorgi varifold solutions to Mean Curvature Flow: a minimizing movements approach</x:v>
      </x:c>
      <x:c r="E28" s="7" t="str">
        <x:v>Tim Laux; Andrea Poiatti</x:v>
      </x:c>
      <x:c r="F28" s="7" t="str">
        <x:v>mean curvature flow / varifolds</x:v>
      </x:c>
      <x:c r="G28" s="6" t="str">
        <x:v>-</x:v>
      </x:c>
      <x:c r="H28" s="28" t="n">
        <x:v>92.45</x:v>
      </x:c>
      <x:c r="I28" s="28" t="n">
        <x:v>92.6</x:v>
      </x:c>
      <x:c r="J28" s="28" t="n">
        <x:v>92.3</x:v>
      </x:c>
      <x:c r="K28" s="174" t="n">
        <x:v>94</x:v>
      </x:c>
      <x:c r="L28" s="174" t="n">
        <x:v>92</x:v>
      </x:c>
      <x:c r="M28" s="174" t="n">
        <x:v>95</x:v>
      </x:c>
      <x:c r="N28" s="174" t="n">
        <x:v>91</x:v>
      </x:c>
      <x:c r="O28" s="174" t="n">
        <x:v>95</x:v>
      </x:c>
      <x:c r="P28" s="174" t="n">
        <x:v>86</x:v>
      </x:c>
      <x:c r="Q28" s="174" t="n">
        <x:v>10</x:v>
      </x:c>
      <x:c r="R28" s="7" t="str">
        <x:v>https://arxiv.org/abs/2607.03930</x:v>
      </x:c>
      <x:c r="S28" s="7" t="str">
        <x:v>Top100</x:v>
      </x:c>
      <x:c r="T28" s="7" t="str">
        <x:v>Variational weak solution framework for MCF; high method transfer potential.</x:v>
      </x:c>
    </x:row>
    <x:row r="29" ht="38" customHeight="1">
      <x:c r="A29" s="174" t="n">
        <x:v>28</x:v>
      </x:c>
      <x:c r="B29" s="7" t="str">
        <x:v>2026-07</x:v>
      </x:c>
      <x:c r="C29" s="7" t="str">
        <x:v>2607.06688</x:v>
      </x:c>
      <x:c r="D29" s="7" t="str">
        <x:v>Poisson K-stability and the semiclassical Yau-Tian-Donaldson correspondence</x:v>
      </x:c>
      <x:c r="E29" s="7" t="str">
        <x:v>Vestislav Apostolov; Brent Pym; Jeffrey Streets</x:v>
      </x:c>
      <x:c r="F29" s="7" t="str">
        <x:v>Poisson K-stability / YTD</x:v>
      </x:c>
      <x:c r="G29" s="6" t="str">
        <x:v>-</x:v>
      </x:c>
      <x:c r="H29" s="28" t="n">
        <x:v>92.45</x:v>
      </x:c>
      <x:c r="I29" s="28" t="n">
        <x:v>92.6</x:v>
      </x:c>
      <x:c r="J29" s="28" t="n">
        <x:v>92.3</x:v>
      </x:c>
      <x:c r="K29" s="174" t="n">
        <x:v>94</x:v>
      </x:c>
      <x:c r="L29" s="174" t="n">
        <x:v>92</x:v>
      </x:c>
      <x:c r="M29" s="174" t="n">
        <x:v>95</x:v>
      </x:c>
      <x:c r="N29" s="174" t="n">
        <x:v>91</x:v>
      </x:c>
      <x:c r="O29" s="174" t="n">
        <x:v>95</x:v>
      </x:c>
      <x:c r="P29" s="174" t="n">
        <x:v>86</x:v>
      </x:c>
      <x:c r="Q29" s="174" t="n">
        <x:v>10</x:v>
      </x:c>
      <x:c r="R29" s="7" t="str">
        <x:v>https://arxiv.org/abs/2607.06688</x:v>
      </x:c>
      <x:c r="S29" s="7" t="str">
        <x:v>Top100</x:v>
      </x:c>
      <x:c r="T29" s="7" t="str">
        <x:v>Connects K-stability/YTD ideas with Poisson geometry; high conceptual breadth.</x:v>
      </x:c>
    </x:row>
    <x:row r="30" ht="38" customHeight="1">
      <x:c r="A30" s="174" t="n">
        <x:v>29</x:v>
      </x:c>
      <x:c r="B30" s="7" t="str">
        <x:v>2026-07</x:v>
      </x:c>
      <x:c r="C30" s="7" t="str">
        <x:v>2607.20741</x:v>
      </x:c>
      <x:c r="D30" s="7" t="str">
        <x:v>The Penrose conjecture for initial data sets satisfying a 2-convexity condition</x:v>
      </x:c>
      <x:c r="E30" s="7" t="str">
        <x:v>Conghan Dong</x:v>
      </x:c>
      <x:c r="F30" s="7" t="str">
        <x:v>Penrose inequality / scalar curvature</x:v>
      </x:c>
      <x:c r="G30" s="6" t="str">
        <x:v>-</x:v>
      </x:c>
      <x:c r="H30" s="28" t="n">
        <x:v>92.45</x:v>
      </x:c>
      <x:c r="I30" s="28" t="n">
        <x:v>92.6</x:v>
      </x:c>
      <x:c r="J30" s="28" t="n">
        <x:v>92.3</x:v>
      </x:c>
      <x:c r="K30" s="174" t="n">
        <x:v>94</x:v>
      </x:c>
      <x:c r="L30" s="174" t="n">
        <x:v>92</x:v>
      </x:c>
      <x:c r="M30" s="174" t="n">
        <x:v>95</x:v>
      </x:c>
      <x:c r="N30" s="174" t="n">
        <x:v>91</x:v>
      </x:c>
      <x:c r="O30" s="174" t="n">
        <x:v>95</x:v>
      </x:c>
      <x:c r="P30" s="174" t="n">
        <x:v>86</x:v>
      </x:c>
      <x:c r="Q30" s="174" t="n">
        <x:v>10</x:v>
      </x:c>
      <x:c r="R30" s="7" t="str">
        <x:v>https://arxiv.org/abs/2607.20741</x:v>
      </x:c>
      <x:c r="S30" s="7" t="str">
        <x:v>Top100</x:v>
      </x:c>
      <x:c r="T30" s="7" t="str">
        <x:v>Penrose-type result under geometric convexity; important in scalar-curvature/GR interface.</x:v>
      </x:c>
    </x:row>
    <x:row r="31" ht="38" customHeight="1">
      <x:c r="A31" s="174" t="n">
        <x:v>30</x:v>
      </x:c>
      <x:c r="B31" s="7" t="str">
        <x:v>2026-07</x:v>
      </x:c>
      <x:c r="C31" s="7" t="str">
        <x:v>2607.23879</x:v>
      </x:c>
      <x:c r="D31" s="7" t="str">
        <x:v>Closed mean curvature flows with prescribed tangent flows</x:v>
      </x:c>
      <x:c r="E31" s="7" t="str">
        <x:v>Jingwen Chen; Tang-Kai Lee; Ao Sun; Xinrui Zhao</x:v>
      </x:c>
      <x:c r="F31" s="7" t="str">
        <x:v>mean curvature flow / tangent flows</x:v>
      </x:c>
      <x:c r="G31" s="6" t="n">
        <x:v>40</x:v>
      </x:c>
      <x:c r="H31" s="28" t="n">
        <x:v>92.45</x:v>
      </x:c>
      <x:c r="I31" s="28" t="n">
        <x:v>92.6</x:v>
      </x:c>
      <x:c r="J31" s="28" t="n">
        <x:v>92.3</x:v>
      </x:c>
      <x:c r="K31" s="174" t="n">
        <x:v>94</x:v>
      </x:c>
      <x:c r="L31" s="174" t="n">
        <x:v>92</x:v>
      </x:c>
      <x:c r="M31" s="174" t="n">
        <x:v>95</x:v>
      </x:c>
      <x:c r="N31" s="174" t="n">
        <x:v>91</x:v>
      </x:c>
      <x:c r="O31" s="174" t="n">
        <x:v>95</x:v>
      </x:c>
      <x:c r="P31" s="174" t="n">
        <x:v>86</x:v>
      </x:c>
      <x:c r="Q31" s="174" t="n">
        <x:v>10</x:v>
      </x:c>
      <x:c r="R31" s="7" t="str">
        <x:v>https://arxiv.org/abs/2607.23879</x:v>
      </x:c>
      <x:c r="S31" s="7" t="str">
        <x:v>Top100</x:v>
      </x:c>
      <x:c r="T31" s="7" t="str">
        <x:v>Prescribed tangent-flow phenomena for closed MCF; strong singularity-theory relevance.</x:v>
      </x:c>
    </x:row>
    <x:row r="32" ht="38" customHeight="1">
      <x:c r="A32" s="174" t="n">
        <x:v>31</x:v>
      </x:c>
      <x:c r="B32" s="7" t="str">
        <x:v>2026-07</x:v>
      </x:c>
      <x:c r="C32" s="7" t="str">
        <x:v>2607.25644</x:v>
      </x:c>
      <x:c r="D32" s="7" t="str">
        <x:v>Gromov-Hausdorff Limits of Noncollapsed Kähler-Ricci Flows and the Geometry of Ricci Shrinkers</x:v>
      </x:c>
      <x:c r="E32" s="7" t="str">
        <x:v>Yu Li; Junsheng Zhang</x:v>
      </x:c>
      <x:c r="F32" s="7" t="str">
        <x:v>Kähler-Ricci flow / Ricci shrinkers</x:v>
      </x:c>
      <x:c r="G32" s="6" t="n">
        <x:v>62</x:v>
      </x:c>
      <x:c r="H32" s="28" t="n">
        <x:v>92.45</x:v>
      </x:c>
      <x:c r="I32" s="28" t="n">
        <x:v>92.6</x:v>
      </x:c>
      <x:c r="J32" s="28" t="n">
        <x:v>92.3</x:v>
      </x:c>
      <x:c r="K32" s="174" t="n">
        <x:v>94</x:v>
      </x:c>
      <x:c r="L32" s="174" t="n">
        <x:v>92</x:v>
      </x:c>
      <x:c r="M32" s="174" t="n">
        <x:v>95</x:v>
      </x:c>
      <x:c r="N32" s="174" t="n">
        <x:v>91</x:v>
      </x:c>
      <x:c r="O32" s="174" t="n">
        <x:v>95</x:v>
      </x:c>
      <x:c r="P32" s="174" t="n">
        <x:v>86</x:v>
      </x:c>
      <x:c r="Q32" s="174" t="n">
        <x:v>10</x:v>
      </x:c>
      <x:c r="R32" s="7" t="str">
        <x:v>https://arxiv.org/abs/2607.25644</x:v>
      </x:c>
      <x:c r="S32" s="7" t="str">
        <x:v>Top100</x:v>
      </x:c>
      <x:c r="T32" s="7" t="str">
        <x:v>Noncollapsed KRF limits and shrinker geometry; central geometric-flow problem area.</x:v>
      </x:c>
    </x:row>
    <x:row r="33" ht="38" customHeight="1">
      <x:c r="A33" s="174" t="n">
        <x:v>32</x:v>
      </x:c>
      <x:c r="B33" s="7" t="str">
        <x:v>2026-07</x:v>
      </x:c>
      <x:c r="C33" s="7" t="str">
        <x:v>2607.29502</x:v>
      </x:c>
      <x:c r="D33" s="7" t="str">
        <x:v>A dichotomy for minimal submanifolds</x:v>
      </x:c>
      <x:c r="E33" s="7" t="str">
        <x:v>Tobias Holck Colding; William P. Minicozzi II</x:v>
      </x:c>
      <x:c r="F33" s="7" t="str">
        <x:v>minimal submanifolds</x:v>
      </x:c>
      <x:c r="G33" s="6" t="str">
        <x:v>-</x:v>
      </x:c>
      <x:c r="H33" s="28" t="n">
        <x:v>92.45</x:v>
      </x:c>
      <x:c r="I33" s="28" t="n">
        <x:v>92.6</x:v>
      </x:c>
      <x:c r="J33" s="28" t="n">
        <x:v>92.3</x:v>
      </x:c>
      <x:c r="K33" s="174" t="n">
        <x:v>94</x:v>
      </x:c>
      <x:c r="L33" s="174" t="n">
        <x:v>92</x:v>
      </x:c>
      <x:c r="M33" s="174" t="n">
        <x:v>95</x:v>
      </x:c>
      <x:c r="N33" s="174" t="n">
        <x:v>91</x:v>
      </x:c>
      <x:c r="O33" s="174" t="n">
        <x:v>95</x:v>
      </x:c>
      <x:c r="P33" s="174" t="n">
        <x:v>86</x:v>
      </x:c>
      <x:c r="Q33" s="174" t="n">
        <x:v>10</x:v>
      </x:c>
      <x:c r="R33" s="7" t="str">
        <x:v>https://arxiv.org/abs/2607.29502</x:v>
      </x:c>
      <x:c r="S33" s="7" t="str">
        <x:v>Top100</x:v>
      </x:c>
      <x:c r="T33" s="7" t="str">
        <x:v>Conceptual dichotomy statement in minimal-submanifold theory by leading authors.</x:v>
      </x:c>
    </x:row>
    <x:row r="34" ht="38" customHeight="1">
      <x:c r="A34" s="174" t="n">
        <x:v>33</x:v>
      </x:c>
      <x:c r="B34" s="7" t="str">
        <x:v>2026-07</x:v>
      </x:c>
      <x:c r="C34" s="7" t="str">
        <x:v>2607.29632</x:v>
      </x:c>
      <x:c r="D34" s="7" t="str">
        <x:v>Regularity of branched stable minimal immersed hypersurfaces</x:v>
      </x:c>
      <x:c r="E34" s="7" t="str">
        <x:v>Gaoming Wang; Xuwen Zhang</x:v>
      </x:c>
      <x:c r="F34" s="7" t="str">
        <x:v>minimal hypersurface regularity</x:v>
      </x:c>
      <x:c r="G34" s="6" t="n">
        <x:v>60</x:v>
      </x:c>
      <x:c r="H34" s="28" t="n">
        <x:v>92.45</x:v>
      </x:c>
      <x:c r="I34" s="28" t="n">
        <x:v>92.6</x:v>
      </x:c>
      <x:c r="J34" s="28" t="n">
        <x:v>92.3</x:v>
      </x:c>
      <x:c r="K34" s="174" t="n">
        <x:v>94</x:v>
      </x:c>
      <x:c r="L34" s="174" t="n">
        <x:v>92</x:v>
      </x:c>
      <x:c r="M34" s="174" t="n">
        <x:v>95</x:v>
      </x:c>
      <x:c r="N34" s="174" t="n">
        <x:v>91</x:v>
      </x:c>
      <x:c r="O34" s="174" t="n">
        <x:v>95</x:v>
      </x:c>
      <x:c r="P34" s="174" t="n">
        <x:v>86</x:v>
      </x:c>
      <x:c r="Q34" s="174" t="n">
        <x:v>10</x:v>
      </x:c>
      <x:c r="R34" s="7" t="str">
        <x:v>https://arxiv.org/abs/2607.29632</x:v>
      </x:c>
      <x:c r="S34" s="7" t="str">
        <x:v>Top100</x:v>
      </x:c>
      <x:c r="T34" s="7" t="str">
        <x:v>Regularity theory for branched stable minimal hypersurfaces; substantial proof burden.</x:v>
      </x:c>
    </x:row>
    <x:row r="35" ht="38" customHeight="1">
      <x:c r="A35" s="174" t="n">
        <x:v>34</x:v>
      </x:c>
      <x:c r="B35" s="7" t="str">
        <x:v>2026-08</x:v>
      </x:c>
      <x:c r="C35" s="7" t="str">
        <x:v>2608.01682</x:v>
      </x:c>
      <x:c r="D35" s="7" t="str">
        <x:v>Positive mass theorems for singular asymptotically hyperbolic manifolds</x:v>
      </x:c>
      <x:c r="E35" s="7" t="str">
        <x:v>Yuguang Shi; Chengzhang Sun; Zijun Wang</x:v>
      </x:c>
      <x:c r="F35" s="7" t="str">
        <x:v>positive mass theorem / singular AH manifolds</x:v>
      </x:c>
      <x:c r="G35" s="6" t="n">
        <x:v>42</x:v>
      </x:c>
      <x:c r="H35" s="28" t="n">
        <x:v>92.45</x:v>
      </x:c>
      <x:c r="I35" s="28" t="n">
        <x:v>92.6</x:v>
      </x:c>
      <x:c r="J35" s="28" t="n">
        <x:v>92.3</x:v>
      </x:c>
      <x:c r="K35" s="174" t="n">
        <x:v>94</x:v>
      </x:c>
      <x:c r="L35" s="174" t="n">
        <x:v>92</x:v>
      </x:c>
      <x:c r="M35" s="174" t="n">
        <x:v>95</x:v>
      </x:c>
      <x:c r="N35" s="174" t="n">
        <x:v>91</x:v>
      </x:c>
      <x:c r="O35" s="174" t="n">
        <x:v>95</x:v>
      </x:c>
      <x:c r="P35" s="174" t="n">
        <x:v>86</x:v>
      </x:c>
      <x:c r="Q35" s="174" t="n">
        <x:v>10</x:v>
      </x:c>
      <x:c r="R35" s="7" t="str">
        <x:v>https://arxiv.org/abs/2608.01682</x:v>
      </x:c>
      <x:c r="S35" s="7" t="str">
        <x:v>Top100</x:v>
      </x:c>
      <x:c r="T35" s="7" t="str">
        <x:v>Positive mass theorem in singular asymptotically hyperbolic setting; strong geometric analysis.</x:v>
      </x:c>
    </x:row>
    <x:row r="36" ht="38" customHeight="1">
      <x:c r="A36" s="174" t="n">
        <x:v>35</x:v>
      </x:c>
      <x:c r="B36" s="7" t="str">
        <x:v>2026-06</x:v>
      </x:c>
      <x:c r="C36" s="7" t="str">
        <x:v>2606.02396</x:v>
      </x:c>
      <x:c r="D36" s="7" t="str">
        <x:v>Existence of free boundary minimal disks in convex regions</x:v>
      </x:c>
      <x:c r="E36" s="7" t="str">
        <x:v>Lorenzo Sarnataro; Douglas Stryker; Zhichao Wang; Xin Zhou</x:v>
      </x:c>
      <x:c r="F36" s="7" t="str">
        <x:v>free boundary minimal surfaces</x:v>
      </x:c>
      <x:c r="G36" s="6" t="n">
        <x:v>22</x:v>
      </x:c>
      <x:c r="H36" s="28" t="n">
        <x:v>92.38</x:v>
      </x:c>
      <x:c r="I36" s="28" t="n">
        <x:v>92.7</x:v>
      </x:c>
      <x:c r="J36" s="28" t="n">
        <x:v>92.05</x:v>
      </x:c>
      <x:c r="K36" s="174" t="n">
        <x:v>95</x:v>
      </x:c>
      <x:c r="L36" s="174" t="n">
        <x:v>92</x:v>
      </x:c>
      <x:c r="M36" s="174" t="n">
        <x:v>93</x:v>
      </x:c>
      <x:c r="N36" s="174" t="n">
        <x:v>91</x:v>
      </x:c>
      <x:c r="O36" s="174" t="n">
        <x:v>94</x:v>
      </x:c>
      <x:c r="P36" s="174" t="n">
        <x:v>89</x:v>
      </x:c>
      <x:c r="Q36" s="174" t="n">
        <x:v>10</x:v>
      </x:c>
      <x:c r="R36" s="7" t="str">
        <x:v>https://arxiv.org/abs/2606.02396</x:v>
      </x:c>
      <x:c r="S36" s="7" t="str">
        <x:v>Top100</x:v>
      </x:c>
      <x:c r="T36" s="7" t="str">
        <x:v>Existence result for free-boundary minimal disks in convex regions.</x:v>
      </x:c>
    </x:row>
    <x:row r="37" ht="38" customHeight="1">
      <x:c r="A37" s="174" t="n">
        <x:v>36</x:v>
      </x:c>
      <x:c r="B37" s="7" t="str">
        <x:v>2026-06</x:v>
      </x:c>
      <x:c r="C37" s="7" t="str">
        <x:v>2606.24682</x:v>
      </x:c>
      <x:c r="D37" s="7" t="str">
        <x:v>The linearized minimal surfaces problem</x:v>
      </x:c>
      <x:c r="E37" s="7" t="str">
        <x:v>Haim Grebnev; Plamen Stefanov; Gunther Uhlmann; Hanming Zhou</x:v>
      </x:c>
      <x:c r="F37" s="7" t="str">
        <x:v>inverse problems / minimal surfaces</x:v>
      </x:c>
      <x:c r="G37" s="6" t="str">
        <x:v>-</x:v>
      </x:c>
      <x:c r="H37" s="28" t="n">
        <x:v>92.38</x:v>
      </x:c>
      <x:c r="I37" s="28" t="n">
        <x:v>92.7</x:v>
      </x:c>
      <x:c r="J37" s="28" t="n">
        <x:v>92.05</x:v>
      </x:c>
      <x:c r="K37" s="174" t="n">
        <x:v>95</x:v>
      </x:c>
      <x:c r="L37" s="174" t="n">
        <x:v>92</x:v>
      </x:c>
      <x:c r="M37" s="174" t="n">
        <x:v>93</x:v>
      </x:c>
      <x:c r="N37" s="174" t="n">
        <x:v>91</x:v>
      </x:c>
      <x:c r="O37" s="174" t="n">
        <x:v>94</x:v>
      </x:c>
      <x:c r="P37" s="174" t="n">
        <x:v>89</x:v>
      </x:c>
      <x:c r="Q37" s="174" t="n">
        <x:v>10</x:v>
      </x:c>
      <x:c r="R37" s="7" t="str">
        <x:v>https://arxiv.org/abs/2606.24682</x:v>
      </x:c>
      <x:c r="S37" s="7" t="str">
        <x:v>Top100</x:v>
      </x:c>
      <x:c r="T37" s="7" t="str">
        <x:v>Linearized inverse-type problem for minimal surfaces with strong analysis component.</x:v>
      </x:c>
    </x:row>
    <x:row r="38" ht="38" customHeight="1">
      <x:c r="A38" s="174" t="n">
        <x:v>37</x:v>
      </x:c>
      <x:c r="B38" s="7" t="str">
        <x:v>2026-06</x:v>
      </x:c>
      <x:c r="C38" s="7" t="str">
        <x:v>2606.24754</x:v>
      </x:c>
      <x:c r="D38" s="7" t="str">
        <x:v>Existence of classical minimal surfaces in 4 and 5-manifolds</x:v>
      </x:c>
      <x:c r="E38" s="7" t="str">
        <x:v>Da Rong Cheng; Xin Zhou</x:v>
      </x:c>
      <x:c r="F38" s="7" t="str">
        <x:v>minimal hypersurfaces</x:v>
      </x:c>
      <x:c r="G38" s="6" t="str">
        <x:v>-</x:v>
      </x:c>
      <x:c r="H38" s="28" t="n">
        <x:v>92.3</x:v>
      </x:c>
      <x:c r="I38" s="28" t="n">
        <x:v>92.55</x:v>
      </x:c>
      <x:c r="J38" s="28" t="n">
        <x:v>92.05</x:v>
      </x:c>
      <x:c r="K38" s="174" t="n">
        <x:v>95</x:v>
      </x:c>
      <x:c r="L38" s="174" t="n">
        <x:v>92</x:v>
      </x:c>
      <x:c r="M38" s="174" t="n">
        <x:v>93</x:v>
      </x:c>
      <x:c r="N38" s="174" t="n">
        <x:v>90</x:v>
      </x:c>
      <x:c r="O38" s="174" t="n">
        <x:v>94</x:v>
      </x:c>
      <x:c r="P38" s="174" t="n">
        <x:v>89</x:v>
      </x:c>
      <x:c r="Q38" s="174" t="n">
        <x:v>10</x:v>
      </x:c>
      <x:c r="R38" s="7" t="str">
        <x:v>https://arxiv.org/abs/2606.24754</x:v>
      </x:c>
      <x:c r="S38" s="7" t="str">
        <x:v>Top100</x:v>
      </x:c>
      <x:c r="T38" s="7" t="str">
        <x:v>Classical minimal surface existence in low-dimensional manifolds.</x:v>
      </x:c>
    </x:row>
    <x:row r="39" ht="38" customHeight="1">
      <x:c r="A39" s="174" t="n">
        <x:v>38</x:v>
      </x:c>
      <x:c r="B39" s="7" t="str">
        <x:v>2026-06</x:v>
      </x:c>
      <x:c r="C39" s="7" t="str">
        <x:v>2606.13011</x:v>
      </x:c>
      <x:c r="D39" s="7" t="str">
        <x:v>Complete Calabi-Yau metrics on noncompact K3 fibered threefolds</x:v>
      </x:c>
      <x:c r="E39" s="7" t="str">
        <x:v>Ruiming Liang</x:v>
      </x:c>
      <x:c r="F39" s="7" t="str">
        <x:v>Calabi-Yau metrics</x:v>
      </x:c>
      <x:c r="G39" s="6" t="n">
        <x:v>71</x:v>
      </x:c>
      <x:c r="H39" s="28" t="n">
        <x:v>92.08</x:v>
      </x:c>
      <x:c r="I39" s="28" t="n">
        <x:v>92.4</x:v>
      </x:c>
      <x:c r="J39" s="28" t="n">
        <x:v>91.75</x:v>
      </x:c>
      <x:c r="K39" s="174" t="n">
        <x:v>94</x:v>
      </x:c>
      <x:c r="L39" s="174" t="n">
        <x:v>92</x:v>
      </x:c>
      <x:c r="M39" s="174" t="n">
        <x:v>93</x:v>
      </x:c>
      <x:c r="N39" s="174" t="n">
        <x:v>91</x:v>
      </x:c>
      <x:c r="O39" s="174" t="n">
        <x:v>93</x:v>
      </x:c>
      <x:c r="P39" s="174" t="n">
        <x:v>89</x:v>
      </x:c>
      <x:c r="Q39" s="174" t="n">
        <x:v>10</x:v>
      </x:c>
      <x:c r="R39" s="7" t="str">
        <x:v>https://arxiv.org/abs/2606.13011</x:v>
      </x:c>
      <x:c r="S39" s="7" t="str">
        <x:v>Top100</x:v>
      </x:c>
      <x:c r="T39" s="7" t="str">
        <x:v>Construction and analysis of complete CY metrics on noncompact K3-fibered threefolds.</x:v>
      </x:c>
    </x:row>
    <x:row r="40" ht="38" customHeight="1">
      <x:c r="A40" s="174" t="n">
        <x:v>39</x:v>
      </x:c>
      <x:c r="B40" s="7" t="str">
        <x:v>2026-06</x:v>
      </x:c>
      <x:c r="C40" s="7" t="str">
        <x:v>2606.16033</x:v>
      </x:c>
      <x:c r="D40" s="7" t="str">
        <x:v>Admissibility, Topology, and the sigma_k-Loewner-Nirenberg problem</x:v>
      </x:c>
      <x:c r="E40" s="7" t="str">
        <x:v>Hao Fang; Matthew J. Gursky</x:v>
      </x:c>
      <x:c r="F40" s="7" t="str">
        <x:v>conformal geometry / fully nonlinear PDE</x:v>
      </x:c>
      <x:c r="G40" s="6" t="str">
        <x:v>-</x:v>
      </x:c>
      <x:c r="H40" s="28" t="n">
        <x:v>92.08</x:v>
      </x:c>
      <x:c r="I40" s="28" t="n">
        <x:v>92.4</x:v>
      </x:c>
      <x:c r="J40" s="28" t="n">
        <x:v>91.75</x:v>
      </x:c>
      <x:c r="K40" s="174" t="n">
        <x:v>94</x:v>
      </x:c>
      <x:c r="L40" s="174" t="n">
        <x:v>92</x:v>
      </x:c>
      <x:c r="M40" s="174" t="n">
        <x:v>93</x:v>
      </x:c>
      <x:c r="N40" s="174" t="n">
        <x:v>91</x:v>
      </x:c>
      <x:c r="O40" s="174" t="n">
        <x:v>93</x:v>
      </x:c>
      <x:c r="P40" s="174" t="n">
        <x:v>89</x:v>
      </x:c>
      <x:c r="Q40" s="174" t="n">
        <x:v>10</x:v>
      </x:c>
      <x:c r="R40" s="7" t="str">
        <x:v>https://arxiv.org/abs/2606.16033</x:v>
      </x:c>
      <x:c r="S40" s="7" t="str">
        <x:v>Top100</x:v>
      </x:c>
      <x:c r="T40" s="7" t="str">
        <x:v>Topology and admissibility in the sigma_k-Loewner-Nirenberg problem.</x:v>
      </x:c>
    </x:row>
    <x:row r="41" ht="38" customHeight="1">
      <x:c r="A41" s="174" t="n">
        <x:v>40</x:v>
      </x:c>
      <x:c r="B41" s="7" t="str">
        <x:v>2026-06</x:v>
      </x:c>
      <x:c r="C41" s="7" t="str">
        <x:v>2606.22441</x:v>
      </x:c>
      <x:c r="D41" s="7" t="str">
        <x:v>Parabolic rectifiability of the Brakke flow</x:v>
      </x:c>
      <x:c r="E41" s="7" t="str">
        <x:v>Yu Tong Liu; Myles Workman</x:v>
      </x:c>
      <x:c r="F41" s="7" t="str">
        <x:v>Brakke flow / rectifiability</x:v>
      </x:c>
      <x:c r="G41" s="6" t="n">
        <x:v>22</x:v>
      </x:c>
      <x:c r="H41" s="28" t="n">
        <x:v>92.08</x:v>
      </x:c>
      <x:c r="I41" s="28" t="n">
        <x:v>92.4</x:v>
      </x:c>
      <x:c r="J41" s="28" t="n">
        <x:v>91.75</x:v>
      </x:c>
      <x:c r="K41" s="174" t="n">
        <x:v>94</x:v>
      </x:c>
      <x:c r="L41" s="174" t="n">
        <x:v>92</x:v>
      </x:c>
      <x:c r="M41" s="174" t="n">
        <x:v>93</x:v>
      </x:c>
      <x:c r="N41" s="174" t="n">
        <x:v>91</x:v>
      </x:c>
      <x:c r="O41" s="174" t="n">
        <x:v>93</x:v>
      </x:c>
      <x:c r="P41" s="174" t="n">
        <x:v>89</x:v>
      </x:c>
      <x:c r="Q41" s="174" t="n">
        <x:v>10</x:v>
      </x:c>
      <x:c r="R41" s="7" t="str">
        <x:v>https://arxiv.org/abs/2606.22441</x:v>
      </x:c>
      <x:c r="S41" s="7" t="str">
        <x:v>Top100</x:v>
      </x:c>
      <x:c r="T41" s="7" t="str">
        <x:v>Parabolic rectifiability for Brakke flows; useful geometric measure theory tool.</x:v>
      </x:c>
    </x:row>
    <x:row r="42" ht="38" customHeight="1">
      <x:c r="A42" s="174" t="n">
        <x:v>41</x:v>
      </x:c>
      <x:c r="B42" s="7" t="str">
        <x:v>2026-07</x:v>
      </x:c>
      <x:c r="C42" s="7" t="str">
        <x:v>2607.27162</x:v>
      </x:c>
      <x:c r="D42" s="7" t="str">
        <x:v>Pointwise subexponential growth and near-diffusive displacement on bounded-degree graphs with non-negative Ollivier--Ricci curvature</x:v>
      </x:c>
      <x:c r="E42" s="7" t="str">
        <x:v>Chiyu Zhou</x:v>
      </x:c>
      <x:c r="F42" s="7" t="str">
        <x:v>Ollivier-Ricci curvature / graph random walks</x:v>
      </x:c>
      <x:c r="G42" s="6" t="n">
        <x:v>23</x:v>
      </x:c>
      <x:c r="H42" s="28" t="n">
        <x:v>91.875</x:v>
      </x:c>
      <x:c r="I42" s="28" t="n">
        <x:v>92.1</x:v>
      </x:c>
      <x:c r="J42" s="28" t="n">
        <x:v>91.65</x:v>
      </x:c>
      <x:c r="K42" s="174" t="n">
        <x:v>93</x:v>
      </x:c>
      <x:c r="L42" s="174" t="n">
        <x:v>92</x:v>
      </x:c>
      <x:c r="M42" s="174" t="n">
        <x:v>94</x:v>
      </x:c>
      <x:c r="N42" s="174" t="n">
        <x:v>92</x:v>
      </x:c>
      <x:c r="O42" s="174" t="n">
        <x:v>94</x:v>
      </x:c>
      <x:c r="P42" s="174" t="n">
        <x:v>85</x:v>
      </x:c>
      <x:c r="Q42" s="174" t="n">
        <x:v>10</x:v>
      </x:c>
      <x:c r="R42" s="7" t="str">
        <x:v>https://arxiv.org/abs/2607.27162</x:v>
      </x:c>
      <x:c r="S42" s="7" t="str">
        <x:v>Top100</x:v>
      </x:c>
      <x:c r="T42" s="7" t="str">
        <x:v>Near-diffusive displacement and pointwise subexponential volume growth for bounded-degree graphs with nonnegative Ollivier-Ricci curvature.</x:v>
      </x:c>
    </x:row>
    <x:row r="43" ht="38" customHeight="1">
      <x:c r="A43" s="174" t="n">
        <x:v>42</x:v>
      </x:c>
      <x:c r="B43" s="7" t="str">
        <x:v>2026-06</x:v>
      </x:c>
      <x:c r="C43" s="7" t="str">
        <x:v>2606.04586</x:v>
      </x:c>
      <x:c r="D43" s="7" t="str">
        <x:v>Calibration energy and mean curvature flow</x:v>
      </x:c>
      <x:c r="E43" s="7" t="str">
        <x:v>Tatsuya Miura; Fabian Rupp</x:v>
      </x:c>
      <x:c r="F43" s="7" t="str">
        <x:v>mean curvature flow</x:v>
      </x:c>
      <x:c r="G43" s="6" t="n">
        <x:v>43</x:v>
      </x:c>
      <x:c r="H43" s="28" t="n">
        <x:v>91.85</x:v>
      </x:c>
      <x:c r="I43" s="28" t="n">
        <x:v>91.95</x:v>
      </x:c>
      <x:c r="J43" s="28" t="n">
        <x:v>91.75</x:v>
      </x:c>
      <x:c r="K43" s="174" t="n">
        <x:v>93</x:v>
      </x:c>
      <x:c r="L43" s="174" t="n">
        <x:v>92</x:v>
      </x:c>
      <x:c r="M43" s="174" t="n">
        <x:v>93</x:v>
      </x:c>
      <x:c r="N43" s="174" t="n">
        <x:v>90</x:v>
      </x:c>
      <x:c r="O43" s="174" t="n">
        <x:v>93</x:v>
      </x:c>
      <x:c r="P43" s="174" t="n">
        <x:v>89</x:v>
      </x:c>
      <x:c r="Q43" s="174" t="n">
        <x:v>10</x:v>
      </x:c>
      <x:c r="R43" s="7" t="str">
        <x:v>https://arxiv.org/abs/2606.04586</x:v>
      </x:c>
      <x:c r="S43" s="7" t="str">
        <x:v>Top100</x:v>
      </x:c>
      <x:c r="T43" s="7" t="str">
        <x:v>Calibration-energy perspective for MCF; technically robust.</x:v>
      </x:c>
    </x:row>
    <x:row r="44" ht="38" customHeight="1">
      <x:c r="A44" s="174" t="n">
        <x:v>43</x:v>
      </x:c>
      <x:c r="B44" s="7" t="str">
        <x:v>2026-06</x:v>
      </x:c>
      <x:c r="C44" s="7" t="str">
        <x:v>2606.08006</x:v>
      </x:c>
      <x:c r="D44" s="7" t="str">
        <x:v>Optimal spectral rigidity of the hypercube via Bakry-Emery curvature</x:v>
      </x:c>
      <x:c r="E44" s="7" t="str">
        <x:v>Yanlong Ding; Shiping Liu; Chiyu Zhou</x:v>
      </x:c>
      <x:c r="F44" s="7" t="str">
        <x:v>discrete Ricci curvature / spectral rigidity</x:v>
      </x:c>
      <x:c r="G44" s="6" t="n">
        <x:v>23</x:v>
      </x:c>
      <x:c r="H44" s="28" t="n">
        <x:v>91.78</x:v>
      </x:c>
      <x:c r="I44" s="28" t="n">
        <x:v>92</x:v>
      </x:c>
      <x:c r="J44" s="28" t="n">
        <x:v>91.55</x:v>
      </x:c>
      <x:c r="K44" s="174" t="n">
        <x:v>94</x:v>
      </x:c>
      <x:c r="L44" s="174" t="n">
        <x:v>92</x:v>
      </x:c>
      <x:c r="M44" s="174" t="n">
        <x:v>92</x:v>
      </x:c>
      <x:c r="N44" s="174" t="n">
        <x:v>90</x:v>
      </x:c>
      <x:c r="O44" s="174" t="n">
        <x:v>94</x:v>
      </x:c>
      <x:c r="P44" s="174" t="n">
        <x:v>89</x:v>
      </x:c>
      <x:c r="Q44" s="174" t="n">
        <x:v>12</x:v>
      </x:c>
      <x:c r="R44" s="7" t="str">
        <x:v>https://arxiv.org/abs/2606.08006</x:v>
      </x:c>
      <x:c r="S44" s="7" t="str">
        <x:v>Top100</x:v>
      </x:c>
      <x:c r="T44" s="7" t="str">
        <x:v>Sharp discrete curvature/spectral rigidity on the hypercube.</x:v>
      </x:c>
    </x:row>
    <x:row r="45" ht="38" customHeight="1">
      <x:c r="A45" s="174" t="n">
        <x:v>44</x:v>
      </x:c>
      <x:c r="B45" s="7" t="str">
        <x:v>2026-08</x:v>
      </x:c>
      <x:c r="C45" s="7" t="str">
        <x:v>2608.07263</x:v>
      </x:c>
      <x:c r="D45" s="7" t="str">
        <x:v>Diagonalization of the Toda flow for arbitrary isospectral symmetric matrices</x:v>
      </x:c>
      <x:c r="E45" s="7" t="str">
        <x:v>David Martínez Torres; Carlos Tomei</x:v>
      </x:c>
      <x:c r="F45" s="7" t="str">
        <x:v>Toda flow / isospectral manifolds</x:v>
      </x:c>
      <x:c r="G45" s="6" t="n">
        <x:v>16</x:v>
      </x:c>
      <x:c r="H45" s="28" t="n">
        <x:v>91.5</x:v>
      </x:c>
      <x:c r="I45" s="28" t="n">
        <x:v>91.8</x:v>
      </x:c>
      <x:c r="J45" s="28" t="n">
        <x:v>91.2</x:v>
      </x:c>
      <x:c r="K45" s="174" t="n">
        <x:v>92</x:v>
      </x:c>
      <x:c r="L45" s="174" t="n">
        <x:v>94</x:v>
      </x:c>
      <x:c r="M45" s="174" t="n">
        <x:v>92</x:v>
      </x:c>
      <x:c r="N45" s="174" t="n">
        <x:v>92</x:v>
      </x:c>
      <x:c r="O45" s="174" t="n">
        <x:v>93</x:v>
      </x:c>
      <x:c r="P45" s="174" t="n">
        <x:v>86</x:v>
      </x:c>
      <x:c r="Q45" s="174" t="n">
        <x:v>12</x:v>
      </x:c>
      <x:c r="R45" s="7" t="str">
        <x:v>https://arxiv.org/abs/2608.07263</x:v>
      </x:c>
      <x:c r="S45" s="7" t="str">
        <x:v>Top100</x:v>
      </x:c>
      <x:c r="T45" s="7" t="str">
        <x:v>Constructs a dense covering atlas that linearizes the Toda flow on arbitrary symmetric isospectral manifolds, based on a new constrained QLU factorization of independent interest.</x:v>
      </x:c>
    </x:row>
    <x:row r="46" ht="38" customHeight="1">
      <x:c r="A46" s="174" t="n">
        <x:v>45</x:v>
      </x:c>
      <x:c r="B46" s="7" t="str">
        <x:v>2026-06</x:v>
      </x:c>
      <x:c r="C46" s="7" t="str">
        <x:v>2606.08086</x:v>
      </x:c>
      <x:c r="D46" s="7" t="str">
        <x:v>Monotone quantities on 3-manifolds with nonnegative scalar curvature</x:v>
      </x:c>
      <x:c r="E46" s="7" t="str">
        <x:v>Jiannan Chen; Haiping Fu</x:v>
      </x:c>
      <x:c r="F46" s="7" t="str">
        <x:v>scalar curvature / monotonicity</x:v>
      </x:c>
      <x:c r="G46" s="6" t="n">
        <x:v>28</x:v>
      </x:c>
      <x:c r="H46" s="28" t="n">
        <x:v>91.38</x:v>
      </x:c>
      <x:c r="I46" s="28" t="n">
        <x:v>91.7</x:v>
      </x:c>
      <x:c r="J46" s="28" t="n">
        <x:v>91.05</x:v>
      </x:c>
      <x:c r="K46" s="174" t="n">
        <x:v>94</x:v>
      </x:c>
      <x:c r="L46" s="174" t="n">
        <x:v>91</x:v>
      </x:c>
      <x:c r="M46" s="174" t="n">
        <x:v>92</x:v>
      </x:c>
      <x:c r="N46" s="174" t="n">
        <x:v>90</x:v>
      </x:c>
      <x:c r="O46" s="174" t="n">
        <x:v>93</x:v>
      </x:c>
      <x:c r="P46" s="174" t="n">
        <x:v>88</x:v>
      </x:c>
      <x:c r="Q46" s="174" t="n">
        <x:v>11</x:v>
      </x:c>
      <x:c r="R46" s="7" t="str">
        <x:v>https://arxiv.org/abs/2606.08086</x:v>
      </x:c>
      <x:c r="S46" s="7" t="str">
        <x:v>Top100</x:v>
      </x:c>
      <x:c r="T46" s="7" t="str">
        <x:v>Monotone quantities in 3D nonnegative scalar curvature geometry.</x:v>
      </x:c>
    </x:row>
    <x:row r="47" ht="38" customHeight="1">
      <x:c r="A47" s="174" t="n">
        <x:v>46</x:v>
      </x:c>
      <x:c r="B47" s="7" t="str">
        <x:v>2026-06</x:v>
      </x:c>
      <x:c r="C47" s="7" t="str">
        <x:v>2606.12063</x:v>
      </x:c>
      <x:c r="D47" s="7" t="str">
        <x:v>Optimal geometric estimates for compact Kähler manifolds of a Nash entropy bound</x:v>
      </x:c>
      <x:c r="E47" s="7" t="str">
        <x:v>Weiqi Zhang; Yashan Zhang</x:v>
      </x:c>
      <x:c r="F47" s="7" t="str">
        <x:v>Kähler geometry / entropy</x:v>
      </x:c>
      <x:c r="G47" s="6" t="str">
        <x:v>-</x:v>
      </x:c>
      <x:c r="H47" s="28" t="n">
        <x:v>91.07</x:v>
      </x:c>
      <x:c r="I47" s="28" t="n">
        <x:v>91.4</x:v>
      </x:c>
      <x:c r="J47" s="28" t="n">
        <x:v>90.75</x:v>
      </x:c>
      <x:c r="K47" s="174" t="n">
        <x:v>93</x:v>
      </x:c>
      <x:c r="L47" s="174" t="n">
        <x:v>91</x:v>
      </x:c>
      <x:c r="M47" s="174" t="n">
        <x:v>92</x:v>
      </x:c>
      <x:c r="N47" s="174" t="n">
        <x:v>90</x:v>
      </x:c>
      <x:c r="O47" s="174" t="n">
        <x:v>92</x:v>
      </x:c>
      <x:c r="P47" s="174" t="n">
        <x:v>88</x:v>
      </x:c>
      <x:c r="Q47" s="174" t="n">
        <x:v>11</x:v>
      </x:c>
      <x:c r="R47" s="7" t="str">
        <x:v>https://arxiv.org/abs/2606.12063</x:v>
      </x:c>
      <x:c r="S47" s="7" t="str">
        <x:v>Top100</x:v>
      </x:c>
      <x:c r="T47" s="7" t="str">
        <x:v>Optimal estimates under Nash entropy bounds in compact Kähler setting.</x:v>
      </x:c>
    </x:row>
    <x:row r="48" ht="38" customHeight="1">
      <x:c r="A48" s="174" t="n">
        <x:v>47</x:v>
      </x:c>
      <x:c r="B48" s="7" t="str">
        <x:v>2026-06</x:v>
      </x:c>
      <x:c r="C48" s="7" t="str">
        <x:v>2606.12379</x:v>
      </x:c>
      <x:c r="D48" s="7" t="str">
        <x:v>A Local Singularity Analysis for the Ricci Flow and its Applications to Ricci Flows with Bounded Scalar Curvature -- Part II</x:v>
      </x:c>
      <x:c r="E48" s="7" t="str">
        <x:v>Reto Buzano; Gianmichele Di Matteo</x:v>
      </x:c>
      <x:c r="F48" s="7" t="str">
        <x:v>Ricci flow singularities</x:v>
      </x:c>
      <x:c r="G48" s="6" t="n">
        <x:v>21</x:v>
      </x:c>
      <x:c r="H48" s="28" t="n">
        <x:v>91.07</x:v>
      </x:c>
      <x:c r="I48" s="28" t="n">
        <x:v>91.4</x:v>
      </x:c>
      <x:c r="J48" s="28" t="n">
        <x:v>90.75</x:v>
      </x:c>
      <x:c r="K48" s="174" t="n">
        <x:v>93</x:v>
      </x:c>
      <x:c r="L48" s="174" t="n">
        <x:v>91</x:v>
      </x:c>
      <x:c r="M48" s="174" t="n">
        <x:v>92</x:v>
      </x:c>
      <x:c r="N48" s="174" t="n">
        <x:v>90</x:v>
      </x:c>
      <x:c r="O48" s="174" t="n">
        <x:v>92</x:v>
      </x:c>
      <x:c r="P48" s="174" t="n">
        <x:v>88</x:v>
      </x:c>
      <x:c r="Q48" s="174" t="n">
        <x:v>11</x:v>
      </x:c>
      <x:c r="R48" s="7" t="str">
        <x:v>https://arxiv.org/abs/2606.12379</x:v>
      </x:c>
      <x:c r="S48" s="7" t="str">
        <x:v>Top100</x:v>
      </x:c>
      <x:c r="T48" s="7" t="str">
        <x:v>Local singularity analysis for scalar-curvature-bounded Ricci flows.</x:v>
      </x:c>
    </x:row>
    <x:row r="49" ht="38" customHeight="1">
      <x:c r="A49" s="174" t="n">
        <x:v>48</x:v>
      </x:c>
      <x:c r="B49" s="7" t="str">
        <x:v>2026-06</x:v>
      </x:c>
      <x:c r="C49" s="7" t="str">
        <x:v>2606.19801</x:v>
      </x:c>
      <x:c r="D49" s="7" t="str">
        <x:v>Positive mass theorem and the Yamabe equation on CR manifolds</x:v>
      </x:c>
      <x:c r="E49" s="7" t="str">
        <x:v>Jih-Hsin Cheng</x:v>
      </x:c>
      <x:c r="F49" s="7" t="str">
        <x:v>CR geometry / Yamabe equation</x:v>
      </x:c>
      <x:c r="G49" s="6" t="str">
        <x:v>-</x:v>
      </x:c>
      <x:c r="H49" s="28" t="n">
        <x:v>91.07</x:v>
      </x:c>
      <x:c r="I49" s="28" t="n">
        <x:v>91.4</x:v>
      </x:c>
      <x:c r="J49" s="28" t="n">
        <x:v>90.75</x:v>
      </x:c>
      <x:c r="K49" s="174" t="n">
        <x:v>93</x:v>
      </x:c>
      <x:c r="L49" s="174" t="n">
        <x:v>91</x:v>
      </x:c>
      <x:c r="M49" s="174" t="n">
        <x:v>92</x:v>
      </x:c>
      <x:c r="N49" s="174" t="n">
        <x:v>90</x:v>
      </x:c>
      <x:c r="O49" s="174" t="n">
        <x:v>92</x:v>
      </x:c>
      <x:c r="P49" s="174" t="n">
        <x:v>88</x:v>
      </x:c>
      <x:c r="Q49" s="174" t="n">
        <x:v>11</x:v>
      </x:c>
      <x:c r="R49" s="7" t="str">
        <x:v>https://arxiv.org/abs/2606.19801</x:v>
      </x:c>
      <x:c r="S49" s="7" t="str">
        <x:v>Top100</x:v>
      </x:c>
      <x:c r="T49" s="7" t="str">
        <x:v>Positive mass theorem linked to CR Yamabe equation.</x:v>
      </x:c>
    </x:row>
    <x:row r="50" ht="38" customHeight="1">
      <x:c r="A50" s="174" t="n">
        <x:v>49</x:v>
      </x:c>
      <x:c r="B50" s="7" t="str">
        <x:v>2026-06</x:v>
      </x:c>
      <x:c r="C50" s="7" t="str">
        <x:v>2606.19806</x:v>
      </x:c>
      <x:c r="D50" s="7" t="str">
        <x:v>The top Yau-Yang conjecture for Kähler manifolds with positive sectional curvature</x:v>
      </x:c>
      <x:c r="E50" s="7" t="str">
        <x:v>Ved V. Datar; Vamsi P. Pingali; Harish Seshadri</x:v>
      </x:c>
      <x:c r="F50" s="7" t="str">
        <x:v>Kähler geometry / curvature</x:v>
      </x:c>
      <x:c r="G50" s="6" t="n">
        <x:v>10</x:v>
      </x:c>
      <x:c r="H50" s="28" t="n">
        <x:v>91.07</x:v>
      </x:c>
      <x:c r="I50" s="28" t="n">
        <x:v>91.4</x:v>
      </x:c>
      <x:c r="J50" s="28" t="n">
        <x:v>90.75</x:v>
      </x:c>
      <x:c r="K50" s="174" t="n">
        <x:v>93</x:v>
      </x:c>
      <x:c r="L50" s="174" t="n">
        <x:v>91</x:v>
      </x:c>
      <x:c r="M50" s="174" t="n">
        <x:v>92</x:v>
      </x:c>
      <x:c r="N50" s="174" t="n">
        <x:v>90</x:v>
      </x:c>
      <x:c r="O50" s="174" t="n">
        <x:v>92</x:v>
      </x:c>
      <x:c r="P50" s="174" t="n">
        <x:v>88</x:v>
      </x:c>
      <x:c r="Q50" s="174" t="n">
        <x:v>11</x:v>
      </x:c>
      <x:c r="R50" s="7" t="str">
        <x:v>https://arxiv.org/abs/2606.19806</x:v>
      </x:c>
      <x:c r="S50" s="7" t="str">
        <x:v>Top100</x:v>
      </x:c>
      <x:c r="T50" s="7" t="str">
        <x:v>Concise result on the top Yau-Yang conjecture for positively curved Kähler manifolds.</x:v>
      </x:c>
    </x:row>
    <x:row r="51" ht="38" customHeight="1">
      <x:c r="A51" s="174" t="n">
        <x:v>50</x:v>
      </x:c>
      <x:c r="B51" s="7" t="str">
        <x:v>2026-06</x:v>
      </x:c>
      <x:c r="C51" s="7" t="str">
        <x:v>2606.19858</x:v>
      </x:c>
      <x:c r="D51" s="7" t="str">
        <x:v>Spectral Positive Mass Theorem for Asymptotically Hyperbolic 3-manifolds with Toroidal Infinity</x:v>
      </x:c>
      <x:c r="E51" s="7" t="str">
        <x:v>Xiaoxiang Chai; Yimin Chen; Juncheol Pyo</x:v>
      </x:c>
      <x:c r="F51" s="7" t="str">
        <x:v>positive mass / AH geometry</x:v>
      </x:c>
      <x:c r="G51" s="6" t="n">
        <x:v>16</x:v>
      </x:c>
      <x:c r="H51" s="28" t="n">
        <x:v>91.07</x:v>
      </x:c>
      <x:c r="I51" s="28" t="n">
        <x:v>91.4</x:v>
      </x:c>
      <x:c r="J51" s="28" t="n">
        <x:v>90.75</x:v>
      </x:c>
      <x:c r="K51" s="174" t="n">
        <x:v>93</x:v>
      </x:c>
      <x:c r="L51" s="174" t="n">
        <x:v>91</x:v>
      </x:c>
      <x:c r="M51" s="174" t="n">
        <x:v>92</x:v>
      </x:c>
      <x:c r="N51" s="174" t="n">
        <x:v>90</x:v>
      </x:c>
      <x:c r="O51" s="174" t="n">
        <x:v>92</x:v>
      </x:c>
      <x:c r="P51" s="174" t="n">
        <x:v>88</x:v>
      </x:c>
      <x:c r="Q51" s="174" t="n">
        <x:v>11</x:v>
      </x:c>
      <x:c r="R51" s="7" t="str">
        <x:v>https://arxiv.org/abs/2606.19858</x:v>
      </x:c>
      <x:c r="S51" s="7" t="str">
        <x:v>Top100</x:v>
      </x:c>
      <x:c r="T51" s="7" t="str">
        <x:v>Spectral positive mass theorem in AH three-manifolds with toroidal infinity.</x:v>
      </x:c>
    </x:row>
    <x:row r="52" ht="38" customHeight="1">
      <x:c r="A52" s="174" t="n">
        <x:v>51</x:v>
      </x:c>
      <x:c r="B52" s="7" t="str">
        <x:v>2026-06</x:v>
      </x:c>
      <x:c r="C52" s="7" t="str">
        <x:v>2606.28897</x:v>
      </x:c>
      <x:c r="D52" s="7" t="str">
        <x:v>Scalar-Flatness for Critical Metrics of the L2-Scalar Curvature Functional in Dimensions 5&lt;=n&lt;=9</x:v>
      </x:c>
      <x:c r="E52" s="7" t="str">
        <x:v>Heng Zhang</x:v>
      </x:c>
      <x:c r="F52" s="7" t="str">
        <x:v>scalar curvature functional</x:v>
      </x:c>
      <x:c r="G52" s="6" t="n">
        <x:v>16</x:v>
      </x:c>
      <x:c r="H52" s="28" t="n">
        <x:v>91.07</x:v>
      </x:c>
      <x:c r="I52" s="28" t="n">
        <x:v>91.25</x:v>
      </x:c>
      <x:c r="J52" s="28" t="n">
        <x:v>90.9</x:v>
      </x:c>
      <x:c r="K52" s="174" t="n">
        <x:v>93</x:v>
      </x:c>
      <x:c r="L52" s="174" t="n">
        <x:v>91</x:v>
      </x:c>
      <x:c r="M52" s="174" t="n">
        <x:v>92</x:v>
      </x:c>
      <x:c r="N52" s="174" t="n">
        <x:v>89</x:v>
      </x:c>
      <x:c r="O52" s="174" t="n">
        <x:v>93</x:v>
      </x:c>
      <x:c r="P52" s="174" t="n">
        <x:v>88</x:v>
      </x:c>
      <x:c r="Q52" s="174" t="n">
        <x:v>12</x:v>
      </x:c>
      <x:c r="R52" s="7" t="str">
        <x:v>https://arxiv.org/abs/2606.28897</x:v>
      </x:c>
      <x:c r="S52" s="7" t="str">
        <x:v>Top100</x:v>
      </x:c>
      <x:c r="T52" s="7" t="str">
        <x:v>Scalar-flatness for critical L2-scalar curvature metrics in middle dimensions.</x:v>
      </x:c>
    </x:row>
    <x:row r="53" ht="38" customHeight="1">
      <x:c r="A53" s="174" t="n">
        <x:v>52</x:v>
      </x:c>
      <x:c r="B53" s="7" t="str">
        <x:v>2026-07</x:v>
      </x:c>
      <x:c r="C53" s="7" t="str">
        <x:v>2607.02067</x:v>
      </x:c>
      <x:c r="D53" s="7" t="str">
        <x:v>Higher regularity of the inverse anisotropic mean curvature flow</x:v>
      </x:c>
      <x:c r="E53" s="7" t="str">
        <x:v>Chaoqun Gao; Yong Wei; Rong Zhou</x:v>
      </x:c>
      <x:c r="F53" s="7" t="str">
        <x:v>inverse anisotropic mean curvature flow</x:v>
      </x:c>
      <x:c r="G53" s="6" t="n">
        <x:v>31</x:v>
      </x:c>
      <x:c r="H53" s="28" t="n">
        <x:v>91.05</x:v>
      </x:c>
      <x:c r="I53" s="28" t="n">
        <x:v>91.15</x:v>
      </x:c>
      <x:c r="J53" s="28" t="n">
        <x:v>90.95</x:v>
      </x:c>
      <x:c r="K53" s="174" t="n">
        <x:v>92</x:v>
      </x:c>
      <x:c r="L53" s="174" t="n">
        <x:v>91</x:v>
      </x:c>
      <x:c r="M53" s="174" t="n">
        <x:v>93</x:v>
      </x:c>
      <x:c r="N53" s="174" t="n">
        <x:v>90</x:v>
      </x:c>
      <x:c r="O53" s="174" t="n">
        <x:v>93</x:v>
      </x:c>
      <x:c r="P53" s="174" t="n">
        <x:v>86</x:v>
      </x:c>
      <x:c r="Q53" s="174" t="n">
        <x:v>11</x:v>
      </x:c>
      <x:c r="R53" s="7" t="str">
        <x:v>https://arxiv.org/abs/2607.02067</x:v>
      </x:c>
      <x:c r="S53" s="7" t="str">
        <x:v>Top100</x:v>
      </x:c>
      <x:c r="T53" s="7" t="str">
        <x:v>Regularity upgrade for inverse anisotropic MCF; solid geometric flow result.</x:v>
      </x:c>
    </x:row>
    <x:row r="54" ht="38" customHeight="1">
      <x:c r="A54" s="174" t="n">
        <x:v>53</x:v>
      </x:c>
      <x:c r="B54" s="7" t="str">
        <x:v>2026-07</x:v>
      </x:c>
      <x:c r="C54" s="7" t="str">
        <x:v>2607.02412</x:v>
      </x:c>
      <x:c r="D54" s="7" t="str">
        <x:v>Cartan's and Gauss's equations and rigidity theorems for isometric embeddings in low Sobolev regularity</x:v>
      </x:c>
      <x:c r="E54" s="7" t="str">
        <x:v>Isaac Newell; Luc Nguyen</x:v>
      </x:c>
      <x:c r="F54" s="7" t="str">
        <x:v>isometric embedding / low regularity</x:v>
      </x:c>
      <x:c r="G54" s="6" t="str">
        <x:v>-</x:v>
      </x:c>
      <x:c r="H54" s="28" t="n">
        <x:v>91.05</x:v>
      </x:c>
      <x:c r="I54" s="28" t="n">
        <x:v>91.15</x:v>
      </x:c>
      <x:c r="J54" s="28" t="n">
        <x:v>90.95</x:v>
      </x:c>
      <x:c r="K54" s="174" t="n">
        <x:v>92</x:v>
      </x:c>
      <x:c r="L54" s="174" t="n">
        <x:v>91</x:v>
      </x:c>
      <x:c r="M54" s="174" t="n">
        <x:v>93</x:v>
      </x:c>
      <x:c r="N54" s="174" t="n">
        <x:v>90</x:v>
      </x:c>
      <x:c r="O54" s="174" t="n">
        <x:v>93</x:v>
      </x:c>
      <x:c r="P54" s="174" t="n">
        <x:v>86</x:v>
      </x:c>
      <x:c r="Q54" s="174" t="n">
        <x:v>11</x:v>
      </x:c>
      <x:c r="R54" s="7" t="str">
        <x:v>https://arxiv.org/abs/2607.02412</x:v>
      </x:c>
      <x:c r="S54" s="7" t="str">
        <x:v>Top100</x:v>
      </x:c>
      <x:c r="T54" s="7" t="str">
        <x:v>Low-Sobolev rigidity for isometric embeddings; high technical and analytic value.</x:v>
      </x:c>
    </x:row>
    <x:row r="55" ht="38" customHeight="1">
      <x:c r="A55" s="174" t="n">
        <x:v>54</x:v>
      </x:c>
      <x:c r="B55" s="7" t="str">
        <x:v>2026-07</x:v>
      </x:c>
      <x:c r="C55" s="7" t="str">
        <x:v>2607.06698</x:v>
      </x:c>
      <x:c r="D55" s="7" t="str">
        <x:v>Infinity-harmonic functions and inverse mean curvature flow clusters</x:v>
      </x:c>
      <x:c r="E55" s="7" t="str">
        <x:v>Kai Xu</x:v>
      </x:c>
      <x:c r="F55" s="7" t="str">
        <x:v>infinity harmonic / IMCF clusters</x:v>
      </x:c>
      <x:c r="G55" s="6" t="n">
        <x:v>151</x:v>
      </x:c>
      <x:c r="H55" s="28" t="n">
        <x:v>91.05</x:v>
      </x:c>
      <x:c r="I55" s="28" t="n">
        <x:v>91.15</x:v>
      </x:c>
      <x:c r="J55" s="28" t="n">
        <x:v>90.95</x:v>
      </x:c>
      <x:c r="K55" s="174" t="n">
        <x:v>92</x:v>
      </x:c>
      <x:c r="L55" s="174" t="n">
        <x:v>91</x:v>
      </x:c>
      <x:c r="M55" s="174" t="n">
        <x:v>93</x:v>
      </x:c>
      <x:c r="N55" s="174" t="n">
        <x:v>90</x:v>
      </x:c>
      <x:c r="O55" s="174" t="n">
        <x:v>93</x:v>
      </x:c>
      <x:c r="P55" s="174" t="n">
        <x:v>86</x:v>
      </x:c>
      <x:c r="Q55" s="174" t="n">
        <x:v>11</x:v>
      </x:c>
      <x:c r="R55" s="7" t="str">
        <x:v>https://arxiv.org/abs/2607.06698</x:v>
      </x:c>
      <x:c r="S55" s="7" t="str">
        <x:v>Top100</x:v>
      </x:c>
      <x:c r="T55" s="7" t="str">
        <x:v>Very long analysis of infinity-harmonic and IMCF cluster structures.</x:v>
      </x:c>
    </x:row>
    <x:row r="56" ht="38" customHeight="1">
      <x:c r="A56" s="174" t="n">
        <x:v>55</x:v>
      </x:c>
      <x:c r="B56" s="7" t="str">
        <x:v>2026-07</x:v>
      </x:c>
      <x:c r="C56" s="7" t="str">
        <x:v>2607.08325</x:v>
      </x:c>
      <x:c r="D56" s="7" t="str">
        <x:v>Geometric smoothing by the Kähler-Ricci Flow</x:v>
      </x:c>
      <x:c r="E56" s="7" t="str">
        <x:v>Eleonora Di Nezza; Vincent Guedj; Chinh Hoang Lu</x:v>
      </x:c>
      <x:c r="F56" s="7" t="str">
        <x:v>Kähler-Ricci flow / smoothing</x:v>
      </x:c>
      <x:c r="G56" s="6" t="n">
        <x:v>30</x:v>
      </x:c>
      <x:c r="H56" s="28" t="n">
        <x:v>91.05</x:v>
      </x:c>
      <x:c r="I56" s="28" t="n">
        <x:v>91.15</x:v>
      </x:c>
      <x:c r="J56" s="28" t="n">
        <x:v>90.95</x:v>
      </x:c>
      <x:c r="K56" s="174" t="n">
        <x:v>92</x:v>
      </x:c>
      <x:c r="L56" s="174" t="n">
        <x:v>91</x:v>
      </x:c>
      <x:c r="M56" s="174" t="n">
        <x:v>93</x:v>
      </x:c>
      <x:c r="N56" s="174" t="n">
        <x:v>90</x:v>
      </x:c>
      <x:c r="O56" s="174" t="n">
        <x:v>93</x:v>
      </x:c>
      <x:c r="P56" s="174" t="n">
        <x:v>86</x:v>
      </x:c>
      <x:c r="Q56" s="174" t="n">
        <x:v>11</x:v>
      </x:c>
      <x:c r="R56" s="7" t="str">
        <x:v>https://arxiv.org/abs/2607.08325</x:v>
      </x:c>
      <x:c r="S56" s="7" t="str">
        <x:v>Top100</x:v>
      </x:c>
      <x:c r="T56" s="7" t="str">
        <x:v>KRF smoothing in complex geometric analysis; useful technical input.</x:v>
      </x:c>
    </x:row>
    <x:row r="57" ht="38" customHeight="1">
      <x:c r="A57" s="174" t="n">
        <x:v>56</x:v>
      </x:c>
      <x:c r="B57" s="7" t="str">
        <x:v>2026-07</x:v>
      </x:c>
      <x:c r="C57" s="7" t="str">
        <x:v>2607.08631</x:v>
      </x:c>
      <x:c r="D57" s="7" t="str">
        <x:v>Existence of two embedded minimal spheres in S^3 with an arbitrary metric</x:v>
      </x:c>
      <x:c r="E57" s="7" t="str">
        <x:v>Zhichao Wang; Xin Zhou</x:v>
      </x:c>
      <x:c r="F57" s="7" t="str">
        <x:v>minimal spheres / min-max</x:v>
      </x:c>
      <x:c r="G57" s="6" t="n">
        <x:v>32</x:v>
      </x:c>
      <x:c r="H57" s="28" t="n">
        <x:v>91.05</x:v>
      </x:c>
      <x:c r="I57" s="28" t="n">
        <x:v>91.15</x:v>
      </x:c>
      <x:c r="J57" s="28" t="n">
        <x:v>90.95</x:v>
      </x:c>
      <x:c r="K57" s="174" t="n">
        <x:v>92</x:v>
      </x:c>
      <x:c r="L57" s="174" t="n">
        <x:v>91</x:v>
      </x:c>
      <x:c r="M57" s="174" t="n">
        <x:v>93</x:v>
      </x:c>
      <x:c r="N57" s="174" t="n">
        <x:v>90</x:v>
      </x:c>
      <x:c r="O57" s="174" t="n">
        <x:v>93</x:v>
      </x:c>
      <x:c r="P57" s="174" t="n">
        <x:v>86</x:v>
      </x:c>
      <x:c r="Q57" s="174" t="n">
        <x:v>11</x:v>
      </x:c>
      <x:c r="R57" s="7" t="str">
        <x:v>https://arxiv.org/abs/2607.08631</x:v>
      </x:c>
      <x:c r="S57" s="7" t="str">
        <x:v>Top100</x:v>
      </x:c>
      <x:c r="T57" s="7" t="str">
        <x:v>Existence result for embedded minimal spheres; strong min-max/geometric analysis value.</x:v>
      </x:c>
    </x:row>
    <x:row r="58" ht="38" customHeight="1">
      <x:c r="A58" s="174" t="n">
        <x:v>57</x:v>
      </x:c>
      <x:c r="B58" s="7" t="str">
        <x:v>2026-07</x:v>
      </x:c>
      <x:c r="C58" s="7" t="str">
        <x:v>2607.12305</x:v>
      </x:c>
      <x:c r="D58" s="7" t="str">
        <x:v>Capillary prisms, Coxeter gluing, and the pi_2-systole of 3-manifolds with positive scalar curvature</x:v>
      </x:c>
      <x:c r="E58" s="7" t="str">
        <x:v>Shihang He; Chao Li</x:v>
      </x:c>
      <x:c r="F58" s="7" t="str">
        <x:v>positive scalar curvature / systoles</x:v>
      </x:c>
      <x:c r="G58" s="6" t="n">
        <x:v>64</x:v>
      </x:c>
      <x:c r="H58" s="28" t="n">
        <x:v>91.05</x:v>
      </x:c>
      <x:c r="I58" s="28" t="n">
        <x:v>91.15</x:v>
      </x:c>
      <x:c r="J58" s="28" t="n">
        <x:v>90.95</x:v>
      </x:c>
      <x:c r="K58" s="174" t="n">
        <x:v>92</x:v>
      </x:c>
      <x:c r="L58" s="174" t="n">
        <x:v>91</x:v>
      </x:c>
      <x:c r="M58" s="174" t="n">
        <x:v>93</x:v>
      </x:c>
      <x:c r="N58" s="174" t="n">
        <x:v>90</x:v>
      </x:c>
      <x:c r="O58" s="174" t="n">
        <x:v>93</x:v>
      </x:c>
      <x:c r="P58" s="174" t="n">
        <x:v>86</x:v>
      </x:c>
      <x:c r="Q58" s="174" t="n">
        <x:v>11</x:v>
      </x:c>
      <x:c r="R58" s="7" t="str">
        <x:v>https://arxiv.org/abs/2607.12305</x:v>
      </x:c>
      <x:c r="S58" s="7" t="str">
        <x:v>Top100</x:v>
      </x:c>
      <x:c r="T58" s="7" t="str">
        <x:v>Positive scalar curvature, capillary geometry and systolic estimates; broad geometric interest.</x:v>
      </x:c>
    </x:row>
    <x:row r="59" ht="38" customHeight="1">
      <x:c r="A59" s="174" t="n">
        <x:v>58</x:v>
      </x:c>
      <x:c r="B59" s="7" t="str">
        <x:v>2026-07</x:v>
      </x:c>
      <x:c r="C59" s="7" t="str">
        <x:v>2607.17459</x:v>
      </x:c>
      <x:c r="D59" s="7" t="str">
        <x:v>The deformed Vortex equations and equivariant stability conditions</x:v>
      </x:c>
      <x:c r="E59" s="7" t="str">
        <x:v>Tristan C. Collins; Yukai Zhang</x:v>
      </x:c>
      <x:c r="F59" s="7" t="str">
        <x:v>vortex equations / stability</x:v>
      </x:c>
      <x:c r="G59" s="6" t="n">
        <x:v>88</x:v>
      </x:c>
      <x:c r="H59" s="28" t="n">
        <x:v>91.05</x:v>
      </x:c>
      <x:c r="I59" s="28" t="n">
        <x:v>91.15</x:v>
      </x:c>
      <x:c r="J59" s="28" t="n">
        <x:v>90.95</x:v>
      </x:c>
      <x:c r="K59" s="174" t="n">
        <x:v>92</x:v>
      </x:c>
      <x:c r="L59" s="174" t="n">
        <x:v>91</x:v>
      </x:c>
      <x:c r="M59" s="174" t="n">
        <x:v>93</x:v>
      </x:c>
      <x:c r="N59" s="174" t="n">
        <x:v>90</x:v>
      </x:c>
      <x:c r="O59" s="174" t="n">
        <x:v>93</x:v>
      </x:c>
      <x:c r="P59" s="174" t="n">
        <x:v>86</x:v>
      </x:c>
      <x:c r="Q59" s="174" t="n">
        <x:v>11</x:v>
      </x:c>
      <x:c r="R59" s="7" t="str">
        <x:v>https://arxiv.org/abs/2607.17459</x:v>
      </x:c>
      <x:c r="S59" s="7" t="str">
        <x:v>Top100</x:v>
      </x:c>
      <x:c r="T59" s="7" t="str">
        <x:v>Gauge/Kähler stability problem with substantial length and technical structure.</x:v>
      </x:c>
    </x:row>
    <x:row r="60" ht="38" customHeight="1">
      <x:c r="A60" s="174" t="n">
        <x:v>59</x:v>
      </x:c>
      <x:c r="B60" s="7" t="str">
        <x:v>2026-07</x:v>
      </x:c>
      <x:c r="C60" s="7" t="str">
        <x:v>2607.18216</x:v>
      </x:c>
      <x:c r="D60" s="7" t="str">
        <x:v>Sharp Weitzenböck and PIC2 Estimates from Sectional-Scalar Curvature Pinching</x:v>
      </x:c>
      <x:c r="E60" s="7" t="str">
        <x:v>Jian Ge</x:v>
      </x:c>
      <x:c r="F60" s="7" t="str">
        <x:v>curvature pinching / PIC2</x:v>
      </x:c>
      <x:c r="G60" s="6" t="str">
        <x:v>-</x:v>
      </x:c>
      <x:c r="H60" s="28" t="n">
        <x:v>91.05</x:v>
      </x:c>
      <x:c r="I60" s="28" t="n">
        <x:v>91.15</x:v>
      </x:c>
      <x:c r="J60" s="28" t="n">
        <x:v>90.95</x:v>
      </x:c>
      <x:c r="K60" s="174" t="n">
        <x:v>92</x:v>
      </x:c>
      <x:c r="L60" s="174" t="n">
        <x:v>91</x:v>
      </x:c>
      <x:c r="M60" s="174" t="n">
        <x:v>93</x:v>
      </x:c>
      <x:c r="N60" s="174" t="n">
        <x:v>90</x:v>
      </x:c>
      <x:c r="O60" s="174" t="n">
        <x:v>93</x:v>
      </x:c>
      <x:c r="P60" s="174" t="n">
        <x:v>86</x:v>
      </x:c>
      <x:c r="Q60" s="174" t="n">
        <x:v>11</x:v>
      </x:c>
      <x:c r="R60" s="7" t="str">
        <x:v>https://arxiv.org/abs/2607.18216</x:v>
      </x:c>
      <x:c r="S60" s="7" t="str">
        <x:v>Top100</x:v>
      </x:c>
      <x:c r="T60" s="7" t="str">
        <x:v>Sharp curvature estimates from mixed sectional-scalar pinching; strong comparison geometry.</x:v>
      </x:c>
    </x:row>
    <x:row r="61" ht="38" customHeight="1">
      <x:c r="A61" s="174" t="n">
        <x:v>60</x:v>
      </x:c>
      <x:c r="B61" s="7" t="str">
        <x:v>2026-07</x:v>
      </x:c>
      <x:c r="C61" s="7" t="str">
        <x:v>2607.18792</x:v>
      </x:c>
      <x:c r="D61" s="7" t="str">
        <x:v>Existence of global W^{2,p}-isometric immersions for negatively curved surface metrics with unbounded second fundamental form</x:v>
      </x:c>
      <x:c r="E61" s="7" t="str">
        <x:v>Siran Li</x:v>
      </x:c>
      <x:c r="F61" s="7" t="str">
        <x:v>isometric immersion / negative curvature</x:v>
      </x:c>
      <x:c r="G61" s="6" t="n">
        <x:v>35</x:v>
      </x:c>
      <x:c r="H61" s="28" t="n">
        <x:v>91.05</x:v>
      </x:c>
      <x:c r="I61" s="28" t="n">
        <x:v>91.15</x:v>
      </x:c>
      <x:c r="J61" s="28" t="n">
        <x:v>90.95</x:v>
      </x:c>
      <x:c r="K61" s="174" t="n">
        <x:v>92</x:v>
      </x:c>
      <x:c r="L61" s="174" t="n">
        <x:v>91</x:v>
      </x:c>
      <x:c r="M61" s="174" t="n">
        <x:v>93</x:v>
      </x:c>
      <x:c r="N61" s="174" t="n">
        <x:v>90</x:v>
      </x:c>
      <x:c r="O61" s="174" t="n">
        <x:v>93</x:v>
      </x:c>
      <x:c r="P61" s="174" t="n">
        <x:v>86</x:v>
      </x:c>
      <x:c r="Q61" s="174" t="n">
        <x:v>11</x:v>
      </x:c>
      <x:c r="R61" s="7" t="str">
        <x:v>https://arxiv.org/abs/2607.18792</x:v>
      </x:c>
      <x:c r="S61" s="7" t="str">
        <x:v>Top100</x:v>
      </x:c>
      <x:c r="T61" s="7" t="str">
        <x:v>Global low-regularity isometric immersion under negative curvature; strong PDE-geometry link.</x:v>
      </x:c>
    </x:row>
    <x:row r="62" ht="38" customHeight="1">
      <x:c r="A62" s="174" t="n">
        <x:v>61</x:v>
      </x:c>
      <x:c r="B62" s="7" t="str">
        <x:v>2026-07</x:v>
      </x:c>
      <x:c r="C62" s="7" t="str">
        <x:v>2607.18989</x:v>
      </x:c>
      <x:c r="D62" s="7" t="str">
        <x:v>Diffeological non-Abelian Hodge theory: relative harmonic metrics and deformation theory</x:v>
      </x:c>
      <x:c r="E62" s="7" t="str">
        <x:v>Mahmud Azam; Steven Rayan</x:v>
      </x:c>
      <x:c r="F62" s="7" t="str">
        <x:v>non-Abelian Hodge theory</x:v>
      </x:c>
      <x:c r="G62" s="6" t="n">
        <x:v>103</x:v>
      </x:c>
      <x:c r="H62" s="28" t="n">
        <x:v>91.05</x:v>
      </x:c>
      <x:c r="I62" s="28" t="n">
        <x:v>91.15</x:v>
      </x:c>
      <x:c r="J62" s="28" t="n">
        <x:v>90.95</x:v>
      </x:c>
      <x:c r="K62" s="174" t="n">
        <x:v>92</x:v>
      </x:c>
      <x:c r="L62" s="174" t="n">
        <x:v>91</x:v>
      </x:c>
      <x:c r="M62" s="174" t="n">
        <x:v>93</x:v>
      </x:c>
      <x:c r="N62" s="174" t="n">
        <x:v>90</x:v>
      </x:c>
      <x:c r="O62" s="174" t="n">
        <x:v>93</x:v>
      </x:c>
      <x:c r="P62" s="174" t="n">
        <x:v>86</x:v>
      </x:c>
      <x:c r="Q62" s="174" t="n">
        <x:v>11</x:v>
      </x:c>
      <x:c r="R62" s="7" t="str">
        <x:v>https://arxiv.org/abs/2607.18989</x:v>
      </x:c>
      <x:c r="S62" s="7" t="str">
        <x:v>Top100</x:v>
      </x:c>
      <x:c r="T62" s="7" t="str">
        <x:v>Large deformation/Hodge theory work with differential-geometric analytic component.</x:v>
      </x:c>
    </x:row>
    <x:row r="63" ht="38" customHeight="1">
      <x:c r="A63" s="174" t="n">
        <x:v>62</x:v>
      </x:c>
      <x:c r="B63" s="7" t="str">
        <x:v>2026-07</x:v>
      </x:c>
      <x:c r="C63" s="7" t="str">
        <x:v>2607.19091</x:v>
      </x:c>
      <x:c r="D63" s="7" t="str">
        <x:v>On the sharp constants in curl-Sobolev inequalities on S^n</x:v>
      </x:c>
      <x:c r="E63" s="7" t="str">
        <x:v>Guofang Wang; Mingwei Zhang</x:v>
      </x:c>
      <x:c r="F63" s="7" t="str">
        <x:v>curl-Sobolev inequalities</x:v>
      </x:c>
      <x:c r="G63" s="6" t="n">
        <x:v>32</x:v>
      </x:c>
      <x:c r="H63" s="28" t="n">
        <x:v>91.05</x:v>
      </x:c>
      <x:c r="I63" s="28" t="n">
        <x:v>91.15</x:v>
      </x:c>
      <x:c r="J63" s="28" t="n">
        <x:v>90.95</x:v>
      </x:c>
      <x:c r="K63" s="174" t="n">
        <x:v>92</x:v>
      </x:c>
      <x:c r="L63" s="174" t="n">
        <x:v>91</x:v>
      </x:c>
      <x:c r="M63" s="174" t="n">
        <x:v>93</x:v>
      </x:c>
      <x:c r="N63" s="174" t="n">
        <x:v>90</x:v>
      </x:c>
      <x:c r="O63" s="174" t="n">
        <x:v>93</x:v>
      </x:c>
      <x:c r="P63" s="174" t="n">
        <x:v>86</x:v>
      </x:c>
      <x:c r="Q63" s="174" t="n">
        <x:v>11</x:v>
      </x:c>
      <x:c r="R63" s="7" t="str">
        <x:v>https://arxiv.org/abs/2607.19091</x:v>
      </x:c>
      <x:c r="S63" s="7" t="str">
        <x:v>Top100</x:v>
      </x:c>
      <x:c r="T63" s="7" t="str">
        <x:v>Sharp inequality work on spheres; relevant across DG, AP and spectral theory.</x:v>
      </x:c>
    </x:row>
    <x:row r="64" ht="38" customHeight="1">
      <x:c r="A64" s="174" t="n">
        <x:v>63</x:v>
      </x:c>
      <x:c r="B64" s="7" t="str">
        <x:v>2026-07</x:v>
      </x:c>
      <x:c r="C64" s="7" t="str">
        <x:v>2607.19320</x:v>
      </x:c>
      <x:c r="D64" s="7" t="str">
        <x:v>A spacetime positive mass theorem with corners via mollification</x:v>
      </x:c>
      <x:c r="E64" s="7" t="str">
        <x:v>Hyun Chul Jang; Aidan F. Wood</x:v>
      </x:c>
      <x:c r="F64" s="7" t="str">
        <x:v>positive mass theorem / corners</x:v>
      </x:c>
      <x:c r="G64" s="6" t="str">
        <x:v>-</x:v>
      </x:c>
      <x:c r="H64" s="28" t="n">
        <x:v>91.05</x:v>
      </x:c>
      <x:c r="I64" s="28" t="n">
        <x:v>91.15</x:v>
      </x:c>
      <x:c r="J64" s="28" t="n">
        <x:v>90.95</x:v>
      </x:c>
      <x:c r="K64" s="174" t="n">
        <x:v>92</x:v>
      </x:c>
      <x:c r="L64" s="174" t="n">
        <x:v>91</x:v>
      </x:c>
      <x:c r="M64" s="174" t="n">
        <x:v>93</x:v>
      </x:c>
      <x:c r="N64" s="174" t="n">
        <x:v>90</x:v>
      </x:c>
      <x:c r="O64" s="174" t="n">
        <x:v>93</x:v>
      </x:c>
      <x:c r="P64" s="174" t="n">
        <x:v>86</x:v>
      </x:c>
      <x:c r="Q64" s="174" t="n">
        <x:v>11</x:v>
      </x:c>
      <x:c r="R64" s="7" t="str">
        <x:v>https://arxiv.org/abs/2607.19320</x:v>
      </x:c>
      <x:c r="S64" s="7" t="str">
        <x:v>Top100</x:v>
      </x:c>
      <x:c r="T64" s="7" t="str">
        <x:v>Positive mass theorem with corners; important low-regularity GR geometry theme.</x:v>
      </x:c>
    </x:row>
    <x:row r="65" ht="38" customHeight="1">
      <x:c r="A65" s="174" t="n">
        <x:v>64</x:v>
      </x:c>
      <x:c r="B65" s="7" t="str">
        <x:v>2026-07</x:v>
      </x:c>
      <x:c r="C65" s="7" t="str">
        <x:v>2607.24281</x:v>
      </x:c>
      <x:c r="D65" s="7" t="str">
        <x:v>Calabi surgery for Z/2 harmonic 1-forms</x:v>
      </x:c>
      <x:c r="E65" s="7" t="str">
        <x:v>Jiahuang Chen; Siqi He; Dashen Yan</x:v>
      </x:c>
      <x:c r="F65" s="7" t="str">
        <x:v>harmonic forms / gauge geometry</x:v>
      </x:c>
      <x:c r="G65" s="6" t="n">
        <x:v>45</x:v>
      </x:c>
      <x:c r="H65" s="28" t="n">
        <x:v>91.05</x:v>
      </x:c>
      <x:c r="I65" s="28" t="n">
        <x:v>91.15</x:v>
      </x:c>
      <x:c r="J65" s="28" t="n">
        <x:v>90.95</x:v>
      </x:c>
      <x:c r="K65" s="174" t="n">
        <x:v>92</x:v>
      </x:c>
      <x:c r="L65" s="174" t="n">
        <x:v>91</x:v>
      </x:c>
      <x:c r="M65" s="174" t="n">
        <x:v>93</x:v>
      </x:c>
      <x:c r="N65" s="174" t="n">
        <x:v>90</x:v>
      </x:c>
      <x:c r="O65" s="174" t="n">
        <x:v>93</x:v>
      </x:c>
      <x:c r="P65" s="174" t="n">
        <x:v>86</x:v>
      </x:c>
      <x:c r="Q65" s="174" t="n">
        <x:v>11</x:v>
      </x:c>
      <x:c r="R65" s="7" t="str">
        <x:v>https://arxiv.org/abs/2607.24281</x:v>
      </x:c>
      <x:c r="S65" s="7" t="str">
        <x:v>Top100</x:v>
      </x:c>
      <x:c r="T65" s="7" t="str">
        <x:v>Surgery construction for Z/2 harmonic 1-forms; relevant to gauge/geometric topology.</x:v>
      </x:c>
    </x:row>
    <x:row r="66" ht="38" customHeight="1">
      <x:c r="A66" s="174" t="n">
        <x:v>65</x:v>
      </x:c>
      <x:c r="B66" s="7" t="str">
        <x:v>2026-07</x:v>
      </x:c>
      <x:c r="C66" s="7" t="str">
        <x:v>2607.24735</x:v>
      </x:c>
      <x:c r="D66" s="7" t="str">
        <x:v>Area-minimizing submanifolds are not generically smooth, except for geodesics, minimal surfaces, and minimal hypersurfaces</x:v>
      </x:c>
      <x:c r="E66" s="7" t="str">
        <x:v>Zhenhua Liu</x:v>
      </x:c>
      <x:c r="F66" s="7" t="str">
        <x:v>generic smoothness / minimizing submanifolds</x:v>
      </x:c>
      <x:c r="G66" s="6" t="str">
        <x:v>-</x:v>
      </x:c>
      <x:c r="H66" s="28" t="n">
        <x:v>91.05</x:v>
      </x:c>
      <x:c r="I66" s="28" t="n">
        <x:v>91.15</x:v>
      </x:c>
      <x:c r="J66" s="28" t="n">
        <x:v>90.95</x:v>
      </x:c>
      <x:c r="K66" s="174" t="n">
        <x:v>92</x:v>
      </x:c>
      <x:c r="L66" s="174" t="n">
        <x:v>91</x:v>
      </x:c>
      <x:c r="M66" s="174" t="n">
        <x:v>93</x:v>
      </x:c>
      <x:c r="N66" s="174" t="n">
        <x:v>90</x:v>
      </x:c>
      <x:c r="O66" s="174" t="n">
        <x:v>93</x:v>
      </x:c>
      <x:c r="P66" s="174" t="n">
        <x:v>86</x:v>
      </x:c>
      <x:c r="Q66" s="174" t="n">
        <x:v>11</x:v>
      </x:c>
      <x:c r="R66" s="7" t="str">
        <x:v>https://arxiv.org/abs/2607.24735</x:v>
      </x:c>
      <x:c r="S66" s="7" t="str">
        <x:v>Top100</x:v>
      </x:c>
      <x:c r="T66" s="7" t="str">
        <x:v>Striking generic regularity/nonregularity statement for area minimizers.</x:v>
      </x:c>
    </x:row>
    <x:row r="67" ht="38" customHeight="1">
      <x:c r="A67" s="174" t="n">
        <x:v>66</x:v>
      </x:c>
      <x:c r="B67" s="7" t="str">
        <x:v>2026-07</x:v>
      </x:c>
      <x:c r="C67" s="7" t="str">
        <x:v>2607.25015</x:v>
      </x:c>
      <x:c r="D67" s="7" t="str">
        <x:v>Topological Rigidity of Contractible 3-Manifolds and Handlebody Interiors under Nonnegative Scalar Curvature</x:v>
      </x:c>
      <x:c r="E67" s="7" t="str">
        <x:v>Jiangcheng You; Heng Zhang</x:v>
      </x:c>
      <x:c r="F67" s="7" t="str">
        <x:v>scalar curvature / 3-manifolds</x:v>
      </x:c>
      <x:c r="G67" s="6" t="n">
        <x:v>36</x:v>
      </x:c>
      <x:c r="H67" s="28" t="n">
        <x:v>91.05</x:v>
      </x:c>
      <x:c r="I67" s="28" t="n">
        <x:v>91.15</x:v>
      </x:c>
      <x:c r="J67" s="28" t="n">
        <x:v>90.95</x:v>
      </x:c>
      <x:c r="K67" s="174" t="n">
        <x:v>92</x:v>
      </x:c>
      <x:c r="L67" s="174" t="n">
        <x:v>91</x:v>
      </x:c>
      <x:c r="M67" s="174" t="n">
        <x:v>93</x:v>
      </x:c>
      <x:c r="N67" s="174" t="n">
        <x:v>90</x:v>
      </x:c>
      <x:c r="O67" s="174" t="n">
        <x:v>93</x:v>
      </x:c>
      <x:c r="P67" s="174" t="n">
        <x:v>86</x:v>
      </x:c>
      <x:c r="Q67" s="174" t="n">
        <x:v>11</x:v>
      </x:c>
      <x:c r="R67" s="7" t="str">
        <x:v>https://arxiv.org/abs/2607.25015</x:v>
      </x:c>
      <x:c r="S67" s="7" t="str">
        <x:v>Top100</x:v>
      </x:c>
      <x:c r="T67" s="7" t="str">
        <x:v>Scalar-curvature rigidity for contractible 3-manifolds; strong geometric topology implications.</x:v>
      </x:c>
    </x:row>
    <x:row r="68" ht="38" customHeight="1">
      <x:c r="A68" s="174" t="n">
        <x:v>67</x:v>
      </x:c>
      <x:c r="B68" s="7" t="str">
        <x:v>2026-07</x:v>
      </x:c>
      <x:c r="C68" s="7" t="str">
        <x:v>2607.26054</x:v>
      </x:c>
      <x:c r="D68" s="7" t="str">
        <x:v>Uniqueness of shrinking Kähler-Ricci solitons on resolutions of Kähler cones</x:v>
      </x:c>
      <x:c r="E68" s="7" t="str">
        <x:v>Ronan J. Conlon; Alix Deruelle</x:v>
      </x:c>
      <x:c r="F68" s="7" t="str">
        <x:v>Kähler-Ricci solitons</x:v>
      </x:c>
      <x:c r="G68" s="6" t="n">
        <x:v>29</x:v>
      </x:c>
      <x:c r="H68" s="28" t="n">
        <x:v>91.05</x:v>
      </x:c>
      <x:c r="I68" s="28" t="n">
        <x:v>91.15</x:v>
      </x:c>
      <x:c r="J68" s="28" t="n">
        <x:v>90.95</x:v>
      </x:c>
      <x:c r="K68" s="174" t="n">
        <x:v>92</x:v>
      </x:c>
      <x:c r="L68" s="174" t="n">
        <x:v>91</x:v>
      </x:c>
      <x:c r="M68" s="174" t="n">
        <x:v>93</x:v>
      </x:c>
      <x:c r="N68" s="174" t="n">
        <x:v>90</x:v>
      </x:c>
      <x:c r="O68" s="174" t="n">
        <x:v>93</x:v>
      </x:c>
      <x:c r="P68" s="174" t="n">
        <x:v>86</x:v>
      </x:c>
      <x:c r="Q68" s="174" t="n">
        <x:v>11</x:v>
      </x:c>
      <x:c r="R68" s="7" t="str">
        <x:v>https://arxiv.org/abs/2607.26054</x:v>
      </x:c>
      <x:c r="S68" s="7" t="str">
        <x:v>Top100</x:v>
      </x:c>
      <x:c r="T68" s="7" t="str">
        <x:v>Uniqueness theorem for shrinking KRS in singular/conical resolution setting.</x:v>
      </x:c>
    </x:row>
    <x:row r="69" ht="38" customHeight="1">
      <x:c r="A69" s="174" t="n">
        <x:v>68</x:v>
      </x:c>
      <x:c r="B69" s="7" t="str">
        <x:v>2026-07</x:v>
      </x:c>
      <x:c r="C69" s="7" t="str">
        <x:v>2607.27629</x:v>
      </x:c>
      <x:c r="D69" s="7" t="str">
        <x:v>Curved Kakeya problems and the projective geometry of paths</x:v>
      </x:c>
      <x:c r="E69" s="7" t="str">
        <x:v>Shaoming Guo; Larry Guth; Arian Nadjimzadah; Minxing Shen; Ruixiang Zhang</x:v>
      </x:c>
      <x:c r="F69" s="7" t="str">
        <x:v>curved Kakeya / projective geometry</x:v>
      </x:c>
      <x:c r="G69" s="6" t="n">
        <x:v>90</x:v>
      </x:c>
      <x:c r="H69" s="28" t="n">
        <x:v>91.05</x:v>
      </x:c>
      <x:c r="I69" s="28" t="n">
        <x:v>91.15</x:v>
      </x:c>
      <x:c r="J69" s="28" t="n">
        <x:v>90.95</x:v>
      </x:c>
      <x:c r="K69" s="174" t="n">
        <x:v>92</x:v>
      </x:c>
      <x:c r="L69" s="174" t="n">
        <x:v>91</x:v>
      </x:c>
      <x:c r="M69" s="174" t="n">
        <x:v>93</x:v>
      </x:c>
      <x:c r="N69" s="174" t="n">
        <x:v>90</x:v>
      </x:c>
      <x:c r="O69" s="174" t="n">
        <x:v>93</x:v>
      </x:c>
      <x:c r="P69" s="174" t="n">
        <x:v>86</x:v>
      </x:c>
      <x:c r="Q69" s="174" t="n">
        <x:v>11</x:v>
      </x:c>
      <x:c r="R69" s="7" t="str">
        <x:v>https://arxiv.org/abs/2607.27629</x:v>
      </x:c>
      <x:c r="S69" s="7" t="str">
        <x:v>Top100</x:v>
      </x:c>
      <x:c r="T69" s="7" t="str">
        <x:v>Highly technical incidence/harmonic-analysis result with projective-geometric content.</x:v>
      </x:c>
    </x:row>
    <x:row r="70" ht="38" customHeight="1">
      <x:c r="A70" s="174" t="n">
        <x:v>69</x:v>
      </x:c>
      <x:c r="B70" s="7" t="str">
        <x:v>2026-07</x:v>
      </x:c>
      <x:c r="C70" s="7" t="str">
        <x:v>2607.29447</x:v>
      </x:c>
      <x:c r="D70" s="7" t="str">
        <x:v>The Penrose inequality with charge for 2-convex initial data sets</x:v>
      </x:c>
      <x:c r="E70" s="7" t="str">
        <x:v>Tuan Dolmen</x:v>
      </x:c>
      <x:c r="F70" s="7" t="str">
        <x:v>charged Penrose inequality</x:v>
      </x:c>
      <x:c r="G70" s="6" t="str">
        <x:v>-</x:v>
      </x:c>
      <x:c r="H70" s="28" t="n">
        <x:v>91.05</x:v>
      </x:c>
      <x:c r="I70" s="28" t="n">
        <x:v>91.15</x:v>
      </x:c>
      <x:c r="J70" s="28" t="n">
        <x:v>90.95</x:v>
      </x:c>
      <x:c r="K70" s="174" t="n">
        <x:v>92</x:v>
      </x:c>
      <x:c r="L70" s="174" t="n">
        <x:v>91</x:v>
      </x:c>
      <x:c r="M70" s="174" t="n">
        <x:v>93</x:v>
      </x:c>
      <x:c r="N70" s="174" t="n">
        <x:v>90</x:v>
      </x:c>
      <x:c r="O70" s="174" t="n">
        <x:v>93</x:v>
      </x:c>
      <x:c r="P70" s="174" t="n">
        <x:v>86</x:v>
      </x:c>
      <x:c r="Q70" s="174" t="n">
        <x:v>11</x:v>
      </x:c>
      <x:c r="R70" s="7" t="str">
        <x:v>https://arxiv.org/abs/2607.29447</x:v>
      </x:c>
      <x:c r="S70" s="7" t="str">
        <x:v>Top100</x:v>
      </x:c>
      <x:c r="T70" s="7" t="str">
        <x:v>Charged Penrose inequality under 2-convexity; strong GR geometry signal.</x:v>
      </x:c>
    </x:row>
    <x:row r="71" ht="38" customHeight="1">
      <x:c r="A71" s="174" t="n">
        <x:v>70</x:v>
      </x:c>
      <x:c r="B71" s="7" t="str">
        <x:v>2026-07</x:v>
      </x:c>
      <x:c r="C71" s="7" t="str">
        <x:v>2607.29588</x:v>
      </x:c>
      <x:c r="D71" s="7" t="str">
        <x:v>A two-dimensional Allen-Cahn theory for interfaces with boundary</x:v>
      </x:c>
      <x:c r="E71" s="7" t="str">
        <x:v>Marco Badran; Manuel del Pino; Marco A. M. Guaraco</x:v>
      </x:c>
      <x:c r="F71" s="7" t="str">
        <x:v>Allen-Cahn / boundary interfaces</x:v>
      </x:c>
      <x:c r="G71" s="6" t="str">
        <x:v>-</x:v>
      </x:c>
      <x:c r="H71" s="28" t="n">
        <x:v>91.05</x:v>
      </x:c>
      <x:c r="I71" s="28" t="n">
        <x:v>91.15</x:v>
      </x:c>
      <x:c r="J71" s="28" t="n">
        <x:v>90.95</x:v>
      </x:c>
      <x:c r="K71" s="174" t="n">
        <x:v>92</x:v>
      </x:c>
      <x:c r="L71" s="174" t="n">
        <x:v>91</x:v>
      </x:c>
      <x:c r="M71" s="174" t="n">
        <x:v>93</x:v>
      </x:c>
      <x:c r="N71" s="174" t="n">
        <x:v>90</x:v>
      </x:c>
      <x:c r="O71" s="174" t="n">
        <x:v>93</x:v>
      </x:c>
      <x:c r="P71" s="174" t="n">
        <x:v>86</x:v>
      </x:c>
      <x:c r="Q71" s="174" t="n">
        <x:v>11</x:v>
      </x:c>
      <x:c r="R71" s="7" t="str">
        <x:v>https://arxiv.org/abs/2607.29588</x:v>
      </x:c>
      <x:c r="S71" s="7" t="str">
        <x:v>Top100</x:v>
      </x:c>
      <x:c r="T71" s="7" t="str">
        <x:v>Boundary-interface Allen-Cahn theory with geometric variational content.</x:v>
      </x:c>
    </x:row>
    <x:row r="72" ht="38" customHeight="1">
      <x:c r="A72" s="174" t="n">
        <x:v>71</x:v>
      </x:c>
      <x:c r="B72" s="7" t="str">
        <x:v>2026-08</x:v>
      </x:c>
      <x:c r="C72" s="7" t="str">
        <x:v>2608.00944</x:v>
      </x:c>
      <x:c r="D72" s="7" t="str">
        <x:v>McKean Rigidity for Cocompact Negatively Curved Manifolds and the p-Laplacian</x:v>
      </x:c>
      <x:c r="E72" s="7" t="str">
        <x:v>Kuntao Jin; Bo Zhu</x:v>
      </x:c>
      <x:c r="F72" s="7" t="str">
        <x:v>McKean rigidity / p-Laplacian</x:v>
      </x:c>
      <x:c r="G72" s="6" t="n">
        <x:v>56</x:v>
      </x:c>
      <x:c r="H72" s="28" t="n">
        <x:v>91.05</x:v>
      </x:c>
      <x:c r="I72" s="28" t="n">
        <x:v>91.15</x:v>
      </x:c>
      <x:c r="J72" s="28" t="n">
        <x:v>90.95</x:v>
      </x:c>
      <x:c r="K72" s="174" t="n">
        <x:v>92</x:v>
      </x:c>
      <x:c r="L72" s="174" t="n">
        <x:v>91</x:v>
      </x:c>
      <x:c r="M72" s="174" t="n">
        <x:v>93</x:v>
      </x:c>
      <x:c r="N72" s="174" t="n">
        <x:v>90</x:v>
      </x:c>
      <x:c r="O72" s="174" t="n">
        <x:v>93</x:v>
      </x:c>
      <x:c r="P72" s="174" t="n">
        <x:v>86</x:v>
      </x:c>
      <x:c r="Q72" s="174" t="n">
        <x:v>11</x:v>
      </x:c>
      <x:c r="R72" s="7" t="str">
        <x:v>https://arxiv.org/abs/2608.00944</x:v>
      </x:c>
      <x:c r="S72" s="7" t="str">
        <x:v>Top100</x:v>
      </x:c>
      <x:c r="T72" s="7" t="str">
        <x:v>Rigidity theorem for negatively curved manifolds and p-Laplacian; high spectral-geometric value.</x:v>
      </x:c>
    </x:row>
    <x:row r="73" ht="38" customHeight="1">
      <x:c r="A73" s="174" t="n">
        <x:v>72</x:v>
      </x:c>
      <x:c r="B73" s="7" t="str">
        <x:v>2026-08</x:v>
      </x:c>
      <x:c r="C73" s="7" t="str">
        <x:v>2608.03405</x:v>
      </x:c>
      <x:c r="D73" s="7" t="str">
        <x:v>Lower Bound for Weighted Intermediate Ricci Curvature and Tensorial Entropy Convexity</x:v>
      </x:c>
      <x:c r="E73" s="7" t="str">
        <x:v>Chao-Ming Lin; Kai-Hsiang Wang</x:v>
      </x:c>
      <x:c r="F73" s="7" t="str">
        <x:v>weighted intermediate Ricci / entropy convexity</x:v>
      </x:c>
      <x:c r="G73" s="6" t="n">
        <x:v>60</x:v>
      </x:c>
      <x:c r="H73" s="28" t="n">
        <x:v>91.05</x:v>
      </x:c>
      <x:c r="I73" s="28" t="n">
        <x:v>91.15</x:v>
      </x:c>
      <x:c r="J73" s="28" t="n">
        <x:v>90.95</x:v>
      </x:c>
      <x:c r="K73" s="174" t="n">
        <x:v>92</x:v>
      </x:c>
      <x:c r="L73" s="174" t="n">
        <x:v>91</x:v>
      </x:c>
      <x:c r="M73" s="174" t="n">
        <x:v>93</x:v>
      </x:c>
      <x:c r="N73" s="174" t="n">
        <x:v>90</x:v>
      </x:c>
      <x:c r="O73" s="174" t="n">
        <x:v>93</x:v>
      </x:c>
      <x:c r="P73" s="174" t="n">
        <x:v>86</x:v>
      </x:c>
      <x:c r="Q73" s="174" t="n">
        <x:v>11</x:v>
      </x:c>
      <x:c r="R73" s="7" t="str">
        <x:v>https://arxiv.org/abs/2608.03405</x:v>
      </x:c>
      <x:c r="S73" s="7" t="str">
        <x:v>Top100</x:v>
      </x:c>
      <x:c r="T73" s="7" t="str">
        <x:v>Weighted curvature lower bounds and entropy convexity; strong synthetic/geometric analysis link.</x:v>
      </x:c>
    </x:row>
    <x:row r="74" ht="38" customHeight="1">
      <x:c r="A74" s="174" t="n">
        <x:v>73</x:v>
      </x:c>
      <x:c r="B74" s="7" t="str">
        <x:v>2026-08</x:v>
      </x:c>
      <x:c r="C74" s="7" t="str">
        <x:v>2608.04364</x:v>
      </x:c>
      <x:c r="D74" s="7" t="str">
        <x:v>Calabi-Yau Conjecture for Minimal Hypersurfaces in R^4 with bounded geometry</x:v>
      </x:c>
      <x:c r="E74" s="7" t="str">
        <x:v>Shrey Aryan; Alexander D. McWeeney; Giuseppe Tinaglia</x:v>
      </x:c>
      <x:c r="F74" s="7" t="str">
        <x:v>minimal hypersurfaces / Calabi-Yau conjecture</x:v>
      </x:c>
      <x:c r="G74" s="6" t="n">
        <x:v>9</x:v>
      </x:c>
      <x:c r="H74" s="28" t="n">
        <x:v>91.05</x:v>
      </x:c>
      <x:c r="I74" s="28" t="n">
        <x:v>91.15</x:v>
      </x:c>
      <x:c r="J74" s="28" t="n">
        <x:v>90.95</x:v>
      </x:c>
      <x:c r="K74" s="174" t="n">
        <x:v>92</x:v>
      </x:c>
      <x:c r="L74" s="174" t="n">
        <x:v>91</x:v>
      </x:c>
      <x:c r="M74" s="174" t="n">
        <x:v>93</x:v>
      </x:c>
      <x:c r="N74" s="174" t="n">
        <x:v>90</x:v>
      </x:c>
      <x:c r="O74" s="174" t="n">
        <x:v>93</x:v>
      </x:c>
      <x:c r="P74" s="174" t="n">
        <x:v>86</x:v>
      </x:c>
      <x:c r="Q74" s="174" t="n">
        <x:v>11</x:v>
      </x:c>
      <x:c r="R74" s="7" t="str">
        <x:v>https://arxiv.org/abs/2608.04364</x:v>
      </x:c>
      <x:c r="S74" s="7" t="str">
        <x:v>Top100</x:v>
      </x:c>
      <x:c r="T74" s="7" t="str">
        <x:v>Concise theorem around Calabi-Yau conjecture for minimal hypersurfaces.</x:v>
      </x:c>
    </x:row>
    <x:row r="75" ht="38" customHeight="1">
      <x:c r="A75" s="174" t="n">
        <x:v>74</x:v>
      </x:c>
      <x:c r="B75" s="7" t="str">
        <x:v>2026-06</x:v>
      </x:c>
      <x:c r="C75" s="7" t="str">
        <x:v>2606.09017</x:v>
      </x:c>
      <x:c r="D75" s="7" t="str">
        <x:v>The Ollivier Ricci flow with prescribed curvature on infinite graphs</x:v>
      </x:c>
      <x:c r="E75" s="7" t="str">
        <x:v>Bobo Hua; Yong Lin; Shuang Liu</x:v>
      </x:c>
      <x:c r="F75" s="7" t="str">
        <x:v>discrete Ricci flow</x:v>
      </x:c>
      <x:c r="G75" s="6" t="str">
        <x:v>-</x:v>
      </x:c>
      <x:c r="H75" s="28" t="n">
        <x:v>90.92</x:v>
      </x:c>
      <x:c r="I75" s="28" t="n">
        <x:v>91.4</x:v>
      </x:c>
      <x:c r="J75" s="28" t="n">
        <x:v>90.45</x:v>
      </x:c>
      <x:c r="K75" s="174" t="n">
        <x:v>93</x:v>
      </x:c>
      <x:c r="L75" s="174" t="n">
        <x:v>91</x:v>
      </x:c>
      <x:c r="M75" s="174" t="n">
        <x:v>92</x:v>
      </x:c>
      <x:c r="N75" s="174" t="n">
        <x:v>90</x:v>
      </x:c>
      <x:c r="O75" s="174" t="n">
        <x:v>92</x:v>
      </x:c>
      <x:c r="P75" s="174" t="n">
        <x:v>88</x:v>
      </x:c>
      <x:c r="Q75" s="174" t="n">
        <x:v>13</x:v>
      </x:c>
      <x:c r="R75" s="7" t="str">
        <x:v>https://arxiv.org/abs/2606.09017</x:v>
      </x:c>
      <x:c r="S75" s="7" t="str">
        <x:v>Top100</x:v>
      </x:c>
      <x:c r="T75" s="7" t="str">
        <x:v>Prescribed-curvature Ollivier Ricci flow on infinite graphs.</x:v>
      </x:c>
    </x:row>
    <x:row r="76" ht="38" customHeight="1">
      <x:c r="A76" s="174" t="n">
        <x:v>75</x:v>
      </x:c>
      <x:c r="B76" s="7" t="str">
        <x:v>2026-06</x:v>
      </x:c>
      <x:c r="C76" s="7" t="str">
        <x:v>2606.28767</x:v>
      </x:c>
      <x:c r="D76" s="7" t="str">
        <x:v>Infinite-Time Singularities with Vanishing Mean Curvature for Lagrangian Mean Curvature Flow in Gibbons-Hawking Spaces</x:v>
      </x:c>
      <x:c r="E76" s="7" t="str">
        <x:v>Ping-Hung Lee; Chung-Jun Tsai</x:v>
      </x:c>
      <x:c r="F76" s="7" t="str">
        <x:v>Lagrangian MCF</x:v>
      </x:c>
      <x:c r="G76" s="6" t="n">
        <x:v>31</x:v>
      </x:c>
      <x:c r="H76" s="28" t="n">
        <x:v>90.92</x:v>
      </x:c>
      <x:c r="I76" s="28" t="n">
        <x:v>91.25</x:v>
      </x:c>
      <x:c r="J76" s="28" t="n">
        <x:v>90.6</x:v>
      </x:c>
      <x:c r="K76" s="174" t="n">
        <x:v>93</x:v>
      </x:c>
      <x:c r="L76" s="174" t="n">
        <x:v>91</x:v>
      </x:c>
      <x:c r="M76" s="174" t="n">
        <x:v>92</x:v>
      </x:c>
      <x:c r="N76" s="174" t="n">
        <x:v>89</x:v>
      </x:c>
      <x:c r="O76" s="174" t="n">
        <x:v>92</x:v>
      </x:c>
      <x:c r="P76" s="174" t="n">
        <x:v>88</x:v>
      </x:c>
      <x:c r="Q76" s="174" t="n">
        <x:v>12</x:v>
      </x:c>
      <x:c r="R76" s="7" t="str">
        <x:v>https://arxiv.org/abs/2606.28767</x:v>
      </x:c>
      <x:c r="S76" s="7" t="str">
        <x:v>Top100</x:v>
      </x:c>
      <x:c r="T76" s="7" t="str">
        <x:v>Infinite-time singularities in Gibbons-Hawking Lagrangian MCF setting.</x:v>
      </x:c>
    </x:row>
    <x:row r="77" ht="38" customHeight="1">
      <x:c r="A77" s="174" t="n">
        <x:v>76</x:v>
      </x:c>
      <x:c r="B77" s="7" t="str">
        <x:v>2026-06</x:v>
      </x:c>
      <x:c r="C77" s="7" t="str">
        <x:v>2606.29231</x:v>
      </x:c>
      <x:c r="D77" s="7" t="str">
        <x:v>On questions of Pogorelov and Toponogov</x:v>
      </x:c>
      <x:c r="E77" s="7" t="str">
        <x:v>Lei Ni; Wei Zhang; Yijian Zhang</x:v>
      </x:c>
      <x:c r="F77" s="7" t="str">
        <x:v>comparison geometry / rigidity</x:v>
      </x:c>
      <x:c r="G77" s="6" t="n">
        <x:v>10</x:v>
      </x:c>
      <x:c r="H77" s="28" t="n">
        <x:v>90.85</x:v>
      </x:c>
      <x:c r="I77" s="28" t="n">
        <x:v>91</x:v>
      </x:c>
      <x:c r="J77" s="28" t="n">
        <x:v>90.7</x:v>
      </x:c>
      <x:c r="K77" s="174" t="n">
        <x:v>93</x:v>
      </x:c>
      <x:c r="L77" s="174" t="n">
        <x:v>91</x:v>
      </x:c>
      <x:c r="M77" s="174" t="n">
        <x:v>91</x:v>
      </x:c>
      <x:c r="N77" s="174" t="n">
        <x:v>89</x:v>
      </x:c>
      <x:c r="O77" s="174" t="n">
        <x:v>93</x:v>
      </x:c>
      <x:c r="P77" s="174" t="n">
        <x:v>88</x:v>
      </x:c>
      <x:c r="Q77" s="174" t="n">
        <x:v>12</x:v>
      </x:c>
      <x:c r="R77" s="7" t="str">
        <x:v>https://arxiv.org/abs/2606.29231</x:v>
      </x:c>
      <x:c r="S77" s="7" t="str">
        <x:v>Top100</x:v>
      </x:c>
      <x:c r="T77" s="7" t="str">
        <x:v>Addresses classical Pogorelov-Toponogov type questions.</x:v>
      </x:c>
    </x:row>
    <x:row r="78" ht="38" customHeight="1">
      <x:c r="A78" s="174" t="n">
        <x:v>77</x:v>
      </x:c>
      <x:c r="B78" s="7" t="str">
        <x:v>2026-06</x:v>
      </x:c>
      <x:c r="C78" s="7" t="str">
        <x:v>2606.29246</x:v>
      </x:c>
      <x:c r="D78" s="7" t="str">
        <x:v>Rigidity of Closed Minimal Hypersurfaces in S^5</x:v>
      </x:c>
      <x:c r="E78" s="7" t="str">
        <x:v>Jianquan Ge; Tong Liu; Keyan Luo; Wenjiao Yan</x:v>
      </x:c>
      <x:c r="F78" s="7" t="str">
        <x:v>minimal hypersurface rigidity</x:v>
      </x:c>
      <x:c r="G78" s="6" t="n">
        <x:v>31</x:v>
      </x:c>
      <x:c r="H78" s="28" t="n">
        <x:v>90.85</x:v>
      </x:c>
      <x:c r="I78" s="28" t="n">
        <x:v>91</x:v>
      </x:c>
      <x:c r="J78" s="28" t="n">
        <x:v>90.7</x:v>
      </x:c>
      <x:c r="K78" s="174" t="n">
        <x:v>93</x:v>
      </x:c>
      <x:c r="L78" s="174" t="n">
        <x:v>91</x:v>
      </x:c>
      <x:c r="M78" s="174" t="n">
        <x:v>91</x:v>
      </x:c>
      <x:c r="N78" s="174" t="n">
        <x:v>89</x:v>
      </x:c>
      <x:c r="O78" s="174" t="n">
        <x:v>93</x:v>
      </x:c>
      <x:c r="P78" s="174" t="n">
        <x:v>88</x:v>
      </x:c>
      <x:c r="Q78" s="174" t="n">
        <x:v>12</x:v>
      </x:c>
      <x:c r="R78" s="7" t="str">
        <x:v>https://arxiv.org/abs/2606.29246</x:v>
      </x:c>
      <x:c r="S78" s="7" t="str">
        <x:v>Top100</x:v>
      </x:c>
      <x:c r="T78" s="7" t="str">
        <x:v>Rigidity result for closed minimal hypersurfaces in the five-sphere.</x:v>
      </x:c>
    </x:row>
    <x:row r="79" ht="38" customHeight="1">
      <x:c r="A79" s="174" t="n">
        <x:v>78</x:v>
      </x:c>
      <x:c r="B79" s="7" t="str">
        <x:v>2026-08</x:v>
      </x:c>
      <x:c r="C79" s="7" t="str">
        <x:v>2608.02405</x:v>
      </x:c>
      <x:c r="D79" s="7" t="str">
        <x:v>A Weighted Discretization of Riemannian Manifolds with Lower Ricci Bounds</x:v>
      </x:c>
      <x:c r="E79" s="7" t="str">
        <x:v>Aditya Tiwari</x:v>
      </x:c>
      <x:c r="F79" s="7" t="str">
        <x:v>weighted graph discretization / Ricci lower bounds</x:v>
      </x:c>
      <x:c r="G79" s="6" t="n">
        <x:v>16</x:v>
      </x:c>
      <x:c r="H79" s="28" t="n">
        <x:v>90.775</x:v>
      </x:c>
      <x:c r="I79" s="28" t="n">
        <x:v>91.2</x:v>
      </x:c>
      <x:c r="J79" s="28" t="n">
        <x:v>90.35</x:v>
      </x:c>
      <x:c r="K79" s="174" t="n">
        <x:v>92</x:v>
      </x:c>
      <x:c r="L79" s="174" t="n">
        <x:v>92</x:v>
      </x:c>
      <x:c r="M79" s="174" t="n">
        <x:v>92</x:v>
      </x:c>
      <x:c r="N79" s="174" t="n">
        <x:v>92</x:v>
      </x:c>
      <x:c r="O79" s="174" t="n">
        <x:v>92</x:v>
      </x:c>
      <x:c r="P79" s="174" t="n">
        <x:v>84</x:v>
      </x:c>
      <x:c r="Q79" s="174" t="n">
        <x:v>11</x:v>
      </x:c>
      <x:c r="R79" s="7" t="str">
        <x:v>https://arxiv.org/abs/2608.02405</x:v>
      </x:c>
      <x:c r="S79" s="7" t="str">
        <x:v>Top100</x:v>
      </x:c>
      <x:c r="T79" s="7" t="str">
        <x:v>Weighted combinatorial Laplacian with spectral comparison independent of injectivity radius and stability under measured Gromov-Hausdorff convergence.</x:v>
      </x:c>
    </x:row>
    <x:row r="80" ht="38" customHeight="1">
      <x:c r="A80" s="174" t="n">
        <x:v>79</x:v>
      </x:c>
      <x:c r="B80" s="7" t="str">
        <x:v>2026-08</x:v>
      </x:c>
      <x:c r="C80" s="7" t="str">
        <x:v>2608.06974</x:v>
      </x:c>
      <x:c r="D80" s="7" t="str">
        <x:v>Left-invariant metrics on step-two Carnot groups are uniformly doubling</x:v>
      </x:c>
      <x:c r="E80" s="7" t="str">
        <x:v>Cheng Bi; Ye Zhang</x:v>
      </x:c>
      <x:c r="F80" s="7" t="str">
        <x:v>Carnot groups / uniform doubling</x:v>
      </x:c>
      <x:c r="G80" s="6" t="n">
        <x:v>7</x:v>
      </x:c>
      <x:c r="H80" s="28" t="n">
        <x:v>90.725</x:v>
      </x:c>
      <x:c r="I80" s="28" t="n">
        <x:v>91.15</x:v>
      </x:c>
      <x:c r="J80" s="28" t="n">
        <x:v>90.3</x:v>
      </x:c>
      <x:c r="K80" s="174" t="n">
        <x:v>92</x:v>
      </x:c>
      <x:c r="L80" s="174" t="n">
        <x:v>92</x:v>
      </x:c>
      <x:c r="M80" s="174" t="n">
        <x:v>91</x:v>
      </x:c>
      <x:c r="N80" s="174" t="n">
        <x:v>92</x:v>
      </x:c>
      <x:c r="O80" s="174" t="n">
        <x:v>92</x:v>
      </x:c>
      <x:c r="P80" s="174" t="n">
        <x:v>86</x:v>
      </x:c>
      <x:c r="Q80" s="174" t="n">
        <x:v>12</x:v>
      </x:c>
      <x:c r="R80" s="7" t="str">
        <x:v>https://arxiv.org/abs/2608.06974</x:v>
      </x:c>
      <x:c r="S80" s="7" t="str">
        <x:v>Top100</x:v>
      </x:c>
      <x:c r="T80" s="7" t="str">
        <x:v>Proves the sharp uniform doubling constant 2^Q for all left-invariant Riemannian metrics on every step-two Carnot group, together with a Bishop-Gromov-type estimate.</x:v>
      </x:c>
    </x:row>
    <x:row r="81" ht="38" customHeight="1">
      <x:c r="A81" s="174" t="n">
        <x:v>80</x:v>
      </x:c>
      <x:c r="B81" s="7" t="str">
        <x:v>2026-07</x:v>
      </x:c>
      <x:c r="C81" s="7" t="str">
        <x:v>2607.29654</x:v>
      </x:c>
      <x:c r="D81" s="7" t="str">
        <x:v>Elastic Curves via Geometric Mechanics</x:v>
      </x:c>
      <x:c r="E81" s="7" t="str">
        <x:v>Oliver Gross; Rohit Jammula; Albert Chern</x:v>
      </x:c>
      <x:c r="F81" s="7" t="str">
        <x:v>discrete elastic curves / geometric mechanics</x:v>
      </x:c>
      <x:c r="G81" s="6" t="n">
        <x:v>23</x:v>
      </x:c>
      <x:c r="H81" s="28" t="n">
        <x:v>90.5</x:v>
      </x:c>
      <x:c r="I81" s="28" t="n">
        <x:v>90.95</x:v>
      </x:c>
      <x:c r="J81" s="28" t="n">
        <x:v>90.05</x:v>
      </x:c>
      <x:c r="K81" s="174" t="n">
        <x:v>91</x:v>
      </x:c>
      <x:c r="L81" s="174" t="n">
        <x:v>93</x:v>
      </x:c>
      <x:c r="M81" s="174" t="n">
        <x:v>91</x:v>
      </x:c>
      <x:c r="N81" s="174" t="n">
        <x:v>92</x:v>
      </x:c>
      <x:c r="O81" s="174" t="n">
        <x:v>91</x:v>
      </x:c>
      <x:c r="P81" s="174" t="n">
        <x:v>85</x:v>
      </x:c>
      <x:c r="Q81" s="174" t="n">
        <x:v>12</x:v>
      </x:c>
      <x:c r="R81" s="7" t="str">
        <x:v>https://arxiv.org/abs/2607.29654</x:v>
      </x:c>
      <x:c r="S81" s="7" t="str">
        <x:v>Top100</x:v>
      </x:c>
      <x:c r="T81" s="7" t="str">
        <x:v>New isoperimetric characterization and exact structure-preserving polygonal theory; carries canonical symplectic dynamics to discrete curves.</x:v>
      </x:c>
    </x:row>
    <x:row r="82" ht="38" customHeight="1">
      <x:c r="A82" s="174" t="n">
        <x:v>81</x:v>
      </x:c>
      <x:c r="B82" s="7" t="str">
        <x:v>2026-08</x:v>
      </x:c>
      <x:c r="C82" s="7" t="str">
        <x:v>2507.16794</x:v>
      </x:c>
      <x:c r="D82" s="7" t="str">
        <x:v>Spectral gaps for noncompact hyperbolic surfaces with linearly many cusps</x:v>
      </x:c>
      <x:c r="E82" s="7" t="str">
        <x:v>Qi Guo; Bobo Hua; Yang Shen</x:v>
      </x:c>
      <x:c r="F82" s="7" t="str">
        <x:v>spectral geometry / hyperbolic surfaces / expander graphs</x:v>
      </x:c>
      <x:c r="G82" s="6" t="n">
        <x:v>23</x:v>
      </x:c>
      <x:c r="H82" s="28" t="n">
        <x:v>90.4</x:v>
      </x:c>
      <x:c r="I82" s="28" t="n">
        <x:v>90.95</x:v>
      </x:c>
      <x:c r="J82" s="28" t="n">
        <x:v>89.85</x:v>
      </x:c>
      <x:c r="K82" s="174" t="n">
        <x:v>92</x:v>
      </x:c>
      <x:c r="L82" s="174" t="n">
        <x:v>93</x:v>
      </x:c>
      <x:c r="M82" s="174" t="n">
        <x:v>90</x:v>
      </x:c>
      <x:c r="N82" s="174" t="n">
        <x:v>91</x:v>
      </x:c>
      <x:c r="O82" s="174" t="n">
        <x:v>92</x:v>
      </x:c>
      <x:c r="P82" s="174" t="n">
        <x:v>86</x:v>
      </x:c>
      <x:c r="Q82" s="174" t="n">
        <x:v>15</x:v>
      </x:c>
      <x:c r="R82" s="7" t="str">
        <x:v>https://arxiv.org/abs/2507.16794</x:v>
      </x:c>
      <x:c r="S82" s="7" t="str">
        <x:v>Top100</x:v>
      </x:c>
      <x:c r="T82" s="7" t="str">
        <x:v>Closes the linear-cusp existence regime through a quantitative expander-graph construction and proves a complementary Steklov obstruction for superlinear cusp growth.</x:v>
      </x:c>
    </x:row>
    <x:row r="83" ht="38" customHeight="1">
      <x:c r="A83" s="174" t="n">
        <x:v>82</x:v>
      </x:c>
      <x:c r="B83" s="7" t="str">
        <x:v>2026-07</x:v>
      </x:c>
      <x:c r="C83" s="7" t="str">
        <x:v>2607.05023</x:v>
      </x:c>
      <x:c r="D83" s="7" t="str">
        <x:v>Rigidity on compact surfaces through hyperbolic symmetries</x:v>
      </x:c>
      <x:c r="E83" s="7" t="str">
        <x:v>Sean Dewar; Alison La Porta; Rebecca Monks; Anthony Nixon; Klara Stokes; Joannes Vermant</x:v>
      </x:c>
      <x:c r="F83" s="7" t="str">
        <x:v>surface rigidity / hyperbolic symmetries</x:v>
      </x:c>
      <x:c r="G83" s="6" t="n">
        <x:v>45</x:v>
      </x:c>
      <x:c r="H83" s="28" t="n">
        <x:v>90.4</x:v>
      </x:c>
      <x:c r="I83" s="28" t="n">
        <x:v>90.45</x:v>
      </x:c>
      <x:c r="J83" s="28" t="n">
        <x:v>90.35</x:v>
      </x:c>
      <x:c r="K83" s="174" t="n">
        <x:v>90</x:v>
      </x:c>
      <x:c r="L83" s="174" t="n">
        <x:v>93</x:v>
      </x:c>
      <x:c r="M83" s="174" t="n">
        <x:v>91</x:v>
      </x:c>
      <x:c r="N83" s="174" t="n">
        <x:v>90</x:v>
      </x:c>
      <x:c r="O83" s="174" t="n">
        <x:v>91</x:v>
      </x:c>
      <x:c r="P83" s="174" t="n">
        <x:v>86</x:v>
      </x:c>
      <x:c r="Q83" s="174" t="n">
        <x:v>11</x:v>
      </x:c>
      <x:c r="R83" s="7" t="str">
        <x:v>https://arxiv.org/abs/2607.05023</x:v>
      </x:c>
      <x:c r="S83" s="7" t="str">
        <x:v>Top100</x:v>
      </x:c>
      <x:c r="T83" s="7" t="str">
        <x:v>First finite combinatorial characterization of generic rigidity for frameworks on compact surfaces of genus at least two, via hyperbolic symmetries and gain graphs.</x:v>
      </x:c>
    </x:row>
    <x:row r="84" ht="38" customHeight="1">
      <x:c r="A84" s="174" t="n">
        <x:v>83</x:v>
      </x:c>
      <x:c r="B84" s="7" t="str">
        <x:v>2026-06</x:v>
      </x:c>
      <x:c r="C84" s="7" t="str">
        <x:v>2606.31393</x:v>
      </x:c>
      <x:c r="D84" s="7" t="str">
        <x:v>Montel's theorem and tautness in calibrated geometry</x:v>
      </x:c>
      <x:c r="E84" s="7" t="str">
        <x:v>Anton Iliashenko; Spiro Karigiannis; Jesse Madnick</x:v>
      </x:c>
      <x:c r="F84" s="7" t="str">
        <x:v>calibrated geometry</x:v>
      </x:c>
      <x:c r="G84" s="6" t="n">
        <x:v>27</x:v>
      </x:c>
      <x:c r="H84" s="28" t="n">
        <x:v>90.35</x:v>
      </x:c>
      <x:c r="I84" s="28" t="n">
        <x:v>90.5</x:v>
      </x:c>
      <x:c r="J84" s="28" t="n">
        <x:v>90.2</x:v>
      </x:c>
      <x:c r="K84" s="174" t="n">
        <x:v>92</x:v>
      </x:c>
      <x:c r="L84" s="174" t="n">
        <x:v>90</x:v>
      </x:c>
      <x:c r="M84" s="174" t="n">
        <x:v>91</x:v>
      </x:c>
      <x:c r="N84" s="174" t="n">
        <x:v>89</x:v>
      </x:c>
      <x:c r="O84" s="174" t="n">
        <x:v>92</x:v>
      </x:c>
      <x:c r="P84" s="174" t="n">
        <x:v>88</x:v>
      </x:c>
      <x:c r="Q84" s="174" t="n">
        <x:v>12</x:v>
      </x:c>
      <x:c r="R84" s="7" t="str">
        <x:v>https://arxiv.org/abs/2606.31393</x:v>
      </x:c>
      <x:c r="S84" s="7" t="str">
        <x:v>Top100</x:v>
      </x:c>
      <x:c r="T84" s="7" t="str">
        <x:v>Montel/tautness theory in calibrated geometry.</x:v>
      </x:c>
    </x:row>
    <x:row r="85" ht="38" customHeight="1">
      <x:c r="A85" s="174" t="n">
        <x:v>84</x:v>
      </x:c>
      <x:c r="B85" s="7" t="str">
        <x:v>2026-06</x:v>
      </x:c>
      <x:c r="C85" s="7" t="str">
        <x:v>2606.15402</x:v>
      </x:c>
      <x:c r="D85" s="7" t="str">
        <x:v>Rigidity Theorems for the Weyl Problem of Convex Surfaces in Hyperbolic 3-Space</x:v>
      </x:c>
      <x:c r="E85" s="7" t="str">
        <x:v>Xinrong Zhao</x:v>
      </x:c>
      <x:c r="F85" s="7" t="str">
        <x:v>convex surface rigidity</x:v>
      </x:c>
      <x:c r="G85" s="6" t="n">
        <x:v>43</x:v>
      </x:c>
      <x:c r="H85" s="28" t="n">
        <x:v>90.3</x:v>
      </x:c>
      <x:c r="I85" s="28" t="n">
        <x:v>90.7</x:v>
      </x:c>
      <x:c r="J85" s="28" t="n">
        <x:v>89.9</x:v>
      </x:c>
      <x:c r="K85" s="174" t="n">
        <x:v>93</x:v>
      </x:c>
      <x:c r="L85" s="174" t="n">
        <x:v>90</x:v>
      </x:c>
      <x:c r="M85" s="174" t="n">
        <x:v>91</x:v>
      </x:c>
      <x:c r="N85" s="174" t="n">
        <x:v>89</x:v>
      </x:c>
      <x:c r="O85" s="174" t="n">
        <x:v>92</x:v>
      </x:c>
      <x:c r="P85" s="174" t="n">
        <x:v>87</x:v>
      </x:c>
      <x:c r="Q85" s="174" t="n">
        <x:v>13</x:v>
      </x:c>
      <x:c r="R85" s="7" t="str">
        <x:v>https://arxiv.org/abs/2606.15402</x:v>
      </x:c>
      <x:c r="S85" s="7" t="str">
        <x:v>Top100</x:v>
      </x:c>
      <x:c r="T85" s="7" t="str">
        <x:v>Rigidity theorems for hyperbolic Weyl problem.</x:v>
      </x:c>
    </x:row>
    <x:row r="86" ht="38" customHeight="1">
      <x:c r="A86" s="174" t="n">
        <x:v>85</x:v>
      </x:c>
      <x:c r="B86" s="7" t="str">
        <x:v>2026-06</x:v>
      </x:c>
      <x:c r="C86" s="7" t="str">
        <x:v>2606.15827</x:v>
      </x:c>
      <x:c r="D86" s="7" t="str">
        <x:v>Rigidity Estimate for Hyperbolic Shells and its Application in Gamma-limit Theory</x:v>
      </x:c>
      <x:c r="E86" s="7" t="str">
        <x:v>Liang-Biao Chen; Peng-Fei Yao</x:v>
      </x:c>
      <x:c r="F86" s="7" t="str">
        <x:v>elasticity / rigidity estimates</x:v>
      </x:c>
      <x:c r="G86" s="6" t="str">
        <x:v>-</x:v>
      </x:c>
      <x:c r="H86" s="28" t="n">
        <x:v>90.3</x:v>
      </x:c>
      <x:c r="I86" s="28" t="n">
        <x:v>90.7</x:v>
      </x:c>
      <x:c r="J86" s="28" t="n">
        <x:v>89.9</x:v>
      </x:c>
      <x:c r="K86" s="174" t="n">
        <x:v>93</x:v>
      </x:c>
      <x:c r="L86" s="174" t="n">
        <x:v>90</x:v>
      </x:c>
      <x:c r="M86" s="174" t="n">
        <x:v>91</x:v>
      </x:c>
      <x:c r="N86" s="174" t="n">
        <x:v>89</x:v>
      </x:c>
      <x:c r="O86" s="174" t="n">
        <x:v>92</x:v>
      </x:c>
      <x:c r="P86" s="174" t="n">
        <x:v>87</x:v>
      </x:c>
      <x:c r="Q86" s="174" t="n">
        <x:v>13</x:v>
      </x:c>
      <x:c r="R86" s="7" t="str">
        <x:v>https://arxiv.org/abs/2606.15827</x:v>
      </x:c>
      <x:c r="S86" s="7" t="str">
        <x:v>Top100</x:v>
      </x:c>
      <x:c r="T86" s="7" t="str">
        <x:v>Rigidity estimate for hyperbolic shells with Gamma-limit applications.</x:v>
      </x:c>
    </x:row>
    <x:row r="87" ht="38" customHeight="1">
      <x:c r="A87" s="174" t="n">
        <x:v>86</x:v>
      </x:c>
      <x:c r="B87" s="7" t="str">
        <x:v>2026-08</x:v>
      </x:c>
      <x:c r="C87" s="7" t="str">
        <x:v>2608.07351</x:v>
      </x:c>
      <x:c r="D87" s="7" t="str">
        <x:v>Finite-Rank Lie Algebroids for Singular Foliations of Prescribed Vanishing Order</x:v>
      </x:c>
      <x:c r="E87" s="7" t="str">
        <x:v>Austin Davis; Cheng-Yi Hung; Sangjun Ko; Kaichuan Qi</x:v>
      </x:c>
      <x:c r="F87" s="7" t="str">
        <x:v>singular foliations / Lie algebroids</x:v>
      </x:c>
      <x:c r="G87" s="6" t="n">
        <x:v>11</x:v>
      </x:c>
      <x:c r="H87" s="28" t="n">
        <x:v>90.175</x:v>
      </x:c>
      <x:c r="I87" s="28" t="n">
        <x:v>90.5</x:v>
      </x:c>
      <x:c r="J87" s="28" t="n">
        <x:v>89.85</x:v>
      </x:c>
      <x:c r="K87" s="174" t="n">
        <x:v>91</x:v>
      </x:c>
      <x:c r="L87" s="174" t="n">
        <x:v>94</x:v>
      </x:c>
      <x:c r="M87" s="174" t="n">
        <x:v>89</x:v>
      </x:c>
      <x:c r="N87" s="174" t="n">
        <x:v>91</x:v>
      </x:c>
      <x:c r="O87" s="174" t="n">
        <x:v>92</x:v>
      </x:c>
      <x:c r="P87" s="174" t="n">
        <x:v>85</x:v>
      </x:c>
      <x:c r="Q87" s="174" t="n">
        <x:v>14</x:v>
      </x:c>
      <x:c r="R87" s="7" t="str">
        <x:v>https://arxiv.org/abs/2608.07351</x:v>
      </x:c>
      <x:c r="S87" s="7" t="str">
        <x:v>Top100</x:v>
      </x:c>
      <x:c r="T87" s="7" t="str">
        <x:v>Solves a finite-rank realizability problem for prescribed-order vanishing singular foliations via a new construction from left-symmetric and sub-adjacent Lie algebroids.</x:v>
      </x:c>
    </x:row>
    <x:row r="88" ht="38" customHeight="1">
      <x:c r="A88" s="174" t="n">
        <x:v>87</x:v>
      </x:c>
      <x:c r="B88" s="7" t="str">
        <x:v>2026-07</x:v>
      </x:c>
      <x:c r="C88" s="7" t="str">
        <x:v>2607.02244</x:v>
      </x:c>
      <x:c r="D88" s="7" t="str">
        <x:v>Foliations by constant spacetime mean curvature surfaces for asymptotically hyperboloidal initial data sets</x:v>
      </x:c>
      <x:c r="E88" s="7" t="str">
        <x:v>Jacopo Tenan</x:v>
      </x:c>
      <x:c r="F88" s="7" t="str">
        <x:v>spacetime mean curvature foliations</x:v>
      </x:c>
      <x:c r="G88" s="6" t="str">
        <x:v>-</x:v>
      </x:c>
      <x:c r="H88" s="28" t="n">
        <x:v>90.175</x:v>
      </x:c>
      <x:c r="I88" s="28" t="n">
        <x:v>90.25</x:v>
      </x:c>
      <x:c r="J88" s="28" t="n">
        <x:v>90.1</x:v>
      </x:c>
      <x:c r="K88" s="174" t="n">
        <x:v>91</x:v>
      </x:c>
      <x:c r="L88" s="174" t="n">
        <x:v>90</x:v>
      </x:c>
      <x:c r="M88" s="174" t="n">
        <x:v>92</x:v>
      </x:c>
      <x:c r="N88" s="174" t="n">
        <x:v>89</x:v>
      </x:c>
      <x:c r="O88" s="174" t="n">
        <x:v>92</x:v>
      </x:c>
      <x:c r="P88" s="174" t="n">
        <x:v>86</x:v>
      </x:c>
      <x:c r="Q88" s="174" t="n">
        <x:v>12</x:v>
      </x:c>
      <x:c r="R88" s="7" t="str">
        <x:v>https://arxiv.org/abs/2607.02244</x:v>
      </x:c>
      <x:c r="S88" s="7" t="str">
        <x:v>Top100</x:v>
      </x:c>
      <x:c r="T88" s="7" t="str">
        <x:v>Foliation result in asymptotically hyperboloidal GR geometry.</x:v>
      </x:c>
    </x:row>
    <x:row r="89" ht="38" customHeight="1">
      <x:c r="A89" s="174" t="n">
        <x:v>88</x:v>
      </x:c>
      <x:c r="B89" s="7" t="str">
        <x:v>2026-07</x:v>
      </x:c>
      <x:c r="C89" s="7" t="str">
        <x:v>2607.05755</x:v>
      </x:c>
      <x:c r="D89" s="7" t="str">
        <x:v>Topological Bernstein Theorems for Minimal Hypersurfaces in R^4 confined in space</x:v>
      </x:c>
      <x:c r="E89" s="7" t="str">
        <x:v>Shrey Aryan; Alexander D. McWeeney</x:v>
      </x:c>
      <x:c r="F89" s="7" t="str">
        <x:v>minimal hypersurfaces / Bernstein</x:v>
      </x:c>
      <x:c r="G89" s="6" t="n">
        <x:v>29</x:v>
      </x:c>
      <x:c r="H89" s="28" t="n">
        <x:v>90.175</x:v>
      </x:c>
      <x:c r="I89" s="28" t="n">
        <x:v>90.25</x:v>
      </x:c>
      <x:c r="J89" s="28" t="n">
        <x:v>90.1</x:v>
      </x:c>
      <x:c r="K89" s="174" t="n">
        <x:v>91</x:v>
      </x:c>
      <x:c r="L89" s="174" t="n">
        <x:v>90</x:v>
      </x:c>
      <x:c r="M89" s="174" t="n">
        <x:v>92</x:v>
      </x:c>
      <x:c r="N89" s="174" t="n">
        <x:v>89</x:v>
      </x:c>
      <x:c r="O89" s="174" t="n">
        <x:v>92</x:v>
      </x:c>
      <x:c r="P89" s="174" t="n">
        <x:v>86</x:v>
      </x:c>
      <x:c r="Q89" s="174" t="n">
        <x:v>12</x:v>
      </x:c>
      <x:c r="R89" s="7" t="str">
        <x:v>https://arxiv.org/abs/2607.05755</x:v>
      </x:c>
      <x:c r="S89" s="7" t="str">
        <x:v>Top100</x:v>
      </x:c>
      <x:c r="T89" s="7" t="str">
        <x:v>Bernstein-type statement in R^4 under confinement assumptions.</x:v>
      </x:c>
    </x:row>
    <x:row r="90" ht="38" customHeight="1">
      <x:c r="A90" s="174" t="n">
        <x:v>89</x:v>
      </x:c>
      <x:c r="B90" s="7" t="str">
        <x:v>2026-07</x:v>
      </x:c>
      <x:c r="C90" s="7" t="str">
        <x:v>2607.05980</x:v>
      </x:c>
      <x:c r="D90" s="7" t="str">
        <x:v>Charged parallel spinors and applications to mass-charge inequalities</x:v>
      </x:c>
      <x:c r="E90" s="7" t="str">
        <x:v>Simon Raulot</x:v>
      </x:c>
      <x:c r="F90" s="7" t="str">
        <x:v>spinors / mass-charge inequalities</x:v>
      </x:c>
      <x:c r="G90" s="6" t="n">
        <x:v>32</x:v>
      </x:c>
      <x:c r="H90" s="28" t="n">
        <x:v>90.175</x:v>
      </x:c>
      <x:c r="I90" s="28" t="n">
        <x:v>90.25</x:v>
      </x:c>
      <x:c r="J90" s="28" t="n">
        <x:v>90.1</x:v>
      </x:c>
      <x:c r="K90" s="174" t="n">
        <x:v>91</x:v>
      </x:c>
      <x:c r="L90" s="174" t="n">
        <x:v>90</x:v>
      </x:c>
      <x:c r="M90" s="174" t="n">
        <x:v>92</x:v>
      </x:c>
      <x:c r="N90" s="174" t="n">
        <x:v>89</x:v>
      </x:c>
      <x:c r="O90" s="174" t="n">
        <x:v>92</x:v>
      </x:c>
      <x:c r="P90" s="174" t="n">
        <x:v>86</x:v>
      </x:c>
      <x:c r="Q90" s="174" t="n">
        <x:v>12</x:v>
      </x:c>
      <x:c r="R90" s="7" t="str">
        <x:v>https://arxiv.org/abs/2607.05980</x:v>
      </x:c>
      <x:c r="S90" s="7" t="str">
        <x:v>Top100</x:v>
      </x:c>
      <x:c r="T90" s="7" t="str">
        <x:v>Spinorial approach to mass-charge inequalities.</x:v>
      </x:c>
    </x:row>
    <x:row r="91" ht="38" customHeight="1">
      <x:c r="A91" s="174" t="n">
        <x:v>90</x:v>
      </x:c>
      <x:c r="B91" s="7" t="str">
        <x:v>2026-07</x:v>
      </x:c>
      <x:c r="C91" s="7" t="str">
        <x:v>2607.06951</x:v>
      </x:c>
      <x:c r="D91" s="7" t="str">
        <x:v>A sharp isoperimetric inequality and the top order Q-curvature</x:v>
      </x:c>
      <x:c r="E91" s="7" t="str">
        <x:v>Mingxiang Li; Xingwang Xu</x:v>
      </x:c>
      <x:c r="F91" s="7" t="str">
        <x:v>Q-curvature / isoperimetry</x:v>
      </x:c>
      <x:c r="G91" s="6" t="n">
        <x:v>33</x:v>
      </x:c>
      <x:c r="H91" s="28" t="n">
        <x:v>90.175</x:v>
      </x:c>
      <x:c r="I91" s="28" t="n">
        <x:v>90.25</x:v>
      </x:c>
      <x:c r="J91" s="28" t="n">
        <x:v>90.1</x:v>
      </x:c>
      <x:c r="K91" s="174" t="n">
        <x:v>91</x:v>
      </x:c>
      <x:c r="L91" s="174" t="n">
        <x:v>90</x:v>
      </x:c>
      <x:c r="M91" s="174" t="n">
        <x:v>92</x:v>
      </x:c>
      <x:c r="N91" s="174" t="n">
        <x:v>89</x:v>
      </x:c>
      <x:c r="O91" s="174" t="n">
        <x:v>92</x:v>
      </x:c>
      <x:c r="P91" s="174" t="n">
        <x:v>86</x:v>
      </x:c>
      <x:c r="Q91" s="174" t="n">
        <x:v>12</x:v>
      </x:c>
      <x:c r="R91" s="7" t="str">
        <x:v>https://arxiv.org/abs/2607.06951</x:v>
      </x:c>
      <x:c r="S91" s="7" t="str">
        <x:v>Top100</x:v>
      </x:c>
      <x:c r="T91" s="7" t="str">
        <x:v>Sharp inequality linked to top-order Q-curvature.</x:v>
      </x:c>
    </x:row>
    <x:row r="92" ht="38" customHeight="1">
      <x:c r="A92" s="174" t="n">
        <x:v>91</x:v>
      </x:c>
      <x:c r="B92" s="7" t="str">
        <x:v>2026-07</x:v>
      </x:c>
      <x:c r="C92" s="7" t="str">
        <x:v>2607.08622</x:v>
      </x:c>
      <x:c r="D92" s="7" t="str">
        <x:v>Deformed Hermitian-Yang-Mills equation on the manifold of full flags</x:v>
      </x:c>
      <x:c r="E92" s="7" t="str">
        <x:v>Benoit Charbonneau; Gonçalo Oliveira; Rosa Sena-Dias</x:v>
      </x:c>
      <x:c r="F92" s="7" t="str">
        <x:v>deformed Hermitian-Yang-Mills</x:v>
      </x:c>
      <x:c r="G92" s="6" t="n">
        <x:v>48</x:v>
      </x:c>
      <x:c r="H92" s="28" t="n">
        <x:v>90.175</x:v>
      </x:c>
      <x:c r="I92" s="28" t="n">
        <x:v>90.25</x:v>
      </x:c>
      <x:c r="J92" s="28" t="n">
        <x:v>90.1</x:v>
      </x:c>
      <x:c r="K92" s="174" t="n">
        <x:v>91</x:v>
      </x:c>
      <x:c r="L92" s="174" t="n">
        <x:v>90</x:v>
      </x:c>
      <x:c r="M92" s="174" t="n">
        <x:v>92</x:v>
      </x:c>
      <x:c r="N92" s="174" t="n">
        <x:v>89</x:v>
      </x:c>
      <x:c r="O92" s="174" t="n">
        <x:v>92</x:v>
      </x:c>
      <x:c r="P92" s="174" t="n">
        <x:v>86</x:v>
      </x:c>
      <x:c r="Q92" s="174" t="n">
        <x:v>12</x:v>
      </x:c>
      <x:c r="R92" s="7" t="str">
        <x:v>https://arxiv.org/abs/2607.08622</x:v>
      </x:c>
      <x:c r="S92" s="7" t="str">
        <x:v>Top100</x:v>
      </x:c>
      <x:c r="T92" s="7" t="str">
        <x:v>dHYM equation in a homogeneous complex-geometric setting.</x:v>
      </x:c>
    </x:row>
    <x:row r="93" ht="38" customHeight="1">
      <x:c r="A93" s="174" t="n">
        <x:v>92</x:v>
      </x:c>
      <x:c r="B93" s="7" t="str">
        <x:v>2026-07</x:v>
      </x:c>
      <x:c r="C93" s="7" t="str">
        <x:v>2607.10733</x:v>
      </x:c>
      <x:c r="D93" s="7" t="str">
        <x:v>On Chern's Conjecture for Minimal Submanifolds with Flat Normal Bundle in Spheres</x:v>
      </x:c>
      <x:c r="E93" s="7" t="str">
        <x:v>Jianquan Ge; Fagui Li; Yunheng Zhang</x:v>
      </x:c>
      <x:c r="F93" s="7" t="str">
        <x:v>Chern conjecture / minimal submanifolds</x:v>
      </x:c>
      <x:c r="G93" s="6" t="n">
        <x:v>43</x:v>
      </x:c>
      <x:c r="H93" s="28" t="n">
        <x:v>90.175</x:v>
      </x:c>
      <x:c r="I93" s="28" t="n">
        <x:v>90.25</x:v>
      </x:c>
      <x:c r="J93" s="28" t="n">
        <x:v>90.1</x:v>
      </x:c>
      <x:c r="K93" s="174" t="n">
        <x:v>91</x:v>
      </x:c>
      <x:c r="L93" s="174" t="n">
        <x:v>90</x:v>
      </x:c>
      <x:c r="M93" s="174" t="n">
        <x:v>92</x:v>
      </x:c>
      <x:c r="N93" s="174" t="n">
        <x:v>89</x:v>
      </x:c>
      <x:c r="O93" s="174" t="n">
        <x:v>92</x:v>
      </x:c>
      <x:c r="P93" s="174" t="n">
        <x:v>86</x:v>
      </x:c>
      <x:c r="Q93" s="174" t="n">
        <x:v>12</x:v>
      </x:c>
      <x:c r="R93" s="7" t="str">
        <x:v>https://arxiv.org/abs/2607.10733</x:v>
      </x:c>
      <x:c r="S93" s="7" t="str">
        <x:v>Top100</x:v>
      </x:c>
      <x:c r="T93" s="7" t="str">
        <x:v>Progress around Chern-type rigidity for minimal submanifolds.</x:v>
      </x:c>
    </x:row>
    <x:row r="94" ht="38" customHeight="1">
      <x:c r="A94" s="174" t="n">
        <x:v>93</x:v>
      </x:c>
      <x:c r="B94" s="7" t="str">
        <x:v>2026-07</x:v>
      </x:c>
      <x:c r="C94" s="7" t="str">
        <x:v>2607.11067</x:v>
      </x:c>
      <x:c r="D94" s="7" t="str">
        <x:v>Blow-up phenomena for the sigma_2-Yamabe equation</x:v>
      </x:c>
      <x:c r="E94" s="7" t="str">
        <x:v>Bin Deng; Han Lu; Jun-cheng Wei</x:v>
      </x:c>
      <x:c r="F94" s="7" t="str">
        <x:v>sigma_2-Yamabe equation</x:v>
      </x:c>
      <x:c r="G94" s="6" t="str">
        <x:v>-</x:v>
      </x:c>
      <x:c r="H94" s="28" t="n">
        <x:v>90.175</x:v>
      </x:c>
      <x:c r="I94" s="28" t="n">
        <x:v>90.25</x:v>
      </x:c>
      <x:c r="J94" s="28" t="n">
        <x:v>90.1</x:v>
      </x:c>
      <x:c r="K94" s="174" t="n">
        <x:v>91</x:v>
      </x:c>
      <x:c r="L94" s="174" t="n">
        <x:v>90</x:v>
      </x:c>
      <x:c r="M94" s="174" t="n">
        <x:v>92</x:v>
      </x:c>
      <x:c r="N94" s="174" t="n">
        <x:v>89</x:v>
      </x:c>
      <x:c r="O94" s="174" t="n">
        <x:v>92</x:v>
      </x:c>
      <x:c r="P94" s="174" t="n">
        <x:v>86</x:v>
      </x:c>
      <x:c r="Q94" s="174" t="n">
        <x:v>12</x:v>
      </x:c>
      <x:c r="R94" s="7" t="str">
        <x:v>https://arxiv.org/abs/2607.11067</x:v>
      </x:c>
      <x:c r="S94" s="7" t="str">
        <x:v>Top100</x:v>
      </x:c>
      <x:c r="T94" s="7" t="str">
        <x:v>Blow-up analysis for fully nonlinear conformal equation.</x:v>
      </x:c>
    </x:row>
    <x:row r="95" ht="38" customHeight="1">
      <x:c r="A95" s="174" t="n">
        <x:v>94</x:v>
      </x:c>
      <x:c r="B95" s="7" t="str">
        <x:v>2026-07</x:v>
      </x:c>
      <x:c r="C95" s="7" t="str">
        <x:v>2607.12842</x:v>
      </x:c>
      <x:c r="D95" s="7" t="str">
        <x:v>Lectures on Alexandrov spaces with curvature bounded below</x:v>
      </x:c>
      <x:c r="E95" s="7" t="str">
        <x:v>Vitali Kapovitch; Nina Lebedeva; Anton Petrunin</x:v>
      </x:c>
      <x:c r="F95" s="7" t="str">
        <x:v>Alexandrov spaces / lecture notes</x:v>
      </x:c>
      <x:c r="G95" s="6" t="n">
        <x:v>161</x:v>
      </x:c>
      <x:c r="H95" s="28" t="n">
        <x:v>90.175</x:v>
      </x:c>
      <x:c r="I95" s="28" t="n">
        <x:v>90.25</x:v>
      </x:c>
      <x:c r="J95" s="28" t="n">
        <x:v>90.1</x:v>
      </x:c>
      <x:c r="K95" s="174" t="n">
        <x:v>91</x:v>
      </x:c>
      <x:c r="L95" s="174" t="n">
        <x:v>90</x:v>
      </x:c>
      <x:c r="M95" s="174" t="n">
        <x:v>92</x:v>
      </x:c>
      <x:c r="N95" s="174" t="n">
        <x:v>89</x:v>
      </x:c>
      <x:c r="O95" s="174" t="n">
        <x:v>92</x:v>
      </x:c>
      <x:c r="P95" s="174" t="n">
        <x:v>86</x:v>
      </x:c>
      <x:c r="Q95" s="174" t="n">
        <x:v>12</x:v>
      </x:c>
      <x:c r="R95" s="7" t="str">
        <x:v>https://arxiv.org/abs/2607.12842</x:v>
      </x:c>
      <x:c r="S95" s="7" t="str">
        <x:v>Top100</x:v>
      </x:c>
      <x:c r="T95" s="7" t="str">
        <x:v>Major expository/reference value; originality discounted relative to research papers.</x:v>
      </x:c>
    </x:row>
    <x:row r="96" ht="38" customHeight="1">
      <x:c r="A96" s="174" t="n">
        <x:v>95</x:v>
      </x:c>
      <x:c r="B96" s="7" t="str">
        <x:v>2026-07</x:v>
      </x:c>
      <x:c r="C96" s="7" t="str">
        <x:v>2607.12979</x:v>
      </x:c>
      <x:c r="D96" s="7" t="str">
        <x:v>Ambient geometry via min-max widths of embedded circles</x:v>
      </x:c>
      <x:c r="E96" s="7" t="str">
        <x:v>Lucas Ambrozio; Ivan Miranda; Rafael Montezuma</x:v>
      </x:c>
      <x:c r="F96" s="7" t="str">
        <x:v>min-max widths / embedded circles</x:v>
      </x:c>
      <x:c r="G96" s="6" t="n">
        <x:v>31</x:v>
      </x:c>
      <x:c r="H96" s="28" t="n">
        <x:v>90.175</x:v>
      </x:c>
      <x:c r="I96" s="28" t="n">
        <x:v>90.25</x:v>
      </x:c>
      <x:c r="J96" s="28" t="n">
        <x:v>90.1</x:v>
      </x:c>
      <x:c r="K96" s="174" t="n">
        <x:v>91</x:v>
      </x:c>
      <x:c r="L96" s="174" t="n">
        <x:v>90</x:v>
      </x:c>
      <x:c r="M96" s="174" t="n">
        <x:v>92</x:v>
      </x:c>
      <x:c r="N96" s="174" t="n">
        <x:v>89</x:v>
      </x:c>
      <x:c r="O96" s="174" t="n">
        <x:v>92</x:v>
      </x:c>
      <x:c r="P96" s="174" t="n">
        <x:v>86</x:v>
      </x:c>
      <x:c r="Q96" s="174" t="n">
        <x:v>12</x:v>
      </x:c>
      <x:c r="R96" s="7" t="str">
        <x:v>https://arxiv.org/abs/2607.12979</x:v>
      </x:c>
      <x:c r="S96" s="7" t="str">
        <x:v>Top100</x:v>
      </x:c>
      <x:c r="T96" s="7" t="str">
        <x:v>Uses min-max widths of curves to probe ambient geometry.</x:v>
      </x:c>
    </x:row>
    <x:row r="97" ht="38" customHeight="1">
      <x:c r="A97" s="174" t="n">
        <x:v>96</x:v>
      </x:c>
      <x:c r="B97" s="7" t="str">
        <x:v>2026-07</x:v>
      </x:c>
      <x:c r="C97" s="7" t="str">
        <x:v>2607.13450</x:v>
      </x:c>
      <x:c r="D97" s="7" t="str">
        <x:v>Nonlinear Hodge correspondence for morphisms</x:v>
      </x:c>
      <x:c r="E97" s="7" t="str">
        <x:v>Nianzi Li; Mao Sheng</x:v>
      </x:c>
      <x:c r="F97" s="7" t="str">
        <x:v>nonlinear Hodge correspondence</x:v>
      </x:c>
      <x:c r="G97" s="6" t="n">
        <x:v>63</x:v>
      </x:c>
      <x:c r="H97" s="28" t="n">
        <x:v>90.175</x:v>
      </x:c>
      <x:c r="I97" s="28" t="n">
        <x:v>90.25</x:v>
      </x:c>
      <x:c r="J97" s="28" t="n">
        <x:v>90.1</x:v>
      </x:c>
      <x:c r="K97" s="174" t="n">
        <x:v>91</x:v>
      </x:c>
      <x:c r="L97" s="174" t="n">
        <x:v>90</x:v>
      </x:c>
      <x:c r="M97" s="174" t="n">
        <x:v>92</x:v>
      </x:c>
      <x:c r="N97" s="174" t="n">
        <x:v>89</x:v>
      </x:c>
      <x:c r="O97" s="174" t="n">
        <x:v>92</x:v>
      </x:c>
      <x:c r="P97" s="174" t="n">
        <x:v>86</x:v>
      </x:c>
      <x:c r="Q97" s="174" t="n">
        <x:v>12</x:v>
      </x:c>
      <x:c r="R97" s="7" t="str">
        <x:v>https://arxiv.org/abs/2607.13450</x:v>
      </x:c>
      <x:c r="S97" s="7" t="str">
        <x:v>Top100</x:v>
      </x:c>
      <x:c r="T97" s="7" t="str">
        <x:v>Hodge-correspondence result with significant geometric structure.</x:v>
      </x:c>
    </x:row>
    <x:row r="98" ht="38" customHeight="1">
      <x:c r="A98" s="174" t="n">
        <x:v>97</x:v>
      </x:c>
      <x:c r="B98" s="7" t="str">
        <x:v>2026-07</x:v>
      </x:c>
      <x:c r="C98" s="7" t="str">
        <x:v>2607.13742</x:v>
      </x:c>
      <x:c r="D98" s="7" t="str">
        <x:v>A sharp relative comparison inequality for conformal fillings of Poincare-Einstein manifolds</x:v>
      </x:c>
      <x:c r="E98" s="7" t="str">
        <x:v>Nan Wu</x:v>
      </x:c>
      <x:c r="F98" s="7" t="str">
        <x:v>Poincare-Einstein fillings</x:v>
      </x:c>
      <x:c r="G98" s="6" t="n">
        <x:v>30</x:v>
      </x:c>
      <x:c r="H98" s="28" t="n">
        <x:v>90.175</x:v>
      </x:c>
      <x:c r="I98" s="28" t="n">
        <x:v>90.25</x:v>
      </x:c>
      <x:c r="J98" s="28" t="n">
        <x:v>90.1</x:v>
      </x:c>
      <x:c r="K98" s="174" t="n">
        <x:v>91</x:v>
      </x:c>
      <x:c r="L98" s="174" t="n">
        <x:v>90</x:v>
      </x:c>
      <x:c r="M98" s="174" t="n">
        <x:v>92</x:v>
      </x:c>
      <x:c r="N98" s="174" t="n">
        <x:v>89</x:v>
      </x:c>
      <x:c r="O98" s="174" t="n">
        <x:v>92</x:v>
      </x:c>
      <x:c r="P98" s="174" t="n">
        <x:v>86</x:v>
      </x:c>
      <x:c r="Q98" s="174" t="n">
        <x:v>12</x:v>
      </x:c>
      <x:c r="R98" s="7" t="str">
        <x:v>https://arxiv.org/abs/2607.13742</x:v>
      </x:c>
      <x:c r="S98" s="7" t="str">
        <x:v>Top100</x:v>
      </x:c>
      <x:c r="T98" s="7" t="str">
        <x:v>Sharp comparison inequality in conformal/geometric analysis.</x:v>
      </x:c>
    </x:row>
    <x:row r="99" ht="38" customHeight="1">
      <x:c r="A99" s="174" t="n">
        <x:v>98</x:v>
      </x:c>
      <x:c r="B99" s="7" t="str">
        <x:v>2026-07</x:v>
      </x:c>
      <x:c r="C99" s="7" t="str">
        <x:v>2607.13760</x:v>
      </x:c>
      <x:c r="D99" s="7" t="str">
        <x:v>Strict concavity of the growth indicator function for relatively Anosov groups</x:v>
      </x:c>
      <x:c r="E99" s="7" t="str">
        <x:v>Dongryul M. Kim; Hee Oh; Andrew Zimmer</x:v>
      </x:c>
      <x:c r="F99" s="7" t="str">
        <x:v>Anosov groups / growth indicators</x:v>
      </x:c>
      <x:c r="G99" s="6" t="n">
        <x:v>31</x:v>
      </x:c>
      <x:c r="H99" s="28" t="n">
        <x:v>90.175</x:v>
      </x:c>
      <x:c r="I99" s="28" t="n">
        <x:v>90.25</x:v>
      </x:c>
      <x:c r="J99" s="28" t="n">
        <x:v>90.1</x:v>
      </x:c>
      <x:c r="K99" s="174" t="n">
        <x:v>91</x:v>
      </x:c>
      <x:c r="L99" s="174" t="n">
        <x:v>90</x:v>
      </x:c>
      <x:c r="M99" s="174" t="n">
        <x:v>92</x:v>
      </x:c>
      <x:c r="N99" s="174" t="n">
        <x:v>89</x:v>
      </x:c>
      <x:c r="O99" s="174" t="n">
        <x:v>92</x:v>
      </x:c>
      <x:c r="P99" s="174" t="n">
        <x:v>86</x:v>
      </x:c>
      <x:c r="Q99" s="174" t="n">
        <x:v>12</x:v>
      </x:c>
      <x:c r="R99" s="7" t="str">
        <x:v>https://arxiv.org/abs/2607.13760</x:v>
      </x:c>
      <x:c r="S99" s="7" t="str">
        <x:v>Top100</x:v>
      </x:c>
      <x:c r="T99" s="7" t="str">
        <x:v>Growth indicator concavity for relatively Anosov groups; strong dynamics/geometry cross-value.</x:v>
      </x:c>
    </x:row>
    <x:row r="100" ht="38" customHeight="1">
      <x:c r="A100" s="174" t="n">
        <x:v>99</x:v>
      </x:c>
      <x:c r="B100" s="7" t="str">
        <x:v>2026-07</x:v>
      </x:c>
      <x:c r="C100" s="7" t="str">
        <x:v>2607.13890</x:v>
      </x:c>
      <x:c r="D100" s="7" t="str">
        <x:v>Heat Kernel and Closed Geodesic Asymptotics for Nilpotent Coverings</x:v>
      </x:c>
      <x:c r="E100" s="7" t="str">
        <x:v>Atsushi Katsuda</x:v>
      </x:c>
      <x:c r="F100" s="7" t="str">
        <x:v>heat kernels / closed geodesics</x:v>
      </x:c>
      <x:c r="G100" s="6" t="n">
        <x:v>84</x:v>
      </x:c>
      <x:c r="H100" s="28" t="n">
        <x:v>90.175</x:v>
      </x:c>
      <x:c r="I100" s="28" t="n">
        <x:v>90.25</x:v>
      </x:c>
      <x:c r="J100" s="28" t="n">
        <x:v>90.1</x:v>
      </x:c>
      <x:c r="K100" s="174" t="n">
        <x:v>91</x:v>
      </x:c>
      <x:c r="L100" s="174" t="n">
        <x:v>90</x:v>
      </x:c>
      <x:c r="M100" s="174" t="n">
        <x:v>92</x:v>
      </x:c>
      <x:c r="N100" s="174" t="n">
        <x:v>89</x:v>
      </x:c>
      <x:c r="O100" s="174" t="n">
        <x:v>92</x:v>
      </x:c>
      <x:c r="P100" s="174" t="n">
        <x:v>86</x:v>
      </x:c>
      <x:c r="Q100" s="174" t="n">
        <x:v>12</x:v>
      </x:c>
      <x:c r="R100" s="7" t="str">
        <x:v>https://arxiv.org/abs/2607.13890</x:v>
      </x:c>
      <x:c r="S100" s="7" t="str">
        <x:v>Top100</x:v>
      </x:c>
      <x:c r="T100" s="7" t="str">
        <x:v>Heat-kernel and closed-geodesic asymptotics; useful spectral-geometric contribution.</x:v>
      </x:c>
    </x:row>
    <x:row r="101" ht="38" customHeight="1">
      <x:c r="A101" s="174" t="n">
        <x:v>100</x:v>
      </x:c>
      <x:c r="B101" s="7" t="str">
        <x:v>2026-07</x:v>
      </x:c>
      <x:c r="C101" s="7" t="str">
        <x:v>2607.14244</x:v>
      </x:c>
      <x:c r="D101" s="7" t="str">
        <x:v>Scalar Curvature and Product Manifolds</x:v>
      </x:c>
      <x:c r="E101" s="7" t="str">
        <x:v>Claude LeBrun</x:v>
      </x:c>
      <x:c r="F101" s="7" t="str">
        <x:v>scalar curvature / product manifolds</x:v>
      </x:c>
      <x:c r="G101" s="6" t="n">
        <x:v>11</x:v>
      </x:c>
      <x:c r="H101" s="28" t="n">
        <x:v>90.175</x:v>
      </x:c>
      <x:c r="I101" s="28" t="n">
        <x:v>90.25</x:v>
      </x:c>
      <x:c r="J101" s="28" t="n">
        <x:v>90.1</x:v>
      </x:c>
      <x:c r="K101" s="174" t="n">
        <x:v>91</x:v>
      </x:c>
      <x:c r="L101" s="174" t="n">
        <x:v>90</x:v>
      </x:c>
      <x:c r="M101" s="174" t="n">
        <x:v>92</x:v>
      </x:c>
      <x:c r="N101" s="174" t="n">
        <x:v>89</x:v>
      </x:c>
      <x:c r="O101" s="174" t="n">
        <x:v>92</x:v>
      </x:c>
      <x:c r="P101" s="174" t="n">
        <x:v>86</x:v>
      </x:c>
      <x:c r="Q101" s="174" t="n">
        <x:v>12</x:v>
      </x:c>
      <x:c r="R101" s="7" t="str">
        <x:v>https://arxiv.org/abs/2607.14244</x:v>
      </x:c>
      <x:c r="S101" s="7" t="str">
        <x:v>Top100</x:v>
      </x:c>
      <x:c r="T101" s="7" t="str">
        <x:v>Concise scalar-curvature result by a leading author; high conceptual signal.</x:v>
      </x:c>
    </x:row>
    <x:row r="102" ht="38" customHeight="1">
      <x:c r="A102" s="174" t="n">
        <x:v>101</x:v>
      </x:c>
      <x:c r="B102" s="7" t="str">
        <x:v>2026-07</x:v>
      </x:c>
      <x:c r="C102" s="7" t="str">
        <x:v>2607.14857</x:v>
      </x:c>
      <x:c r="D102" s="7" t="str">
        <x:v>A framework for producing harmonic maps</x:v>
      </x:c>
      <x:c r="E102" s="7" t="str">
        <x:v>Volker Branding; Anna Siffert</x:v>
      </x:c>
      <x:c r="F102" s="7" t="str">
        <x:v>harmonic maps</x:v>
      </x:c>
      <x:c r="G102" s="6" t="str">
        <x:v>-</x:v>
      </x:c>
      <x:c r="H102" s="28" t="n">
        <x:v>90.175</x:v>
      </x:c>
      <x:c r="I102" s="28" t="n">
        <x:v>90.25</x:v>
      </x:c>
      <x:c r="J102" s="28" t="n">
        <x:v>90.1</x:v>
      </x:c>
      <x:c r="K102" s="174" t="n">
        <x:v>91</x:v>
      </x:c>
      <x:c r="L102" s="174" t="n">
        <x:v>90</x:v>
      </x:c>
      <x:c r="M102" s="174" t="n">
        <x:v>92</x:v>
      </x:c>
      <x:c r="N102" s="174" t="n">
        <x:v>89</x:v>
      </x:c>
      <x:c r="O102" s="174" t="n">
        <x:v>92</x:v>
      </x:c>
      <x:c r="P102" s="174" t="n">
        <x:v>86</x:v>
      </x:c>
      <x:c r="Q102" s="174" t="n">
        <x:v>12</x:v>
      </x:c>
      <x:c r="R102" s="7" t="str">
        <x:v>https://arxiv.org/abs/2607.14857</x:v>
      </x:c>
      <x:c r="S102" s="7"/>
      <x:c r="T102" s="7" t="str">
        <x:v>General harmonic-map production framework; solid but moderate novelty signal.</x:v>
      </x:c>
    </x:row>
    <x:row r="103" ht="38" customHeight="1">
      <x:c r="A103" s="174" t="n">
        <x:v>102</x:v>
      </x:c>
      <x:c r="B103" s="7" t="str">
        <x:v>2026-07</x:v>
      </x:c>
      <x:c r="C103" s="7" t="str">
        <x:v>2607.15106</x:v>
      </x:c>
      <x:c r="D103" s="7" t="str">
        <x:v>A quantitative Schur comparison theorem for curves in CAT(k) spaces</x:v>
      </x:c>
      <x:c r="E103" s="7" t="str">
        <x:v>Mohammad Ghomi; John Ioannis Stavroulakis</x:v>
      </x:c>
      <x:c r="F103" s="7" t="str">
        <x:v>CAT(k) comparison</x:v>
      </x:c>
      <x:c r="G103" s="6" t="n">
        <x:v>26</x:v>
      </x:c>
      <x:c r="H103" s="28" t="n">
        <x:v>90.175</x:v>
      </x:c>
      <x:c r="I103" s="28" t="n">
        <x:v>90.25</x:v>
      </x:c>
      <x:c r="J103" s="28" t="n">
        <x:v>90.1</x:v>
      </x:c>
      <x:c r="K103" s="174" t="n">
        <x:v>91</x:v>
      </x:c>
      <x:c r="L103" s="174" t="n">
        <x:v>90</x:v>
      </x:c>
      <x:c r="M103" s="174" t="n">
        <x:v>92</x:v>
      </x:c>
      <x:c r="N103" s="174" t="n">
        <x:v>89</x:v>
      </x:c>
      <x:c r="O103" s="174" t="n">
        <x:v>92</x:v>
      </x:c>
      <x:c r="P103" s="174" t="n">
        <x:v>86</x:v>
      </x:c>
      <x:c r="Q103" s="174" t="n">
        <x:v>12</x:v>
      </x:c>
      <x:c r="R103" s="7" t="str">
        <x:v>https://arxiv.org/abs/2607.15106</x:v>
      </x:c>
      <x:c r="S103" s="7"/>
      <x:c r="T103" s="7" t="str">
        <x:v>Metric comparison theorem with quantitative content.</x:v>
      </x:c>
    </x:row>
    <x:row r="104" ht="38" customHeight="1">
      <x:c r="A104" s="174" t="n">
        <x:v>103</x:v>
      </x:c>
      <x:c r="B104" s="7" t="str">
        <x:v>2026-07</x:v>
      </x:c>
      <x:c r="C104" s="7" t="str">
        <x:v>2607.18205</x:v>
      </x:c>
      <x:c r="D104" s="7" t="str">
        <x:v>Positivity and non-positivity results for the sixth-order Q-curvature of conformal metrics in R^n</x:v>
      </x:c>
      <x:c r="E104" s="7" t="str">
        <x:v>Jérôme Vétois; Samuel Zeitler</x:v>
      </x:c>
      <x:c r="F104" s="7" t="str">
        <x:v>Q-curvature / conformal metrics</x:v>
      </x:c>
      <x:c r="G104" s="6" t="str">
        <x:v>-</x:v>
      </x:c>
      <x:c r="H104" s="28" t="n">
        <x:v>90.175</x:v>
      </x:c>
      <x:c r="I104" s="28" t="n">
        <x:v>90.25</x:v>
      </x:c>
      <x:c r="J104" s="28" t="n">
        <x:v>90.1</x:v>
      </x:c>
      <x:c r="K104" s="174" t="n">
        <x:v>91</x:v>
      </x:c>
      <x:c r="L104" s="174" t="n">
        <x:v>90</x:v>
      </x:c>
      <x:c r="M104" s="174" t="n">
        <x:v>92</x:v>
      </x:c>
      <x:c r="N104" s="174" t="n">
        <x:v>89</x:v>
      </x:c>
      <x:c r="O104" s="174" t="n">
        <x:v>92</x:v>
      </x:c>
      <x:c r="P104" s="174" t="n">
        <x:v>86</x:v>
      </x:c>
      <x:c r="Q104" s="174" t="n">
        <x:v>12</x:v>
      </x:c>
      <x:c r="R104" s="7" t="str">
        <x:v>https://arxiv.org/abs/2607.18205</x:v>
      </x:c>
      <x:c r="S104" s="7"/>
      <x:c r="T104" s="7" t="str">
        <x:v>Sixth-order Q-curvature positivity/non-positivity results.</x:v>
      </x:c>
    </x:row>
    <x:row r="105" ht="38" customHeight="1">
      <x:c r="A105" s="174" t="n">
        <x:v>104</x:v>
      </x:c>
      <x:c r="B105" s="7" t="str">
        <x:v>2026-07</x:v>
      </x:c>
      <x:c r="C105" s="7" t="str">
        <x:v>2607.18782</x:v>
      </x:c>
      <x:c r="D105" s="7" t="str">
        <x:v>Sharp weighted Carleman and Huber isoperimetric inequalities on the unit ball in higher dimensions</x:v>
      </x:c>
      <x:c r="E105" s="7" t="str">
        <x:v>Zhijie Chen; Changfeng Gui; Shihong Zhang</x:v>
      </x:c>
      <x:c r="F105" s="7" t="str">
        <x:v>Carleman / Huber inequalities</x:v>
      </x:c>
      <x:c r="G105" s="6" t="n">
        <x:v>42</x:v>
      </x:c>
      <x:c r="H105" s="28" t="n">
        <x:v>90.175</x:v>
      </x:c>
      <x:c r="I105" s="28" t="n">
        <x:v>90.25</x:v>
      </x:c>
      <x:c r="J105" s="28" t="n">
        <x:v>90.1</x:v>
      </x:c>
      <x:c r="K105" s="174" t="n">
        <x:v>91</x:v>
      </x:c>
      <x:c r="L105" s="174" t="n">
        <x:v>90</x:v>
      </x:c>
      <x:c r="M105" s="174" t="n">
        <x:v>92</x:v>
      </x:c>
      <x:c r="N105" s="174" t="n">
        <x:v>89</x:v>
      </x:c>
      <x:c r="O105" s="174" t="n">
        <x:v>92</x:v>
      </x:c>
      <x:c r="P105" s="174" t="n">
        <x:v>86</x:v>
      </x:c>
      <x:c r="Q105" s="174" t="n">
        <x:v>12</x:v>
      </x:c>
      <x:c r="R105" s="7" t="str">
        <x:v>https://arxiv.org/abs/2607.18782</x:v>
      </x:c>
      <x:c r="S105" s="7"/>
      <x:c r="T105" s="7" t="str">
        <x:v>Sharp weighted inequalities with geometric-analysis consequences.</x:v>
      </x:c>
    </x:row>
    <x:row r="106" ht="38" customHeight="1">
      <x:c r="A106" s="174" t="n">
        <x:v>105</x:v>
      </x:c>
      <x:c r="B106" s="7" t="str">
        <x:v>2026-07</x:v>
      </x:c>
      <x:c r="C106" s="7" t="str">
        <x:v>2607.20350</x:v>
      </x:c>
      <x:c r="D106" s="7" t="str">
        <x:v>Modified Mean Curvature Flow in Fuchsian Manifolds</x:v>
      </x:c>
      <x:c r="E106" s="7" t="str">
        <x:v>Yuk Shing Lam; Longzhi Lin</x:v>
      </x:c>
      <x:c r="F106" s="7" t="str">
        <x:v>modified mean curvature flow</x:v>
      </x:c>
      <x:c r="G106" s="6" t="n">
        <x:v>38</x:v>
      </x:c>
      <x:c r="H106" s="28" t="n">
        <x:v>90.175</x:v>
      </x:c>
      <x:c r="I106" s="28" t="n">
        <x:v>90.25</x:v>
      </x:c>
      <x:c r="J106" s="28" t="n">
        <x:v>90.1</x:v>
      </x:c>
      <x:c r="K106" s="174" t="n">
        <x:v>91</x:v>
      </x:c>
      <x:c r="L106" s="174" t="n">
        <x:v>90</x:v>
      </x:c>
      <x:c r="M106" s="174" t="n">
        <x:v>92</x:v>
      </x:c>
      <x:c r="N106" s="174" t="n">
        <x:v>89</x:v>
      </x:c>
      <x:c r="O106" s="174" t="n">
        <x:v>92</x:v>
      </x:c>
      <x:c r="P106" s="174" t="n">
        <x:v>86</x:v>
      </x:c>
      <x:c r="Q106" s="174" t="n">
        <x:v>12</x:v>
      </x:c>
      <x:c r="R106" s="7" t="str">
        <x:v>https://arxiv.org/abs/2607.20350</x:v>
      </x:c>
      <x:c r="S106" s="7"/>
      <x:c r="T106" s="7" t="str">
        <x:v>Flow theory in Fuchsian manifolds; solid specialized geometric PDE contribution.</x:v>
      </x:c>
    </x:row>
    <x:row r="107" ht="38" customHeight="1">
      <x:c r="A107" s="174" t="n">
        <x:v>106</x:v>
      </x:c>
      <x:c r="B107" s="7" t="str">
        <x:v>2026-07</x:v>
      </x:c>
      <x:c r="C107" s="7" t="str">
        <x:v>2607.21031</x:v>
      </x:c>
      <x:c r="D107" s="7" t="str">
        <x:v>Structure theory of BV functions and finite perimeter sets on Riemannian manifolds</x:v>
      </x:c>
      <x:c r="E107" s="7" t="str">
        <x:v>Péter Koltai; Kathrin Völkner</x:v>
      </x:c>
      <x:c r="F107" s="7" t="str">
        <x:v>BV / finite perimeter</x:v>
      </x:c>
      <x:c r="G107" s="6" t="n">
        <x:v>39</x:v>
      </x:c>
      <x:c r="H107" s="28" t="n">
        <x:v>90.175</x:v>
      </x:c>
      <x:c r="I107" s="28" t="n">
        <x:v>90.25</x:v>
      </x:c>
      <x:c r="J107" s="28" t="n">
        <x:v>90.1</x:v>
      </x:c>
      <x:c r="K107" s="174" t="n">
        <x:v>91</x:v>
      </x:c>
      <x:c r="L107" s="174" t="n">
        <x:v>90</x:v>
      </x:c>
      <x:c r="M107" s="174" t="n">
        <x:v>92</x:v>
      </x:c>
      <x:c r="N107" s="174" t="n">
        <x:v>89</x:v>
      </x:c>
      <x:c r="O107" s="174" t="n">
        <x:v>92</x:v>
      </x:c>
      <x:c r="P107" s="174" t="n">
        <x:v>86</x:v>
      </x:c>
      <x:c r="Q107" s="174" t="n">
        <x:v>12</x:v>
      </x:c>
      <x:c r="R107" s="7" t="str">
        <x:v>https://arxiv.org/abs/2607.21031</x:v>
      </x:c>
      <x:c r="S107" s="7"/>
      <x:c r="T107" s="7" t="str">
        <x:v>Metric/geometric measure-theoretic structure theory on manifolds.</x:v>
      </x:c>
    </x:row>
    <x:row r="108" ht="38" customHeight="1">
      <x:c r="A108" s="174" t="n">
        <x:v>107</x:v>
      </x:c>
      <x:c r="B108" s="7" t="str">
        <x:v>2026-07</x:v>
      </x:c>
      <x:c r="C108" s="7" t="str">
        <x:v>2607.23703</x:v>
      </x:c>
      <x:c r="D108" s="7" t="str">
        <x:v>Plateau's Problem via covering spaces</x:v>
      </x:c>
      <x:c r="E108" s="7" t="str">
        <x:v>James Tissot</x:v>
      </x:c>
      <x:c r="F108" s="7" t="str">
        <x:v>Plateau problem</x:v>
      </x:c>
      <x:c r="G108" s="6" t="n">
        <x:v>42</x:v>
      </x:c>
      <x:c r="H108" s="28" t="n">
        <x:v>90.175</x:v>
      </x:c>
      <x:c r="I108" s="28" t="n">
        <x:v>90.25</x:v>
      </x:c>
      <x:c r="J108" s="28" t="n">
        <x:v>90.1</x:v>
      </x:c>
      <x:c r="K108" s="174" t="n">
        <x:v>91</x:v>
      </x:c>
      <x:c r="L108" s="174" t="n">
        <x:v>90</x:v>
      </x:c>
      <x:c r="M108" s="174" t="n">
        <x:v>92</x:v>
      </x:c>
      <x:c r="N108" s="174" t="n">
        <x:v>89</x:v>
      </x:c>
      <x:c r="O108" s="174" t="n">
        <x:v>92</x:v>
      </x:c>
      <x:c r="P108" s="174" t="n">
        <x:v>86</x:v>
      </x:c>
      <x:c r="Q108" s="174" t="n">
        <x:v>12</x:v>
      </x:c>
      <x:c r="R108" s="7" t="str">
        <x:v>https://arxiv.org/abs/2607.23703</x:v>
      </x:c>
      <x:c r="S108" s="7"/>
      <x:c r="T108" s="7" t="str">
        <x:v>Plateau problem reformulation via covering spaces; broad classical problem context.</x:v>
      </x:c>
    </x:row>
    <x:row r="109" ht="38" customHeight="1">
      <x:c r="A109" s="174" t="n">
        <x:v>108</x:v>
      </x:c>
      <x:c r="B109" s="7" t="str">
        <x:v>2026-07</x:v>
      </x:c>
      <x:c r="C109" s="7" t="str">
        <x:v>2607.23827</x:v>
      </x:c>
      <x:c r="D109" s="7" t="str">
        <x:v>The sharp curl-Sobolev inequality</x:v>
      </x:c>
      <x:c r="E109" s="7" t="str">
        <x:v>Guofang Wang; Mingwei Zhang</x:v>
      </x:c>
      <x:c r="F109" s="7" t="str">
        <x:v>sharp curl-Sobolev inequality</x:v>
      </x:c>
      <x:c r="G109" s="6" t="str">
        <x:v>-</x:v>
      </x:c>
      <x:c r="H109" s="28" t="n">
        <x:v>90.175</x:v>
      </x:c>
      <x:c r="I109" s="28" t="n">
        <x:v>90.25</x:v>
      </x:c>
      <x:c r="J109" s="28" t="n">
        <x:v>90.1</x:v>
      </x:c>
      <x:c r="K109" s="174" t="n">
        <x:v>91</x:v>
      </x:c>
      <x:c r="L109" s="174" t="n">
        <x:v>90</x:v>
      </x:c>
      <x:c r="M109" s="174" t="n">
        <x:v>92</x:v>
      </x:c>
      <x:c r="N109" s="174" t="n">
        <x:v>89</x:v>
      </x:c>
      <x:c r="O109" s="174" t="n">
        <x:v>92</x:v>
      </x:c>
      <x:c r="P109" s="174" t="n">
        <x:v>86</x:v>
      </x:c>
      <x:c r="Q109" s="174" t="n">
        <x:v>12</x:v>
      </x:c>
      <x:c r="R109" s="7" t="str">
        <x:v>https://arxiv.org/abs/2607.23827</x:v>
      </x:c>
      <x:c r="S109" s="7"/>
      <x:c r="T109" s="7" t="str">
        <x:v>Sharp Sobolev-type inequality; shorter but with useful analytic geometry impact.</x:v>
      </x:c>
    </x:row>
    <x:row r="110" ht="38" customHeight="1">
      <x:c r="A110" s="174" t="n">
        <x:v>109</x:v>
      </x:c>
      <x:c r="B110" s="7" t="str">
        <x:v>2026-07</x:v>
      </x:c>
      <x:c r="C110" s="7" t="str">
        <x:v>2607.23872</x:v>
      </x:c>
      <x:c r="D110" s="7" t="str">
        <x:v>A Partial epsilon-Regularity Theorem for Integral Stationary Geodesic Networks in R^n</x:v>
      </x:c>
      <x:c r="E110" s="7" t="str">
        <x:v>Henry Bosch</x:v>
      </x:c>
      <x:c r="F110" s="7" t="str">
        <x:v>stationary geodesic networks</x:v>
      </x:c>
      <x:c r="G110" s="6" t="str">
        <x:v>-</x:v>
      </x:c>
      <x:c r="H110" s="28" t="n">
        <x:v>90.175</x:v>
      </x:c>
      <x:c r="I110" s="28" t="n">
        <x:v>90.25</x:v>
      </x:c>
      <x:c r="J110" s="28" t="n">
        <x:v>90.1</x:v>
      </x:c>
      <x:c r="K110" s="174" t="n">
        <x:v>91</x:v>
      </x:c>
      <x:c r="L110" s="174" t="n">
        <x:v>90</x:v>
      </x:c>
      <x:c r="M110" s="174" t="n">
        <x:v>92</x:v>
      </x:c>
      <x:c r="N110" s="174" t="n">
        <x:v>89</x:v>
      </x:c>
      <x:c r="O110" s="174" t="n">
        <x:v>92</x:v>
      </x:c>
      <x:c r="P110" s="174" t="n">
        <x:v>86</x:v>
      </x:c>
      <x:c r="Q110" s="174" t="n">
        <x:v>12</x:v>
      </x:c>
      <x:c r="R110" s="7" t="str">
        <x:v>https://arxiv.org/abs/2607.23872</x:v>
      </x:c>
      <x:c r="S110" s="7"/>
      <x:c r="T110" s="7" t="str">
        <x:v>Partial regularity for stationary geodesic networks; technical GMT contribution.</x:v>
      </x:c>
    </x:row>
    <x:row r="111" ht="38" customHeight="1">
      <x:c r="A111" s="174" t="n">
        <x:v>110</x:v>
      </x:c>
      <x:c r="B111" s="7" t="str">
        <x:v>2026-07</x:v>
      </x:c>
      <x:c r="C111" s="7" t="str">
        <x:v>2607.26302</x:v>
      </x:c>
      <x:c r="D111" s="7" t="str">
        <x:v>Special Lagrangians with multiple isolated singularities</x:v>
      </x:c>
      <x:c r="E111" s="7" t="str">
        <x:v>Bryan Dimler; Filippo Gaia</x:v>
      </x:c>
      <x:c r="F111" s="7" t="str">
        <x:v>special Lagrangians</x:v>
      </x:c>
      <x:c r="G111" s="6" t="n">
        <x:v>34</x:v>
      </x:c>
      <x:c r="H111" s="28" t="n">
        <x:v>90.175</x:v>
      </x:c>
      <x:c r="I111" s="28" t="n">
        <x:v>90.25</x:v>
      </x:c>
      <x:c r="J111" s="28" t="n">
        <x:v>90.1</x:v>
      </x:c>
      <x:c r="K111" s="174" t="n">
        <x:v>91</x:v>
      </x:c>
      <x:c r="L111" s="174" t="n">
        <x:v>90</x:v>
      </x:c>
      <x:c r="M111" s="174" t="n">
        <x:v>92</x:v>
      </x:c>
      <x:c r="N111" s="174" t="n">
        <x:v>89</x:v>
      </x:c>
      <x:c r="O111" s="174" t="n">
        <x:v>92</x:v>
      </x:c>
      <x:c r="P111" s="174" t="n">
        <x:v>86</x:v>
      </x:c>
      <x:c r="Q111" s="174" t="n">
        <x:v>12</x:v>
      </x:c>
      <x:c r="R111" s="7" t="str">
        <x:v>https://arxiv.org/abs/2607.26302</x:v>
      </x:c>
      <x:c r="S111" s="7"/>
      <x:c r="T111" s="7" t="str">
        <x:v>Special Lagrangian singularity construction; good calibrated-geometry relevance.</x:v>
      </x:c>
    </x:row>
    <x:row r="112" ht="38" customHeight="1">
      <x:c r="A112" s="174" t="n">
        <x:v>111</x:v>
      </x:c>
      <x:c r="B112" s="7" t="str">
        <x:v>2026-07</x:v>
      </x:c>
      <x:c r="C112" s="7" t="str">
        <x:v>2607.26677</x:v>
      </x:c>
      <x:c r="D112" s="7" t="str">
        <x:v>A Harmonic-Map Proof of Mostow Rigidity</x:v>
      </x:c>
      <x:c r="E112" s="7" t="str">
        <x:v>Guoyi Xu</x:v>
      </x:c>
      <x:c r="F112" s="7" t="str">
        <x:v>Mostow rigidity / harmonic maps</x:v>
      </x:c>
      <x:c r="G112" s="6" t="str">
        <x:v>-</x:v>
      </x:c>
      <x:c r="H112" s="28" t="n">
        <x:v>90.175</x:v>
      </x:c>
      <x:c r="I112" s="28" t="n">
        <x:v>90.25</x:v>
      </x:c>
      <x:c r="J112" s="28" t="n">
        <x:v>90.1</x:v>
      </x:c>
      <x:c r="K112" s="174" t="n">
        <x:v>91</x:v>
      </x:c>
      <x:c r="L112" s="174" t="n">
        <x:v>90</x:v>
      </x:c>
      <x:c r="M112" s="174" t="n">
        <x:v>92</x:v>
      </x:c>
      <x:c r="N112" s="174" t="n">
        <x:v>89</x:v>
      </x:c>
      <x:c r="O112" s="174" t="n">
        <x:v>92</x:v>
      </x:c>
      <x:c r="P112" s="174" t="n">
        <x:v>86</x:v>
      </x:c>
      <x:c r="Q112" s="174" t="n">
        <x:v>12</x:v>
      </x:c>
      <x:c r="R112" s="7" t="str">
        <x:v>https://arxiv.org/abs/2607.26677</x:v>
      </x:c>
      <x:c r="S112" s="7"/>
      <x:c r="T112" s="7" t="str">
        <x:v>Alternative harmonic-map proof of a classical rigidity theorem; expository/reframing value.</x:v>
      </x:c>
    </x:row>
    <x:row r="113" ht="38" customHeight="1">
      <x:c r="A113" s="174" t="n">
        <x:v>112</x:v>
      </x:c>
      <x:c r="B113" s="7" t="str">
        <x:v>2026-07</x:v>
      </x:c>
      <x:c r="C113" s="7" t="str">
        <x:v>2607.29315</x:v>
      </x:c>
      <x:c r="D113" s="7" t="str">
        <x:v>Branching of regular abnormal geodesics in sub-Riemannian manifolds of rank two</x:v>
      </x:c>
      <x:c r="E113" s="7" t="str">
        <x:v>Luca Rizzi; Mario Sigalotti; Nicolò Tedesco</x:v>
      </x:c>
      <x:c r="F113" s="7" t="str">
        <x:v>sub-Riemannian geometry</x:v>
      </x:c>
      <x:c r="G113" s="6" t="n">
        <x:v>32</x:v>
      </x:c>
      <x:c r="H113" s="28" t="n">
        <x:v>90.175</x:v>
      </x:c>
      <x:c r="I113" s="28" t="n">
        <x:v>90.25</x:v>
      </x:c>
      <x:c r="J113" s="28" t="n">
        <x:v>90.1</x:v>
      </x:c>
      <x:c r="K113" s="174" t="n">
        <x:v>91</x:v>
      </x:c>
      <x:c r="L113" s="174" t="n">
        <x:v>90</x:v>
      </x:c>
      <x:c r="M113" s="174" t="n">
        <x:v>92</x:v>
      </x:c>
      <x:c r="N113" s="174" t="n">
        <x:v>89</x:v>
      </x:c>
      <x:c r="O113" s="174" t="n">
        <x:v>92</x:v>
      </x:c>
      <x:c r="P113" s="174" t="n">
        <x:v>86</x:v>
      </x:c>
      <x:c r="Q113" s="174" t="n">
        <x:v>12</x:v>
      </x:c>
      <x:c r="R113" s="7" t="str">
        <x:v>https://arxiv.org/abs/2607.29315</x:v>
      </x:c>
      <x:c r="S113" s="7"/>
      <x:c r="T113" s="7" t="str">
        <x:v>Abnormal geodesic branching in rank-two sub-Riemannian geometry.</x:v>
      </x:c>
    </x:row>
    <x:row r="114" ht="38" customHeight="1">
      <x:c r="A114" s="174" t="n">
        <x:v>113</x:v>
      </x:c>
      <x:c r="B114" s="7" t="str">
        <x:v>2026-07</x:v>
      </x:c>
      <x:c r="C114" s="7" t="str">
        <x:v>2607.29667</x:v>
      </x:c>
      <x:c r="D114" s="7" t="str">
        <x:v>The large mass limit of monopoles: abelian limits and Dirac singularities</x:v>
      </x:c>
      <x:c r="E114" s="7" t="str">
        <x:v>Daniel Fadel</x:v>
      </x:c>
      <x:c r="F114" s="7" t="str">
        <x:v>monopoles / Dirac singularities</x:v>
      </x:c>
      <x:c r="G114" s="6" t="n">
        <x:v>20</x:v>
      </x:c>
      <x:c r="H114" s="28" t="n">
        <x:v>90.175</x:v>
      </x:c>
      <x:c r="I114" s="28" t="n">
        <x:v>90.25</x:v>
      </x:c>
      <x:c r="J114" s="28" t="n">
        <x:v>90.1</x:v>
      </x:c>
      <x:c r="K114" s="174" t="n">
        <x:v>91</x:v>
      </x:c>
      <x:c r="L114" s="174" t="n">
        <x:v>90</x:v>
      </x:c>
      <x:c r="M114" s="174" t="n">
        <x:v>92</x:v>
      </x:c>
      <x:c r="N114" s="174" t="n">
        <x:v>89</x:v>
      </x:c>
      <x:c r="O114" s="174" t="n">
        <x:v>92</x:v>
      </x:c>
      <x:c r="P114" s="174" t="n">
        <x:v>86</x:v>
      </x:c>
      <x:c r="Q114" s="174" t="n">
        <x:v>12</x:v>
      </x:c>
      <x:c r="R114" s="7" t="str">
        <x:v>https://arxiv.org/abs/2607.29667</x:v>
      </x:c>
      <x:c r="S114" s="7"/>
      <x:c r="T114" s="7" t="str">
        <x:v>Gauge-theoretic asymptotic limit with Dirac singularities; mathematically focused.</x:v>
      </x:c>
    </x:row>
    <x:row r="115" ht="38" customHeight="1">
      <x:c r="A115" s="174" t="n">
        <x:v>114</x:v>
      </x:c>
      <x:c r="B115" s="7" t="str">
        <x:v>2026-08</x:v>
      </x:c>
      <x:c r="C115" s="7" t="str">
        <x:v>2608.03442</x:v>
      </x:c>
      <x:c r="D115" s="7" t="str">
        <x:v>Lipschitz regularity of harmonic map heat flows from RCD spaces into CAT(0) spaces</x:v>
      </x:c>
      <x:c r="E115" s="7" t="str">
        <x:v>Bang-Xian Han; Hui-Chun Zhang; Xi-Ping Zhu</x:v>
      </x:c>
      <x:c r="F115" s="7" t="str">
        <x:v>RCD spaces / harmonic map heat flow</x:v>
      </x:c>
      <x:c r="G115" s="6" t="str">
        <x:v>-</x:v>
      </x:c>
      <x:c r="H115" s="28" t="n">
        <x:v>90.175</x:v>
      </x:c>
      <x:c r="I115" s="28" t="n">
        <x:v>90.25</x:v>
      </x:c>
      <x:c r="J115" s="28" t="n">
        <x:v>90.1</x:v>
      </x:c>
      <x:c r="K115" s="174" t="n">
        <x:v>91</x:v>
      </x:c>
      <x:c r="L115" s="174" t="n">
        <x:v>90</x:v>
      </x:c>
      <x:c r="M115" s="174" t="n">
        <x:v>92</x:v>
      </x:c>
      <x:c r="N115" s="174" t="n">
        <x:v>89</x:v>
      </x:c>
      <x:c r="O115" s="174" t="n">
        <x:v>92</x:v>
      </x:c>
      <x:c r="P115" s="174" t="n">
        <x:v>86</x:v>
      </x:c>
      <x:c r="Q115" s="174" t="n">
        <x:v>12</x:v>
      </x:c>
      <x:c r="R115" s="7" t="str">
        <x:v>https://arxiv.org/abs/2608.03442</x:v>
      </x:c>
      <x:c r="S115" s="7"/>
      <x:c r="T115" s="7" t="str">
        <x:v>Regularity of harmonic map heat flows in nonsmooth target/source geometry.</x:v>
      </x:c>
    </x:row>
    <x:row r="116" ht="38" customHeight="1">
      <x:c r="A116" s="174" t="n">
        <x:v>115</x:v>
      </x:c>
      <x:c r="B116" s="7" t="str">
        <x:v>2026-08</x:v>
      </x:c>
      <x:c r="C116" s="7" t="str">
        <x:v>2608.03572</x:v>
      </x:c>
      <x:c r="D116" s="7" t="str">
        <x:v>CscK metrics on birational models of projective varieties</x:v>
      </x:c>
      <x:c r="E116" s="7" t="str">
        <x:v>Zakarias Sjöström Dyrefelt</x:v>
      </x:c>
      <x:c r="F116" s="7" t="str">
        <x:v>cscK metrics / birational geometry</x:v>
      </x:c>
      <x:c r="G116" s="6" t="n">
        <x:v>30</x:v>
      </x:c>
      <x:c r="H116" s="28" t="n">
        <x:v>90.175</x:v>
      </x:c>
      <x:c r="I116" s="28" t="n">
        <x:v>90.25</x:v>
      </x:c>
      <x:c r="J116" s="28" t="n">
        <x:v>90.1</x:v>
      </x:c>
      <x:c r="K116" s="174" t="n">
        <x:v>91</x:v>
      </x:c>
      <x:c r="L116" s="174" t="n">
        <x:v>90</x:v>
      </x:c>
      <x:c r="M116" s="174" t="n">
        <x:v>92</x:v>
      </x:c>
      <x:c r="N116" s="174" t="n">
        <x:v>89</x:v>
      </x:c>
      <x:c r="O116" s="174" t="n">
        <x:v>92</x:v>
      </x:c>
      <x:c r="P116" s="174" t="n">
        <x:v>86</x:v>
      </x:c>
      <x:c r="Q116" s="174" t="n">
        <x:v>12</x:v>
      </x:c>
      <x:c r="R116" s="7" t="str">
        <x:v>https://arxiv.org/abs/2608.03572</x:v>
      </x:c>
      <x:c r="S116" s="7"/>
      <x:c r="T116" s="7" t="str">
        <x:v>cscK existence on birational models; central Kähler geometry theme.</x:v>
      </x:c>
    </x:row>
    <x:row r="117" ht="38" customHeight="1">
      <x:c r="A117" s="174" t="n">
        <x:v>116</x:v>
      </x:c>
      <x:c r="B117" s="7" t="str">
        <x:v>2026-08</x:v>
      </x:c>
      <x:c r="C117" s="7" t="str">
        <x:v>2608.04718</x:v>
      </x:c>
      <x:c r="D117" s="7" t="str">
        <x:v>Ideal points, directed completion and the case of the maximally extended Schwarzschild spacetime</x:v>
      </x:c>
      <x:c r="E117" s="7" t="str">
        <x:v>Nicola Gigli; Argam Ohanyan; Marco Picerni; Zhe-Feng Xu; Matteo Zanardini</x:v>
      </x:c>
      <x:c r="F117" s="7" t="str">
        <x:v>Lorentzian geometry / Schwarzschild</x:v>
      </x:c>
      <x:c r="G117" s="6" t="n">
        <x:v>26</x:v>
      </x:c>
      <x:c r="H117" s="28" t="n">
        <x:v>90.175</x:v>
      </x:c>
      <x:c r="I117" s="28" t="n">
        <x:v>90.25</x:v>
      </x:c>
      <x:c r="J117" s="28" t="n">
        <x:v>90.1</x:v>
      </x:c>
      <x:c r="K117" s="174" t="n">
        <x:v>91</x:v>
      </x:c>
      <x:c r="L117" s="174" t="n">
        <x:v>90</x:v>
      </x:c>
      <x:c r="M117" s="174" t="n">
        <x:v>92</x:v>
      </x:c>
      <x:c r="N117" s="174" t="n">
        <x:v>89</x:v>
      </x:c>
      <x:c r="O117" s="174" t="n">
        <x:v>92</x:v>
      </x:c>
      <x:c r="P117" s="174" t="n">
        <x:v>86</x:v>
      </x:c>
      <x:c r="Q117" s="174" t="n">
        <x:v>12</x:v>
      </x:c>
      <x:c r="R117" s="7" t="str">
        <x:v>https://arxiv.org/abs/2608.04718</x:v>
      </x:c>
      <x:c r="S117" s="7"/>
      <x:c r="T117" s="7" t="str">
        <x:v>Metric completion viewpoint on Schwarzschild spacetime; good Lorentzian-geometry contribution.</x:v>
      </x:c>
    </x:row>
    <x:row r="118" ht="38" customHeight="1">
      <x:c r="A118" s="174" t="n">
        <x:v>117</x:v>
      </x:c>
      <x:c r="B118" s="7" t="str">
        <x:v>2026-06</x:v>
      </x:c>
      <x:c r="C118" s="7" t="str">
        <x:v>2606.08648</x:v>
      </x:c>
      <x:c r="D118" s="7" t="str">
        <x:v>On Brezis Open Problem 3.1</x:v>
      </x:c>
      <x:c r="E118" s="7" t="str">
        <x:v>Qi Guo; Xueping Huang; Yi C. Huang; Fanghua Lin; Juncheng Wei</x:v>
      </x:c>
      <x:c r="F118" s="7" t="str">
        <x:v>geometric variational problem</x:v>
      </x:c>
      <x:c r="G118" s="6" t="n">
        <x:v>20</x:v>
      </x:c>
      <x:c r="H118" s="28" t="n">
        <x:v>90.07</x:v>
      </x:c>
      <x:c r="I118" s="28" t="n">
        <x:v>90.4</x:v>
      </x:c>
      <x:c r="J118" s="28" t="n">
        <x:v>89.75</x:v>
      </x:c>
      <x:c r="K118" s="174" t="n">
        <x:v>92</x:v>
      </x:c>
      <x:c r="L118" s="174" t="n">
        <x:v>90</x:v>
      </x:c>
      <x:c r="M118" s="174" t="n">
        <x:v>91</x:v>
      </x:c>
      <x:c r="N118" s="174" t="n">
        <x:v>89</x:v>
      </x:c>
      <x:c r="O118" s="174" t="n">
        <x:v>91</x:v>
      </x:c>
      <x:c r="P118" s="174" t="n">
        <x:v>87</x:v>
      </x:c>
      <x:c r="Q118" s="174" t="n">
        <x:v>12</x:v>
      </x:c>
      <x:c r="R118" s="7" t="str">
        <x:v>https://arxiv.org/abs/2606.08648</x:v>
      </x:c>
      <x:c r="S118" s="7"/>
      <x:c r="T118" s="7" t="str">
        <x:v>Resolves/advances Brezis Open Problem 3.1 in a geometric-analytic setting.</x:v>
      </x:c>
    </x:row>
    <x:row r="119" ht="38" customHeight="1">
      <x:c r="A119" s="174" t="n">
        <x:v>118</x:v>
      </x:c>
      <x:c r="B119" s="7" t="str">
        <x:v>2026-06</x:v>
      </x:c>
      <x:c r="C119" s="7" t="str">
        <x:v>2606.22468</x:v>
      </x:c>
      <x:c r="D119" s="7" t="str">
        <x:v>A Classical Elliptic Regularity Approach to Almost Harmonic Maps and Related Systems</x:v>
      </x:c>
      <x:c r="E119" s="7" t="str">
        <x:v>Giovanni Di Fratta</x:v>
      </x:c>
      <x:c r="F119" s="7" t="str">
        <x:v>harmonic maps / elliptic regularity</x:v>
      </x:c>
      <x:c r="G119" s="6" t="n">
        <x:v>59</x:v>
      </x:c>
      <x:c r="H119" s="28" t="n">
        <x:v>90.07</x:v>
      </x:c>
      <x:c r="I119" s="28" t="n">
        <x:v>90.4</x:v>
      </x:c>
      <x:c r="J119" s="28" t="n">
        <x:v>89.75</x:v>
      </x:c>
      <x:c r="K119" s="174" t="n">
        <x:v>92</x:v>
      </x:c>
      <x:c r="L119" s="174" t="n">
        <x:v>90</x:v>
      </x:c>
      <x:c r="M119" s="174" t="n">
        <x:v>91</x:v>
      </x:c>
      <x:c r="N119" s="174" t="n">
        <x:v>89</x:v>
      </x:c>
      <x:c r="O119" s="174" t="n">
        <x:v>91</x:v>
      </x:c>
      <x:c r="P119" s="174" t="n">
        <x:v>87</x:v>
      </x:c>
      <x:c r="Q119" s="174" t="n">
        <x:v>12</x:v>
      </x:c>
      <x:c r="R119" s="7" t="str">
        <x:v>https://arxiv.org/abs/2606.22468</x:v>
      </x:c>
      <x:c r="S119" s="7"/>
      <x:c r="T119" s="7" t="str">
        <x:v>Elliptic regularity framework for almost harmonic maps and related systems.</x:v>
      </x:c>
    </x:row>
    <x:row r="120" ht="38" customHeight="1">
      <x:c r="A120" s="174" t="n">
        <x:v>119</x:v>
      </x:c>
      <x:c r="B120" s="7" t="str">
        <x:v>2026-06</x:v>
      </x:c>
      <x:c r="C120" s="7" t="str">
        <x:v>2606.22777</x:v>
      </x:c>
      <x:c r="D120" s="7" t="str">
        <x:v>Weak Quadruple Comparison and Structure Theory Beyond Alexandrov Geometry</x:v>
      </x:c>
      <x:c r="E120" s="7" t="str">
        <x:v>Bang-Xian Han; Liming Yin</x:v>
      </x:c>
      <x:c r="F120" s="7" t="str">
        <x:v>metric geometry / Alexandrov-type spaces</x:v>
      </x:c>
      <x:c r="G120" s="6" t="n">
        <x:v>41</x:v>
      </x:c>
      <x:c r="H120" s="28" t="n">
        <x:v>90.07</x:v>
      </x:c>
      <x:c r="I120" s="28" t="n">
        <x:v>90.4</x:v>
      </x:c>
      <x:c r="J120" s="28" t="n">
        <x:v>89.75</x:v>
      </x:c>
      <x:c r="K120" s="174" t="n">
        <x:v>92</x:v>
      </x:c>
      <x:c r="L120" s="174" t="n">
        <x:v>90</x:v>
      </x:c>
      <x:c r="M120" s="174" t="n">
        <x:v>91</x:v>
      </x:c>
      <x:c r="N120" s="174" t="n">
        <x:v>89</x:v>
      </x:c>
      <x:c r="O120" s="174" t="n">
        <x:v>91</x:v>
      </x:c>
      <x:c r="P120" s="174" t="n">
        <x:v>87</x:v>
      </x:c>
      <x:c r="Q120" s="174" t="n">
        <x:v>12</x:v>
      </x:c>
      <x:c r="R120" s="7" t="str">
        <x:v>https://arxiv.org/abs/2606.22777</x:v>
      </x:c>
      <x:c r="S120" s="7"/>
      <x:c r="T120" s="7" t="str">
        <x:v>Structure theory beyond Alexandrov geometry via weak quadruple comparison.</x:v>
      </x:c>
    </x:row>
    <x:row r="121" ht="38" customHeight="1">
      <x:c r="A121" s="174" t="n">
        <x:v>120</x:v>
      </x:c>
      <x:c r="B121" s="7" t="str">
        <x:v>2026-06</x:v>
      </x:c>
      <x:c r="C121" s="7" t="str">
        <x:v>2606.14513</x:v>
      </x:c>
      <x:c r="D121" s="7" t="str">
        <x:v>Quasilinear Liouville equation on manifolds with nonnegative Ricci curvature</x:v>
      </x:c>
      <x:c r="E121" s="7" t="str">
        <x:v>Giovanni Catino; Dario Daniele Monticelli; Alberto Roncoroni</x:v>
      </x:c>
      <x:c r="F121" s="7" t="str">
        <x:v>Ricci curvature / Liouville equations</x:v>
      </x:c>
      <x:c r="G121" s="6" t="str">
        <x:v>-</x:v>
      </x:c>
      <x:c r="H121" s="28" t="n">
        <x:v>90</x:v>
      </x:c>
      <x:c r="I121" s="28" t="n">
        <x:v>90.4</x:v>
      </x:c>
      <x:c r="J121" s="28" t="n">
        <x:v>89.6</x:v>
      </x:c>
      <x:c r="K121" s="174" t="n">
        <x:v>92</x:v>
      </x:c>
      <x:c r="L121" s="174" t="n">
        <x:v>90</x:v>
      </x:c>
      <x:c r="M121" s="174" t="n">
        <x:v>91</x:v>
      </x:c>
      <x:c r="N121" s="174" t="n">
        <x:v>89</x:v>
      </x:c>
      <x:c r="O121" s="174" t="n">
        <x:v>91</x:v>
      </x:c>
      <x:c r="P121" s="174" t="n">
        <x:v>87</x:v>
      </x:c>
      <x:c r="Q121" s="174" t="n">
        <x:v>13</x:v>
      </x:c>
      <x:c r="R121" s="7" t="str">
        <x:v>https://arxiv.org/abs/2606.14513</x:v>
      </x:c>
      <x:c r="S121" s="7"/>
      <x:c r="T121" s="7" t="str">
        <x:v>Liouville-type theorem under nonnegative Ricci curvature.</x:v>
      </x:c>
    </x:row>
    <x:row r="122" ht="38" customHeight="1">
      <x:c r="A122" s="174" t="n">
        <x:v>121</x:v>
      </x:c>
      <x:c r="B122" s="7" t="str">
        <x:v>2026-06</x:v>
      </x:c>
      <x:c r="C122" s="7" t="str">
        <x:v>2606.15599</x:v>
      </x:c>
      <x:c r="D122" s="7" t="str">
        <x:v>Non-unital monoidal category of contact manifolds and Legendrian correspondence</x:v>
      </x:c>
      <x:c r="E122" s="7" t="str">
        <x:v>Yong-Geun Oh; Junhyuk Park</x:v>
      </x:c>
      <x:c r="F122" s="7" t="str">
        <x:v>contact geometry / categories</x:v>
      </x:c>
      <x:c r="G122" s="6" t="n">
        <x:v>67</x:v>
      </x:c>
      <x:c r="H122" s="28" t="n">
        <x:v>90</x:v>
      </x:c>
      <x:c r="I122" s="28" t="n">
        <x:v>90.4</x:v>
      </x:c>
      <x:c r="J122" s="28" t="n">
        <x:v>89.6</x:v>
      </x:c>
      <x:c r="K122" s="174" t="n">
        <x:v>92</x:v>
      </x:c>
      <x:c r="L122" s="174" t="n">
        <x:v>90</x:v>
      </x:c>
      <x:c r="M122" s="174" t="n">
        <x:v>91</x:v>
      </x:c>
      <x:c r="N122" s="174" t="n">
        <x:v>89</x:v>
      </x:c>
      <x:c r="O122" s="174" t="n">
        <x:v>91</x:v>
      </x:c>
      <x:c r="P122" s="174" t="n">
        <x:v>87</x:v>
      </x:c>
      <x:c r="Q122" s="174" t="n">
        <x:v>13</x:v>
      </x:c>
      <x:c r="R122" s="7" t="str">
        <x:v>https://arxiv.org/abs/2606.15599</x:v>
      </x:c>
      <x:c r="S122" s="7"/>
      <x:c r="T122" s="7" t="str">
        <x:v>Categorical contact/Legendrian framework with high conceptual content.</x:v>
      </x:c>
    </x:row>
    <x:row r="123" ht="38" customHeight="1">
      <x:c r="A123" s="174" t="n">
        <x:v>122</x:v>
      </x:c>
      <x:c r="B123" s="7" t="str">
        <x:v>2026-06</x:v>
      </x:c>
      <x:c r="C123" s="7" t="str">
        <x:v>2606.27155</x:v>
      </x:c>
      <x:c r="D123" s="7" t="str">
        <x:v>Riemannian Penrose Inequality for Manifolds with Corners via Non-Linear Potential Theory</x:v>
      </x:c>
      <x:c r="E123" s="7" t="str">
        <x:v>Virginia Agostiniani; Christina Karapiperi; Lorenzo Mazzieri</x:v>
      </x:c>
      <x:c r="F123" s="7" t="str">
        <x:v>Penrose inequality / corners</x:v>
      </x:c>
      <x:c r="G123" s="6" t="n">
        <x:v>22</x:v>
      </x:c>
      <x:c r="H123" s="28" t="n">
        <x:v>89.92</x:v>
      </x:c>
      <x:c r="I123" s="28" t="n">
        <x:v>90.25</x:v>
      </x:c>
      <x:c r="J123" s="28" t="n">
        <x:v>89.6</x:v>
      </x:c>
      <x:c r="K123" s="174" t="n">
        <x:v>92</x:v>
      </x:c>
      <x:c r="L123" s="174" t="n">
        <x:v>90</x:v>
      </x:c>
      <x:c r="M123" s="174" t="n">
        <x:v>91</x:v>
      </x:c>
      <x:c r="N123" s="174" t="n">
        <x:v>88</x:v>
      </x:c>
      <x:c r="O123" s="174" t="n">
        <x:v>91</x:v>
      </x:c>
      <x:c r="P123" s="174" t="n">
        <x:v>87</x:v>
      </x:c>
      <x:c r="Q123" s="174" t="n">
        <x:v>13</x:v>
      </x:c>
      <x:c r="R123" s="7" t="str">
        <x:v>https://arxiv.org/abs/2606.27155</x:v>
      </x:c>
      <x:c r="S123" s="7"/>
      <x:c r="T123" s="7" t="str">
        <x:v>Riemannian Penrose inequality with corners using nonlinear potential theory.</x:v>
      </x:c>
    </x:row>
    <x:row r="124" ht="38" customHeight="1">
      <x:c r="A124" s="174" t="n">
        <x:v>123</x:v>
      </x:c>
      <x:c r="B124" s="7" t="str">
        <x:v>2026-06</x:v>
      </x:c>
      <x:c r="C124" s="7" t="str">
        <x:v>2606.14021</x:v>
      </x:c>
      <x:c r="D124" s="7" t="str">
        <x:v>Some Foundational Results for Free Boundary Brakke Flows</x:v>
      </x:c>
      <x:c r="E124" s="7" t="str">
        <x:v>Yueheng Bao</x:v>
      </x:c>
      <x:c r="F124" s="7" t="str">
        <x:v>free boundary Brakke flows</x:v>
      </x:c>
      <x:c r="G124" s="6" t="str">
        <x:v>-</x:v>
      </x:c>
      <x:c r="H124" s="28" t="n">
        <x:v>89.78</x:v>
      </x:c>
      <x:c r="I124" s="28" t="n">
        <x:v>89.95</x:v>
      </x:c>
      <x:c r="J124" s="28" t="n">
        <x:v>89.6</x:v>
      </x:c>
      <x:c r="K124" s="174" t="n">
        <x:v>91</x:v>
      </x:c>
      <x:c r="L124" s="174" t="n">
        <x:v>90</x:v>
      </x:c>
      <x:c r="M124" s="174" t="n">
        <x:v>91</x:v>
      </x:c>
      <x:c r="N124" s="174" t="n">
        <x:v>88</x:v>
      </x:c>
      <x:c r="O124" s="174" t="n">
        <x:v>91</x:v>
      </x:c>
      <x:c r="P124" s="174" t="n">
        <x:v>87</x:v>
      </x:c>
      <x:c r="Q124" s="174" t="n">
        <x:v>13</x:v>
      </x:c>
      <x:c r="R124" s="7" t="str">
        <x:v>https://arxiv.org/abs/2606.14021</x:v>
      </x:c>
      <x:c r="S124" s="7"/>
      <x:c r="T124" s="7" t="str">
        <x:v>Foundational free-boundary Brakke flow results.</x:v>
      </x:c>
    </x:row>
    <x:row r="125" ht="38" customHeight="1">
      <x:c r="A125" s="174" t="n">
        <x:v>124</x:v>
      </x:c>
      <x:c r="B125" s="7" t="str">
        <x:v>2026-08</x:v>
      </x:c>
      <x:c r="C125" s="7" t="str">
        <x:v>2608.07021</x:v>
      </x:c>
      <x:c r="D125" s="7" t="str">
        <x:v>Monte Carlo methods on compact symplectic manifolds</x:v>
      </x:c>
      <x:c r="E125" s="7" t="str">
        <x:v>Yuri A. Kordyukov</x:v>
      </x:c>
      <x:c r="F125" s="7" t="str">
        <x:v>symplectic geometry / determinantal Monte Carlo</x:v>
      </x:c>
      <x:c r="G125" s="6" t="n">
        <x:v>16</x:v>
      </x:c>
      <x:c r="H125" s="28" t="n">
        <x:v>89.55</x:v>
      </x:c>
      <x:c r="I125" s="28" t="n">
        <x:v>90.1</x:v>
      </x:c>
      <x:c r="J125" s="28" t="n">
        <x:v>89</x:v>
      </x:c>
      <x:c r="K125" s="174" t="n">
        <x:v>90</x:v>
      </x:c>
      <x:c r="L125" s="174" t="n">
        <x:v>91</x:v>
      </x:c>
      <x:c r="M125" s="174" t="n">
        <x:v>90</x:v>
      </x:c>
      <x:c r="N125" s="174" t="n">
        <x:v>92</x:v>
      </x:c>
      <x:c r="O125" s="174" t="n">
        <x:v>90</x:v>
      </x:c>
      <x:c r="P125" s="174" t="n">
        <x:v>86</x:v>
      </x:c>
      <x:c r="Q125" s="174" t="n">
        <x:v>14</x:v>
      </x:c>
      <x:c r="R125" s="7" t="str">
        <x:v>https://arxiv.org/abs/2608.07021</x:v>
      </x:c>
      <x:c r="S125" s="7"/>
      <x:c r="T125" s="7" t="str">
        <x:v>Transfers determinantal-point-process quadrature to prequantized compact symplectic manifolds and proves a central limit theorem with optimal worst-case mean-square-error decay.</x:v>
      </x:c>
    </x:row>
    <x:row r="126" ht="38" customHeight="1">
      <x:c r="A126" s="174" t="n">
        <x:v>125</x:v>
      </x:c>
      <x:c r="B126" s="7" t="str">
        <x:v>2026-06</x:v>
      </x:c>
      <x:c r="C126" s="7" t="str">
        <x:v>2606.14082</x:v>
      </x:c>
      <x:c r="D126" s="7" t="str">
        <x:v>Inverse Hessian Curvature Flow in Minkowski Space I: Cocompact Hypersurfaces</x:v>
      </x:c>
      <x:c r="E126" s="7" t="str">
        <x:v>Dake Li; Zhizhang Wang; Shiqi Yin</x:v>
      </x:c>
      <x:c r="F126" s="7" t="str">
        <x:v>curvature flow</x:v>
      </x:c>
      <x:c r="G126" s="6" t="str">
        <x:v>-</x:v>
      </x:c>
      <x:c r="H126" s="28" t="n">
        <x:v>89.55</x:v>
      </x:c>
      <x:c r="I126" s="28" t="n">
        <x:v>89.7</x:v>
      </x:c>
      <x:c r="J126" s="28" t="n">
        <x:v>89.4</x:v>
      </x:c>
      <x:c r="K126" s="174" t="n">
        <x:v>91</x:v>
      </x:c>
      <x:c r="L126" s="174" t="n">
        <x:v>90</x:v>
      </x:c>
      <x:c r="M126" s="174" t="n">
        <x:v>90</x:v>
      </x:c>
      <x:c r="N126" s="174" t="n">
        <x:v>88</x:v>
      </x:c>
      <x:c r="O126" s="174" t="n">
        <x:v>91</x:v>
      </x:c>
      <x:c r="P126" s="174" t="n">
        <x:v>87</x:v>
      </x:c>
      <x:c r="Q126" s="174" t="n">
        <x:v>13</x:v>
      </x:c>
      <x:c r="R126" s="7" t="str">
        <x:v>https://arxiv.org/abs/2606.14082</x:v>
      </x:c>
      <x:c r="S126" s="7"/>
      <x:c r="T126" s="7" t="str">
        <x:v>Inverse Hessian curvature flow in Minkowski space.</x:v>
      </x:c>
    </x:row>
    <x:row r="127" ht="38" customHeight="1">
      <x:c r="A127" s="174" t="n">
        <x:v>126</x:v>
      </x:c>
      <x:c r="B127" s="7" t="str">
        <x:v>2026-06</x:v>
      </x:c>
      <x:c r="C127" s="7" t="str">
        <x:v>2606.14318</x:v>
      </x:c>
      <x:c r="D127" s="7" t="str">
        <x:v>Sectional Curvature for Kantorovich-Wasserstein and Hellinger-Kantorovich Geometries</x:v>
      </x:c>
      <x:c r="E127" s="7" t="str">
        <x:v>Karl-Theodor Sturm</x:v>
      </x:c>
      <x:c r="F127" s="7" t="str">
        <x:v>optimal transport geometry</x:v>
      </x:c>
      <x:c r="G127" s="6" t="str">
        <x:v>-</x:v>
      </x:c>
      <x:c r="H127" s="28" t="n">
        <x:v>89.55</x:v>
      </x:c>
      <x:c r="I127" s="28" t="n">
        <x:v>89.7</x:v>
      </x:c>
      <x:c r="J127" s="28" t="n">
        <x:v>89.4</x:v>
      </x:c>
      <x:c r="K127" s="174" t="n">
        <x:v>91</x:v>
      </x:c>
      <x:c r="L127" s="174" t="n">
        <x:v>90</x:v>
      </x:c>
      <x:c r="M127" s="174" t="n">
        <x:v>90</x:v>
      </x:c>
      <x:c r="N127" s="174" t="n">
        <x:v>88</x:v>
      </x:c>
      <x:c r="O127" s="174" t="n">
        <x:v>91</x:v>
      </x:c>
      <x:c r="P127" s="174" t="n">
        <x:v>87</x:v>
      </x:c>
      <x:c r="Q127" s="174" t="n">
        <x:v>13</x:v>
      </x:c>
      <x:c r="R127" s="7" t="str">
        <x:v>https://arxiv.org/abs/2606.14318</x:v>
      </x:c>
      <x:c r="S127" s="7"/>
      <x:c r="T127" s="7" t="str">
        <x:v>Sectional curvature notions for Wasserstein and Hellinger-Kantorovich geometries.</x:v>
      </x:c>
    </x:row>
    <x:row r="128" ht="38" customHeight="1">
      <x:c r="A128" s="174" t="n">
        <x:v>127</x:v>
      </x:c>
      <x:c r="B128" s="7" t="str">
        <x:v>2026-07</x:v>
      </x:c>
      <x:c r="C128" s="7" t="str">
        <x:v>2607.20213</x:v>
      </x:c>
      <x:c r="D128" s="7" t="str">
        <x:v>Graphon as a Bridge between Graphs and Manifolds</x:v>
      </x:c>
      <x:c r="E128" s="7" t="str">
        <x:v>Dong Zhang</x:v>
      </x:c>
      <x:c r="F128" s="7" t="str">
        <x:v>graphons / graph-to-manifold convergence</x:v>
      </x:c>
      <x:c r="G128" s="6" t="n">
        <x:v>31</x:v>
      </x:c>
      <x:c r="H128" s="28" t="n">
        <x:v>89.475</x:v>
      </x:c>
      <x:c r="I128" s="28" t="n">
        <x:v>90.05</x:v>
      </x:c>
      <x:c r="J128" s="28" t="n">
        <x:v>88.9</x:v>
      </x:c>
      <x:c r="K128" s="174" t="n">
        <x:v>90</x:v>
      </x:c>
      <x:c r="L128" s="174" t="n">
        <x:v>92</x:v>
      </x:c>
      <x:c r="M128" s="174" t="n">
        <x:v>90</x:v>
      </x:c>
      <x:c r="N128" s="174" t="n">
        <x:v>93</x:v>
      </x:c>
      <x:c r="O128" s="174" t="n">
        <x:v>90</x:v>
      </x:c>
      <x:c r="P128" s="174" t="n">
        <x:v>82</x:v>
      </x:c>
      <x:c r="Q128" s="174" t="n">
        <x:v>12</x:v>
      </x:c>
      <x:c r="R128" s="7" t="str">
        <x:v>https://arxiv.org/abs/2607.20213</x:v>
      </x:c>
      <x:c r="S128" s="7"/>
      <x:c r="T128" s="7" t="str">
        <x:v>Graphon bridge between weighted geometric graphs and manifolds, with monotonicity connecting combinatorial parameters and geometric quantities.</x:v>
      </x:c>
    </x:row>
    <x:row r="129" ht="38" customHeight="1">
      <x:c r="A129" s="174" t="n">
        <x:v>128</x:v>
      </x:c>
      <x:c r="B129" s="7" t="str">
        <x:v>2026-07</x:v>
      </x:c>
      <x:c r="C129" s="7" t="str">
        <x:v>2607.04427</x:v>
      </x:c>
      <x:c r="D129" s="7" t="str">
        <x:v>Generalized Hyperbolic Conical Circle Packings associated with Finite Polygonal Decompositions of Surfaces with Boundary</x:v>
      </x:c>
      <x:c r="E129" s="7" t="str">
        <x:v>Guangming Hu; Jun Hu; Lishan Li; Yi Qi</x:v>
      </x:c>
      <x:c r="F129" s="7" t="str">
        <x:v>circle packing / discrete conformal geometry</x:v>
      </x:c>
      <x:c r="G129" s="6" t="n">
        <x:v>52</x:v>
      </x:c>
      <x:c r="H129" s="28" t="n">
        <x:v>89.45</x:v>
      </x:c>
      <x:c r="I129" s="28" t="n">
        <x:v>89.4</x:v>
      </x:c>
      <x:c r="J129" s="28" t="n">
        <x:v>89.5</x:v>
      </x:c>
      <x:c r="K129" s="174" t="n">
        <x:v>89</x:v>
      </x:c>
      <x:c r="L129" s="174" t="n">
        <x:v>91</x:v>
      </x:c>
      <x:c r="M129" s="174" t="n">
        <x:v>91</x:v>
      </x:c>
      <x:c r="N129" s="174" t="n">
        <x:v>89</x:v>
      </x:c>
      <x:c r="O129" s="174" t="n">
        <x:v>91</x:v>
      </x:c>
      <x:c r="P129" s="174" t="n">
        <x:v>84</x:v>
      </x:c>
      <x:c r="Q129" s="174" t="n">
        <x:v>12</x:v>
      </x:c>
      <x:c r="R129" s="7" t="str">
        <x:v>https://arxiv.org/abs/2607.04427</x:v>
      </x:c>
      <x:c r="S129" s="7"/>
      <x:c r="T129" s="7" t="str">
        <x:v>Existence-uniqueness, convergence of Thurston's algorithm, and a discrete Schwarz-Pick lemma for generalized hyperbolic conical circle packings.</x:v>
      </x:c>
    </x:row>
    <x:row r="130" ht="38" customHeight="1">
      <x:c r="A130" s="174" t="n">
        <x:v>129</x:v>
      </x:c>
      <x:c r="B130" s="7" t="str">
        <x:v>2026-06</x:v>
      </x:c>
      <x:c r="C130" s="7" t="str">
        <x:v>2606.01153</x:v>
      </x:c>
      <x:c r="D130" s="7" t="str">
        <x:v>Scalar Curvature, Volumes and the Bergman Kernel</x:v>
      </x:c>
      <x:c r="E130" s="7" t="str">
        <x:v>Bo-Yong Chen; Yuanpu Xiong; Liyou Zhang</x:v>
      </x:c>
      <x:c r="F130" s="7" t="str">
        <x:v>scalar curvature / Bergman kernel</x:v>
      </x:c>
      <x:c r="G130" s="6" t="n">
        <x:v>34</x:v>
      </x:c>
      <x:c r="H130" s="28" t="n">
        <x:v>89.3</x:v>
      </x:c>
      <x:c r="I130" s="28" t="n">
        <x:v>89.7</x:v>
      </x:c>
      <x:c r="J130" s="28" t="n">
        <x:v>88.9</x:v>
      </x:c>
      <x:c r="K130" s="174" t="n">
        <x:v>92</x:v>
      </x:c>
      <x:c r="L130" s="174" t="n">
        <x:v>89</x:v>
      </x:c>
      <x:c r="M130" s="174" t="n">
        <x:v>90</x:v>
      </x:c>
      <x:c r="N130" s="174" t="n">
        <x:v>88</x:v>
      </x:c>
      <x:c r="O130" s="174" t="n">
        <x:v>91</x:v>
      </x:c>
      <x:c r="P130" s="174" t="n">
        <x:v>86</x:v>
      </x:c>
      <x:c r="Q130" s="174" t="n">
        <x:v>14</x:v>
      </x:c>
      <x:c r="R130" s="7" t="str">
        <x:v>https://arxiv.org/abs/2606.01153</x:v>
      </x:c>
      <x:c r="S130" s="7"/>
      <x:c r="T130" s="7" t="str">
        <x:v>Links scalar curvature, volume, and Bergman kernel estimates.</x:v>
      </x:c>
    </x:row>
    <x:row r="131" ht="38" customHeight="1">
      <x:c r="A131" s="174" t="n">
        <x:v>130</x:v>
      </x:c>
      <x:c r="B131" s="7" t="str">
        <x:v>2026-08</x:v>
      </x:c>
      <x:c r="C131" s="7" t="str">
        <x:v>2608.06678</x:v>
      </x:c>
      <x:c r="D131" s="7" t="str">
        <x:v>Transverse stable causality in Lorentzian foliations</x:v>
      </x:c>
      <x:c r="E131" s="7" t="str">
        <x:v>Henrique Amador Puel Martins; Ivan Pontual Costa e Silva; Victor Luis Espinoza</x:v>
      </x:c>
      <x:c r="F131" s="7" t="str">
        <x:v>Lorentzian foliations / transverse causality</x:v>
      </x:c>
      <x:c r="G131" s="6" t="n">
        <x:v>37</x:v>
      </x:c>
      <x:c r="H131" s="28" t="n">
        <x:v>89.2</x:v>
      </x:c>
      <x:c r="I131" s="28" t="n">
        <x:v>89.35</x:v>
      </x:c>
      <x:c r="J131" s="28" t="n">
        <x:v>89.05</x:v>
      </x:c>
      <x:c r="K131" s="174" t="n">
        <x:v>89</x:v>
      </x:c>
      <x:c r="L131" s="174" t="n">
        <x:v>92</x:v>
      </x:c>
      <x:c r="M131" s="174" t="n">
        <x:v>90</x:v>
      </x:c>
      <x:c r="N131" s="174" t="n">
        <x:v>89</x:v>
      </x:c>
      <x:c r="O131" s="174" t="n">
        <x:v>91</x:v>
      </x:c>
      <x:c r="P131" s="174" t="n">
        <x:v>84</x:v>
      </x:c>
      <x:c r="Q131" s="174" t="n">
        <x:v>15</x:v>
      </x:c>
      <x:c r="R131" s="7" t="str">
        <x:v>https://arxiv.org/abs/2608.06678</x:v>
      </x:c>
      <x:c r="S131" s="7"/>
      <x:c r="T131" s="7" t="str">
        <x:v>Introduces transverse stable causality for Lorentzian foliations, proves several structural implications and near-equivalence for simple foliations; the full general equivalence remains open.</x:v>
      </x:c>
    </x:row>
    <x:row r="132" ht="38" customHeight="1">
      <x:c r="A132" s="174" t="n">
        <x:v>131</x:v>
      </x:c>
      <x:c r="B132" s="7" t="str">
        <x:v>2026-07</x:v>
      </x:c>
      <x:c r="C132" s="7" t="str">
        <x:v>2607.00810</x:v>
      </x:c>
      <x:c r="D132" s="7" t="str">
        <x:v>Another look at a notion of fractional mass in codimension two</x:v>
      </x:c>
      <x:c r="E132" s="7" t="str">
        <x:v>Michele Caselli; Mattia Freguglia; Nicola Picenni</x:v>
      </x:c>
      <x:c r="F132" s="7" t="str">
        <x:v>fractional mass / codimension two</x:v>
      </x:c>
      <x:c r="G132" s="6" t="n">
        <x:v>52</x:v>
      </x:c>
      <x:c r="H132" s="28" t="n">
        <x:v>89.175</x:v>
      </x:c>
      <x:c r="I132" s="28" t="n">
        <x:v>89.25</x:v>
      </x:c>
      <x:c r="J132" s="28" t="n">
        <x:v>89.1</x:v>
      </x:c>
      <x:c r="K132" s="174" t="n">
        <x:v>90</x:v>
      </x:c>
      <x:c r="L132" s="174" t="n">
        <x:v>89</x:v>
      </x:c>
      <x:c r="M132" s="174" t="n">
        <x:v>91</x:v>
      </x:c>
      <x:c r="N132" s="174" t="n">
        <x:v>88</x:v>
      </x:c>
      <x:c r="O132" s="174" t="n">
        <x:v>91</x:v>
      </x:c>
      <x:c r="P132" s="174" t="n">
        <x:v>85</x:v>
      </x:c>
      <x:c r="Q132" s="174" t="n">
        <x:v>13</x:v>
      </x:c>
      <x:c r="R132" s="7" t="str">
        <x:v>https://arxiv.org/abs/2607.00810</x:v>
      </x:c>
      <x:c r="S132" s="7"/>
      <x:c r="T132" s="7" t="str">
        <x:v>Fractional mass framework in codimension two; solid but narrower scope.</x:v>
      </x:c>
    </x:row>
    <x:row r="133" ht="38" customHeight="1">
      <x:c r="A133" s="174" t="n">
        <x:v>132</x:v>
      </x:c>
      <x:c r="B133" s="7" t="str">
        <x:v>2026-07</x:v>
      </x:c>
      <x:c r="C133" s="7" t="str">
        <x:v>2607.02399</x:v>
      </x:c>
      <x:c r="D133" s="7" t="str">
        <x:v>Intrinsic Brown-York Type Mass at Infinity in Four Dimensions</x:v>
      </x:c>
      <x:c r="E133" s="7" t="str">
        <x:v>Jiangcheng You</x:v>
      </x:c>
      <x:c r="F133" s="7" t="str">
        <x:v>Brown-York mass</x:v>
      </x:c>
      <x:c r="G133" s="6" t="n">
        <x:v>23</x:v>
      </x:c>
      <x:c r="H133" s="28" t="n">
        <x:v>89.175</x:v>
      </x:c>
      <x:c r="I133" s="28" t="n">
        <x:v>89.25</x:v>
      </x:c>
      <x:c r="J133" s="28" t="n">
        <x:v>89.1</x:v>
      </x:c>
      <x:c r="K133" s="174" t="n">
        <x:v>90</x:v>
      </x:c>
      <x:c r="L133" s="174" t="n">
        <x:v>89</x:v>
      </x:c>
      <x:c r="M133" s="174" t="n">
        <x:v>91</x:v>
      </x:c>
      <x:c r="N133" s="174" t="n">
        <x:v>88</x:v>
      </x:c>
      <x:c r="O133" s="174" t="n">
        <x:v>91</x:v>
      </x:c>
      <x:c r="P133" s="174" t="n">
        <x:v>85</x:v>
      </x:c>
      <x:c r="Q133" s="174" t="n">
        <x:v>13</x:v>
      </x:c>
      <x:c r="R133" s="7" t="str">
        <x:v>https://arxiv.org/abs/2607.02399</x:v>
      </x:c>
      <x:c r="S133" s="7"/>
      <x:c r="T133" s="7" t="str">
        <x:v>Intrinsic mass construction in four-dimensional asymptotic geometry.</x:v>
      </x:c>
    </x:row>
    <x:row r="134" ht="38" customHeight="1">
      <x:c r="A134" s="174" t="n">
        <x:v>133</x:v>
      </x:c>
      <x:c r="B134" s="7" t="str">
        <x:v>2026-07</x:v>
      </x:c>
      <x:c r="C134" s="7" t="str">
        <x:v>2607.02468</x:v>
      </x:c>
      <x:c r="D134" s="7" t="str">
        <x:v>Bifurcations of the Clifford Torus as Willmore Surfaces in Berger Spheres</x:v>
      </x:c>
      <x:c r="E134" s="7" t="str">
        <x:v>Caio B. Rodrigues</x:v>
      </x:c>
      <x:c r="F134" s="7" t="str">
        <x:v>Willmore surfaces</x:v>
      </x:c>
      <x:c r="G134" s="6" t="n">
        <x:v>40</x:v>
      </x:c>
      <x:c r="H134" s="28" t="n">
        <x:v>89.175</x:v>
      </x:c>
      <x:c r="I134" s="28" t="n">
        <x:v>89.25</x:v>
      </x:c>
      <x:c r="J134" s="28" t="n">
        <x:v>89.1</x:v>
      </x:c>
      <x:c r="K134" s="174" t="n">
        <x:v>90</x:v>
      </x:c>
      <x:c r="L134" s="174" t="n">
        <x:v>89</x:v>
      </x:c>
      <x:c r="M134" s="174" t="n">
        <x:v>91</x:v>
      </x:c>
      <x:c r="N134" s="174" t="n">
        <x:v>88</x:v>
      </x:c>
      <x:c r="O134" s="174" t="n">
        <x:v>91</x:v>
      </x:c>
      <x:c r="P134" s="174" t="n">
        <x:v>85</x:v>
      </x:c>
      <x:c r="Q134" s="174" t="n">
        <x:v>13</x:v>
      </x:c>
      <x:c r="R134" s="7" t="str">
        <x:v>https://arxiv.org/abs/2607.02468</x:v>
      </x:c>
      <x:c r="S134" s="7"/>
      <x:c r="T134" s="7" t="str">
        <x:v>Willmore bifurcation analysis in Berger spheres.</x:v>
      </x:c>
    </x:row>
    <x:row r="135" ht="38" customHeight="1">
      <x:c r="A135" s="174" t="n">
        <x:v>134</x:v>
      </x:c>
      <x:c r="B135" s="7" t="str">
        <x:v>2026-07</x:v>
      </x:c>
      <x:c r="C135" s="7" t="str">
        <x:v>2607.05002</x:v>
      </x:c>
      <x:c r="D135" s="7" t="str">
        <x:v>On the Stability of Einstein Manifolds with Boundary</x:v>
      </x:c>
      <x:c r="E135" s="7" t="str">
        <x:v>Rasmus Jouttijärvi</x:v>
      </x:c>
      <x:c r="F135" s="7" t="str">
        <x:v>Einstein manifolds / boundary</x:v>
      </x:c>
      <x:c r="G135" s="6" t="n">
        <x:v>32</x:v>
      </x:c>
      <x:c r="H135" s="28" t="n">
        <x:v>89.175</x:v>
      </x:c>
      <x:c r="I135" s="28" t="n">
        <x:v>89.25</x:v>
      </x:c>
      <x:c r="J135" s="28" t="n">
        <x:v>89.1</x:v>
      </x:c>
      <x:c r="K135" s="174" t="n">
        <x:v>90</x:v>
      </x:c>
      <x:c r="L135" s="174" t="n">
        <x:v>89</x:v>
      </x:c>
      <x:c r="M135" s="174" t="n">
        <x:v>91</x:v>
      </x:c>
      <x:c r="N135" s="174" t="n">
        <x:v>88</x:v>
      </x:c>
      <x:c r="O135" s="174" t="n">
        <x:v>91</x:v>
      </x:c>
      <x:c r="P135" s="174" t="n">
        <x:v>85</x:v>
      </x:c>
      <x:c r="Q135" s="174" t="n">
        <x:v>13</x:v>
      </x:c>
      <x:c r="R135" s="7" t="str">
        <x:v>https://arxiv.org/abs/2607.05002</x:v>
      </x:c>
      <x:c r="S135" s="7"/>
      <x:c r="T135" s="7" t="str">
        <x:v>Einstein stability in boundary setting; technically useful.</x:v>
      </x:c>
    </x:row>
    <x:row r="136" ht="38" customHeight="1">
      <x:c r="A136" s="174" t="n">
        <x:v>135</x:v>
      </x:c>
      <x:c r="B136" s="7" t="str">
        <x:v>2026-07</x:v>
      </x:c>
      <x:c r="C136" s="7" t="str">
        <x:v>2607.06347</x:v>
      </x:c>
      <x:c r="D136" s="7" t="str">
        <x:v>Limiting behavior of a class of Hermitian Yang-Mills metrics, II: exponential decay</x:v>
      </x:c>
      <x:c r="E136" s="7" t="str">
        <x:v>Jixiang Fu</x:v>
      </x:c>
      <x:c r="F136" s="7" t="str">
        <x:v>Hermitian Yang-Mills metrics</x:v>
      </x:c>
      <x:c r="G136" s="6" t="str">
        <x:v>-</x:v>
      </x:c>
      <x:c r="H136" s="28" t="n">
        <x:v>89.175</x:v>
      </x:c>
      <x:c r="I136" s="28" t="n">
        <x:v>89.25</x:v>
      </x:c>
      <x:c r="J136" s="28" t="n">
        <x:v>89.1</x:v>
      </x:c>
      <x:c r="K136" s="174" t="n">
        <x:v>90</x:v>
      </x:c>
      <x:c r="L136" s="174" t="n">
        <x:v>89</x:v>
      </x:c>
      <x:c r="M136" s="174" t="n">
        <x:v>91</x:v>
      </x:c>
      <x:c r="N136" s="174" t="n">
        <x:v>88</x:v>
      </x:c>
      <x:c r="O136" s="174" t="n">
        <x:v>91</x:v>
      </x:c>
      <x:c r="P136" s="174" t="n">
        <x:v>85</x:v>
      </x:c>
      <x:c r="Q136" s="174" t="n">
        <x:v>13</x:v>
      </x:c>
      <x:c r="R136" s="7" t="str">
        <x:v>https://arxiv.org/abs/2607.06347</x:v>
      </x:c>
      <x:c r="S136" s="7"/>
      <x:c r="T136" s="7" t="str">
        <x:v>Exponential decay analysis for HYM metric limits.</x:v>
      </x:c>
    </x:row>
    <x:row r="137" ht="38" customHeight="1">
      <x:c r="A137" s="174" t="n">
        <x:v>136</x:v>
      </x:c>
      <x:c r="B137" s="7" t="str">
        <x:v>2026-07</x:v>
      </x:c>
      <x:c r="C137" s="7" t="str">
        <x:v>2607.12859</x:v>
      </x:c>
      <x:c r="D137" s="7" t="str">
        <x:v>Comparison Theorems for Fractional GJMS Operators</x:v>
      </x:c>
      <x:c r="E137" s="7" t="str">
        <x:v>Huihuang Zhou</x:v>
      </x:c>
      <x:c r="F137" s="7" t="str">
        <x:v>fractional GJMS operators</x:v>
      </x:c>
      <x:c r="G137" s="6" t="str">
        <x:v>-</x:v>
      </x:c>
      <x:c r="H137" s="28" t="n">
        <x:v>89.175</x:v>
      </x:c>
      <x:c r="I137" s="28" t="n">
        <x:v>89.25</x:v>
      </x:c>
      <x:c r="J137" s="28" t="n">
        <x:v>89.1</x:v>
      </x:c>
      <x:c r="K137" s="174" t="n">
        <x:v>90</x:v>
      </x:c>
      <x:c r="L137" s="174" t="n">
        <x:v>89</x:v>
      </x:c>
      <x:c r="M137" s="174" t="n">
        <x:v>91</x:v>
      </x:c>
      <x:c r="N137" s="174" t="n">
        <x:v>88</x:v>
      </x:c>
      <x:c r="O137" s="174" t="n">
        <x:v>91</x:v>
      </x:c>
      <x:c r="P137" s="174" t="n">
        <x:v>85</x:v>
      </x:c>
      <x:c r="Q137" s="174" t="n">
        <x:v>13</x:v>
      </x:c>
      <x:c r="R137" s="7" t="str">
        <x:v>https://arxiv.org/abs/2607.12859</x:v>
      </x:c>
      <x:c r="S137" s="7"/>
      <x:c r="T137" s="7" t="str">
        <x:v>Comparison theorem for nonlocal conformal operators; useful in conformal DG.</x:v>
      </x:c>
    </x:row>
    <x:row r="138" ht="38" customHeight="1">
      <x:c r="A138" s="174" t="n">
        <x:v>137</x:v>
      </x:c>
      <x:c r="B138" s="7" t="str">
        <x:v>2026-07</x:v>
      </x:c>
      <x:c r="C138" s="7" t="str">
        <x:v>2607.14717</x:v>
      </x:c>
      <x:c r="D138" s="7" t="str">
        <x:v>The existence of k-convex hypersurface for a class of Hessian curvature equations</x:v>
      </x:c>
      <x:c r="E138" s="7" t="str">
        <x:v>Kang Xiao; Jiabao Gong</x:v>
      </x:c>
      <x:c r="F138" s="7" t="str">
        <x:v>Hessian curvature equations</x:v>
      </x:c>
      <x:c r="G138" s="6" t="str">
        <x:v>-</x:v>
      </x:c>
      <x:c r="H138" s="28" t="n">
        <x:v>89.175</x:v>
      </x:c>
      <x:c r="I138" s="28" t="n">
        <x:v>89.25</x:v>
      </x:c>
      <x:c r="J138" s="28" t="n">
        <x:v>89.1</x:v>
      </x:c>
      <x:c r="K138" s="174" t="n">
        <x:v>90</x:v>
      </x:c>
      <x:c r="L138" s="174" t="n">
        <x:v>89</x:v>
      </x:c>
      <x:c r="M138" s="174" t="n">
        <x:v>91</x:v>
      </x:c>
      <x:c r="N138" s="174" t="n">
        <x:v>88</x:v>
      </x:c>
      <x:c r="O138" s="174" t="n">
        <x:v>91</x:v>
      </x:c>
      <x:c r="P138" s="174" t="n">
        <x:v>85</x:v>
      </x:c>
      <x:c r="Q138" s="174" t="n">
        <x:v>13</x:v>
      </x:c>
      <x:c r="R138" s="7" t="str">
        <x:v>https://arxiv.org/abs/2607.14717</x:v>
      </x:c>
      <x:c r="S138" s="7"/>
      <x:c r="T138" s="7" t="str">
        <x:v>Existence theorem for Hessian curvature equations; classical nonlinear DG/AP area.</x:v>
      </x:c>
    </x:row>
    <x:row r="139" ht="38" customHeight="1">
      <x:c r="A139" s="174" t="n">
        <x:v>138</x:v>
      </x:c>
      <x:c r="B139" s="7" t="str">
        <x:v>2026-07</x:v>
      </x:c>
      <x:c r="C139" s="7" t="str">
        <x:v>2607.20063</x:v>
      </x:c>
      <x:c r="D139" s="7" t="str">
        <x:v>Null distance on cosmological spacetimes and monotone convergence</x:v>
      </x:c>
      <x:c r="E139" s="7" t="str">
        <x:v>Miguel Prados-Abad; Omar Zoghlami</x:v>
      </x:c>
      <x:c r="F139" s="7" t="str">
        <x:v>Lorentzian geometry / null distance</x:v>
      </x:c>
      <x:c r="G139" s="6" t="n">
        <x:v>34</x:v>
      </x:c>
      <x:c r="H139" s="28" t="n">
        <x:v>89.175</x:v>
      </x:c>
      <x:c r="I139" s="28" t="n">
        <x:v>89.25</x:v>
      </x:c>
      <x:c r="J139" s="28" t="n">
        <x:v>89.1</x:v>
      </x:c>
      <x:c r="K139" s="174" t="n">
        <x:v>90</x:v>
      </x:c>
      <x:c r="L139" s="174" t="n">
        <x:v>89</x:v>
      </x:c>
      <x:c r="M139" s="174" t="n">
        <x:v>91</x:v>
      </x:c>
      <x:c r="N139" s="174" t="n">
        <x:v>88</x:v>
      </x:c>
      <x:c r="O139" s="174" t="n">
        <x:v>91</x:v>
      </x:c>
      <x:c r="P139" s="174" t="n">
        <x:v>85</x:v>
      </x:c>
      <x:c r="Q139" s="174" t="n">
        <x:v>13</x:v>
      </x:c>
      <x:c r="R139" s="7" t="str">
        <x:v>https://arxiv.org/abs/2607.20063</x:v>
      </x:c>
      <x:c r="S139" s="7"/>
      <x:c r="T139" s="7" t="str">
        <x:v>Lorentzian metric convergence result with cosmological spacetime applications.</x:v>
      </x:c>
    </x:row>
    <x:row r="140" ht="38" customHeight="1">
      <x:c r="A140" s="174" t="n">
        <x:v>139</x:v>
      </x:c>
      <x:c r="B140" s="7" t="str">
        <x:v>2026-07</x:v>
      </x:c>
      <x:c r="C140" s="7" t="str">
        <x:v>2607.25343</x:v>
      </x:c>
      <x:c r="D140" s="7" t="str">
        <x:v>Bonnet-Myers type theorems for Q-curvature on four-manifolds</x:v>
      </x:c>
      <x:c r="E140" s="7" t="str">
        <x:v>Mingxiang Li</x:v>
      </x:c>
      <x:c r="F140" s="7" t="str">
        <x:v>Q-curvature / Bonnet-Myers</x:v>
      </x:c>
      <x:c r="G140" s="6" t="n">
        <x:v>13</x:v>
      </x:c>
      <x:c r="H140" s="28" t="n">
        <x:v>89.175</x:v>
      </x:c>
      <x:c r="I140" s="28" t="n">
        <x:v>89.25</x:v>
      </x:c>
      <x:c r="J140" s="28" t="n">
        <x:v>89.1</x:v>
      </x:c>
      <x:c r="K140" s="174" t="n">
        <x:v>90</x:v>
      </x:c>
      <x:c r="L140" s="174" t="n">
        <x:v>89</x:v>
      </x:c>
      <x:c r="M140" s="174" t="n">
        <x:v>91</x:v>
      </x:c>
      <x:c r="N140" s="174" t="n">
        <x:v>88</x:v>
      </x:c>
      <x:c r="O140" s="174" t="n">
        <x:v>91</x:v>
      </x:c>
      <x:c r="P140" s="174" t="n">
        <x:v>85</x:v>
      </x:c>
      <x:c r="Q140" s="174" t="n">
        <x:v>13</x:v>
      </x:c>
      <x:c r="R140" s="7" t="str">
        <x:v>https://arxiv.org/abs/2607.25343</x:v>
      </x:c>
      <x:c r="S140" s="7"/>
      <x:c r="T140" s="7" t="str">
        <x:v>Q-curvature analogue of Bonnet-Myers; concise but useful.</x:v>
      </x:c>
    </x:row>
    <x:row r="141" ht="38" customHeight="1">
      <x:c r="A141" s="174" t="n">
        <x:v>140</x:v>
      </x:c>
      <x:c r="B141" s="7" t="str">
        <x:v>2026-07</x:v>
      </x:c>
      <x:c r="C141" s="7" t="str">
        <x:v>2607.25981</x:v>
      </x:c>
      <x:c r="D141" s="7" t="str">
        <x:v>Sharp rigidity for quasilinear Liouville equation on manifolds with nonnegative Ricci curvature</x:v>
      </x:c>
      <x:c r="E141" s="7" t="str">
        <x:v>Xiaohan Cai</x:v>
      </x:c>
      <x:c r="F141" s="7" t="str">
        <x:v>Liouville equation / Ricci curvature</x:v>
      </x:c>
      <x:c r="G141" s="6" t="n">
        <x:v>18</x:v>
      </x:c>
      <x:c r="H141" s="28" t="n">
        <x:v>89.175</x:v>
      </x:c>
      <x:c r="I141" s="28" t="n">
        <x:v>89.25</x:v>
      </x:c>
      <x:c r="J141" s="28" t="n">
        <x:v>89.1</x:v>
      </x:c>
      <x:c r="K141" s="174" t="n">
        <x:v>90</x:v>
      </x:c>
      <x:c r="L141" s="174" t="n">
        <x:v>89</x:v>
      </x:c>
      <x:c r="M141" s="174" t="n">
        <x:v>91</x:v>
      </x:c>
      <x:c r="N141" s="174" t="n">
        <x:v>88</x:v>
      </x:c>
      <x:c r="O141" s="174" t="n">
        <x:v>91</x:v>
      </x:c>
      <x:c r="P141" s="174" t="n">
        <x:v>85</x:v>
      </x:c>
      <x:c r="Q141" s="174" t="n">
        <x:v>13</x:v>
      </x:c>
      <x:c r="R141" s="7" t="str">
        <x:v>https://arxiv.org/abs/2607.25981</x:v>
      </x:c>
      <x:c r="S141" s="7"/>
      <x:c r="T141" s="7" t="str">
        <x:v>Sharp rigidity for quasilinear Liouville equation under nonnegative Ricci curvature.</x:v>
      </x:c>
    </x:row>
    <x:row r="142" ht="38" customHeight="1">
      <x:c r="A142" s="174" t="n">
        <x:v>141</x:v>
      </x:c>
      <x:c r="B142" s="7" t="str">
        <x:v>2026-07</x:v>
      </x:c>
      <x:c r="C142" s="7" t="str">
        <x:v>2607.28508</x:v>
      </x:c>
      <x:c r="D142" s="7" t="str">
        <x:v>Second Eigenvalue Estimates and Spectral Rigidity for Submanifolds of Compact Rank-One Symmetric Spaces</x:v>
      </x:c>
      <x:c r="E142" s="7" t="str">
        <x:v>Márcio Batista; Abraão Mendes</x:v>
      </x:c>
      <x:c r="F142" s="7" t="str">
        <x:v>spectral geometry / submanifolds</x:v>
      </x:c>
      <x:c r="G142" s="6" t="n">
        <x:v>33</x:v>
      </x:c>
      <x:c r="H142" s="28" t="n">
        <x:v>89.175</x:v>
      </x:c>
      <x:c r="I142" s="28" t="n">
        <x:v>89.25</x:v>
      </x:c>
      <x:c r="J142" s="28" t="n">
        <x:v>89.1</x:v>
      </x:c>
      <x:c r="K142" s="174" t="n">
        <x:v>90</x:v>
      </x:c>
      <x:c r="L142" s="174" t="n">
        <x:v>89</x:v>
      </x:c>
      <x:c r="M142" s="174" t="n">
        <x:v>91</x:v>
      </x:c>
      <x:c r="N142" s="174" t="n">
        <x:v>88</x:v>
      </x:c>
      <x:c r="O142" s="174" t="n">
        <x:v>91</x:v>
      </x:c>
      <x:c r="P142" s="174" t="n">
        <x:v>85</x:v>
      </x:c>
      <x:c r="Q142" s="174" t="n">
        <x:v>13</x:v>
      </x:c>
      <x:c r="R142" s="7" t="str">
        <x:v>https://arxiv.org/abs/2607.28508</x:v>
      </x:c>
      <x:c r="S142" s="7"/>
      <x:c r="T142" s="7" t="str">
        <x:v>Spectral rigidity estimates for submanifolds in CROSS spaces.</x:v>
      </x:c>
    </x:row>
    <x:row r="143" ht="38" customHeight="1">
      <x:c r="A143" s="174" t="n">
        <x:v>142</x:v>
      </x:c>
      <x:c r="B143" s="7" t="str">
        <x:v>2026-08</x:v>
      </x:c>
      <x:c r="C143" s="7" t="str">
        <x:v>2608.02370</x:v>
      </x:c>
      <x:c r="D143" s="7" t="str">
        <x:v>The Geometry and Dynamics of Spiral Minimal Products</x:v>
      </x:c>
      <x:c r="E143" s="7" t="str">
        <x:v>Haizhong Li; Yongsheng Zhang</x:v>
      </x:c>
      <x:c r="F143" s="7" t="str">
        <x:v>minimal products / dynamics</x:v>
      </x:c>
      <x:c r="G143" s="6" t="n">
        <x:v>54</x:v>
      </x:c>
      <x:c r="H143" s="28" t="n">
        <x:v>89.175</x:v>
      </x:c>
      <x:c r="I143" s="28" t="n">
        <x:v>89.25</x:v>
      </x:c>
      <x:c r="J143" s="28" t="n">
        <x:v>89.1</x:v>
      </x:c>
      <x:c r="K143" s="174" t="n">
        <x:v>90</x:v>
      </x:c>
      <x:c r="L143" s="174" t="n">
        <x:v>89</x:v>
      </x:c>
      <x:c r="M143" s="174" t="n">
        <x:v>91</x:v>
      </x:c>
      <x:c r="N143" s="174" t="n">
        <x:v>88</x:v>
      </x:c>
      <x:c r="O143" s="174" t="n">
        <x:v>91</x:v>
      </x:c>
      <x:c r="P143" s="174" t="n">
        <x:v>85</x:v>
      </x:c>
      <x:c r="Q143" s="174" t="n">
        <x:v>13</x:v>
      </x:c>
      <x:c r="R143" s="7" t="str">
        <x:v>https://arxiv.org/abs/2608.02370</x:v>
      </x:c>
      <x:c r="S143" s="7"/>
      <x:c r="T143" s="7" t="str">
        <x:v>Spiral minimal products; strengthens earlier results with geometric dynamics.</x:v>
      </x:c>
    </x:row>
    <x:row r="144" ht="38" customHeight="1">
      <x:c r="A144" s="174" t="n">
        <x:v>143</x:v>
      </x:c>
      <x:c r="B144" s="7" t="str">
        <x:v>2026-08</x:v>
      </x:c>
      <x:c r="C144" s="7" t="str">
        <x:v>2608.02840</x:v>
      </x:c>
      <x:c r="D144" s="7" t="str">
        <x:v>Homogeneous spaces with two equivalent isotropy summands develop positive Ricci curvature under Ricci flow</x:v>
      </x:c>
      <x:c r="E144" s="7" t="str">
        <x:v>Eric Cochran; Arseny Mingajev; Lawrence Mouillé; Nazia Valiyakath</x:v>
      </x:c>
      <x:c r="F144" s="7" t="str">
        <x:v>Ricci flow / homogeneous spaces</x:v>
      </x:c>
      <x:c r="G144" s="6" t="str">
        <x:v>-</x:v>
      </x:c>
      <x:c r="H144" s="28" t="n">
        <x:v>89.175</x:v>
      </x:c>
      <x:c r="I144" s="28" t="n">
        <x:v>89.25</x:v>
      </x:c>
      <x:c r="J144" s="28" t="n">
        <x:v>89.1</x:v>
      </x:c>
      <x:c r="K144" s="174" t="n">
        <x:v>90</x:v>
      </x:c>
      <x:c r="L144" s="174" t="n">
        <x:v>89</x:v>
      </x:c>
      <x:c r="M144" s="174" t="n">
        <x:v>91</x:v>
      </x:c>
      <x:c r="N144" s="174" t="n">
        <x:v>88</x:v>
      </x:c>
      <x:c r="O144" s="174" t="n">
        <x:v>91</x:v>
      </x:c>
      <x:c r="P144" s="174" t="n">
        <x:v>85</x:v>
      </x:c>
      <x:c r="Q144" s="174" t="n">
        <x:v>13</x:v>
      </x:c>
      <x:c r="R144" s="7" t="str">
        <x:v>https://arxiv.org/abs/2608.02840</x:v>
      </x:c>
      <x:c r="S144" s="7"/>
      <x:c r="T144" s="7" t="str">
        <x:v>Ricci-flow positivity result for homogeneous spaces.</x:v>
      </x:c>
    </x:row>
    <x:row r="145" ht="38" customHeight="1">
      <x:c r="A145" s="174" t="n">
        <x:v>144</x:v>
      </x:c>
      <x:c r="B145" s="7" t="str">
        <x:v>2026-08</x:v>
      </x:c>
      <x:c r="C145" s="7" t="str">
        <x:v>2608.03982</x:v>
      </x:c>
      <x:c r="D145" s="7" t="str">
        <x:v>Analysis on surfaces with locally bounded integral curvature</x:v>
      </x:c>
      <x:c r="E145" s="7" t="str">
        <x:v>Sebastian Boldt; Batu Güneysu; Maxime Marot</x:v>
      </x:c>
      <x:c r="F145" s="7" t="str">
        <x:v>surfaces with bounded integral curvature</x:v>
      </x:c>
      <x:c r="G145" s="6" t="str">
        <x:v>-</x:v>
      </x:c>
      <x:c r="H145" s="28" t="n">
        <x:v>89.175</x:v>
      </x:c>
      <x:c r="I145" s="28" t="n">
        <x:v>89.25</x:v>
      </x:c>
      <x:c r="J145" s="28" t="n">
        <x:v>89.1</x:v>
      </x:c>
      <x:c r="K145" s="174" t="n">
        <x:v>90</x:v>
      </x:c>
      <x:c r="L145" s="174" t="n">
        <x:v>89</x:v>
      </x:c>
      <x:c r="M145" s="174" t="n">
        <x:v>91</x:v>
      </x:c>
      <x:c r="N145" s="174" t="n">
        <x:v>88</x:v>
      </x:c>
      <x:c r="O145" s="174" t="n">
        <x:v>91</x:v>
      </x:c>
      <x:c r="P145" s="174" t="n">
        <x:v>85</x:v>
      </x:c>
      <x:c r="Q145" s="174" t="n">
        <x:v>13</x:v>
      </x:c>
      <x:c r="R145" s="7" t="str">
        <x:v>https://arxiv.org/abs/2608.03982</x:v>
      </x:c>
      <x:c r="S145" s="7"/>
      <x:c r="T145" s="7" t="str">
        <x:v>Analysis framework on surfaces with bounded integral curvature.</x:v>
      </x:c>
    </x:row>
    <x:row r="146" ht="38" customHeight="1">
      <x:c r="A146" s="174" t="n">
        <x:v>145</x:v>
      </x:c>
      <x:c r="B146" s="7" t="str">
        <x:v>2026-06</x:v>
      </x:c>
      <x:c r="C146" s="7" t="str">
        <x:v>2606.10443</x:v>
      </x:c>
      <x:c r="D146" s="7" t="str">
        <x:v>Geometry of gravitational instantons</x:v>
      </x:c>
      <x:c r="E146" s="7" t="str">
        <x:v>Mingyang Li; Song Sun</x:v>
      </x:c>
      <x:c r="F146" s="7" t="str">
        <x:v>gravitational instantons / survey</x:v>
      </x:c>
      <x:c r="G146" s="6" t="str">
        <x:v>-</x:v>
      </x:c>
      <x:c r="H146" s="28" t="n">
        <x:v>89.17</x:v>
      </x:c>
      <x:c r="I146" s="28" t="n">
        <x:v>89.7</x:v>
      </x:c>
      <x:c r="J146" s="28" t="n">
        <x:v>88.65</x:v>
      </x:c>
      <x:c r="K146" s="174" t="n">
        <x:v>91</x:v>
      </x:c>
      <x:c r="L146" s="174" t="n">
        <x:v>90</x:v>
      </x:c>
      <x:c r="M146" s="174" t="n">
        <x:v>90</x:v>
      </x:c>
      <x:c r="N146" s="174" t="n">
        <x:v>88</x:v>
      </x:c>
      <x:c r="O146" s="174" t="n">
        <x:v>91</x:v>
      </x:c>
      <x:c r="P146" s="174" t="n">
        <x:v>87</x:v>
      </x:c>
      <x:c r="Q146" s="174" t="n">
        <x:v>18</x:v>
      </x:c>
      <x:c r="R146" s="7" t="str">
        <x:v>https://arxiv.org/abs/2606.10443</x:v>
      </x:c>
      <x:c r="S146" s="7"/>
      <x:c r="T146" s="7" t="str">
        <x:v>High-level survey on gravitational instanton geometry.</x:v>
      </x:c>
    </x:row>
    <x:row r="147" ht="38" customHeight="1">
      <x:c r="A147" s="174" t="n">
        <x:v>146</x:v>
      </x:c>
      <x:c r="B147" s="7" t="str">
        <x:v>2026-07</x:v>
      </x:c>
      <x:c r="C147" s="7" t="str">
        <x:v>2607.23584</x:v>
      </x:c>
      <x:c r="D147" s="7" t="str">
        <x:v>Infinite Combinatorial Yamabe Flows in Three Dimensions</x:v>
      </x:c>
      <x:c r="E147" s="7" t="str">
        <x:v>Bohao Ji</x:v>
      </x:c>
      <x:c r="F147" s="7" t="str">
        <x:v>3D combinatorial Yamabe flow / infinite triangulations</x:v>
      </x:c>
      <x:c r="G147" s="6" t="n">
        <x:v>26</x:v>
      </x:c>
      <x:c r="H147" s="28" t="n">
        <x:v>89.125</x:v>
      </x:c>
      <x:c r="I147" s="28" t="n">
        <x:v>89.1</x:v>
      </x:c>
      <x:c r="J147" s="28" t="n">
        <x:v>89.15</x:v>
      </x:c>
      <x:c r="K147" s="174" t="n">
        <x:v>89</x:v>
      </x:c>
      <x:c r="L147" s="174" t="n">
        <x:v>90</x:v>
      </x:c>
      <x:c r="M147" s="174" t="n">
        <x:v>91</x:v>
      </x:c>
      <x:c r="N147" s="174" t="n">
        <x:v>89</x:v>
      </x:c>
      <x:c r="O147" s="174" t="n">
        <x:v>91</x:v>
      </x:c>
      <x:c r="P147" s="174" t="n">
        <x:v>83</x:v>
      </x:c>
      <x:c r="Q147" s="174" t="n">
        <x:v>12</x:v>
      </x:c>
      <x:c r="R147" s="7" t="str">
        <x:v>https://arxiv.org/abs/2607.23584</x:v>
      </x:c>
      <x:c r="S147" s="7"/>
      <x:c r="T147" s="7" t="str">
        <x:v>Short-time well-posedness and long-time existence of extended three-dimensional combinatorial Yamabe flows on locally finite infinite triangulations.</x:v>
      </x:c>
    </x:row>
    <x:row r="148" ht="38" customHeight="1">
      <x:c r="A148" s="174" t="n">
        <x:v>147</x:v>
      </x:c>
      <x:c r="B148" s="7" t="str">
        <x:v>2026-07</x:v>
      </x:c>
      <x:c r="C148" s="7" t="str">
        <x:v>2607.18312</x:v>
      </x:c>
      <x:c r="D148" s="7" t="str">
        <x:v>Vakonomic Fluids</x:v>
      </x:c>
      <x:c r="E148" s="7" t="str">
        <x:v>Ritoban Roy-Chowdhury; Mohammad Sina Nabizadeh; Oliver Gross; Anthony Gruber; Albert Chern</x:v>
      </x:c>
      <x:c r="F148" s="7" t="str">
        <x:v>discrete geometric mechanics / fluids</x:v>
      </x:c>
      <x:c r="G148" s="6" t="n">
        <x:v>37</x:v>
      </x:c>
      <x:c r="H148" s="28" t="n">
        <x:v>89.025</x:v>
      </x:c>
      <x:c r="I148" s="28" t="n">
        <x:v>89.75</x:v>
      </x:c>
      <x:c r="J148" s="28" t="n">
        <x:v>88.3</x:v>
      </x:c>
      <x:c r="K148" s="174" t="n">
        <x:v>89</x:v>
      </x:c>
      <x:c r="L148" s="174" t="n">
        <x:v>92</x:v>
      </x:c>
      <x:c r="M148" s="174" t="n">
        <x:v>90</x:v>
      </x:c>
      <x:c r="N148" s="174" t="n">
        <x:v>91</x:v>
      </x:c>
      <x:c r="O148" s="174" t="n">
        <x:v>89</x:v>
      </x:c>
      <x:c r="P148" s="174" t="n">
        <x:v>85</x:v>
      </x:c>
      <x:c r="Q148" s="174" t="n">
        <x:v>17</x:v>
      </x:c>
      <x:c r="R148" s="7" t="str">
        <x:v>https://arxiv.org/abs/2607.18312</x:v>
      </x:c>
      <x:c r="S148" s="7"/>
      <x:c r="T148" s="7" t="str">
        <x:v>Vakonomic discretization of Euler retaining geodesic and Lie-Poisson structure, Casimirs, and a discrete Kelvin theorem.</x:v>
      </x:c>
    </x:row>
    <x:row r="149" ht="38" customHeight="1">
      <x:c r="A149" s="174" t="n">
        <x:v>148</x:v>
      </x:c>
      <x:c r="B149" s="7" t="str">
        <x:v>2026-06</x:v>
      </x:c>
      <x:c r="C149" s="7" t="str">
        <x:v>2606.00354</x:v>
      </x:c>
      <x:c r="D149" s="7" t="str">
        <x:v>Inequivalence of the various notions of completeness for Cartan geometries</x:v>
      </x:c>
      <x:c r="E149" s="7" t="str">
        <x:v>Jacob W. Erickson; Benjamin McKay</x:v>
      </x:c>
      <x:c r="F149" s="7" t="str">
        <x:v>Cartan geometry</x:v>
      </x:c>
      <x:c r="G149" s="6" t="n">
        <x:v>24</x:v>
      </x:c>
      <x:c r="H149" s="28" t="n">
        <x:v>89</x:v>
      </x:c>
      <x:c r="I149" s="28" t="n">
        <x:v>89.4</x:v>
      </x:c>
      <x:c r="J149" s="28" t="n">
        <x:v>88.6</x:v>
      </x:c>
      <x:c r="K149" s="174" t="n">
        <x:v>91</x:v>
      </x:c>
      <x:c r="L149" s="174" t="n">
        <x:v>89</x:v>
      </x:c>
      <x:c r="M149" s="174" t="n">
        <x:v>90</x:v>
      </x:c>
      <x:c r="N149" s="174" t="n">
        <x:v>88</x:v>
      </x:c>
      <x:c r="O149" s="174" t="n">
        <x:v>90</x:v>
      </x:c>
      <x:c r="P149" s="174" t="n">
        <x:v>86</x:v>
      </x:c>
      <x:c r="Q149" s="174" t="n">
        <x:v>14</x:v>
      </x:c>
      <x:c r="R149" s="7" t="str">
        <x:v>https://arxiv.org/abs/2606.00354</x:v>
      </x:c>
      <x:c r="S149" s="7"/>
      <x:c r="T149" s="7" t="str">
        <x:v>Clarifies inequivalent completeness notions in Cartan geometry.</x:v>
      </x:c>
    </x:row>
    <x:row r="150" ht="38" customHeight="1">
      <x:c r="A150" s="174" t="n">
        <x:v>149</x:v>
      </x:c>
      <x:c r="B150" s="7" t="str">
        <x:v>2026-06</x:v>
      </x:c>
      <x:c r="C150" s="7" t="str">
        <x:v>2606.01108</x:v>
      </x:c>
      <x:c r="D150" s="7" t="str">
        <x:v>Integral type Gauss-Green formula on non-collapsed RCD spaces and its applications</x:v>
      </x:c>
      <x:c r="E150" s="7" t="str">
        <x:v>Zhangkai Huang</x:v>
      </x:c>
      <x:c r="F150" s="7" t="str">
        <x:v>RCD spaces / metric geometry</x:v>
      </x:c>
      <x:c r="G150" s="6" t="str">
        <x:v>-</x:v>
      </x:c>
      <x:c r="H150" s="28" t="n">
        <x:v>89</x:v>
      </x:c>
      <x:c r="I150" s="28" t="n">
        <x:v>89.4</x:v>
      </x:c>
      <x:c r="J150" s="28" t="n">
        <x:v>88.6</x:v>
      </x:c>
      <x:c r="K150" s="174" t="n">
        <x:v>91</x:v>
      </x:c>
      <x:c r="L150" s="174" t="n">
        <x:v>89</x:v>
      </x:c>
      <x:c r="M150" s="174" t="n">
        <x:v>90</x:v>
      </x:c>
      <x:c r="N150" s="174" t="n">
        <x:v>88</x:v>
      </x:c>
      <x:c r="O150" s="174" t="n">
        <x:v>90</x:v>
      </x:c>
      <x:c r="P150" s="174" t="n">
        <x:v>86</x:v>
      </x:c>
      <x:c r="Q150" s="174" t="n">
        <x:v>14</x:v>
      </x:c>
      <x:c r="R150" s="7" t="str">
        <x:v>https://arxiv.org/abs/2606.01108</x:v>
      </x:c>
      <x:c r="S150" s="7"/>
      <x:c r="T150" s="7" t="str">
        <x:v>Gauss-Green formula on non-collapsed RCD spaces.</x:v>
      </x:c>
    </x:row>
    <x:row r="151" ht="38" customHeight="1">
      <x:c r="A151" s="174" t="n">
        <x:v>150</x:v>
      </x:c>
      <x:c r="B151" s="7" t="str">
        <x:v>2026-06</x:v>
      </x:c>
      <x:c r="C151" s="7" t="str">
        <x:v>2606.01368</x:v>
      </x:c>
      <x:c r="D151" s="7" t="str">
        <x:v>Cohn-Vossen-Type Inequalities for Three-Manifolds and Locally Conformally Flat Manifolds</x:v>
      </x:c>
      <x:c r="E151" s="7" t="str">
        <x:v>Jialong Deng</x:v>
      </x:c>
      <x:c r="F151" s="7" t="str">
        <x:v>comparison geometry</x:v>
      </x:c>
      <x:c r="G151" s="6" t="str">
        <x:v>-</x:v>
      </x:c>
      <x:c r="H151" s="28" t="n">
        <x:v>89</x:v>
      </x:c>
      <x:c r="I151" s="28" t="n">
        <x:v>89.4</x:v>
      </x:c>
      <x:c r="J151" s="28" t="n">
        <x:v>88.6</x:v>
      </x:c>
      <x:c r="K151" s="174" t="n">
        <x:v>91</x:v>
      </x:c>
      <x:c r="L151" s="174" t="n">
        <x:v>89</x:v>
      </x:c>
      <x:c r="M151" s="174" t="n">
        <x:v>90</x:v>
      </x:c>
      <x:c r="N151" s="174" t="n">
        <x:v>88</x:v>
      </x:c>
      <x:c r="O151" s="174" t="n">
        <x:v>90</x:v>
      </x:c>
      <x:c r="P151" s="174" t="n">
        <x:v>86</x:v>
      </x:c>
      <x:c r="Q151" s="174" t="n">
        <x:v>14</x:v>
      </x:c>
      <x:c r="R151" s="7" t="str">
        <x:v>https://arxiv.org/abs/2606.01368</x:v>
      </x:c>
      <x:c r="S151" s="7"/>
      <x:c r="T151" s="7" t="str">
        <x:v>Cohn-Vossen-type inequalities in 3D and conformally flat settings.</x:v>
      </x:c>
    </x:row>
    <x:row r="152" ht="38" customHeight="1">
      <x:c r="A152" s="174" t="n">
        <x:v>151</x:v>
      </x:c>
      <x:c r="B152" s="7" t="str">
        <x:v>2026-06</x:v>
      </x:c>
      <x:c r="C152" s="7" t="str">
        <x:v>2606.01484</x:v>
      </x:c>
      <x:c r="D152" s="7" t="str">
        <x:v>Length-constrained curve diffusion flow for open curves with endpoints on two intersecting lines</x:v>
      </x:c>
      <x:c r="E152" s="7" t="str">
        <x:v>Qiyuan Cheng; Shunzi Guo</x:v>
      </x:c>
      <x:c r="F152" s="7" t="str">
        <x:v>curve diffusion flow</x:v>
      </x:c>
      <x:c r="G152" s="6" t="str">
        <x:v>-</x:v>
      </x:c>
      <x:c r="H152" s="28" t="n">
        <x:v>89</x:v>
      </x:c>
      <x:c r="I152" s="28" t="n">
        <x:v>89.4</x:v>
      </x:c>
      <x:c r="J152" s="28" t="n">
        <x:v>88.6</x:v>
      </x:c>
      <x:c r="K152" s="174" t="n">
        <x:v>91</x:v>
      </x:c>
      <x:c r="L152" s="174" t="n">
        <x:v>89</x:v>
      </x:c>
      <x:c r="M152" s="174" t="n">
        <x:v>90</x:v>
      </x:c>
      <x:c r="N152" s="174" t="n">
        <x:v>88</x:v>
      </x:c>
      <x:c r="O152" s="174" t="n">
        <x:v>90</x:v>
      </x:c>
      <x:c r="P152" s="174" t="n">
        <x:v>86</x:v>
      </x:c>
      <x:c r="Q152" s="174" t="n">
        <x:v>14</x:v>
      </x:c>
      <x:c r="R152" s="7" t="str">
        <x:v>https://arxiv.org/abs/2606.01484</x:v>
      </x:c>
      <x:c r="S152" s="7"/>
      <x:c r="T152" s="7" t="str">
        <x:v>Length-constrained curve diffusion for open curves with boundary constraints.</x:v>
      </x:c>
    </x:row>
    <x:row r="153" ht="38" customHeight="1">
      <x:c r="A153" s="174" t="n">
        <x:v>152</x:v>
      </x:c>
      <x:c r="B153" s="7" t="str">
        <x:v>2026-06</x:v>
      </x:c>
      <x:c r="C153" s="7" t="str">
        <x:v>2606.01534</x:v>
      </x:c>
      <x:c r="D153" s="7" t="str">
        <x:v>On the ends of Willmore surfaces with curvature decay</x:v>
      </x:c>
      <x:c r="E153" s="7" t="str">
        <x:v>Yuxiang Li; Hao Yin</x:v>
      </x:c>
      <x:c r="F153" s="7" t="str">
        <x:v>Willmore surfaces</x:v>
      </x:c>
      <x:c r="G153" s="6" t="str">
        <x:v>-</x:v>
      </x:c>
      <x:c r="H153" s="28" t="n">
        <x:v>89</x:v>
      </x:c>
      <x:c r="I153" s="28" t="n">
        <x:v>89.4</x:v>
      </x:c>
      <x:c r="J153" s="28" t="n">
        <x:v>88.6</x:v>
      </x:c>
      <x:c r="K153" s="174" t="n">
        <x:v>91</x:v>
      </x:c>
      <x:c r="L153" s="174" t="n">
        <x:v>89</x:v>
      </x:c>
      <x:c r="M153" s="174" t="n">
        <x:v>90</x:v>
      </x:c>
      <x:c r="N153" s="174" t="n">
        <x:v>88</x:v>
      </x:c>
      <x:c r="O153" s="174" t="n">
        <x:v>90</x:v>
      </x:c>
      <x:c r="P153" s="174" t="n">
        <x:v>86</x:v>
      </x:c>
      <x:c r="Q153" s="174" t="n">
        <x:v>14</x:v>
      </x:c>
      <x:c r="R153" s="7" t="str">
        <x:v>https://arxiv.org/abs/2606.01534</x:v>
      </x:c>
      <x:c r="S153" s="7"/>
      <x:c r="T153" s="7" t="str">
        <x:v>Analysis of ends for Willmore surfaces under curvature decay.</x:v>
      </x:c>
    </x:row>
    <x:row r="154" ht="38" customHeight="1">
      <x:c r="A154" s="174" t="n">
        <x:v>153</x:v>
      </x:c>
      <x:c r="B154" s="7" t="str">
        <x:v>2026-06</x:v>
      </x:c>
      <x:c r="C154" s="7" t="str">
        <x:v>2606.01579</x:v>
      </x:c>
      <x:c r="D154" s="7" t="str">
        <x:v>Gradient estimates and Liouville theorems for the Phi-Laplacian equations on Riemannian manifolds</x:v>
      </x:c>
      <x:c r="E154" s="7" t="str">
        <x:v>Yu-Zhao Wang; Jian-Hua Hao</x:v>
      </x:c>
      <x:c r="F154" s="7" t="str">
        <x:v>gradient estimates / Liouville theorems</x:v>
      </x:c>
      <x:c r="G154" s="6" t="n">
        <x:v>20</x:v>
      </x:c>
      <x:c r="H154" s="28" t="n">
        <x:v>88.92</x:v>
      </x:c>
      <x:c r="I154" s="28" t="n">
        <x:v>89.25</x:v>
      </x:c>
      <x:c r="J154" s="28" t="n">
        <x:v>88.6</x:v>
      </x:c>
      <x:c r="K154" s="174" t="n">
        <x:v>91</x:v>
      </x:c>
      <x:c r="L154" s="174" t="n">
        <x:v>89</x:v>
      </x:c>
      <x:c r="M154" s="174" t="n">
        <x:v>90</x:v>
      </x:c>
      <x:c r="N154" s="174" t="n">
        <x:v>87</x:v>
      </x:c>
      <x:c r="O154" s="174" t="n">
        <x:v>90</x:v>
      </x:c>
      <x:c r="P154" s="174" t="n">
        <x:v>86</x:v>
      </x:c>
      <x:c r="Q154" s="174" t="n">
        <x:v>14</x:v>
      </x:c>
      <x:c r="R154" s="7" t="str">
        <x:v>https://arxiv.org/abs/2606.01579</x:v>
      </x:c>
      <x:c r="S154" s="7"/>
      <x:c r="T154" s="7" t="str">
        <x:v>Gradient estimates and Liouville theorems for Phi-Laplacian equations.</x:v>
      </x:c>
    </x:row>
    <x:row r="155" ht="38" customHeight="1">
      <x:c r="A155" s="174" t="n">
        <x:v>154</x:v>
      </x:c>
      <x:c r="B155" s="7" t="str">
        <x:v>2026-06</x:v>
      </x:c>
      <x:c r="C155" s="7" t="str">
        <x:v>2606.01715</x:v>
      </x:c>
      <x:c r="D155" s="7" t="str">
        <x:v>A Bernstein-type theorem for capillary graphs in a half-space</x:v>
      </x:c>
      <x:c r="E155" s="7" t="str">
        <x:v>Nick Edelen; Chao Li; Jonathan J. Zhu</x:v>
      </x:c>
      <x:c r="F155" s="7" t="str">
        <x:v>capillary surfaces</x:v>
      </x:c>
      <x:c r="G155" s="6" t="n">
        <x:v>15</x:v>
      </x:c>
      <x:c r="H155" s="28" t="n">
        <x:v>88.7</x:v>
      </x:c>
      <x:c r="I155" s="28" t="n">
        <x:v>88.95</x:v>
      </x:c>
      <x:c r="J155" s="28" t="n">
        <x:v>88.45</x:v>
      </x:c>
      <x:c r="K155" s="174" t="n">
        <x:v>90</x:v>
      </x:c>
      <x:c r="L155" s="174" t="n">
        <x:v>89</x:v>
      </x:c>
      <x:c r="M155" s="174" t="n">
        <x:v>90</x:v>
      </x:c>
      <x:c r="N155" s="174" t="n">
        <x:v>87</x:v>
      </x:c>
      <x:c r="O155" s="174" t="n">
        <x:v>90</x:v>
      </x:c>
      <x:c r="P155" s="174" t="n">
        <x:v>86</x:v>
      </x:c>
      <x:c r="Q155" s="174" t="n">
        <x:v>15</x:v>
      </x:c>
      <x:c r="R155" s="7" t="str">
        <x:v>https://arxiv.org/abs/2606.01715</x:v>
      </x:c>
      <x:c r="S155" s="7"/>
      <x:c r="T155" s="7" t="str">
        <x:v>Bernstein theorem for capillary graphs; concise but nontrivial.</x:v>
      </x:c>
    </x:row>
    <x:row r="156" ht="38" customHeight="1">
      <x:c r="A156" s="174" t="n">
        <x:v>155</x:v>
      </x:c>
      <x:c r="B156" s="7" t="str">
        <x:v>2026-07</x:v>
      </x:c>
      <x:c r="C156" s="7" t="str">
        <x:v>2607.25691</x:v>
      </x:c>
      <x:c r="D156" s="7" t="str">
        <x:v>Combinatorial Yamabe flow on infinitely triangulated hyperbolic surfaces</x:v>
      </x:c>
      <x:c r="E156" s="7" t="str">
        <x:v>Yuerong Bian; Xu Xu</x:v>
      </x:c>
      <x:c r="F156" s="7" t="str">
        <x:v>surface combinatorial Yamabe flow</x:v>
      </x:c>
      <x:c r="G156" s="6" t="n">
        <x:v>24</x:v>
      </x:c>
      <x:c r="H156" s="28" t="n">
        <x:v>88.475</x:v>
      </x:c>
      <x:c r="I156" s="28" t="n">
        <x:v>88.5</x:v>
      </x:c>
      <x:c r="J156" s="28" t="n">
        <x:v>88.45</x:v>
      </x:c>
      <x:c r="K156" s="174" t="n">
        <x:v>89</x:v>
      </x:c>
      <x:c r="L156" s="174" t="n">
        <x:v>89</x:v>
      </x:c>
      <x:c r="M156" s="174" t="n">
        <x:v>90</x:v>
      </x:c>
      <x:c r="N156" s="174" t="n">
        <x:v>88</x:v>
      </x:c>
      <x:c r="O156" s="174" t="n">
        <x:v>90</x:v>
      </x:c>
      <x:c r="P156" s="174" t="n">
        <x:v>83</x:v>
      </x:c>
      <x:c r="Q156" s="174" t="n">
        <x:v>12</x:v>
      </x:c>
      <x:c r="R156" s="7" t="str">
        <x:v>https://arxiv.org/abs/2607.25691</x:v>
      </x:c>
      <x:c r="S156" s="7"/>
      <x:c r="T156" s="7" t="str">
        <x:v>Well-posedness of the combinatorial Yamabe flow and global extended flow on infinitely triangulated hyperbolic surfaces.</x:v>
      </x:c>
    </x:row>
    <x:row r="157" ht="38" customHeight="1">
      <x:c r="A157" s="174" t="n">
        <x:v>156</x:v>
      </x:c>
      <x:c r="B157" s="7" t="str">
        <x:v>2026-06</x:v>
      </x:c>
      <x:c r="C157" s="7" t="str">
        <x:v>2606.01771</x:v>
      </x:c>
      <x:c r="D157" s="7" t="str">
        <x:v>On Santalo's Problem</x:v>
      </x:c>
      <x:c r="E157" s="7" t="str">
        <x:v>Fang Hong</x:v>
      </x:c>
      <x:c r="F157" s="7" t="str">
        <x:v>convex geometry / Santalo problem</x:v>
      </x:c>
      <x:c r="G157" s="6" t="n">
        <x:v>29</x:v>
      </x:c>
      <x:c r="H157" s="28" t="n">
        <x:v>88.47</x:v>
      </x:c>
      <x:c r="I157" s="28" t="n">
        <x:v>88.7</x:v>
      </x:c>
      <x:c r="J157" s="28" t="n">
        <x:v>88.25</x:v>
      </x:c>
      <x:c r="K157" s="174" t="n">
        <x:v>90</x:v>
      </x:c>
      <x:c r="L157" s="174" t="n">
        <x:v>89</x:v>
      </x:c>
      <x:c r="M157" s="174" t="n">
        <x:v>89</x:v>
      </x:c>
      <x:c r="N157" s="174" t="n">
        <x:v>87</x:v>
      </x:c>
      <x:c r="O157" s="174" t="n">
        <x:v>90</x:v>
      </x:c>
      <x:c r="P157" s="174" t="n">
        <x:v>86</x:v>
      </x:c>
      <x:c r="Q157" s="174" t="n">
        <x:v>15</x:v>
      </x:c>
      <x:c r="R157" s="7" t="str">
        <x:v>https://arxiv.org/abs/2606.01771</x:v>
      </x:c>
      <x:c r="S157" s="7"/>
      <x:c r="T157" s="7" t="str">
        <x:v>Santalo-problem contribution with geometric inequality content.</x:v>
      </x:c>
    </x:row>
    <x:row r="158" ht="38" customHeight="1">
      <x:c r="A158" s="174" t="n">
        <x:v>157</x:v>
      </x:c>
      <x:c r="B158" s="7" t="str">
        <x:v>2026-06</x:v>
      </x:c>
      <x:c r="C158" s="7" t="str">
        <x:v>2606.02816</x:v>
      </x:c>
      <x:c r="D158" s="7" t="str">
        <x:v>On the geometry of non-collapsed polarized cscK surfaces</x:v>
      </x:c>
      <x:c r="E158" s="7" t="str">
        <x:v>Junsheng Zhang; Keshu Zhou</x:v>
      </x:c>
      <x:c r="F158" s="7" t="str">
        <x:v>cscK geometry</x:v>
      </x:c>
      <x:c r="G158" s="6" t="str">
        <x:v>-</x:v>
      </x:c>
      <x:c r="H158" s="28" t="n">
        <x:v>88.47</x:v>
      </x:c>
      <x:c r="I158" s="28" t="n">
        <x:v>88.7</x:v>
      </x:c>
      <x:c r="J158" s="28" t="n">
        <x:v>88.25</x:v>
      </x:c>
      <x:c r="K158" s="174" t="n">
        <x:v>90</x:v>
      </x:c>
      <x:c r="L158" s="174" t="n">
        <x:v>89</x:v>
      </x:c>
      <x:c r="M158" s="174" t="n">
        <x:v>89</x:v>
      </x:c>
      <x:c r="N158" s="174" t="n">
        <x:v>87</x:v>
      </x:c>
      <x:c r="O158" s="174" t="n">
        <x:v>90</x:v>
      </x:c>
      <x:c r="P158" s="174" t="n">
        <x:v>86</x:v>
      </x:c>
      <x:c r="Q158" s="174" t="n">
        <x:v>15</x:v>
      </x:c>
      <x:c r="R158" s="7" t="str">
        <x:v>https://arxiv.org/abs/2606.02816</x:v>
      </x:c>
      <x:c r="S158" s="7"/>
      <x:c r="T158" s="7" t="str">
        <x:v>Geometry of non-collapsed polarized cscK surfaces.</x:v>
      </x:c>
    </x:row>
    <x:row r="159" ht="38" customHeight="1">
      <x:c r="A159" s="174" t="n">
        <x:v>158</x:v>
      </x:c>
      <x:c r="B159" s="7" t="str">
        <x:v>2026-06</x:v>
      </x:c>
      <x:c r="C159" s="7" t="str">
        <x:v>2606.02829</x:v>
      </x:c>
      <x:c r="D159" s="7" t="str">
        <x:v>Sharp focal radius estimate and rigidity of hypersurfaces in manifolds with positive curvature</x:v>
      </x:c>
      <x:c r="E159" s="7" t="str">
        <x:v>Tsz-Kiu Aaron Chow; Jingbo Wan</x:v>
      </x:c>
      <x:c r="F159" s="7" t="str">
        <x:v>focal radius / rigidity</x:v>
      </x:c>
      <x:c r="G159" s="6" t="str">
        <x:v>-</x:v>
      </x:c>
      <x:c r="H159" s="28" t="n">
        <x:v>88.3</x:v>
      </x:c>
      <x:c r="I159" s="28" t="n">
        <x:v>88.7</x:v>
      </x:c>
      <x:c r="J159" s="28" t="n">
        <x:v>87.9</x:v>
      </x:c>
      <x:c r="K159" s="174" t="n">
        <x:v>91</x:v>
      </x:c>
      <x:c r="L159" s="174" t="n">
        <x:v>88</x:v>
      </x:c>
      <x:c r="M159" s="174" t="n">
        <x:v>89</x:v>
      </x:c>
      <x:c r="N159" s="174" t="n">
        <x:v>87</x:v>
      </x:c>
      <x:c r="O159" s="174" t="n">
        <x:v>90</x:v>
      </x:c>
      <x:c r="P159" s="174" t="n">
        <x:v>85</x:v>
      </x:c>
      <x:c r="Q159" s="174" t="n">
        <x:v>15</x:v>
      </x:c>
      <x:c r="R159" s="7" t="str">
        <x:v>https://arxiv.org/abs/2606.02829</x:v>
      </x:c>
      <x:c r="S159" s="7"/>
      <x:c r="T159" s="7" t="str">
        <x:v>Sharp focal-radius estimate and rigidity theorem.</x:v>
      </x:c>
    </x:row>
    <x:row r="160" ht="38" customHeight="1">
      <x:c r="A160" s="174" t="n">
        <x:v>159</x:v>
      </x:c>
      <x:c r="B160" s="7" t="str">
        <x:v>2026-07</x:v>
      </x:c>
      <x:c r="C160" s="7" t="str">
        <x:v>2607.02297</x:v>
      </x:c>
      <x:c r="D160" s="7" t="str">
        <x:v>An extremal theorem for positive curvature of graphs</x:v>
      </x:c>
      <x:c r="E160" s="7" t="str">
        <x:v>Kaizhe Chen; Shiping Liu; Zhe You</x:v>
      </x:c>
      <x:c r="F160" s="7" t="str">
        <x:v>Ollivier/LLY graph curvature / extremal graphs</x:v>
      </x:c>
      <x:c r="G160" s="6" t="n">
        <x:v>19</x:v>
      </x:c>
      <x:c r="H160" s="28" t="n">
        <x:v>88.175</x:v>
      </x:c>
      <x:c r="I160" s="28" t="n">
        <x:v>88.2</x:v>
      </x:c>
      <x:c r="J160" s="28" t="n">
        <x:v>88.15</x:v>
      </x:c>
      <x:c r="K160" s="174" t="n">
        <x:v>88</x:v>
      </x:c>
      <x:c r="L160" s="174" t="n">
        <x:v>91</x:v>
      </x:c>
      <x:c r="M160" s="174" t="n">
        <x:v>88</x:v>
      </x:c>
      <x:c r="N160" s="174" t="n">
        <x:v>88</x:v>
      </x:c>
      <x:c r="O160" s="174" t="n">
        <x:v>88</x:v>
      </x:c>
      <x:c r="P160" s="174" t="n">
        <x:v>84</x:v>
      </x:c>
      <x:c r="Q160" s="174" t="n">
        <x:v>11</x:v>
      </x:c>
      <x:c r="R160" s="7" t="str">
        <x:v>https://arxiv.org/abs/2607.02297</x:v>
      </x:c>
      <x:c r="S160" s="7"/>
      <x:c r="T160" s="7" t="str">
        <x:v>Sharp edge threshold for positive Ollivier/Lin-Lu-Yau curvature, with optimality and classification of extremal cases.</x:v>
      </x:c>
    </x:row>
    <x:row r="161" ht="38" customHeight="1">
      <x:c r="A161" s="174" t="n">
        <x:v>160</x:v>
      </x:c>
      <x:c r="B161" s="7" t="str">
        <x:v>2026-07</x:v>
      </x:c>
      <x:c r="C161" s="7" t="str">
        <x:v>2607.25705</x:v>
      </x:c>
      <x:c r="D161" s="7" t="str">
        <x:v>Spherical orthogonal ring patterns on surfaces and modified combinatorial total geodesic curvatures</x:v>
      </x:c>
      <x:c r="E161" s="7" t="str">
        <x:v>Zhiwen Xiong; Xu Xu</x:v>
      </x:c>
      <x:c r="F161" s="7" t="str">
        <x:v>spherical ring patterns / discrete curvature</x:v>
      </x:c>
      <x:c r="G161" s="6" t="n">
        <x:v>15</x:v>
      </x:c>
      <x:c r="H161" s="28" t="n">
        <x:v>88.075</x:v>
      </x:c>
      <x:c r="I161" s="28" t="n">
        <x:v>88</x:v>
      </x:c>
      <x:c r="J161" s="28" t="n">
        <x:v>88.15</x:v>
      </x:c>
      <x:c r="K161" s="174" t="n">
        <x:v>88</x:v>
      </x:c>
      <x:c r="L161" s="174" t="n">
        <x:v>90</x:v>
      </x:c>
      <x:c r="M161" s="174" t="n">
        <x:v>89</x:v>
      </x:c>
      <x:c r="N161" s="174" t="n">
        <x:v>87</x:v>
      </x:c>
      <x:c r="O161" s="174" t="n">
        <x:v>89</x:v>
      </x:c>
      <x:c r="P161" s="174" t="n">
        <x:v>83</x:v>
      </x:c>
      <x:c r="Q161" s="174" t="n">
        <x:v>12</x:v>
      </x:c>
      <x:c r="R161" s="7" t="str">
        <x:v>https://arxiv.org/abs/2607.25705</x:v>
      </x:c>
      <x:c r="S161" s="7"/>
      <x:c r="T161" s="7" t="str">
        <x:v>Rigidity of spherical orthogonal ring patterns via modified combinatorial total geodesic curvature and variational principles.</x:v>
      </x:c>
    </x:row>
    <x:row r="162" ht="38" customHeight="1">
      <x:c r="A162" s="174" t="n">
        <x:v>161</x:v>
      </x:c>
      <x:c r="B162" s="7" t="str">
        <x:v>2026-07</x:v>
      </x:c>
      <x:c r="C162" s="7" t="str">
        <x:v>2607.00949</x:v>
      </x:c>
      <x:c r="D162" s="7" t="str">
        <x:v>Maximal Normal Curvature and Veronese Rigidity</x:v>
      </x:c>
      <x:c r="E162" s="7" t="str">
        <x:v>Tsz-Kiu Aaron Chow; Jingbo Wan</x:v>
      </x:c>
      <x:c r="F162" s="7" t="str">
        <x:v>Veronese rigidity</x:v>
      </x:c>
      <x:c r="G162" s="6" t="str">
        <x:v>-</x:v>
      </x:c>
      <x:c r="H162" s="28" t="n">
        <x:v>88.075</x:v>
      </x:c>
      <x:c r="I162" s="28" t="n">
        <x:v>87.9</x:v>
      </x:c>
      <x:c r="J162" s="28" t="n">
        <x:v>88.25</x:v>
      </x:c>
      <x:c r="K162" s="174" t="n">
        <x:v>88</x:v>
      </x:c>
      <x:c r="L162" s="174" t="n">
        <x:v>88</x:v>
      </x:c>
      <x:c r="M162" s="174" t="n">
        <x:v>90</x:v>
      </x:c>
      <x:c r="N162" s="174" t="n">
        <x:v>86</x:v>
      </x:c>
      <x:c r="O162" s="174" t="n">
        <x:v>90</x:v>
      </x:c>
      <x:c r="P162" s="174" t="n">
        <x:v>85</x:v>
      </x:c>
      <x:c r="Q162" s="174" t="n">
        <x:v>14</x:v>
      </x:c>
      <x:c r="R162" s="7" t="str">
        <x:v>https://arxiv.org/abs/2607.00949</x:v>
      </x:c>
      <x:c r="S162" s="7"/>
      <x:c r="T162" s="7" t="str">
        <x:v>Rigidity theorem around maximal normal curvature and Veronese-type geometry.</x:v>
      </x:c>
    </x:row>
    <x:row r="163" ht="38" customHeight="1">
      <x:c r="A163" s="174" t="n">
        <x:v>162</x:v>
      </x:c>
      <x:c r="B163" s="7" t="str">
        <x:v>2026-07</x:v>
      </x:c>
      <x:c r="C163" s="7" t="str">
        <x:v>2607.01024</x:v>
      </x:c>
      <x:c r="D163" s="7" t="str">
        <x:v>Madelung hydrodynamics and Poisson geometry of wave functions</x:v>
      </x:c>
      <x:c r="E163" s="7" t="str">
        <x:v>Boris Khesin; Klas Modin</x:v>
      </x:c>
      <x:c r="F163" s="7" t="str">
        <x:v>Poisson geometry / Madelung hydrodynamics</x:v>
      </x:c>
      <x:c r="G163" s="6" t="n">
        <x:v>27</x:v>
      </x:c>
      <x:c r="H163" s="28" t="n">
        <x:v>88.075</x:v>
      </x:c>
      <x:c r="I163" s="28" t="n">
        <x:v>87.9</x:v>
      </x:c>
      <x:c r="J163" s="28" t="n">
        <x:v>88.25</x:v>
      </x:c>
      <x:c r="K163" s="174" t="n">
        <x:v>88</x:v>
      </x:c>
      <x:c r="L163" s="174" t="n">
        <x:v>88</x:v>
      </x:c>
      <x:c r="M163" s="174" t="n">
        <x:v>90</x:v>
      </x:c>
      <x:c r="N163" s="174" t="n">
        <x:v>86</x:v>
      </x:c>
      <x:c r="O163" s="174" t="n">
        <x:v>90</x:v>
      </x:c>
      <x:c r="P163" s="174" t="n">
        <x:v>85</x:v>
      </x:c>
      <x:c r="Q163" s="174" t="n">
        <x:v>14</x:v>
      </x:c>
      <x:c r="R163" s="7" t="str">
        <x:v>https://arxiv.org/abs/2607.01024</x:v>
      </x:c>
      <x:c r="S163" s="7"/>
      <x:c r="T163" s="7" t="str">
        <x:v>Conceptual Poisson-geometric reinterpretation of wave-function hydrodynamics.</x:v>
      </x:c>
    </x:row>
    <x:row r="164" ht="38" customHeight="1">
      <x:c r="A164" s="174" t="n">
        <x:v>163</x:v>
      </x:c>
      <x:c r="B164" s="7" t="str">
        <x:v>2026-07</x:v>
      </x:c>
      <x:c r="C164" s="7" t="str">
        <x:v>2607.03604</x:v>
      </x:c>
      <x:c r="D164" s="7" t="str">
        <x:v>Geometry of conic connections</x:v>
      </x:c>
      <x:c r="E164" s="7" t="str">
        <x:v>Andreas Čap; Katharina Neusser</x:v>
      </x:c>
      <x:c r="F164" s="7" t="str">
        <x:v>conic connections</x:v>
      </x:c>
      <x:c r="G164" s="6" t="n">
        <x:v>39</x:v>
      </x:c>
      <x:c r="H164" s="28" t="n">
        <x:v>88.075</x:v>
      </x:c>
      <x:c r="I164" s="28" t="n">
        <x:v>87.9</x:v>
      </x:c>
      <x:c r="J164" s="28" t="n">
        <x:v>88.25</x:v>
      </x:c>
      <x:c r="K164" s="174" t="n">
        <x:v>88</x:v>
      </x:c>
      <x:c r="L164" s="174" t="n">
        <x:v>88</x:v>
      </x:c>
      <x:c r="M164" s="174" t="n">
        <x:v>90</x:v>
      </x:c>
      <x:c r="N164" s="174" t="n">
        <x:v>86</x:v>
      </x:c>
      <x:c r="O164" s="174" t="n">
        <x:v>90</x:v>
      </x:c>
      <x:c r="P164" s="174" t="n">
        <x:v>85</x:v>
      </x:c>
      <x:c r="Q164" s="174" t="n">
        <x:v>14</x:v>
      </x:c>
      <x:c r="R164" s="7" t="str">
        <x:v>https://arxiv.org/abs/2607.03604</x:v>
      </x:c>
      <x:c r="S164" s="7"/>
      <x:c r="T164" s="7" t="str">
        <x:v>Parabolic/conformal style differential geometry with solid structural value.</x:v>
      </x:c>
    </x:row>
    <x:row r="165" ht="38" customHeight="1">
      <x:c r="A165" s="174" t="n">
        <x:v>164</x:v>
      </x:c>
      <x:c r="B165" s="7" t="str">
        <x:v>2026-07</x:v>
      </x:c>
      <x:c r="C165" s="7" t="str">
        <x:v>2607.03782</x:v>
      </x:c>
      <x:c r="D165" s="7" t="str">
        <x:v>String topology operations under Chen's iterated integrals and homotopy transfer</x:v>
      </x:c>
      <x:c r="E165" s="7" t="str">
        <x:v>Kai Cieliebak; Evgeny Volkov</x:v>
      </x:c>
      <x:c r="F165" s="7" t="str">
        <x:v>string topology / iterated integrals</x:v>
      </x:c>
      <x:c r="G165" s="6" t="n">
        <x:v>126</x:v>
      </x:c>
      <x:c r="H165" s="28" t="n">
        <x:v>88.075</x:v>
      </x:c>
      <x:c r="I165" s="28" t="n">
        <x:v>87.9</x:v>
      </x:c>
      <x:c r="J165" s="28" t="n">
        <x:v>88.25</x:v>
      </x:c>
      <x:c r="K165" s="174" t="n">
        <x:v>88</x:v>
      </x:c>
      <x:c r="L165" s="174" t="n">
        <x:v>88</x:v>
      </x:c>
      <x:c r="M165" s="174" t="n">
        <x:v>90</x:v>
      </x:c>
      <x:c r="N165" s="174" t="n">
        <x:v>86</x:v>
      </x:c>
      <x:c r="O165" s="174" t="n">
        <x:v>90</x:v>
      </x:c>
      <x:c r="P165" s="174" t="n">
        <x:v>85</x:v>
      </x:c>
      <x:c r="Q165" s="174" t="n">
        <x:v>14</x:v>
      </x:c>
      <x:c r="R165" s="7" t="str">
        <x:v>https://arxiv.org/abs/2607.03782</x:v>
      </x:c>
      <x:c r="S165" s="7"/>
      <x:c r="T165" s="7" t="str">
        <x:v>Long paper connecting string topology and iterated integrals; more topological than core DG.</x:v>
      </x:c>
    </x:row>
    <x:row r="166" ht="38" customHeight="1">
      <x:c r="A166" s="174" t="n">
        <x:v>165</x:v>
      </x:c>
      <x:c r="B166" s="7" t="str">
        <x:v>2026-07</x:v>
      </x:c>
      <x:c r="C166" s="7" t="str">
        <x:v>2607.04208</x:v>
      </x:c>
      <x:c r="D166" s="7" t="str">
        <x:v>Quadratic Killing tensors on classical Lie groups are decomposable</x:v>
      </x:c>
      <x:c r="E166" s="7" t="str">
        <x:v>Vladimir Matveev; An Ky Nguyen; Yuri Nikolayevsky</x:v>
      </x:c>
      <x:c r="F166" s="7" t="str">
        <x:v>Killing tensors / Lie groups</x:v>
      </x:c>
      <x:c r="G166" s="6" t="n">
        <x:v>15</x:v>
      </x:c>
      <x:c r="H166" s="28" t="n">
        <x:v>88.075</x:v>
      </x:c>
      <x:c r="I166" s="28" t="n">
        <x:v>87.9</x:v>
      </x:c>
      <x:c r="J166" s="28" t="n">
        <x:v>88.25</x:v>
      </x:c>
      <x:c r="K166" s="174" t="n">
        <x:v>88</x:v>
      </x:c>
      <x:c r="L166" s="174" t="n">
        <x:v>88</x:v>
      </x:c>
      <x:c r="M166" s="174" t="n">
        <x:v>90</x:v>
      </x:c>
      <x:c r="N166" s="174" t="n">
        <x:v>86</x:v>
      </x:c>
      <x:c r="O166" s="174" t="n">
        <x:v>90</x:v>
      </x:c>
      <x:c r="P166" s="174" t="n">
        <x:v>85</x:v>
      </x:c>
      <x:c r="Q166" s="174" t="n">
        <x:v>14</x:v>
      </x:c>
      <x:c r="R166" s="7" t="str">
        <x:v>https://arxiv.org/abs/2607.04208</x:v>
      </x:c>
      <x:c r="S166" s="7"/>
      <x:c r="T166" s="7" t="str">
        <x:v>Clean decomposition result for Killing tensors; includes computational ancillary materials.</x:v>
      </x:c>
    </x:row>
    <x:row r="167" ht="38" customHeight="1">
      <x:c r="A167" s="174" t="n">
        <x:v>166</x:v>
      </x:c>
      <x:c r="B167" s="7" t="str">
        <x:v>2026-07</x:v>
      </x:c>
      <x:c r="C167" s="7" t="str">
        <x:v>2607.04297</x:v>
      </x:c>
      <x:c r="D167" s="7" t="str">
        <x:v>The Rigidity Theorems for Self-Shrinkers in the Mean Curvature Flow</x:v>
      </x:c>
      <x:c r="E167" s="7" t="str">
        <x:v>Fagui Li; Yuhang Zhao</x:v>
      </x:c>
      <x:c r="F167" s="7" t="str">
        <x:v>self-shrinkers / MCF</x:v>
      </x:c>
      <x:c r="G167" s="6" t="n">
        <x:v>19</x:v>
      </x:c>
      <x:c r="H167" s="28" t="n">
        <x:v>88.075</x:v>
      </x:c>
      <x:c r="I167" s="28" t="n">
        <x:v>87.9</x:v>
      </x:c>
      <x:c r="J167" s="28" t="n">
        <x:v>88.25</x:v>
      </x:c>
      <x:c r="K167" s="174" t="n">
        <x:v>88</x:v>
      </x:c>
      <x:c r="L167" s="174" t="n">
        <x:v>88</x:v>
      </x:c>
      <x:c r="M167" s="174" t="n">
        <x:v>90</x:v>
      </x:c>
      <x:c r="N167" s="174" t="n">
        <x:v>86</x:v>
      </x:c>
      <x:c r="O167" s="174" t="n">
        <x:v>90</x:v>
      </x:c>
      <x:c r="P167" s="174" t="n">
        <x:v>85</x:v>
      </x:c>
      <x:c r="Q167" s="174" t="n">
        <x:v>14</x:v>
      </x:c>
      <x:c r="R167" s="7" t="str">
        <x:v>https://arxiv.org/abs/2607.04297</x:v>
      </x:c>
      <x:c r="S167" s="7"/>
      <x:c r="T167" s="7" t="str">
        <x:v>Rigidity for self-shrinkers; useful but narrower impact than top flow papers.</x:v>
      </x:c>
    </x:row>
    <x:row r="168" ht="38" customHeight="1">
      <x:c r="A168" s="174" t="n">
        <x:v>167</x:v>
      </x:c>
      <x:c r="B168" s="7" t="str">
        <x:v>2026-07</x:v>
      </x:c>
      <x:c r="C168" s="7" t="str">
        <x:v>2607.04588</x:v>
      </x:c>
      <x:c r="D168" s="7" t="str">
        <x:v>Eigenvalue comparison theorems for the Witten-Laplacian and the weighted p-Laplacian on complete manifolds with modified Ricci curvature bounded from below</x:v>
      </x:c>
      <x:c r="E168" s="7" t="str">
        <x:v>Ruifeng Chen; Qiyue Ma; Jing Mao</x:v>
      </x:c>
      <x:c r="F168" s="7" t="str">
        <x:v>Witten Laplacian / eigenvalue comparison</x:v>
      </x:c>
      <x:c r="G168" s="6" t="n">
        <x:v>18</x:v>
      </x:c>
      <x:c r="H168" s="28" t="n">
        <x:v>88.075</x:v>
      </x:c>
      <x:c r="I168" s="28" t="n">
        <x:v>87.9</x:v>
      </x:c>
      <x:c r="J168" s="28" t="n">
        <x:v>88.25</x:v>
      </x:c>
      <x:c r="K168" s="174" t="n">
        <x:v>88</x:v>
      </x:c>
      <x:c r="L168" s="174" t="n">
        <x:v>88</x:v>
      </x:c>
      <x:c r="M168" s="174" t="n">
        <x:v>90</x:v>
      </x:c>
      <x:c r="N168" s="174" t="n">
        <x:v>86</x:v>
      </x:c>
      <x:c r="O168" s="174" t="n">
        <x:v>90</x:v>
      </x:c>
      <x:c r="P168" s="174" t="n">
        <x:v>85</x:v>
      </x:c>
      <x:c r="Q168" s="174" t="n">
        <x:v>14</x:v>
      </x:c>
      <x:c r="R168" s="7" t="str">
        <x:v>https://arxiv.org/abs/2607.04588</x:v>
      </x:c>
      <x:c r="S168" s="7"/>
      <x:c r="T168" s="7" t="str">
        <x:v>Weighted eigenvalue comparison theorem; standard but technically mature.</x:v>
      </x:c>
    </x:row>
    <x:row r="169" ht="38" customHeight="1">
      <x:c r="A169" s="174" t="n">
        <x:v>168</x:v>
      </x:c>
      <x:c r="B169" s="7" t="str">
        <x:v>2026-07</x:v>
      </x:c>
      <x:c r="C169" s="7" t="str">
        <x:v>2607.04859</x:v>
      </x:c>
      <x:c r="D169" s="7" t="str">
        <x:v>Euclidean v-systems and real PK arrangements</x:v>
      </x:c>
      <x:c r="E169" s="7" t="str">
        <x:v>Martin de Borbon; Dmitri Panov; Alexander P. Veselov</x:v>
      </x:c>
      <x:c r="F169" s="7" t="str">
        <x:v>v-systems / PK arrangements</x:v>
      </x:c>
      <x:c r="G169" s="6" t="n">
        <x:v>28</x:v>
      </x:c>
      <x:c r="H169" s="28" t="n">
        <x:v>88.075</x:v>
      </x:c>
      <x:c r="I169" s="28" t="n">
        <x:v>87.9</x:v>
      </x:c>
      <x:c r="J169" s="28" t="n">
        <x:v>88.25</x:v>
      </x:c>
      <x:c r="K169" s="174" t="n">
        <x:v>88</x:v>
      </x:c>
      <x:c r="L169" s="174" t="n">
        <x:v>88</x:v>
      </x:c>
      <x:c r="M169" s="174" t="n">
        <x:v>90</x:v>
      </x:c>
      <x:c r="N169" s="174" t="n">
        <x:v>86</x:v>
      </x:c>
      <x:c r="O169" s="174" t="n">
        <x:v>90</x:v>
      </x:c>
      <x:c r="P169" s="174" t="n">
        <x:v>85</x:v>
      </x:c>
      <x:c r="Q169" s="174" t="n">
        <x:v>14</x:v>
      </x:c>
      <x:c r="R169" s="7" t="str">
        <x:v>https://arxiv.org/abs/2607.04859</x:v>
      </x:c>
      <x:c r="S169" s="7"/>
      <x:c r="T169" s="7" t="str">
        <x:v>Special geometry/combinatorics construction with math-physics links.</x:v>
      </x:c>
    </x:row>
    <x:row r="170" ht="38" customHeight="1">
      <x:c r="A170" s="174" t="n">
        <x:v>169</x:v>
      </x:c>
      <x:c r="B170" s="7" t="str">
        <x:v>2026-07</x:v>
      </x:c>
      <x:c r="C170" s="7" t="str">
        <x:v>2607.05267</x:v>
      </x:c>
      <x:c r="D170" s="7" t="str">
        <x:v>The Spencer cohomology and integrability of multisymplectic structures</x:v>
      </x:c>
      <x:c r="E170" s="7" t="str">
        <x:v>Manuel de León; Rubén Izquierdo-López; Manuel Lainz</x:v>
      </x:c>
      <x:c r="F170" s="7" t="str">
        <x:v>multisymplectic structures</x:v>
      </x:c>
      <x:c r="G170" s="6" t="n">
        <x:v>43</x:v>
      </x:c>
      <x:c r="H170" s="28" t="n">
        <x:v>88.075</x:v>
      </x:c>
      <x:c r="I170" s="28" t="n">
        <x:v>87.9</x:v>
      </x:c>
      <x:c r="J170" s="28" t="n">
        <x:v>88.25</x:v>
      </x:c>
      <x:c r="K170" s="174" t="n">
        <x:v>88</x:v>
      </x:c>
      <x:c r="L170" s="174" t="n">
        <x:v>88</x:v>
      </x:c>
      <x:c r="M170" s="174" t="n">
        <x:v>90</x:v>
      </x:c>
      <x:c r="N170" s="174" t="n">
        <x:v>86</x:v>
      </x:c>
      <x:c r="O170" s="174" t="n">
        <x:v>90</x:v>
      </x:c>
      <x:c r="P170" s="174" t="n">
        <x:v>85</x:v>
      </x:c>
      <x:c r="Q170" s="174" t="n">
        <x:v>14</x:v>
      </x:c>
      <x:c r="R170" s="7" t="str">
        <x:v>https://arxiv.org/abs/2607.05267</x:v>
      </x:c>
      <x:c r="S170" s="7"/>
      <x:c r="T170" s="7" t="str">
        <x:v>Formal/integrability work on multisymplectic geometry.</x:v>
      </x:c>
    </x:row>
    <x:row r="171" ht="38" customHeight="1">
      <x:c r="A171" s="174" t="n">
        <x:v>170</x:v>
      </x:c>
      <x:c r="B171" s="7" t="str">
        <x:v>2026-07</x:v>
      </x:c>
      <x:c r="C171" s="7" t="str">
        <x:v>2607.05819</x:v>
      </x:c>
      <x:c r="D171" s="7" t="str">
        <x:v>Killing tensors on projective spaces</x:v>
      </x:c>
      <x:c r="E171" s="7" t="str">
        <x:v>Owen Dearricott; Yuri Nikolayevsky</x:v>
      </x:c>
      <x:c r="F171" s="7" t="str">
        <x:v>Killing tensors / projective spaces</x:v>
      </x:c>
      <x:c r="G171" s="6" t="n">
        <x:v>25</x:v>
      </x:c>
      <x:c r="H171" s="28" t="n">
        <x:v>88.075</x:v>
      </x:c>
      <x:c r="I171" s="28" t="n">
        <x:v>87.9</x:v>
      </x:c>
      <x:c r="J171" s="28" t="n">
        <x:v>88.25</x:v>
      </x:c>
      <x:c r="K171" s="174" t="n">
        <x:v>88</x:v>
      </x:c>
      <x:c r="L171" s="174" t="n">
        <x:v>88</x:v>
      </x:c>
      <x:c r="M171" s="174" t="n">
        <x:v>90</x:v>
      </x:c>
      <x:c r="N171" s="174" t="n">
        <x:v>86</x:v>
      </x:c>
      <x:c r="O171" s="174" t="n">
        <x:v>90</x:v>
      </x:c>
      <x:c r="P171" s="174" t="n">
        <x:v>85</x:v>
      </x:c>
      <x:c r="Q171" s="174" t="n">
        <x:v>14</x:v>
      </x:c>
      <x:c r="R171" s="7" t="str">
        <x:v>https://arxiv.org/abs/2607.05819</x:v>
      </x:c>
      <x:c r="S171" s="7"/>
      <x:c r="T171" s="7" t="str">
        <x:v>Killing tensor classification on projective spaces.</x:v>
      </x:c>
    </x:row>
    <x:row r="172" ht="38" customHeight="1">
      <x:c r="A172" s="174" t="n">
        <x:v>171</x:v>
      </x:c>
      <x:c r="B172" s="7" t="str">
        <x:v>2026-07</x:v>
      </x:c>
      <x:c r="C172" s="7" t="str">
        <x:v>2607.06508</x:v>
      </x:c>
      <x:c r="D172" s="7" t="str">
        <x:v>Bottom spectrum and parabolicity of 3-manifolds with scalar curvature lower bound</x:v>
      </x:c>
      <x:c r="E172" s="7" t="str">
        <x:v>Ovidiu Munteanu; Jiaping Wang</x:v>
      </x:c>
      <x:c r="F172" s="7" t="str">
        <x:v>scalar curvature / parabolicity</x:v>
      </x:c>
      <x:c r="G172" s="6" t="n">
        <x:v>14</x:v>
      </x:c>
      <x:c r="H172" s="28" t="n">
        <x:v>88.075</x:v>
      </x:c>
      <x:c r="I172" s="28" t="n">
        <x:v>87.9</x:v>
      </x:c>
      <x:c r="J172" s="28" t="n">
        <x:v>88.25</x:v>
      </x:c>
      <x:c r="K172" s="174" t="n">
        <x:v>88</x:v>
      </x:c>
      <x:c r="L172" s="174" t="n">
        <x:v>88</x:v>
      </x:c>
      <x:c r="M172" s="174" t="n">
        <x:v>90</x:v>
      </x:c>
      <x:c r="N172" s="174" t="n">
        <x:v>86</x:v>
      </x:c>
      <x:c r="O172" s="174" t="n">
        <x:v>90</x:v>
      </x:c>
      <x:c r="P172" s="174" t="n">
        <x:v>85</x:v>
      </x:c>
      <x:c r="Q172" s="174" t="n">
        <x:v>14</x:v>
      </x:c>
      <x:c r="R172" s="7" t="str">
        <x:v>https://arxiv.org/abs/2607.06508</x:v>
      </x:c>
      <x:c r="S172" s="7"/>
      <x:c r="T172" s="7" t="str">
        <x:v>Spectral/parabolicity result under scalar curvature lower bounds.</x:v>
      </x:c>
    </x:row>
    <x:row r="173" ht="38" customHeight="1">
      <x:c r="A173" s="174" t="n">
        <x:v>172</x:v>
      </x:c>
      <x:c r="B173" s="7" t="str">
        <x:v>2026-07</x:v>
      </x:c>
      <x:c r="C173" s="7" t="str">
        <x:v>2607.07986</x:v>
      </x:c>
      <x:c r="D173" s="7" t="str">
        <x:v>Invariant solutions for the asymptotic Plateau problem in H^3</x:v>
      </x:c>
      <x:c r="E173" s="7" t="str">
        <x:v>Matheus Pimentel Gomes; Patrícia Kruse Klaser; Jaime Bruck Ripoll; Leonardo Prange Bonorino</x:v>
      </x:c>
      <x:c r="F173" s="7" t="str">
        <x:v>asymptotic Plateau problem</x:v>
      </x:c>
      <x:c r="G173" s="6" t="str">
        <x:v>-</x:v>
      </x:c>
      <x:c r="H173" s="28" t="n">
        <x:v>88.075</x:v>
      </x:c>
      <x:c r="I173" s="28" t="n">
        <x:v>87.9</x:v>
      </x:c>
      <x:c r="J173" s="28" t="n">
        <x:v>88.25</x:v>
      </x:c>
      <x:c r="K173" s="174" t="n">
        <x:v>88</x:v>
      </x:c>
      <x:c r="L173" s="174" t="n">
        <x:v>88</x:v>
      </x:c>
      <x:c r="M173" s="174" t="n">
        <x:v>90</x:v>
      </x:c>
      <x:c r="N173" s="174" t="n">
        <x:v>86</x:v>
      </x:c>
      <x:c r="O173" s="174" t="n">
        <x:v>90</x:v>
      </x:c>
      <x:c r="P173" s="174" t="n">
        <x:v>85</x:v>
      </x:c>
      <x:c r="Q173" s="174" t="n">
        <x:v>14</x:v>
      </x:c>
      <x:c r="R173" s="7" t="str">
        <x:v>https://arxiv.org/abs/2607.07986</x:v>
      </x:c>
      <x:c r="S173" s="7"/>
      <x:c r="T173" s="7" t="str">
        <x:v>Invariant solution construction for asymptotic Plateau problem.</x:v>
      </x:c>
    </x:row>
    <x:row r="174" ht="38" customHeight="1">
      <x:c r="A174" s="174" t="n">
        <x:v>173</x:v>
      </x:c>
      <x:c r="B174" s="7" t="str">
        <x:v>2026-07</x:v>
      </x:c>
      <x:c r="C174" s="7" t="str">
        <x:v>2607.09353</x:v>
      </x:c>
      <x:c r="D174" s="7" t="str">
        <x:v>A rescaling principle for quasiregular curves with applications to hyperbolicity</x:v>
      </x:c>
      <x:c r="E174" s="7" t="str">
        <x:v>Toni Ikonen; Jonathan Pim</x:v>
      </x:c>
      <x:c r="F174" s="7" t="str">
        <x:v>quasiregular curves</x:v>
      </x:c>
      <x:c r="G174" s="6" t="n">
        <x:v>34</x:v>
      </x:c>
      <x:c r="H174" s="28" t="n">
        <x:v>88.075</x:v>
      </x:c>
      <x:c r="I174" s="28" t="n">
        <x:v>87.9</x:v>
      </x:c>
      <x:c r="J174" s="28" t="n">
        <x:v>88.25</x:v>
      </x:c>
      <x:c r="K174" s="174" t="n">
        <x:v>88</x:v>
      </x:c>
      <x:c r="L174" s="174" t="n">
        <x:v>88</x:v>
      </x:c>
      <x:c r="M174" s="174" t="n">
        <x:v>90</x:v>
      </x:c>
      <x:c r="N174" s="174" t="n">
        <x:v>86</x:v>
      </x:c>
      <x:c r="O174" s="174" t="n">
        <x:v>90</x:v>
      </x:c>
      <x:c r="P174" s="174" t="n">
        <x:v>85</x:v>
      </x:c>
      <x:c r="Q174" s="174" t="n">
        <x:v>14</x:v>
      </x:c>
      <x:c r="R174" s="7" t="str">
        <x:v>https://arxiv.org/abs/2607.09353</x:v>
      </x:c>
      <x:c r="S174" s="7"/>
      <x:c r="T174" s="7" t="str">
        <x:v>Complex/geometric rescaling principle with hyperbolicity applications.</x:v>
      </x:c>
    </x:row>
    <x:row r="175" ht="38" customHeight="1">
      <x:c r="A175" s="174" t="n">
        <x:v>174</x:v>
      </x:c>
      <x:c r="B175" s="7" t="str">
        <x:v>2026-07</x:v>
      </x:c>
      <x:c r="C175" s="7" t="str">
        <x:v>2607.10424</x:v>
      </x:c>
      <x:c r="D175" s="7" t="str">
        <x:v>Uniform Comparison of Hyperbolic Ball Volumes on the Universal Cover</x:v>
      </x:c>
      <x:c r="E175" s="7" t="str">
        <x:v>Heng Zhang</x:v>
      </x:c>
      <x:c r="F175" s="7" t="str">
        <x:v>hyperbolic volume comparison</x:v>
      </x:c>
      <x:c r="G175" s="6" t="n">
        <x:v>27</x:v>
      </x:c>
      <x:c r="H175" s="28" t="n">
        <x:v>88.075</x:v>
      </x:c>
      <x:c r="I175" s="28" t="n">
        <x:v>87.9</x:v>
      </x:c>
      <x:c r="J175" s="28" t="n">
        <x:v>88.25</x:v>
      </x:c>
      <x:c r="K175" s="174" t="n">
        <x:v>88</x:v>
      </x:c>
      <x:c r="L175" s="174" t="n">
        <x:v>88</x:v>
      </x:c>
      <x:c r="M175" s="174" t="n">
        <x:v>90</x:v>
      </x:c>
      <x:c r="N175" s="174" t="n">
        <x:v>86</x:v>
      </x:c>
      <x:c r="O175" s="174" t="n">
        <x:v>90</x:v>
      </x:c>
      <x:c r="P175" s="174" t="n">
        <x:v>85</x:v>
      </x:c>
      <x:c r="Q175" s="174" t="n">
        <x:v>14</x:v>
      </x:c>
      <x:c r="R175" s="7" t="str">
        <x:v>https://arxiv.org/abs/2607.10424</x:v>
      </x:c>
      <x:c r="S175" s="7"/>
      <x:c r="T175" s="7" t="str">
        <x:v>Uniform volume comparison in hyperbolic/universal cover setting.</x:v>
      </x:c>
    </x:row>
    <x:row r="176" ht="38" customHeight="1">
      <x:c r="A176" s="174" t="n">
        <x:v>175</x:v>
      </x:c>
      <x:c r="B176" s="7" t="str">
        <x:v>2026-07</x:v>
      </x:c>
      <x:c r="C176" s="7" t="str">
        <x:v>2607.10426</x:v>
      </x:c>
      <x:c r="D176" s="7" t="str">
        <x:v>Spacelike Brakke flows with boundary in pseudo-Euclidean space</x:v>
      </x:c>
      <x:c r="E176" s="7" t="str">
        <x:v>Javier Hervás</x:v>
      </x:c>
      <x:c r="F176" s="7" t="str">
        <x:v>Brakke flows / pseudo-Euclidean space</x:v>
      </x:c>
      <x:c r="G176" s="6" t="n">
        <x:v>41</x:v>
      </x:c>
      <x:c r="H176" s="28" t="n">
        <x:v>88.075</x:v>
      </x:c>
      <x:c r="I176" s="28" t="n">
        <x:v>87.9</x:v>
      </x:c>
      <x:c r="J176" s="28" t="n">
        <x:v>88.25</x:v>
      </x:c>
      <x:c r="K176" s="174" t="n">
        <x:v>88</x:v>
      </x:c>
      <x:c r="L176" s="174" t="n">
        <x:v>88</x:v>
      </x:c>
      <x:c r="M176" s="174" t="n">
        <x:v>90</x:v>
      </x:c>
      <x:c r="N176" s="174" t="n">
        <x:v>86</x:v>
      </x:c>
      <x:c r="O176" s="174" t="n">
        <x:v>90</x:v>
      </x:c>
      <x:c r="P176" s="174" t="n">
        <x:v>85</x:v>
      </x:c>
      <x:c r="Q176" s="174" t="n">
        <x:v>14</x:v>
      </x:c>
      <x:c r="R176" s="7" t="str">
        <x:v>https://arxiv.org/abs/2607.10426</x:v>
      </x:c>
      <x:c r="S176" s="7"/>
      <x:c r="T176" s="7" t="str">
        <x:v>Weak flow theory for spacelike Brakke flows with boundary.</x:v>
      </x:c>
    </x:row>
    <x:row r="177" ht="38" customHeight="1">
      <x:c r="A177" s="174" t="n">
        <x:v>176</x:v>
      </x:c>
      <x:c r="B177" s="7" t="str">
        <x:v>2026-07</x:v>
      </x:c>
      <x:c r="C177" s="7" t="str">
        <x:v>2607.10662</x:v>
      </x:c>
      <x:c r="D177" s="7" t="str">
        <x:v>The Bernstein-Gelfand-Gelfand (BGG) Construction: Algebra, Geometry, and Analysis; Part I</x:v>
      </x:c>
      <x:c r="E177" s="7" t="str">
        <x:v>Andreas Čap</x:v>
      </x:c>
      <x:c r="F177" s="7" t="str">
        <x:v>BGG construction</x:v>
      </x:c>
      <x:c r="G177" s="6" t="n">
        <x:v>32</x:v>
      </x:c>
      <x:c r="H177" s="28" t="n">
        <x:v>88.075</x:v>
      </x:c>
      <x:c r="I177" s="28" t="n">
        <x:v>87.9</x:v>
      </x:c>
      <x:c r="J177" s="28" t="n">
        <x:v>88.25</x:v>
      </x:c>
      <x:c r="K177" s="174" t="n">
        <x:v>88</x:v>
      </x:c>
      <x:c r="L177" s="174" t="n">
        <x:v>88</x:v>
      </x:c>
      <x:c r="M177" s="174" t="n">
        <x:v>90</x:v>
      </x:c>
      <x:c r="N177" s="174" t="n">
        <x:v>86</x:v>
      </x:c>
      <x:c r="O177" s="174" t="n">
        <x:v>90</x:v>
      </x:c>
      <x:c r="P177" s="174" t="n">
        <x:v>85</x:v>
      </x:c>
      <x:c r="Q177" s="174" t="n">
        <x:v>14</x:v>
      </x:c>
      <x:c r="R177" s="7" t="str">
        <x:v>https://arxiv.org/abs/2607.10662</x:v>
      </x:c>
      <x:c r="S177" s="7"/>
      <x:c r="T177" s="7" t="str">
        <x:v>Expository/structural BGG construction; originality discounted.</x:v>
      </x:c>
    </x:row>
    <x:row r="178" ht="38" customHeight="1">
      <x:c r="A178" s="174" t="n">
        <x:v>177</x:v>
      </x:c>
      <x:c r="B178" s="7" t="str">
        <x:v>2026-07</x:v>
      </x:c>
      <x:c r="C178" s="7" t="str">
        <x:v>2607.10837</x:v>
      </x:c>
      <x:c r="D178" s="7" t="str">
        <x:v>Eventual Morse Minimality of Heat Flow on Lens Spaces</x:v>
      </x:c>
      <x:c r="E178" s="7" t="str">
        <x:v>Carlos A. Cadavid; Dairo J. Hernández; Juan Diego Vélez</x:v>
      </x:c>
      <x:c r="F178" s="7" t="str">
        <x:v>heat flow on lens spaces</x:v>
      </x:c>
      <x:c r="G178" s="6" t="n">
        <x:v>41</x:v>
      </x:c>
      <x:c r="H178" s="28" t="n">
        <x:v>88.075</x:v>
      </x:c>
      <x:c r="I178" s="28" t="n">
        <x:v>87.9</x:v>
      </x:c>
      <x:c r="J178" s="28" t="n">
        <x:v>88.25</x:v>
      </x:c>
      <x:c r="K178" s="174" t="n">
        <x:v>88</x:v>
      </x:c>
      <x:c r="L178" s="174" t="n">
        <x:v>88</x:v>
      </x:c>
      <x:c r="M178" s="174" t="n">
        <x:v>90</x:v>
      </x:c>
      <x:c r="N178" s="174" t="n">
        <x:v>86</x:v>
      </x:c>
      <x:c r="O178" s="174" t="n">
        <x:v>90</x:v>
      </x:c>
      <x:c r="P178" s="174" t="n">
        <x:v>85</x:v>
      </x:c>
      <x:c r="Q178" s="174" t="n">
        <x:v>14</x:v>
      </x:c>
      <x:c r="R178" s="7" t="str">
        <x:v>https://arxiv.org/abs/2607.10837</x:v>
      </x:c>
      <x:c r="S178" s="7"/>
      <x:c r="T178" s="7" t="str">
        <x:v>Heat-flow Morse minimality result in lens spaces.</x:v>
      </x:c>
    </x:row>
    <x:row r="179" ht="38" customHeight="1">
      <x:c r="A179" s="174" t="n">
        <x:v>178</x:v>
      </x:c>
      <x:c r="B179" s="7" t="str">
        <x:v>2026-07</x:v>
      </x:c>
      <x:c r="C179" s="7" t="str">
        <x:v>2607.10904</x:v>
      </x:c>
      <x:c r="D179" s="7" t="str">
        <x:v>Yang-Mills theory for multiplicative Ehresmann connections</x:v>
      </x:c>
      <x:c r="E179" s="7" t="str">
        <x:v>Žan Grad</x:v>
      </x:c>
      <x:c r="F179" s="7" t="str">
        <x:v>Yang-Mills / Ehresmann connections</x:v>
      </x:c>
      <x:c r="G179" s="6" t="n">
        <x:v>30</x:v>
      </x:c>
      <x:c r="H179" s="28" t="n">
        <x:v>88.075</x:v>
      </x:c>
      <x:c r="I179" s="28" t="n">
        <x:v>87.9</x:v>
      </x:c>
      <x:c r="J179" s="28" t="n">
        <x:v>88.25</x:v>
      </x:c>
      <x:c r="K179" s="174" t="n">
        <x:v>88</x:v>
      </x:c>
      <x:c r="L179" s="174" t="n">
        <x:v>88</x:v>
      </x:c>
      <x:c r="M179" s="174" t="n">
        <x:v>90</x:v>
      </x:c>
      <x:c r="N179" s="174" t="n">
        <x:v>86</x:v>
      </x:c>
      <x:c r="O179" s="174" t="n">
        <x:v>90</x:v>
      </x:c>
      <x:c r="P179" s="174" t="n">
        <x:v>85</x:v>
      </x:c>
      <x:c r="Q179" s="174" t="n">
        <x:v>14</x:v>
      </x:c>
      <x:c r="R179" s="7" t="str">
        <x:v>https://arxiv.org/abs/2607.10904</x:v>
      </x:c>
      <x:c r="S179" s="7"/>
      <x:c r="T179" s="7" t="str">
        <x:v>Yang-Mills formalism for multiplicative Ehresmann connections.</x:v>
      </x:c>
    </x:row>
    <x:row r="180" ht="38" customHeight="1">
      <x:c r="A180" s="174" t="n">
        <x:v>179</x:v>
      </x:c>
      <x:c r="B180" s="7" t="str">
        <x:v>2026-07</x:v>
      </x:c>
      <x:c r="C180" s="7" t="str">
        <x:v>2607.11296</x:v>
      </x:c>
      <x:c r="D180" s="7" t="str">
        <x:v>A Numerical Criterion for the 2-Hessian Equation on Compact Kähler Manifolds</x:v>
      </x:c>
      <x:c r="E180" s="7" t="str">
        <x:v>Jixiang Fu; Dekai Zhang; Ziyi Zhang</x:v>
      </x:c>
      <x:c r="F180" s="7" t="str">
        <x:v>2-Hessian equation / Kähler manifolds</x:v>
      </x:c>
      <x:c r="G180" s="6" t="str">
        <x:v>-</x:v>
      </x:c>
      <x:c r="H180" s="28" t="n">
        <x:v>88.075</x:v>
      </x:c>
      <x:c r="I180" s="28" t="n">
        <x:v>87.9</x:v>
      </x:c>
      <x:c r="J180" s="28" t="n">
        <x:v>88.25</x:v>
      </x:c>
      <x:c r="K180" s="174" t="n">
        <x:v>88</x:v>
      </x:c>
      <x:c r="L180" s="174" t="n">
        <x:v>88</x:v>
      </x:c>
      <x:c r="M180" s="174" t="n">
        <x:v>90</x:v>
      </x:c>
      <x:c r="N180" s="174" t="n">
        <x:v>86</x:v>
      </x:c>
      <x:c r="O180" s="174" t="n">
        <x:v>90</x:v>
      </x:c>
      <x:c r="P180" s="174" t="n">
        <x:v>85</x:v>
      </x:c>
      <x:c r="Q180" s="174" t="n">
        <x:v>14</x:v>
      </x:c>
      <x:c r="R180" s="7" t="str">
        <x:v>https://arxiv.org/abs/2607.11296</x:v>
      </x:c>
      <x:c r="S180" s="7"/>
      <x:c r="T180" s="7" t="str">
        <x:v>Numerical criterion in fully nonlinear Kähler geometry.</x:v>
      </x:c>
    </x:row>
    <x:row r="181" ht="38" customHeight="1">
      <x:c r="A181" s="174" t="n">
        <x:v>180</x:v>
      </x:c>
      <x:c r="B181" s="7" t="str">
        <x:v>2026-07</x:v>
      </x:c>
      <x:c r="C181" s="7" t="str">
        <x:v>2607.12530</x:v>
      </x:c>
      <x:c r="D181" s="7" t="str">
        <x:v>Sard property for rank 2 polarizations in metabelian Lie groups</x:v>
      </x:c>
      <x:c r="E181" s="7" t="str">
        <x:v>Enrico Le Donne; Antonio Lerario; Luca Nalon; Nicola Paddeu; Luca Rizzi</x:v>
      </x:c>
      <x:c r="F181" s="7" t="str">
        <x:v>sub-Riemannian Sard property</x:v>
      </x:c>
      <x:c r="G181" s="6" t="n">
        <x:v>20</x:v>
      </x:c>
      <x:c r="H181" s="28" t="n">
        <x:v>88.075</x:v>
      </x:c>
      <x:c r="I181" s="28" t="n">
        <x:v>87.9</x:v>
      </x:c>
      <x:c r="J181" s="28" t="n">
        <x:v>88.25</x:v>
      </x:c>
      <x:c r="K181" s="174" t="n">
        <x:v>88</x:v>
      </x:c>
      <x:c r="L181" s="174" t="n">
        <x:v>88</x:v>
      </x:c>
      <x:c r="M181" s="174" t="n">
        <x:v>90</x:v>
      </x:c>
      <x:c r="N181" s="174" t="n">
        <x:v>86</x:v>
      </x:c>
      <x:c r="O181" s="174" t="n">
        <x:v>90</x:v>
      </x:c>
      <x:c r="P181" s="174" t="n">
        <x:v>85</x:v>
      </x:c>
      <x:c r="Q181" s="174" t="n">
        <x:v>14</x:v>
      </x:c>
      <x:c r="R181" s="7" t="str">
        <x:v>https://arxiv.org/abs/2607.12530</x:v>
      </x:c>
      <x:c r="S181" s="7"/>
      <x:c r="T181" s="7" t="str">
        <x:v>Sard property for rank-two distributions in metabelian groups.</x:v>
      </x:c>
    </x:row>
    <x:row r="182" ht="38" customHeight="1">
      <x:c r="A182" s="174" t="n">
        <x:v>181</x:v>
      </x:c>
      <x:c r="B182" s="7" t="str">
        <x:v>2026-06</x:v>
      </x:c>
      <x:c r="C182" s="7" t="str">
        <x:v>2606.02885</x:v>
      </x:c>
      <x:c r="D182" s="7" t="str">
        <x:v>Special Lagrangian submanifolds and circle collapse on K3</x:v>
      </x:c>
      <x:c r="E182" s="7" t="str">
        <x:v>Sebastien Picard; Federico Trinca</x:v>
      </x:c>
      <x:c r="F182" s="7" t="str">
        <x:v>special Lagrangian / K3</x:v>
      </x:c>
      <x:c r="G182" s="6" t="n">
        <x:v>73</x:v>
      </x:c>
      <x:c r="H182" s="28" t="n">
        <x:v>88</x:v>
      </x:c>
      <x:c r="I182" s="28" t="n">
        <x:v>88.4</x:v>
      </x:c>
      <x:c r="J182" s="28" t="n">
        <x:v>87.6</x:v>
      </x:c>
      <x:c r="K182" s="174" t="n">
        <x:v>90</x:v>
      </x:c>
      <x:c r="L182" s="174" t="n">
        <x:v>88</x:v>
      </x:c>
      <x:c r="M182" s="174" t="n">
        <x:v>89</x:v>
      </x:c>
      <x:c r="N182" s="174" t="n">
        <x:v>87</x:v>
      </x:c>
      <x:c r="O182" s="174" t="n">
        <x:v>89</x:v>
      </x:c>
      <x:c r="P182" s="174" t="n">
        <x:v>85</x:v>
      </x:c>
      <x:c r="Q182" s="174" t="n">
        <x:v>15</x:v>
      </x:c>
      <x:c r="R182" s="7" t="str">
        <x:v>https://arxiv.org/abs/2606.02885</x:v>
      </x:c>
      <x:c r="S182" s="7"/>
      <x:c r="T182" s="7" t="str">
        <x:v>Special Lagrangian and circle-collapse analysis on K3.</x:v>
      </x:c>
    </x:row>
    <x:row r="183" ht="38" customHeight="1">
      <x:c r="A183" s="174" t="n">
        <x:v>182</x:v>
      </x:c>
      <x:c r="B183" s="7" t="str">
        <x:v>2026-06</x:v>
      </x:c>
      <x:c r="C183" s="7" t="str">
        <x:v>2606.03449</x:v>
      </x:c>
      <x:c r="D183" s="7" t="str">
        <x:v>A complete description of solvable symplectic Lie algebras</x:v>
      </x:c>
      <x:c r="E183" s="7" t="str">
        <x:v>Abdelhak Abouqateb; Said Benayadi; Othmane Dani</x:v>
      </x:c>
      <x:c r="F183" s="7" t="str">
        <x:v>symplectic Lie algebras</x:v>
      </x:c>
      <x:c r="G183" s="6" t="str">
        <x:v>-</x:v>
      </x:c>
      <x:c r="H183" s="28" t="n">
        <x:v>88</x:v>
      </x:c>
      <x:c r="I183" s="28" t="n">
        <x:v>88.4</x:v>
      </x:c>
      <x:c r="J183" s="28" t="n">
        <x:v>87.6</x:v>
      </x:c>
      <x:c r="K183" s="174" t="n">
        <x:v>90</x:v>
      </x:c>
      <x:c r="L183" s="174" t="n">
        <x:v>88</x:v>
      </x:c>
      <x:c r="M183" s="174" t="n">
        <x:v>89</x:v>
      </x:c>
      <x:c r="N183" s="174" t="n">
        <x:v>87</x:v>
      </x:c>
      <x:c r="O183" s="174" t="n">
        <x:v>89</x:v>
      </x:c>
      <x:c r="P183" s="174" t="n">
        <x:v>85</x:v>
      </x:c>
      <x:c r="Q183" s="174" t="n">
        <x:v>15</x:v>
      </x:c>
      <x:c r="R183" s="7" t="str">
        <x:v>https://arxiv.org/abs/2606.03449</x:v>
      </x:c>
      <x:c r="S183" s="7"/>
      <x:c r="T183" s="7" t="str">
        <x:v>Classification-type result for solvable symplectic Lie algebras.</x:v>
      </x:c>
    </x:row>
    <x:row r="184" ht="38" customHeight="1">
      <x:c r="A184" s="174" t="n">
        <x:v>183</x:v>
      </x:c>
      <x:c r="B184" s="7" t="str">
        <x:v>2026-06</x:v>
      </x:c>
      <x:c r="C184" s="7" t="str">
        <x:v>2606.03659</x:v>
      </x:c>
      <x:c r="D184" s="7" t="str">
        <x:v>Normal curvature bounds for immersions into Riemannian domains</x:v>
      </x:c>
      <x:c r="E184" s="7" t="str">
        <x:v>Matteo Raffaelli</x:v>
      </x:c>
      <x:c r="F184" s="7" t="str">
        <x:v>immersions / curvature bounds</x:v>
      </x:c>
      <x:c r="G184" s="6" t="n">
        <x:v>19</x:v>
      </x:c>
      <x:c r="H184" s="28" t="n">
        <x:v>88</x:v>
      </x:c>
      <x:c r="I184" s="28" t="n">
        <x:v>88.4</x:v>
      </x:c>
      <x:c r="J184" s="28" t="n">
        <x:v>87.6</x:v>
      </x:c>
      <x:c r="K184" s="174" t="n">
        <x:v>90</x:v>
      </x:c>
      <x:c r="L184" s="174" t="n">
        <x:v>88</x:v>
      </x:c>
      <x:c r="M184" s="174" t="n">
        <x:v>89</x:v>
      </x:c>
      <x:c r="N184" s="174" t="n">
        <x:v>87</x:v>
      </x:c>
      <x:c r="O184" s="174" t="n">
        <x:v>89</x:v>
      </x:c>
      <x:c r="P184" s="174" t="n">
        <x:v>85</x:v>
      </x:c>
      <x:c r="Q184" s="174" t="n">
        <x:v>15</x:v>
      </x:c>
      <x:c r="R184" s="7" t="str">
        <x:v>https://arxiv.org/abs/2606.03659</x:v>
      </x:c>
      <x:c r="S184" s="7"/>
      <x:c r="T184" s="7" t="str">
        <x:v>Normal curvature bounds for immersions into Riemannian domains.</x:v>
      </x:c>
    </x:row>
    <x:row r="185" ht="38" customHeight="1">
      <x:c r="A185" s="174" t="n">
        <x:v>184</x:v>
      </x:c>
      <x:c r="B185" s="7" t="str">
        <x:v>2026-06</x:v>
      </x:c>
      <x:c r="C185" s="7" t="str">
        <x:v>2606.03983</x:v>
      </x:c>
      <x:c r="D185" s="7" t="str">
        <x:v>Cylindrical generalized Ricci solitons in three dimensions</x:v>
      </x:c>
      <x:c r="E185" s="7" t="str">
        <x:v>Miguel Pino Carmona</x:v>
      </x:c>
      <x:c r="F185" s="7" t="str">
        <x:v>Ricci solitons</x:v>
      </x:c>
      <x:c r="G185" s="6" t="n">
        <x:v>20</x:v>
      </x:c>
      <x:c r="H185" s="28" t="n">
        <x:v>88</x:v>
      </x:c>
      <x:c r="I185" s="28" t="n">
        <x:v>88.4</x:v>
      </x:c>
      <x:c r="J185" s="28" t="n">
        <x:v>87.6</x:v>
      </x:c>
      <x:c r="K185" s="174" t="n">
        <x:v>90</x:v>
      </x:c>
      <x:c r="L185" s="174" t="n">
        <x:v>88</x:v>
      </x:c>
      <x:c r="M185" s="174" t="n">
        <x:v>89</x:v>
      </x:c>
      <x:c r="N185" s="174" t="n">
        <x:v>87</x:v>
      </x:c>
      <x:c r="O185" s="174" t="n">
        <x:v>89</x:v>
      </x:c>
      <x:c r="P185" s="174" t="n">
        <x:v>85</x:v>
      </x:c>
      <x:c r="Q185" s="174" t="n">
        <x:v>15</x:v>
      </x:c>
      <x:c r="R185" s="7" t="str">
        <x:v>https://arxiv.org/abs/2606.03983</x:v>
      </x:c>
      <x:c r="S185" s="7"/>
      <x:c r="T185" s="7" t="str">
        <x:v>Three-dimensional cylindrical generalized Ricci soliton analysis.</x:v>
      </x:c>
    </x:row>
    <x:row r="186" ht="38" customHeight="1">
      <x:c r="A186" s="174" t="n">
        <x:v>185</x:v>
      </x:c>
      <x:c r="B186" s="7" t="str">
        <x:v>2026-06</x:v>
      </x:c>
      <x:c r="C186" s="7" t="str">
        <x:v>2606.04054</x:v>
      </x:c>
      <x:c r="D186" s="7" t="str">
        <x:v>Cyclic source pairings for Penrose-Sparling non-Hausdorff twistor spaces</x:v>
      </x:c>
      <x:c r="E186" s="7" t="str">
        <x:v>Ioannis P. Zois</x:v>
      </x:c>
      <x:c r="F186" s="7" t="str">
        <x:v>twistor geometry</x:v>
      </x:c>
      <x:c r="G186" s="6" t="n">
        <x:v>23</x:v>
      </x:c>
      <x:c r="H186" s="28" t="n">
        <x:v>87.92</x:v>
      </x:c>
      <x:c r="I186" s="28" t="n">
        <x:v>88.4</x:v>
      </x:c>
      <x:c r="J186" s="28" t="n">
        <x:v>87.45</x:v>
      </x:c>
      <x:c r="K186" s="174" t="n">
        <x:v>90</x:v>
      </x:c>
      <x:c r="L186" s="174" t="n">
        <x:v>88</x:v>
      </x:c>
      <x:c r="M186" s="174" t="n">
        <x:v>89</x:v>
      </x:c>
      <x:c r="N186" s="174" t="n">
        <x:v>87</x:v>
      </x:c>
      <x:c r="O186" s="174" t="n">
        <x:v>89</x:v>
      </x:c>
      <x:c r="P186" s="174" t="n">
        <x:v>85</x:v>
      </x:c>
      <x:c r="Q186" s="174" t="n">
        <x:v>16</x:v>
      </x:c>
      <x:c r="R186" s="7" t="str">
        <x:v>https://arxiv.org/abs/2606.04054</x:v>
      </x:c>
      <x:c r="S186" s="7"/>
      <x:c r="T186" s="7" t="str">
        <x:v>Twistor-geometric source pairings in non-Hausdorff setting.</x:v>
      </x:c>
    </x:row>
    <x:row r="187" ht="38" customHeight="1">
      <x:c r="A187" s="174" t="n">
        <x:v>186</x:v>
      </x:c>
      <x:c r="B187" s="7" t="str">
        <x:v>2026-06</x:v>
      </x:c>
      <x:c r="C187" s="7" t="str">
        <x:v>2606.04112</x:v>
      </x:c>
      <x:c r="D187" s="7" t="str">
        <x:v>Mean curvature and closed geodesics in convex hypersurfaces</x:v>
      </x:c>
      <x:c r="E187" s="7" t="str">
        <x:v>James Dibble; Joseph Ansel Hoisington</x:v>
      </x:c>
      <x:c r="F187" s="7" t="str">
        <x:v>mean curvature / geodesics</x:v>
      </x:c>
      <x:c r="G187" s="6" t="n">
        <x:v>15</x:v>
      </x:c>
      <x:c r="H187" s="28" t="n">
        <x:v>87.85</x:v>
      </x:c>
      <x:c r="I187" s="28" t="n">
        <x:v>88.25</x:v>
      </x:c>
      <x:c r="J187" s="28" t="n">
        <x:v>87.45</x:v>
      </x:c>
      <x:c r="K187" s="174" t="n">
        <x:v>90</x:v>
      </x:c>
      <x:c r="L187" s="174" t="n">
        <x:v>88</x:v>
      </x:c>
      <x:c r="M187" s="174" t="n">
        <x:v>89</x:v>
      </x:c>
      <x:c r="N187" s="174" t="n">
        <x:v>86</x:v>
      </x:c>
      <x:c r="O187" s="174" t="n">
        <x:v>89</x:v>
      </x:c>
      <x:c r="P187" s="174" t="n">
        <x:v>85</x:v>
      </x:c>
      <x:c r="Q187" s="174" t="n">
        <x:v>16</x:v>
      </x:c>
      <x:c r="R187" s="7" t="str">
        <x:v>https://arxiv.org/abs/2606.04112</x:v>
      </x:c>
      <x:c r="S187" s="7"/>
      <x:c r="T187" s="7" t="str">
        <x:v>Connects mean curvature and closed geodesics in convex hypersurfaces.</x:v>
      </x:c>
    </x:row>
    <x:row r="188" ht="38" customHeight="1">
      <x:c r="A188" s="174" t="n">
        <x:v>187</x:v>
      </x:c>
      <x:c r="B188" s="7" t="str">
        <x:v>2026-06</x:v>
      </x:c>
      <x:c r="C188" s="7" t="str">
        <x:v>2606.04213</x:v>
      </x:c>
      <x:c r="D188" s="7" t="str">
        <x:v>A Liouville theorem for some asymptotically conical Calabi-Yau manifolds</x:v>
      </x:c>
      <x:c r="E188" s="7" t="str">
        <x:v>Abdou Oussama Benabida</x:v>
      </x:c>
      <x:c r="F188" s="7" t="str">
        <x:v>Calabi-Yau / Liouville theorem</x:v>
      </x:c>
      <x:c r="G188" s="6" t="n">
        <x:v>12</x:v>
      </x:c>
      <x:c r="H188" s="28" t="n">
        <x:v>87.7</x:v>
      </x:c>
      <x:c r="I188" s="28" t="n">
        <x:v>87.95</x:v>
      </x:c>
      <x:c r="J188" s="28" t="n">
        <x:v>87.45</x:v>
      </x:c>
      <x:c r="K188" s="174" t="n">
        <x:v>89</x:v>
      </x:c>
      <x:c r="L188" s="174" t="n">
        <x:v>88</x:v>
      </x:c>
      <x:c r="M188" s="174" t="n">
        <x:v>89</x:v>
      </x:c>
      <x:c r="N188" s="174" t="n">
        <x:v>86</x:v>
      </x:c>
      <x:c r="O188" s="174" t="n">
        <x:v>89</x:v>
      </x:c>
      <x:c r="P188" s="174" t="n">
        <x:v>85</x:v>
      </x:c>
      <x:c r="Q188" s="174" t="n">
        <x:v>16</x:v>
      </x:c>
      <x:c r="R188" s="7" t="str">
        <x:v>https://arxiv.org/abs/2606.04213</x:v>
      </x:c>
      <x:c r="S188" s="7"/>
      <x:c r="T188" s="7" t="str">
        <x:v>Liouville theorem for asymptotically conical Calabi-Yau manifolds.</x:v>
      </x:c>
    </x:row>
    <x:row r="189" ht="38" customHeight="1">
      <x:c r="A189" s="174" t="n">
        <x:v>188</x:v>
      </x:c>
      <x:c r="B189" s="7" t="str">
        <x:v>2026-06</x:v>
      </x:c>
      <x:c r="C189" s="7" t="str">
        <x:v>2606.04501</x:v>
      </x:c>
      <x:c r="D189" s="7" t="str">
        <x:v>Third order Einstein deformations for Kaehler-Einstein metrics</x:v>
      </x:c>
      <x:c r="E189" s="7" t="str">
        <x:v>Paul-Andi Nagy</x:v>
      </x:c>
      <x:c r="F189" s="7" t="str">
        <x:v>Einstein deformations</x:v>
      </x:c>
      <x:c r="G189" s="6" t="n">
        <x:v>64</x:v>
      </x:c>
      <x:c r="H189" s="28" t="n">
        <x:v>87.47</x:v>
      </x:c>
      <x:c r="I189" s="28" t="n">
        <x:v>87.7</x:v>
      </x:c>
      <x:c r="J189" s="28" t="n">
        <x:v>87.25</x:v>
      </x:c>
      <x:c r="K189" s="174" t="n">
        <x:v>89</x:v>
      </x:c>
      <x:c r="L189" s="174" t="n">
        <x:v>88</x:v>
      </x:c>
      <x:c r="M189" s="174" t="n">
        <x:v>88</x:v>
      </x:c>
      <x:c r="N189" s="174" t="n">
        <x:v>86</x:v>
      </x:c>
      <x:c r="O189" s="174" t="n">
        <x:v>89</x:v>
      </x:c>
      <x:c r="P189" s="174" t="n">
        <x:v>85</x:v>
      </x:c>
      <x:c r="Q189" s="174" t="n">
        <x:v>16</x:v>
      </x:c>
      <x:c r="R189" s="7" t="str">
        <x:v>https://arxiv.org/abs/2606.04501</x:v>
      </x:c>
      <x:c r="S189" s="7"/>
      <x:c r="T189" s="7" t="str">
        <x:v>Third-order deformation theory for Kahler-Einstein metrics.</x:v>
      </x:c>
    </x:row>
    <x:row r="190" ht="38" customHeight="1">
      <x:c r="A190" s="174" t="n">
        <x:v>189</x:v>
      </x:c>
      <x:c r="B190" s="7" t="str">
        <x:v>2026-06</x:v>
      </x:c>
      <x:c r="C190" s="7" t="str">
        <x:v>2606.04568</x:v>
      </x:c>
      <x:c r="D190" s="7" t="str">
        <x:v>Curvature of Lie Groupoids with Source-Fibre Metric and Riemannian Lie Algebroids</x:v>
      </x:c>
      <x:c r="E190" s="7" t="str">
        <x:v>Rene Langoen</x:v>
      </x:c>
      <x:c r="F190" s="7" t="str">
        <x:v>Lie groupoids / curvature</x:v>
      </x:c>
      <x:c r="G190" s="6" t="n">
        <x:v>52</x:v>
      </x:c>
      <x:c r="H190" s="28" t="n">
        <x:v>87.47</x:v>
      </x:c>
      <x:c r="I190" s="28" t="n">
        <x:v>87.7</x:v>
      </x:c>
      <x:c r="J190" s="28" t="n">
        <x:v>87.25</x:v>
      </x:c>
      <x:c r="K190" s="174" t="n">
        <x:v>89</x:v>
      </x:c>
      <x:c r="L190" s="174" t="n">
        <x:v>88</x:v>
      </x:c>
      <x:c r="M190" s="174" t="n">
        <x:v>88</x:v>
      </x:c>
      <x:c r="N190" s="174" t="n">
        <x:v>86</x:v>
      </x:c>
      <x:c r="O190" s="174" t="n">
        <x:v>89</x:v>
      </x:c>
      <x:c r="P190" s="174" t="n">
        <x:v>85</x:v>
      </x:c>
      <x:c r="Q190" s="174" t="n">
        <x:v>16</x:v>
      </x:c>
      <x:c r="R190" s="7" t="str">
        <x:v>https://arxiv.org/abs/2606.04568</x:v>
      </x:c>
      <x:c r="S190" s="7"/>
      <x:c r="T190" s="7" t="str">
        <x:v>Curvature framework for source-fibre metric groupoids and algebroids.</x:v>
      </x:c>
    </x:row>
    <x:row r="191" ht="38" customHeight="1">
      <x:c r="A191" s="174" t="n">
        <x:v>190</x:v>
      </x:c>
      <x:c r="B191" s="7" t="str">
        <x:v>2026-06</x:v>
      </x:c>
      <x:c r="C191" s="7" t="str">
        <x:v>2606.07360</x:v>
      </x:c>
      <x:c r="D191" s="7" t="str">
        <x:v>The Dirichlet problem for the prescribed scalar curvature in Anti-de Sitter space</x:v>
      </x:c>
      <x:c r="E191" s="7" t="str">
        <x:v>Pierre Bayard</x:v>
      </x:c>
      <x:c r="F191" s="7" t="str">
        <x:v>prescribed scalar curvature</x:v>
      </x:c>
      <x:c r="G191" s="6" t="str">
        <x:v>-</x:v>
      </x:c>
      <x:c r="H191" s="28" t="n">
        <x:v>87.23</x:v>
      </x:c>
      <x:c r="I191" s="28" t="n">
        <x:v>87.7</x:v>
      </x:c>
      <x:c r="J191" s="28" t="n">
        <x:v>86.75</x:v>
      </x:c>
      <x:c r="K191" s="174" t="n">
        <x:v>90</x:v>
      </x:c>
      <x:c r="L191" s="174" t="n">
        <x:v>87</x:v>
      </x:c>
      <x:c r="M191" s="174" t="n">
        <x:v>88</x:v>
      </x:c>
      <x:c r="N191" s="174" t="n">
        <x:v>86</x:v>
      </x:c>
      <x:c r="O191" s="174" t="n">
        <x:v>89</x:v>
      </x:c>
      <x:c r="P191" s="174" t="n">
        <x:v>84</x:v>
      </x:c>
      <x:c r="Q191" s="174" t="n">
        <x:v>17</x:v>
      </x:c>
      <x:c r="R191" s="7" t="str">
        <x:v>https://arxiv.org/abs/2606.07360</x:v>
      </x:c>
      <x:c r="S191" s="7"/>
      <x:c r="T191" s="7" t="str">
        <x:v>Dirichlet problem for scalar curvature in AdS space.</x:v>
      </x:c>
    </x:row>
    <x:row r="192" ht="38" customHeight="1">
      <x:c r="A192" s="174" t="n">
        <x:v>191</x:v>
      </x:c>
      <x:c r="B192" s="7" t="str">
        <x:v>2026-06</x:v>
      </x:c>
      <x:c r="C192" s="7" t="str">
        <x:v>2606.04985</x:v>
      </x:c>
      <x:c r="D192" s="7" t="str">
        <x:v>Local description of gl-regular Haantjes operators</x:v>
      </x:c>
      <x:c r="E192" s="7" t="str">
        <x:v>Alexey V. Bolsinov; Andrey Yu. Konyaev; Vladimir S. Matveev</x:v>
      </x:c>
      <x:c r="F192" s="7" t="str">
        <x:v>Haantjes operators / integrable systems</x:v>
      </x:c>
      <x:c r="G192" s="6" t="n">
        <x:v>32</x:v>
      </x:c>
      <x:c r="H192" s="28" t="n">
        <x:v>87</x:v>
      </x:c>
      <x:c r="I192" s="28" t="n">
        <x:v>87.4</x:v>
      </x:c>
      <x:c r="J192" s="28" t="n">
        <x:v>86.6</x:v>
      </x:c>
      <x:c r="K192" s="174" t="n">
        <x:v>89</x:v>
      </x:c>
      <x:c r="L192" s="174" t="n">
        <x:v>87</x:v>
      </x:c>
      <x:c r="M192" s="174" t="n">
        <x:v>88</x:v>
      </x:c>
      <x:c r="N192" s="174" t="n">
        <x:v>86</x:v>
      </x:c>
      <x:c r="O192" s="174" t="n">
        <x:v>88</x:v>
      </x:c>
      <x:c r="P192" s="174" t="n">
        <x:v>84</x:v>
      </x:c>
      <x:c r="Q192" s="174" t="n">
        <x:v>16</x:v>
      </x:c>
      <x:c r="R192" s="7" t="str">
        <x:v>https://arxiv.org/abs/2606.04985</x:v>
      </x:c>
      <x:c r="S192" s="7"/>
      <x:c r="T192" s="7" t="str">
        <x:v>Local structure of gl-regular Haantjes operators.</x:v>
      </x:c>
    </x:row>
    <x:row r="193" ht="38" customHeight="1">
      <x:c r="A193" s="174" t="n">
        <x:v>192</x:v>
      </x:c>
      <x:c r="B193" s="7" t="str">
        <x:v>2026-06</x:v>
      </x:c>
      <x:c r="C193" s="7" t="str">
        <x:v>2606.05452</x:v>
      </x:c>
      <x:c r="D193" s="7" t="str">
        <x:v>Curvature of hyperbolic complex manifolds</x:v>
      </x:c>
      <x:c r="E193" s="7" t="str">
        <x:v>Kyle Broder; Herve Gaussier</x:v>
      </x:c>
      <x:c r="F193" s="7" t="str">
        <x:v>complex hyperbolic geometry</x:v>
      </x:c>
      <x:c r="G193" s="6" t="str">
        <x:v>-</x:v>
      </x:c>
      <x:c r="H193" s="28" t="n">
        <x:v>87</x:v>
      </x:c>
      <x:c r="I193" s="28" t="n">
        <x:v>87.4</x:v>
      </x:c>
      <x:c r="J193" s="28" t="n">
        <x:v>86.6</x:v>
      </x:c>
      <x:c r="K193" s="174" t="n">
        <x:v>89</x:v>
      </x:c>
      <x:c r="L193" s="174" t="n">
        <x:v>87</x:v>
      </x:c>
      <x:c r="M193" s="174" t="n">
        <x:v>88</x:v>
      </x:c>
      <x:c r="N193" s="174" t="n">
        <x:v>86</x:v>
      </x:c>
      <x:c r="O193" s="174" t="n">
        <x:v>88</x:v>
      </x:c>
      <x:c r="P193" s="174" t="n">
        <x:v>84</x:v>
      </x:c>
      <x:c r="Q193" s="174" t="n">
        <x:v>16</x:v>
      </x:c>
      <x:c r="R193" s="7" t="str">
        <x:v>https://arxiv.org/abs/2606.05452</x:v>
      </x:c>
      <x:c r="S193" s="7"/>
      <x:c r="T193" s="7" t="str">
        <x:v>Curvature estimates for hyperbolic complex manifolds.</x:v>
      </x:c>
    </x:row>
    <x:row r="194" ht="38" customHeight="1">
      <x:c r="A194" s="174" t="n">
        <x:v>193</x:v>
      </x:c>
      <x:c r="B194" s="7" t="str">
        <x:v>2026-06</x:v>
      </x:c>
      <x:c r="C194" s="7" t="str">
        <x:v>2606.06619</x:v>
      </x:c>
      <x:c r="D194" s="7" t="str">
        <x:v>On the structure of complete G2-solitons</x:v>
      </x:c>
      <x:c r="E194" s="7" t="str">
        <x:v>Haozhao Li; Yuanqing Ma; Kai Zheng</x:v>
      </x:c>
      <x:c r="F194" s="7" t="str">
        <x:v>G2 geometry / solitons</x:v>
      </x:c>
      <x:c r="G194" s="6" t="str">
        <x:v>-</x:v>
      </x:c>
      <x:c r="H194" s="28" t="n">
        <x:v>86.93</x:v>
      </x:c>
      <x:c r="I194" s="28" t="n">
        <x:v>87.4</x:v>
      </x:c>
      <x:c r="J194" s="28" t="n">
        <x:v>86.45</x:v>
      </x:c>
      <x:c r="K194" s="174" t="n">
        <x:v>89</x:v>
      </x:c>
      <x:c r="L194" s="174" t="n">
        <x:v>87</x:v>
      </x:c>
      <x:c r="M194" s="174" t="n">
        <x:v>88</x:v>
      </x:c>
      <x:c r="N194" s="174" t="n">
        <x:v>86</x:v>
      </x:c>
      <x:c r="O194" s="174" t="n">
        <x:v>88</x:v>
      </x:c>
      <x:c r="P194" s="174" t="n">
        <x:v>84</x:v>
      </x:c>
      <x:c r="Q194" s="174" t="n">
        <x:v>17</x:v>
      </x:c>
      <x:c r="R194" s="7" t="str">
        <x:v>https://arxiv.org/abs/2606.06619</x:v>
      </x:c>
      <x:c r="S194" s="7"/>
      <x:c r="T194" s="7" t="str">
        <x:v>Structure theorem for complete G2-solitons.</x:v>
      </x:c>
    </x:row>
    <x:row r="195" ht="38" customHeight="1">
      <x:c r="A195" s="174" t="n">
        <x:v>194</x:v>
      </x:c>
      <x:c r="B195" s="7" t="str">
        <x:v>2026-06</x:v>
      </x:c>
      <x:c r="C195" s="7" t="str">
        <x:v>2606.06634</x:v>
      </x:c>
      <x:c r="D195" s="7" t="str">
        <x:v>The Morse index of constant curvature 2-spheres</x:v>
      </x:c>
      <x:c r="E195" s="7" t="str">
        <x:v>Gavin Ball; Jesse Madnick</x:v>
      </x:c>
      <x:c r="F195" s="7" t="str">
        <x:v>Morse index / surfaces</x:v>
      </x:c>
      <x:c r="G195" s="6" t="n">
        <x:v>19</x:v>
      </x:c>
      <x:c r="H195" s="28" t="n">
        <x:v>86.93</x:v>
      </x:c>
      <x:c r="I195" s="28" t="n">
        <x:v>87.4</x:v>
      </x:c>
      <x:c r="J195" s="28" t="n">
        <x:v>86.45</x:v>
      </x:c>
      <x:c r="K195" s="174" t="n">
        <x:v>89</x:v>
      </x:c>
      <x:c r="L195" s="174" t="n">
        <x:v>87</x:v>
      </x:c>
      <x:c r="M195" s="174" t="n">
        <x:v>88</x:v>
      </x:c>
      <x:c r="N195" s="174" t="n">
        <x:v>86</x:v>
      </x:c>
      <x:c r="O195" s="174" t="n">
        <x:v>88</x:v>
      </x:c>
      <x:c r="P195" s="174" t="n">
        <x:v>84</x:v>
      </x:c>
      <x:c r="Q195" s="174" t="n">
        <x:v>17</x:v>
      </x:c>
      <x:c r="R195" s="7" t="str">
        <x:v>https://arxiv.org/abs/2606.06634</x:v>
      </x:c>
      <x:c r="S195" s="7"/>
      <x:c r="T195" s="7" t="str">
        <x:v>Morse index of constant curvature two-spheres.</x:v>
      </x:c>
    </x:row>
    <x:row r="196" ht="38" customHeight="1">
      <x:c r="A196" s="174" t="n">
        <x:v>195</x:v>
      </x:c>
      <x:c r="B196" s="7" t="str">
        <x:v>2026-06</x:v>
      </x:c>
      <x:c r="C196" s="7" t="str">
        <x:v>2606.07162</x:v>
      </x:c>
      <x:c r="D196" s="7" t="str">
        <x:v>Solutions to Mean Curvature Flow with Uniform Bounds on the Mean Curvature and Its Gradient</x:v>
      </x:c>
      <x:c r="E196" s="7" t="str">
        <x:v>Priyamvada Vishwamitra</x:v>
      </x:c>
      <x:c r="F196" s="7" t="str">
        <x:v>mean curvature flow</x:v>
      </x:c>
      <x:c r="G196" s="6" t="str">
        <x:v>-</x:v>
      </x:c>
      <x:c r="H196" s="28" t="n">
        <x:v>86.93</x:v>
      </x:c>
      <x:c r="I196" s="28" t="n">
        <x:v>87.4</x:v>
      </x:c>
      <x:c r="J196" s="28" t="n">
        <x:v>86.45</x:v>
      </x:c>
      <x:c r="K196" s="174" t="n">
        <x:v>89</x:v>
      </x:c>
      <x:c r="L196" s="174" t="n">
        <x:v>87</x:v>
      </x:c>
      <x:c r="M196" s="174" t="n">
        <x:v>88</x:v>
      </x:c>
      <x:c r="N196" s="174" t="n">
        <x:v>86</x:v>
      </x:c>
      <x:c r="O196" s="174" t="n">
        <x:v>88</x:v>
      </x:c>
      <x:c r="P196" s="174" t="n">
        <x:v>84</x:v>
      </x:c>
      <x:c r="Q196" s="174" t="n">
        <x:v>17</x:v>
      </x:c>
      <x:c r="R196" s="7" t="str">
        <x:v>https://arxiv.org/abs/2606.07162</x:v>
      </x:c>
      <x:c r="S196" s="7"/>
      <x:c r="T196" s="7" t="str">
        <x:v>MCF solutions with uniform H and gradient bounds.</x:v>
      </x:c>
    </x:row>
    <x:row r="197" ht="38" customHeight="1">
      <x:c r="A197" s="174" t="n">
        <x:v>196</x:v>
      </x:c>
      <x:c r="B197" s="7" t="str">
        <x:v>2026-06</x:v>
      </x:c>
      <x:c r="C197" s="7" t="str">
        <x:v>2606.04910</x:v>
      </x:c>
      <x:c r="D197" s="7" t="str">
        <x:v>Ollivier-Ricci Curvature for Causal Sets</x:v>
      </x:c>
      <x:c r="E197" s="7" t="str">
        <x:v>Joe Barton; Samuel Borza; Jona Rohrig</x:v>
      </x:c>
      <x:c r="F197" s="7" t="str">
        <x:v>Ollivier Ricci / causal sets</x:v>
      </x:c>
      <x:c r="G197" s="6" t="str">
        <x:v>-</x:v>
      </x:c>
      <x:c r="H197" s="28" t="n">
        <x:v>86.85</x:v>
      </x:c>
      <x:c r="I197" s="28" t="n">
        <x:v>87.4</x:v>
      </x:c>
      <x:c r="J197" s="28" t="n">
        <x:v>86.3</x:v>
      </x:c>
      <x:c r="K197" s="174" t="n">
        <x:v>89</x:v>
      </x:c>
      <x:c r="L197" s="174" t="n">
        <x:v>87</x:v>
      </x:c>
      <x:c r="M197" s="174" t="n">
        <x:v>88</x:v>
      </x:c>
      <x:c r="N197" s="174" t="n">
        <x:v>86</x:v>
      </x:c>
      <x:c r="O197" s="174" t="n">
        <x:v>88</x:v>
      </x:c>
      <x:c r="P197" s="174" t="n">
        <x:v>84</x:v>
      </x:c>
      <x:c r="Q197" s="174" t="n">
        <x:v>18</x:v>
      </x:c>
      <x:c r="R197" s="7" t="str">
        <x:v>https://arxiv.org/abs/2606.04910</x:v>
      </x:c>
      <x:c r="S197" s="7"/>
      <x:c r="T197" s="7" t="str">
        <x:v>Extends Ollivier-Ricci curvature to causal sets.</x:v>
      </x:c>
    </x:row>
    <x:row r="198" ht="38" customHeight="1">
      <x:c r="A198" s="174" t="n">
        <x:v>197</x:v>
      </x:c>
      <x:c r="B198" s="7" t="str">
        <x:v>2026-06</x:v>
      </x:c>
      <x:c r="C198" s="7" t="str">
        <x:v>2606.07864</x:v>
      </x:c>
      <x:c r="D198" s="7" t="str">
        <x:v>On 3-manifolds with small mass and L2-curvature</x:v>
      </x:c>
      <x:c r="E198" s="7" t="str">
        <x:v>Conghan Dong; Antoine Song</x:v>
      </x:c>
      <x:c r="F198" s="7" t="str">
        <x:v>3-manifolds / mass / curvature</x:v>
      </x:c>
      <x:c r="G198" s="6" t="str">
        <x:v>-</x:v>
      </x:c>
      <x:c r="H198" s="28" t="n">
        <x:v>86.85</x:v>
      </x:c>
      <x:c r="I198" s="28" t="n">
        <x:v>87.25</x:v>
      </x:c>
      <x:c r="J198" s="28" t="n">
        <x:v>86.45</x:v>
      </x:c>
      <x:c r="K198" s="174" t="n">
        <x:v>89</x:v>
      </x:c>
      <x:c r="L198" s="174" t="n">
        <x:v>87</x:v>
      </x:c>
      <x:c r="M198" s="174" t="n">
        <x:v>88</x:v>
      </x:c>
      <x:c r="N198" s="174" t="n">
        <x:v>85</x:v>
      </x:c>
      <x:c r="O198" s="174" t="n">
        <x:v>88</x:v>
      </x:c>
      <x:c r="P198" s="174" t="n">
        <x:v>84</x:v>
      </x:c>
      <x:c r="Q198" s="174" t="n">
        <x:v>17</x:v>
      </x:c>
      <x:c r="R198" s="7" t="str">
        <x:v>https://arxiv.org/abs/2606.07864</x:v>
      </x:c>
      <x:c r="S198" s="7"/>
      <x:c r="T198" s="7" t="str">
        <x:v>Small-mass and L2-curvature estimates in 3-manifolds.</x:v>
      </x:c>
    </x:row>
    <x:row r="199" ht="38" customHeight="1">
      <x:c r="A199" s="174" t="n">
        <x:v>198</x:v>
      </x:c>
      <x:c r="B199" s="7" t="str">
        <x:v>2026-06</x:v>
      </x:c>
      <x:c r="C199" s="7" t="str">
        <x:v>2606.08626</x:v>
      </x:c>
      <x:c r="D199" s="7" t="str">
        <x:v>Magnetic Brunn-Minkowski inequalities</x:v>
      </x:c>
      <x:c r="E199" s="7" t="str">
        <x:v>Rotem Assouline</x:v>
      </x:c>
      <x:c r="F199" s="7" t="str">
        <x:v>Brunn-Minkowski / magnetic geometry</x:v>
      </x:c>
      <x:c r="G199" s="6" t="n">
        <x:v>32</x:v>
      </x:c>
      <x:c r="H199" s="28" t="n">
        <x:v>86.7</x:v>
      </x:c>
      <x:c r="I199" s="28" t="n">
        <x:v>86.95</x:v>
      </x:c>
      <x:c r="J199" s="28" t="n">
        <x:v>86.45</x:v>
      </x:c>
      <x:c r="K199" s="174" t="n">
        <x:v>88</x:v>
      </x:c>
      <x:c r="L199" s="174" t="n">
        <x:v>87</x:v>
      </x:c>
      <x:c r="M199" s="174" t="n">
        <x:v>88</x:v>
      </x:c>
      <x:c r="N199" s="174" t="n">
        <x:v>85</x:v>
      </x:c>
      <x:c r="O199" s="174" t="n">
        <x:v>88</x:v>
      </x:c>
      <x:c r="P199" s="174" t="n">
        <x:v>84</x:v>
      </x:c>
      <x:c r="Q199" s="174" t="n">
        <x:v>17</x:v>
      </x:c>
      <x:c r="R199" s="7" t="str">
        <x:v>https://arxiv.org/abs/2606.08626</x:v>
      </x:c>
      <x:c r="S199" s="7"/>
      <x:c r="T199" s="7" t="str">
        <x:v>Magnetic Brunn-Minkowski inequalities.</x:v>
      </x:c>
    </x:row>
    <x:row r="200" ht="38" customHeight="1">
      <x:c r="A200" s="174" t="n">
        <x:v>199</x:v>
      </x:c>
      <x:c r="B200" s="7" t="str">
        <x:v>2026-06</x:v>
      </x:c>
      <x:c r="C200" s="7" t="str">
        <x:v>2606.08837</x:v>
      </x:c>
      <x:c r="D200" s="7" t="str">
        <x:v>Asymptotic Profiles and Non-Trivial Breathers in Kahler-Ricci Flow</x:v>
      </x:c>
      <x:c r="E200" s="7" t="str">
        <x:v>Longteng Chen</x:v>
      </x:c>
      <x:c r="F200" s="7" t="str">
        <x:v>Kähler-Ricci flow</x:v>
      </x:c>
      <x:c r="G200" s="6" t="n">
        <x:v>28</x:v>
      </x:c>
      <x:c r="H200" s="28" t="n">
        <x:v>86.47</x:v>
      </x:c>
      <x:c r="I200" s="28" t="n">
        <x:v>86.7</x:v>
      </x:c>
      <x:c r="J200" s="28" t="n">
        <x:v>86.25</x:v>
      </x:c>
      <x:c r="K200" s="174" t="n">
        <x:v>88</x:v>
      </x:c>
      <x:c r="L200" s="174" t="n">
        <x:v>87</x:v>
      </x:c>
      <x:c r="M200" s="174" t="n">
        <x:v>87</x:v>
      </x:c>
      <x:c r="N200" s="174" t="n">
        <x:v>85</x:v>
      </x:c>
      <x:c r="O200" s="174" t="n">
        <x:v>88</x:v>
      </x:c>
      <x:c r="P200" s="174" t="n">
        <x:v>84</x:v>
      </x:c>
      <x:c r="Q200" s="174" t="n">
        <x:v>17</x:v>
      </x:c>
      <x:c r="R200" s="7" t="str">
        <x:v>https://arxiv.org/abs/2606.08837</x:v>
      </x:c>
      <x:c r="S200" s="7"/>
      <x:c r="T200" s="7" t="str">
        <x:v>Asymptotic profiles and breathers in Kähler-Ricci flow.</x:v>
      </x:c>
    </x:row>
    <x:row r="201" ht="38" customHeight="1">
      <x:c r="A201" s="174" t="n">
        <x:v>200</x:v>
      </x:c>
      <x:c r="B201" s="7" t="str">
        <x:v>2026-06</x:v>
      </x:c>
      <x:c r="C201" s="7" t="str">
        <x:v>2606.08887</x:v>
      </x:c>
      <x:c r="D201" s="7" t="str">
        <x:v>Bounding Curvature Measure on Manifolds with Singularities</x:v>
      </x:c>
      <x:c r="E201" s="7" t="str">
        <x:v>Nan Li</x:v>
      </x:c>
      <x:c r="F201" s="7" t="str">
        <x:v>singular spaces / curvature measure</x:v>
      </x:c>
      <x:c r="G201" s="6" t="n">
        <x:v>23</x:v>
      </x:c>
      <x:c r="H201" s="28" t="n">
        <x:v>86.47</x:v>
      </x:c>
      <x:c r="I201" s="28" t="n">
        <x:v>86.7</x:v>
      </x:c>
      <x:c r="J201" s="28" t="n">
        <x:v>86.25</x:v>
      </x:c>
      <x:c r="K201" s="174" t="n">
        <x:v>88</x:v>
      </x:c>
      <x:c r="L201" s="174" t="n">
        <x:v>87</x:v>
      </x:c>
      <x:c r="M201" s="174" t="n">
        <x:v>87</x:v>
      </x:c>
      <x:c r="N201" s="174" t="n">
        <x:v>85</x:v>
      </x:c>
      <x:c r="O201" s="174" t="n">
        <x:v>88</x:v>
      </x:c>
      <x:c r="P201" s="174" t="n">
        <x:v>84</x:v>
      </x:c>
      <x:c r="Q201" s="174" t="n">
        <x:v>17</x:v>
      </x:c>
      <x:c r="R201" s="7" t="str">
        <x:v>https://arxiv.org/abs/2606.08887</x:v>
      </x:c>
      <x:c r="S201" s="7"/>
      <x:c r="T201" s="7" t="str">
        <x:v>Curvature measure bounds on singular manifolds.</x:v>
      </x:c>
    </x:row>
    <x:row r="202" ht="38" customHeight="1">
      <x:c r="A202" s="174" t="n">
        <x:v>201</x:v>
      </x:c>
      <x:c r="B202" s="7" t="str">
        <x:v>2026-06</x:v>
      </x:c>
      <x:c r="C202" s="7" t="str">
        <x:v>2606.11957</x:v>
      </x:c>
      <x:c r="D202" s="7" t="str">
        <x:v>Scalar curvature, sharp bottom spectrum and geometric rigidity</x:v>
      </x:c>
      <x:c r="E202" s="7" t="str">
        <x:v>Jinmin Wang; Bo Zhu</x:v>
      </x:c>
      <x:c r="F202" s="7" t="str">
        <x:v>scalar curvature / spectral rigidity</x:v>
      </x:c>
      <x:c r="G202" s="6" t="n">
        <x:v>19</x:v>
      </x:c>
      <x:c r="H202" s="28" t="n">
        <x:v>86.15</x:v>
      </x:c>
      <x:c r="I202" s="28" t="n">
        <x:v>86.55</x:v>
      </x:c>
      <x:c r="J202" s="28" t="n">
        <x:v>85.75</x:v>
      </x:c>
      <x:c r="K202" s="174" t="n">
        <x:v>89</x:v>
      </x:c>
      <x:c r="L202" s="174" t="n">
        <x:v>86</x:v>
      </x:c>
      <x:c r="M202" s="174" t="n">
        <x:v>87</x:v>
      </x:c>
      <x:c r="N202" s="174" t="n">
        <x:v>84</x:v>
      </x:c>
      <x:c r="O202" s="174" t="n">
        <x:v>88</x:v>
      </x:c>
      <x:c r="P202" s="174" t="n">
        <x:v>83</x:v>
      </x:c>
      <x:c r="Q202" s="174" t="n">
        <x:v>18</x:v>
      </x:c>
      <x:c r="R202" s="7" t="str">
        <x:v>https://arxiv.org/abs/2606.11957</x:v>
      </x:c>
      <x:c r="S202" s="7"/>
      <x:c r="T202" s="7" t="str">
        <x:v>Sharp bottom-spectrum and scalar-curvature rigidity.</x:v>
      </x:c>
    </x:row>
    <x:row r="203" ht="38" customHeight="1">
      <x:c r="A203" s="174" t="n">
        <x:v>202</x:v>
      </x:c>
      <x:c r="B203" s="7" t="str">
        <x:v>2026-06</x:v>
      </x:c>
      <x:c r="C203" s="7" t="str">
        <x:v>2606.09235</x:v>
      </x:c>
      <x:c r="D203" s="7" t="str">
        <x:v>Semistability and asymptotics of geometric flows</x:v>
      </x:c>
      <x:c r="E203" s="7" t="str">
        <x:v>Shing Tak Lam</x:v>
      </x:c>
      <x:c r="F203" s="7" t="str">
        <x:v>geometric flows</x:v>
      </x:c>
      <x:c r="G203" s="6" t="n">
        <x:v>39</x:v>
      </x:c>
      <x:c r="H203" s="28" t="n">
        <x:v>85.92</x:v>
      </x:c>
      <x:c r="I203" s="28" t="n">
        <x:v>86.4</x:v>
      </x:c>
      <x:c r="J203" s="28" t="n">
        <x:v>85.45</x:v>
      </x:c>
      <x:c r="K203" s="174" t="n">
        <x:v>88</x:v>
      </x:c>
      <x:c r="L203" s="174" t="n">
        <x:v>86</x:v>
      </x:c>
      <x:c r="M203" s="174" t="n">
        <x:v>87</x:v>
      </x:c>
      <x:c r="N203" s="174" t="n">
        <x:v>85</x:v>
      </x:c>
      <x:c r="O203" s="174" t="n">
        <x:v>87</x:v>
      </x:c>
      <x:c r="P203" s="174" t="n">
        <x:v>83</x:v>
      </x:c>
      <x:c r="Q203" s="174" t="n">
        <x:v>18</x:v>
      </x:c>
      <x:c r="R203" s="7" t="str">
        <x:v>https://arxiv.org/abs/2606.09235</x:v>
      </x:c>
      <x:c r="S203" s="7"/>
      <x:c r="T203" s="7" t="str">
        <x:v>Semistability and asymptotic analysis for geometric flows.</x:v>
      </x:c>
    </x:row>
    <x:row r="204" ht="38" customHeight="1">
      <x:c r="A204" s="174" t="n">
        <x:v>203</x:v>
      </x:c>
      <x:c r="B204" s="7" t="str">
        <x:v>2026-06</x:v>
      </x:c>
      <x:c r="C204" s="7" t="str">
        <x:v>2606.10751</x:v>
      </x:c>
      <x:c r="D204" s="7" t="str">
        <x:v>Beltrami problem in dimension two: local normal forms</x:v>
      </x:c>
      <x:c r="E204" s="7" t="str">
        <x:v>Dinmukhammed Akpan; Alexey Bolsinov</x:v>
      </x:c>
      <x:c r="F204" s="7" t="str">
        <x:v>Beltrami problem</x:v>
      </x:c>
      <x:c r="G204" s="6" t="str">
        <x:v>-</x:v>
      </x:c>
      <x:c r="H204" s="28" t="n">
        <x:v>85.92</x:v>
      </x:c>
      <x:c r="I204" s="28" t="n">
        <x:v>86.4</x:v>
      </x:c>
      <x:c r="J204" s="28" t="n">
        <x:v>85.45</x:v>
      </x:c>
      <x:c r="K204" s="174" t="n">
        <x:v>88</x:v>
      </x:c>
      <x:c r="L204" s="174" t="n">
        <x:v>86</x:v>
      </x:c>
      <x:c r="M204" s="174" t="n">
        <x:v>87</x:v>
      </x:c>
      <x:c r="N204" s="174" t="n">
        <x:v>85</x:v>
      </x:c>
      <x:c r="O204" s="174" t="n">
        <x:v>87</x:v>
      </x:c>
      <x:c r="P204" s="174" t="n">
        <x:v>83</x:v>
      </x:c>
      <x:c r="Q204" s="174" t="n">
        <x:v>18</x:v>
      </x:c>
      <x:c r="R204" s="7" t="str">
        <x:v>https://arxiv.org/abs/2606.10751</x:v>
      </x:c>
      <x:c r="S204" s="7"/>
      <x:c r="T204" s="7" t="str">
        <x:v>Local normal forms for the two-dimensional Beltrami problem.</x:v>
      </x:c>
    </x:row>
    <x:row r="205" ht="38" customHeight="1">
      <x:c r="A205" s="174" t="n">
        <x:v>204</x:v>
      </x:c>
      <x:c r="B205" s="7" t="str">
        <x:v>2026-06</x:v>
      </x:c>
      <x:c r="C205" s="7" t="str">
        <x:v>2606.11141</x:v>
      </x:c>
      <x:c r="D205" s="7" t="str">
        <x:v>Harmonic extension of Weil-Petersson circle homeomorphisms</x:v>
      </x:c>
      <x:c r="E205" s="7" t="str">
        <x:v>Farid Diaf; Vladimir Markovic; Abderrahim Mesbah</x:v>
      </x:c>
      <x:c r="F205" s="7" t="str">
        <x:v>Teichmuller geometry / harmonic maps</x:v>
      </x:c>
      <x:c r="G205" s="6" t="str">
        <x:v>-</x:v>
      </x:c>
      <x:c r="H205" s="28" t="n">
        <x:v>85.92</x:v>
      </x:c>
      <x:c r="I205" s="28" t="n">
        <x:v>86.4</x:v>
      </x:c>
      <x:c r="J205" s="28" t="n">
        <x:v>85.45</x:v>
      </x:c>
      <x:c r="K205" s="174" t="n">
        <x:v>88</x:v>
      </x:c>
      <x:c r="L205" s="174" t="n">
        <x:v>86</x:v>
      </x:c>
      <x:c r="M205" s="174" t="n">
        <x:v>87</x:v>
      </x:c>
      <x:c r="N205" s="174" t="n">
        <x:v>85</x:v>
      </x:c>
      <x:c r="O205" s="174" t="n">
        <x:v>87</x:v>
      </x:c>
      <x:c r="P205" s="174" t="n">
        <x:v>83</x:v>
      </x:c>
      <x:c r="Q205" s="174" t="n">
        <x:v>18</x:v>
      </x:c>
      <x:c r="R205" s="7" t="str">
        <x:v>https://arxiv.org/abs/2606.11141</x:v>
      </x:c>
      <x:c r="S205" s="7"/>
      <x:c r="T205" s="7" t="str">
        <x:v>Harmonic extension theory for Weil-Petersson circle homeomorphisms.</x:v>
      </x:c>
    </x:row>
    <x:row r="206" ht="38" customHeight="1">
      <x:c r="A206" s="174" t="n">
        <x:v>205</x:v>
      </x:c>
      <x:c r="B206" s="7" t="str">
        <x:v>2026-06</x:v>
      </x:c>
      <x:c r="C206" s="7" t="str">
        <x:v>2606.11813</x:v>
      </x:c>
      <x:c r="D206" s="7" t="str">
        <x:v>Sub-Riemannian Selberg Trace Formulae for Compact Quotients of SL(2,R) and Determinants of Sub-Laplacians</x:v>
      </x:c>
      <x:c r="E206" s="7" t="str">
        <x:v>Fabrice Baudoin</x:v>
      </x:c>
      <x:c r="F206" s="7" t="str">
        <x:v>sub-Riemannian spectral geometry</x:v>
      </x:c>
      <x:c r="G206" s="6" t="str">
        <x:v>-</x:v>
      </x:c>
      <x:c r="H206" s="28" t="n">
        <x:v>85.92</x:v>
      </x:c>
      <x:c r="I206" s="28" t="n">
        <x:v>86.4</x:v>
      </x:c>
      <x:c r="J206" s="28" t="n">
        <x:v>85.45</x:v>
      </x:c>
      <x:c r="K206" s="174" t="n">
        <x:v>88</x:v>
      </x:c>
      <x:c r="L206" s="174" t="n">
        <x:v>86</x:v>
      </x:c>
      <x:c r="M206" s="174" t="n">
        <x:v>87</x:v>
      </x:c>
      <x:c r="N206" s="174" t="n">
        <x:v>85</x:v>
      </x:c>
      <x:c r="O206" s="174" t="n">
        <x:v>87</x:v>
      </x:c>
      <x:c r="P206" s="174" t="n">
        <x:v>83</x:v>
      </x:c>
      <x:c r="Q206" s="174" t="n">
        <x:v>18</x:v>
      </x:c>
      <x:c r="R206" s="7" t="str">
        <x:v>https://arxiv.org/abs/2606.11813</x:v>
      </x:c>
      <x:c r="S206" s="7"/>
      <x:c r="T206" s="7" t="str">
        <x:v>Trace formulae and determinant results in sub-Riemannian setting.</x:v>
      </x:c>
    </x:row>
    <x:row r="207" ht="38" customHeight="1">
      <x:c r="A207" s="174" t="n">
        <x:v>206</x:v>
      </x:c>
      <x:c r="B207" s="7" t="str">
        <x:v>2026-06</x:v>
      </x:c>
      <x:c r="C207" s="7" t="str">
        <x:v>2606.11825</x:v>
      </x:c>
      <x:c r="D207" s="7" t="str">
        <x:v>A singularity theorem in terms of asymptotic expansion</x:v>
      </x:c>
      <x:c r="E207" s="7" t="str">
        <x:v>Fabio Cavalletti; Andrea Mondino</x:v>
      </x:c>
      <x:c r="F207" s="7" t="str">
        <x:v>metric measure geometry / singularity theorem</x:v>
      </x:c>
      <x:c r="G207" s="6" t="str">
        <x:v>-</x:v>
      </x:c>
      <x:c r="H207" s="28" t="n">
        <x:v>85.92</x:v>
      </x:c>
      <x:c r="I207" s="28" t="n">
        <x:v>86.4</x:v>
      </x:c>
      <x:c r="J207" s="28" t="n">
        <x:v>85.45</x:v>
      </x:c>
      <x:c r="K207" s="174" t="n">
        <x:v>88</x:v>
      </x:c>
      <x:c r="L207" s="174" t="n">
        <x:v>86</x:v>
      </x:c>
      <x:c r="M207" s="174" t="n">
        <x:v>87</x:v>
      </x:c>
      <x:c r="N207" s="174" t="n">
        <x:v>85</x:v>
      </x:c>
      <x:c r="O207" s="174" t="n">
        <x:v>87</x:v>
      </x:c>
      <x:c r="P207" s="174" t="n">
        <x:v>83</x:v>
      </x:c>
      <x:c r="Q207" s="174" t="n">
        <x:v>18</x:v>
      </x:c>
      <x:c r="R207" s="7" t="str">
        <x:v>https://arxiv.org/abs/2606.11825</x:v>
      </x:c>
      <x:c r="S207" s="7"/>
      <x:c r="T207" s="7" t="str">
        <x:v>Singularity theorem formulated via asymptotic expansion.</x:v>
      </x:c>
    </x:row>
    <x:row r="208" ht="38" customHeight="1">
      <x:c r="A208" s="174" t="n">
        <x:v>207</x:v>
      </x:c>
      <x:c r="B208" s="7" t="str">
        <x:v>2026-06</x:v>
      </x:c>
      <x:c r="C208" s="7" t="str">
        <x:v>2606.12009</x:v>
      </x:c>
      <x:c r="D208" s="7" t="str">
        <x:v>Dirichlet-Neumann duality for the Basic Spectrum of Riemannian Submersions: A Supersymmetric Perspective</x:v>
      </x:c>
      <x:c r="E208" s="7" t="str">
        <x:v>Vicent Gimeno i Garcia; Paulo Henryque da Costa Silva</x:v>
      </x:c>
      <x:c r="F208" s="7" t="str">
        <x:v>Riemannian submersions / spectrum</x:v>
      </x:c>
      <x:c r="G208" s="6" t="n">
        <x:v>22</x:v>
      </x:c>
      <x:c r="H208" s="28" t="n">
        <x:v>85.7</x:v>
      </x:c>
      <x:c r="I208" s="28" t="n">
        <x:v>85.95</x:v>
      </x:c>
      <x:c r="J208" s="28" t="n">
        <x:v>85.45</x:v>
      </x:c>
      <x:c r="K208" s="174" t="n">
        <x:v>87</x:v>
      </x:c>
      <x:c r="L208" s="174" t="n">
        <x:v>86</x:v>
      </x:c>
      <x:c r="M208" s="174" t="n">
        <x:v>87</x:v>
      </x:c>
      <x:c r="N208" s="174" t="n">
        <x:v>84</x:v>
      </x:c>
      <x:c r="O208" s="174" t="n">
        <x:v>87</x:v>
      </x:c>
      <x:c r="P208" s="174" t="n">
        <x:v>83</x:v>
      </x:c>
      <x:c r="Q208" s="174" t="n">
        <x:v>18</x:v>
      </x:c>
      <x:c r="R208" s="7" t="str">
        <x:v>https://arxiv.org/abs/2606.12009</x:v>
      </x:c>
      <x:c r="S208" s="7"/>
      <x:c r="T208" s="7" t="str">
        <x:v>Spectral duality for Riemannian submersions.</x:v>
      </x:c>
    </x:row>
    <x:row r="209" ht="38" customHeight="1">
      <x:c r="A209" s="174" t="n">
        <x:v>208</x:v>
      </x:c>
      <x:c r="B209" s="7" t="str">
        <x:v>2026-06</x:v>
      </x:c>
      <x:c r="C209" s="7" t="str">
        <x:v>2606.10354</x:v>
      </x:c>
      <x:c r="D209" s="7" t="str">
        <x:v>Long-time existence of some geometric flows with bounded scalar curvature</x:v>
      </x:c>
      <x:c r="E209" s="7" t="str">
        <x:v>Chuanhuan Li; Yi Li</x:v>
      </x:c>
      <x:c r="F209" s="7" t="str">
        <x:v>geometric flow / survey</x:v>
      </x:c>
      <x:c r="G209" s="6" t="str">
        <x:v>-</x:v>
      </x:c>
      <x:c r="H209" s="28" t="n">
        <x:v>85.62</x:v>
      </x:c>
      <x:c r="I209" s="28" t="n">
        <x:v>86.4</x:v>
      </x:c>
      <x:c r="J209" s="28" t="n">
        <x:v>84.85</x:v>
      </x:c>
      <x:c r="K209" s="174" t="n">
        <x:v>88</x:v>
      </x:c>
      <x:c r="L209" s="174" t="n">
        <x:v>86</x:v>
      </x:c>
      <x:c r="M209" s="174" t="n">
        <x:v>87</x:v>
      </x:c>
      <x:c r="N209" s="174" t="n">
        <x:v>85</x:v>
      </x:c>
      <x:c r="O209" s="174" t="n">
        <x:v>87</x:v>
      </x:c>
      <x:c r="P209" s="174" t="n">
        <x:v>83</x:v>
      </x:c>
      <x:c r="Q209" s="174" t="n">
        <x:v>22</x:v>
      </x:c>
      <x:c r="R209" s="7" t="str">
        <x:v>https://arxiv.org/abs/2606.10354</x:v>
      </x:c>
      <x:c r="S209" s="7"/>
      <x:c r="T209" s="7" t="str">
        <x:v>Long-time existence survey/analysis under bounded scalar curvature.</x:v>
      </x:c>
    </x:row>
    <x:row r="210" ht="38" customHeight="1">
      <x:c r="A210" s="174" t="n">
        <x:v>209</x:v>
      </x:c>
      <x:c r="B210" s="7" t="str">
        <x:v>2026-06</x:v>
      </x:c>
      <x:c r="C210" s="7" t="str">
        <x:v>2606.12745</x:v>
      </x:c>
      <x:c r="D210" s="7" t="str">
        <x:v>A Large-Diameter Fundamental-Gap Lower Bound for Horoconvex Domains</x:v>
      </x:c>
      <x:c r="E210" s="7" t="str">
        <x:v>Xianzhe Dai; John Ennis; Xuan Hien Nguyen; Guofang Wei</x:v>
      </x:c>
      <x:c r="F210" s="7" t="str">
        <x:v>spectral geometry / horoconvexity</x:v>
      </x:c>
      <x:c r="G210" s="6" t="n">
        <x:v>59</x:v>
      </x:c>
      <x:c r="H210" s="28" t="n">
        <x:v>85.55</x:v>
      </x:c>
      <x:c r="I210" s="28" t="n">
        <x:v>86.35</x:v>
      </x:c>
      <x:c r="J210" s="28" t="n">
        <x:v>84.75</x:v>
      </x:c>
      <x:c r="K210" s="174" t="n">
        <x:v>85</x:v>
      </x:c>
      <x:c r="L210" s="174" t="n">
        <x:v>87</x:v>
      </x:c>
      <x:c r="M210" s="174" t="n">
        <x:v>87</x:v>
      </x:c>
      <x:c r="N210" s="174" t="n">
        <x:v>90</x:v>
      </x:c>
      <x:c r="O210" s="174" t="n">
        <x:v>86</x:v>
      </x:c>
      <x:c r="P210" s="174" t="n">
        <x:v>82</x:v>
      </x:c>
      <x:c r="Q210" s="174" t="n">
        <x:v>21</x:v>
      </x:c>
      <x:c r="R210" s="7" t="str">
        <x:v>https://arxiv.org/abs/2606.12745</x:v>
      </x:c>
      <x:c r="S210" s="7"/>
      <x:c r="T210" s="7" t="str">
        <x:v>Fundamental-gap estimate for horoconvex domains in large-diameter regime.</x:v>
      </x:c>
    </x:row>
    <x:row r="211" ht="38" customHeight="1">
      <x:c r="A211" s="174" t="n">
        <x:v>210</x:v>
      </x:c>
      <x:c r="B211" s="7" t="str">
        <x:v>2026-06</x:v>
      </x:c>
      <x:c r="C211" s="7" t="str">
        <x:v>2606.12031</x:v>
      </x:c>
      <x:c r="D211" s="7" t="str">
        <x:v>Topology of isometric classes and flows of geometric structures</x:v>
      </x:c>
      <x:c r="E211" s="7" t="str">
        <x:v>Daniel Fadel; Eric Loubeau</x:v>
      </x:c>
      <x:c r="F211" s="7" t="str">
        <x:v>geometric structures / flows</x:v>
      </x:c>
      <x:c r="G211" s="6" t="n">
        <x:v>31</x:v>
      </x:c>
      <x:c r="H211" s="28" t="n">
        <x:v>85.4</x:v>
      </x:c>
      <x:c r="I211" s="28" t="n">
        <x:v>85.7</x:v>
      </x:c>
      <x:c r="J211" s="28" t="n">
        <x:v>85.1</x:v>
      </x:c>
      <x:c r="K211" s="174" t="n">
        <x:v>87</x:v>
      </x:c>
      <x:c r="L211" s="174" t="n">
        <x:v>86</x:v>
      </x:c>
      <x:c r="M211" s="174" t="n">
        <x:v>86</x:v>
      </x:c>
      <x:c r="N211" s="174" t="n">
        <x:v>84</x:v>
      </x:c>
      <x:c r="O211" s="174" t="n">
        <x:v>87</x:v>
      </x:c>
      <x:c r="P211" s="174" t="n">
        <x:v>83</x:v>
      </x:c>
      <x:c r="Q211" s="174" t="n">
        <x:v>19</x:v>
      </x:c>
      <x:c r="R211" s="7" t="str">
        <x:v>https://arxiv.org/abs/2606.12031</x:v>
      </x:c>
      <x:c r="S211" s="7"/>
      <x:c r="T211" s="7" t="str">
        <x:v>Topology of isometry classes and flows of geometric structures.</x:v>
      </x:c>
    </x:row>
    <x:row r="212" ht="38" customHeight="1">
      <x:c r="A212" s="174" t="n">
        <x:v>211</x:v>
      </x:c>
      <x:c r="B212" s="7" t="str">
        <x:v>2026-06</x:v>
      </x:c>
      <x:c r="C212" s="7" t="str">
        <x:v>2606.12804</x:v>
      </x:c>
      <x:c r="D212" s="7" t="str">
        <x:v>Sub-Riemannian spectral distance</x:v>
      </x:c>
      <x:c r="E212" s="7" t="str">
        <x:v>Yuzuru Inahama</x:v>
      </x:c>
      <x:c r="F212" s="7" t="str">
        <x:v>sub-Riemannian spectral geometry</x:v>
      </x:c>
      <x:c r="G212" s="6" t="n">
        <x:v>26</x:v>
      </x:c>
      <x:c r="H212" s="28" t="n">
        <x:v>85.4</x:v>
      </x:c>
      <x:c r="I212" s="28" t="n">
        <x:v>85.7</x:v>
      </x:c>
      <x:c r="J212" s="28" t="n">
        <x:v>85.1</x:v>
      </x:c>
      <x:c r="K212" s="174" t="n">
        <x:v>87</x:v>
      </x:c>
      <x:c r="L212" s="174" t="n">
        <x:v>86</x:v>
      </x:c>
      <x:c r="M212" s="174" t="n">
        <x:v>86</x:v>
      </x:c>
      <x:c r="N212" s="174" t="n">
        <x:v>84</x:v>
      </x:c>
      <x:c r="O212" s="174" t="n">
        <x:v>87</x:v>
      </x:c>
      <x:c r="P212" s="174" t="n">
        <x:v>83</x:v>
      </x:c>
      <x:c r="Q212" s="174" t="n">
        <x:v>19</x:v>
      </x:c>
      <x:c r="R212" s="7" t="str">
        <x:v>https://arxiv.org/abs/2606.12804</x:v>
      </x:c>
      <x:c r="S212" s="7"/>
      <x:c r="T212" s="7" t="str">
        <x:v>Spectral distance in sub-Riemannian geometry.</x:v>
      </x:c>
    </x:row>
    <x:row r="213" ht="38" customHeight="1">
      <x:c r="A213" s="174" t="n">
        <x:v>212</x:v>
      </x:c>
      <x:c r="B213" s="7" t="str">
        <x:v>2026-06</x:v>
      </x:c>
      <x:c r="C213" s="7" t="str">
        <x:v>2606.16980</x:v>
      </x:c>
      <x:c r="D213" s="7" t="str">
        <x:v>The stability index and Yau's conjecture for Carlotto-Schulz minimal hypertori, part II</x:v>
      </x:c>
      <x:c r="E213" s="7" t="str">
        <x:v>Oscar Perdomo</x:v>
      </x:c>
      <x:c r="F213" s="7" t="str">
        <x:v>minimal hypersurfaces / Yau conjecture</x:v>
      </x:c>
      <x:c r="G213" s="6" t="n">
        <x:v>12</x:v>
      </x:c>
      <x:c r="H213" s="28" t="n">
        <x:v>85.22</x:v>
      </x:c>
      <x:c r="I213" s="28" t="n">
        <x:v>85.7</x:v>
      </x:c>
      <x:c r="J213" s="28" t="n">
        <x:v>84.75</x:v>
      </x:c>
      <x:c r="K213" s="174" t="n">
        <x:v>88</x:v>
      </x:c>
      <x:c r="L213" s="174" t="n">
        <x:v>85</x:v>
      </x:c>
      <x:c r="M213" s="174" t="n">
        <x:v>86</x:v>
      </x:c>
      <x:c r="N213" s="174" t="n">
        <x:v>84</x:v>
      </x:c>
      <x:c r="O213" s="174" t="n">
        <x:v>87</x:v>
      </x:c>
      <x:c r="P213" s="174" t="n">
        <x:v>82</x:v>
      </x:c>
      <x:c r="Q213" s="174" t="n">
        <x:v>19</x:v>
      </x:c>
      <x:c r="R213" s="7" t="str">
        <x:v>https://arxiv.org/abs/2606.16980</x:v>
      </x:c>
      <x:c r="S213" s="7"/>
      <x:c r="T213" s="7" t="str">
        <x:v>Stability index and Yau conjecture for special minimal hypertori.</x:v>
      </x:c>
    </x:row>
    <x:row r="214" ht="38" customHeight="1">
      <x:c r="A214" s="174" t="n">
        <x:v>213</x:v>
      </x:c>
      <x:c r="B214" s="7" t="str">
        <x:v>2026-06</x:v>
      </x:c>
      <x:c r="C214" s="7" t="str">
        <x:v>2606.17190</x:v>
      </x:c>
      <x:c r="D214" s="7" t="str">
        <x:v>Renormalized area of minimal surfaces in hyperbolic space</x:v>
      </x:c>
      <x:c r="E214" s="7" t="str">
        <x:v>Matthew J. Gursky; Khoi Nguyen; Aaron J. Tyrrell</x:v>
      </x:c>
      <x:c r="F214" s="7" t="str">
        <x:v>minimal surfaces / hyperbolic geometry</x:v>
      </x:c>
      <x:c r="G214" s="6" t="str">
        <x:v>-</x:v>
      </x:c>
      <x:c r="H214" s="28" t="n">
        <x:v>85.15</x:v>
      </x:c>
      <x:c r="I214" s="28" t="n">
        <x:v>85.7</x:v>
      </x:c>
      <x:c r="J214" s="28" t="n">
        <x:v>84.6</x:v>
      </x:c>
      <x:c r="K214" s="174" t="n">
        <x:v>88</x:v>
      </x:c>
      <x:c r="L214" s="174" t="n">
        <x:v>85</x:v>
      </x:c>
      <x:c r="M214" s="174" t="n">
        <x:v>86</x:v>
      </x:c>
      <x:c r="N214" s="174" t="n">
        <x:v>84</x:v>
      </x:c>
      <x:c r="O214" s="174" t="n">
        <x:v>87</x:v>
      </x:c>
      <x:c r="P214" s="174" t="n">
        <x:v>82</x:v>
      </x:c>
      <x:c r="Q214" s="174" t="n">
        <x:v>20</x:v>
      </x:c>
      <x:c r="R214" s="7" t="str">
        <x:v>https://arxiv.org/abs/2606.17190</x:v>
      </x:c>
      <x:c r="S214" s="7"/>
      <x:c r="T214" s="7" t="str">
        <x:v>Renormalized area of hyperbolic minimal surfaces.</x:v>
      </x:c>
    </x:row>
    <x:row r="215" ht="38" customHeight="1">
      <x:c r="A215" s="174" t="n">
        <x:v>214</x:v>
      </x:c>
      <x:c r="B215" s="7" t="str">
        <x:v>2026-06</x:v>
      </x:c>
      <x:c r="C215" s="7" t="str">
        <x:v>2606.13299</x:v>
      </x:c>
      <x:c r="D215" s="7" t="str">
        <x:v>The Sesquiharmonic Map Flow from Riemannian Surfaces</x:v>
      </x:c>
      <x:c r="E215" s="7" t="str">
        <x:v>Amirreza Harandi; Roger Moser</x:v>
      </x:c>
      <x:c r="F215" s="7" t="str">
        <x:v>higher-order harmonic map flow</x:v>
      </x:c>
      <x:c r="G215" s="6" t="n">
        <x:v>20</x:v>
      </x:c>
      <x:c r="H215" s="28" t="n">
        <x:v>84.92</x:v>
      </x:c>
      <x:c r="I215" s="28" t="n">
        <x:v>85.4</x:v>
      </x:c>
      <x:c r="J215" s="28" t="n">
        <x:v>84.45</x:v>
      </x:c>
      <x:c r="K215" s="174" t="n">
        <x:v>87</x:v>
      </x:c>
      <x:c r="L215" s="174" t="n">
        <x:v>85</x:v>
      </x:c>
      <x:c r="M215" s="174" t="n">
        <x:v>86</x:v>
      </x:c>
      <x:c r="N215" s="174" t="n">
        <x:v>84</x:v>
      </x:c>
      <x:c r="O215" s="174" t="n">
        <x:v>86</x:v>
      </x:c>
      <x:c r="P215" s="174" t="n">
        <x:v>82</x:v>
      </x:c>
      <x:c r="Q215" s="174" t="n">
        <x:v>19</x:v>
      </x:c>
      <x:c r="R215" s="7" t="str">
        <x:v>https://arxiv.org/abs/2606.13299</x:v>
      </x:c>
      <x:c r="S215" s="7"/>
      <x:c r="T215" s="7" t="str">
        <x:v>Sesquiharmonic map flow from surfaces.</x:v>
      </x:c>
    </x:row>
    <x:row r="216" ht="38" customHeight="1">
      <x:c r="A216" s="174" t="n">
        <x:v>215</x:v>
      </x:c>
      <x:c r="B216" s="7" t="str">
        <x:v>2026-06</x:v>
      </x:c>
      <x:c r="C216" s="7" t="str">
        <x:v>2606.13403</x:v>
      </x:c>
      <x:c r="D216" s="7" t="str">
        <x:v>Geometry of non-Hermitian Yang-Mills moduli spaces</x:v>
      </x:c>
      <x:c r="E216" s="7" t="str">
        <x:v>Xingluan Wang</x:v>
      </x:c>
      <x:c r="F216" s="7" t="str">
        <x:v>Yang-Mills moduli</x:v>
      </x:c>
      <x:c r="G216" s="6" t="n">
        <x:v>17</x:v>
      </x:c>
      <x:c r="H216" s="28" t="n">
        <x:v>84.92</x:v>
      </x:c>
      <x:c r="I216" s="28" t="n">
        <x:v>85.4</x:v>
      </x:c>
      <x:c r="J216" s="28" t="n">
        <x:v>84.45</x:v>
      </x:c>
      <x:c r="K216" s="174" t="n">
        <x:v>87</x:v>
      </x:c>
      <x:c r="L216" s="174" t="n">
        <x:v>85</x:v>
      </x:c>
      <x:c r="M216" s="174" t="n">
        <x:v>86</x:v>
      </x:c>
      <x:c r="N216" s="174" t="n">
        <x:v>84</x:v>
      </x:c>
      <x:c r="O216" s="174" t="n">
        <x:v>86</x:v>
      </x:c>
      <x:c r="P216" s="174" t="n">
        <x:v>82</x:v>
      </x:c>
      <x:c r="Q216" s="174" t="n">
        <x:v>19</x:v>
      </x:c>
      <x:c r="R216" s="7" t="str">
        <x:v>https://arxiv.org/abs/2606.13403</x:v>
      </x:c>
      <x:c r="S216" s="7"/>
      <x:c r="T216" s="7" t="str">
        <x:v>Geometry of non-Hermitian Yang-Mills moduli spaces.</x:v>
      </x:c>
    </x:row>
    <x:row r="217" ht="38" customHeight="1">
      <x:c r="A217" s="174" t="n">
        <x:v>216</x:v>
      </x:c>
      <x:c r="B217" s="7" t="str">
        <x:v>2026-06</x:v>
      </x:c>
      <x:c r="C217" s="7" t="str">
        <x:v>2606.13455</x:v>
      </x:c>
      <x:c r="D217" s="7" t="str">
        <x:v>Hypersurfaces with Constant Ricci Eigenvalues in Real Space Forms</x:v>
      </x:c>
      <x:c r="E217" s="7" t="str">
        <x:v>Jianquan Ge; Yuyang Zhao</x:v>
      </x:c>
      <x:c r="F217" s="7" t="str">
        <x:v>hypersurface geometry</x:v>
      </x:c>
      <x:c r="G217" s="6" t="n">
        <x:v>14</x:v>
      </x:c>
      <x:c r="H217" s="28" t="n">
        <x:v>84.92</x:v>
      </x:c>
      <x:c r="I217" s="28" t="n">
        <x:v>85.4</x:v>
      </x:c>
      <x:c r="J217" s="28" t="n">
        <x:v>84.45</x:v>
      </x:c>
      <x:c r="K217" s="174" t="n">
        <x:v>87</x:v>
      </x:c>
      <x:c r="L217" s="174" t="n">
        <x:v>85</x:v>
      </x:c>
      <x:c r="M217" s="174" t="n">
        <x:v>86</x:v>
      </x:c>
      <x:c r="N217" s="174" t="n">
        <x:v>84</x:v>
      </x:c>
      <x:c r="O217" s="174" t="n">
        <x:v>86</x:v>
      </x:c>
      <x:c r="P217" s="174" t="n">
        <x:v>82</x:v>
      </x:c>
      <x:c r="Q217" s="174" t="n">
        <x:v>19</x:v>
      </x:c>
      <x:c r="R217" s="7" t="str">
        <x:v>https://arxiv.org/abs/2606.13455</x:v>
      </x:c>
      <x:c r="S217" s="7"/>
      <x:c r="T217" s="7" t="str">
        <x:v>Classification/structure of hypersurfaces with constant Ricci eigenvalues.</x:v>
      </x:c>
    </x:row>
    <x:row r="218" ht="38" customHeight="1">
      <x:c r="A218" s="174" t="n">
        <x:v>217</x:v>
      </x:c>
      <x:c r="B218" s="7" t="str">
        <x:v>2026-06</x:v>
      </x:c>
      <x:c r="C218" s="7" t="str">
        <x:v>2606.16919</x:v>
      </x:c>
      <x:c r="D218" s="7" t="str">
        <x:v>Complex Quaternions and Superminimal Surfaces in Four-Space</x:v>
      </x:c>
      <x:c r="E218" s="7" t="str">
        <x:v>Amedeo Altavilla; Elena Giorgio</x:v>
      </x:c>
      <x:c r="F218" s="7" t="str">
        <x:v>surface theory</x:v>
      </x:c>
      <x:c r="G218" s="6" t="n">
        <x:v>22</x:v>
      </x:c>
      <x:c r="H218" s="28" t="n">
        <x:v>84.92</x:v>
      </x:c>
      <x:c r="I218" s="28" t="n">
        <x:v>85.4</x:v>
      </x:c>
      <x:c r="J218" s="28" t="n">
        <x:v>84.45</x:v>
      </x:c>
      <x:c r="K218" s="174" t="n">
        <x:v>87</x:v>
      </x:c>
      <x:c r="L218" s="174" t="n">
        <x:v>85</x:v>
      </x:c>
      <x:c r="M218" s="174" t="n">
        <x:v>86</x:v>
      </x:c>
      <x:c r="N218" s="174" t="n">
        <x:v>84</x:v>
      </x:c>
      <x:c r="O218" s="174" t="n">
        <x:v>86</x:v>
      </x:c>
      <x:c r="P218" s="174" t="n">
        <x:v>82</x:v>
      </x:c>
      <x:c r="Q218" s="174" t="n">
        <x:v>19</x:v>
      </x:c>
      <x:c r="R218" s="7" t="str">
        <x:v>https://arxiv.org/abs/2606.16919</x:v>
      </x:c>
      <x:c r="S218" s="7"/>
      <x:c r="T218" s="7" t="str">
        <x:v>Quaternionic approach to superminimal surfaces in four-space.</x:v>
      </x:c>
    </x:row>
    <x:row r="219" ht="38" customHeight="1">
      <x:c r="A219" s="174" t="n">
        <x:v>218</x:v>
      </x:c>
      <x:c r="B219" s="7" t="str">
        <x:v>2026-06</x:v>
      </x:c>
      <x:c r="C219" s="7" t="str">
        <x:v>2606.19567</x:v>
      </x:c>
      <x:c r="D219" s="7" t="str">
        <x:v>Geometric Rigidity via Almost-Harmonic Twisted Spinors</x:v>
      </x:c>
      <x:c r="E219" s="7" t="str">
        <x:v>Francesco Bei; Simone Cecchini</x:v>
      </x:c>
      <x:c r="F219" s="7" t="str">
        <x:v>spin geometry / rigidity</x:v>
      </x:c>
      <x:c r="G219" s="6" t="str">
        <x:v>-</x:v>
      </x:c>
      <x:c r="H219" s="28" t="n">
        <x:v>84.92</x:v>
      </x:c>
      <x:c r="I219" s="28" t="n">
        <x:v>85.25</x:v>
      </x:c>
      <x:c r="J219" s="28" t="n">
        <x:v>84.6</x:v>
      </x:c>
      <x:c r="K219" s="174" t="n">
        <x:v>87</x:v>
      </x:c>
      <x:c r="L219" s="174" t="n">
        <x:v>85</x:v>
      </x:c>
      <x:c r="M219" s="174" t="n">
        <x:v>86</x:v>
      </x:c>
      <x:c r="N219" s="174" t="n">
        <x:v>83</x:v>
      </x:c>
      <x:c r="O219" s="174" t="n">
        <x:v>87</x:v>
      </x:c>
      <x:c r="P219" s="174" t="n">
        <x:v>82</x:v>
      </x:c>
      <x:c r="Q219" s="174" t="n">
        <x:v>20</x:v>
      </x:c>
      <x:c r="R219" s="7" t="str">
        <x:v>https://arxiv.org/abs/2606.19567</x:v>
      </x:c>
      <x:c r="S219" s="7"/>
      <x:c r="T219" s="7" t="str">
        <x:v>Rigidity via almost-harmonic twisted spinor methods.</x:v>
      </x:c>
    </x:row>
    <x:row r="220" ht="38" customHeight="1">
      <x:c r="A220" s="174" t="n">
        <x:v>219</x:v>
      </x:c>
      <x:c r="B220" s="7" t="str">
        <x:v>2026-06</x:v>
      </x:c>
      <x:c r="C220" s="7" t="str">
        <x:v>2606.17402</x:v>
      </x:c>
      <x:c r="D220" s="7" t="str">
        <x:v>Convergence of Scalar Curvature of Long Time Kähler-Ricci Flow on Kähler Manifold</x:v>
      </x:c>
      <x:c r="E220" s="7" t="str">
        <x:v>Lei Zhang; Zhenlei Zhang</x:v>
      </x:c>
      <x:c r="F220" s="7" t="str">
        <x:v>Kähler-Ricci flow</x:v>
      </x:c>
      <x:c r="G220" s="6" t="n">
        <x:v>20</x:v>
      </x:c>
      <x:c r="H220" s="28" t="n">
        <x:v>84.78</x:v>
      </x:c>
      <x:c r="I220" s="28" t="n">
        <x:v>85.25</x:v>
      </x:c>
      <x:c r="J220" s="28" t="n">
        <x:v>84.3</x:v>
      </x:c>
      <x:c r="K220" s="174" t="n">
        <x:v>87</x:v>
      </x:c>
      <x:c r="L220" s="174" t="n">
        <x:v>85</x:v>
      </x:c>
      <x:c r="M220" s="174" t="n">
        <x:v>86</x:v>
      </x:c>
      <x:c r="N220" s="174" t="n">
        <x:v>83</x:v>
      </x:c>
      <x:c r="O220" s="174" t="n">
        <x:v>86</x:v>
      </x:c>
      <x:c r="P220" s="174" t="n">
        <x:v>82</x:v>
      </x:c>
      <x:c r="Q220" s="174" t="n">
        <x:v>20</x:v>
      </x:c>
      <x:c r="R220" s="7" t="str">
        <x:v>https://arxiv.org/abs/2606.17402</x:v>
      </x:c>
      <x:c r="S220" s="7"/>
      <x:c r="T220" s="7" t="str">
        <x:v>Convergence of scalar curvature along long-time Kähler-Ricci flow.</x:v>
      </x:c>
    </x:row>
    <x:row r="221" ht="38" customHeight="1">
      <x:c r="A221" s="174" t="n">
        <x:v>220</x:v>
      </x:c>
      <x:c r="B221" s="7" t="str">
        <x:v>2026-06</x:v>
      </x:c>
      <x:c r="C221" s="7" t="str">
        <x:v>2606.19619</x:v>
      </x:c>
      <x:c r="D221" s="7" t="str">
        <x:v>Some constructions of uniformly positive scalar curvature metrics on open manifolds</x:v>
      </x:c>
      <x:c r="E221" s="7" t="str">
        <x:v>Anushree Das</x:v>
      </x:c>
      <x:c r="F221" s="7" t="str">
        <x:v>positive scalar curvature</x:v>
      </x:c>
      <x:c r="G221" s="6" t="n">
        <x:v>18</x:v>
      </x:c>
      <x:c r="H221" s="28" t="n">
        <x:v>84.7</x:v>
      </x:c>
      <x:c r="I221" s="28" t="n">
        <x:v>85</x:v>
      </x:c>
      <x:c r="J221" s="28" t="n">
        <x:v>84.4</x:v>
      </x:c>
      <x:c r="K221" s="174" t="n">
        <x:v>87</x:v>
      </x:c>
      <x:c r="L221" s="174" t="n">
        <x:v>85</x:v>
      </x:c>
      <x:c r="M221" s="174" t="n">
        <x:v>85</x:v>
      </x:c>
      <x:c r="N221" s="174" t="n">
        <x:v>83</x:v>
      </x:c>
      <x:c r="O221" s="174" t="n">
        <x:v>87</x:v>
      </x:c>
      <x:c r="P221" s="174" t="n">
        <x:v>82</x:v>
      </x:c>
      <x:c r="Q221" s="174" t="n">
        <x:v>20</x:v>
      </x:c>
      <x:c r="R221" s="7" t="str">
        <x:v>https://arxiv.org/abs/2606.19619</x:v>
      </x:c>
      <x:c r="S221" s="7"/>
      <x:c r="T221" s="7" t="str">
        <x:v>Constructs uniformly positive scalar curvature metrics on open manifolds.</x:v>
      </x:c>
    </x:row>
    <x:row r="222" ht="38" customHeight="1">
      <x:c r="A222" s="174" t="n">
        <x:v>221</x:v>
      </x:c>
      <x:c r="B222" s="7" t="str">
        <x:v>2026-06</x:v>
      </x:c>
      <x:c r="C222" s="7" t="str">
        <x:v>2606.20030</x:v>
      </x:c>
      <x:c r="D222" s="7" t="str">
        <x:v>Poisson and Jacobi structures from 2-covariant tensors</x:v>
      </x:c>
      <x:c r="E222" s="7" t="str">
        <x:v>Manuel de Leon; Xavier Gracia; Ruben Izquierdo-Lopez; Angel Martinez-Munoz; Xavier Rivas</x:v>
      </x:c>
      <x:c r="F222" s="7" t="str">
        <x:v>Poisson/Jacobi geometry</x:v>
      </x:c>
      <x:c r="G222" s="6" t="n">
        <x:v>29</x:v>
      </x:c>
      <x:c r="H222" s="28" t="n">
        <x:v>84.4</x:v>
      </x:c>
      <x:c r="I222" s="28" t="n">
        <x:v>84.7</x:v>
      </x:c>
      <x:c r="J222" s="28" t="n">
        <x:v>84.1</x:v>
      </x:c>
      <x:c r="K222" s="174" t="n">
        <x:v>86</x:v>
      </x:c>
      <x:c r="L222" s="174" t="n">
        <x:v>85</x:v>
      </x:c>
      <x:c r="M222" s="174" t="n">
        <x:v>85</x:v>
      </x:c>
      <x:c r="N222" s="174" t="n">
        <x:v>83</x:v>
      </x:c>
      <x:c r="O222" s="174" t="n">
        <x:v>86</x:v>
      </x:c>
      <x:c r="P222" s="174" t="n">
        <x:v>82</x:v>
      </x:c>
      <x:c r="Q222" s="174" t="n">
        <x:v>20</x:v>
      </x:c>
      <x:c r="R222" s="7" t="str">
        <x:v>https://arxiv.org/abs/2606.20030</x:v>
      </x:c>
      <x:c r="S222" s="7"/>
      <x:c r="T222" s="7" t="str">
        <x:v>Poisson and Jacobi structures from 2-covariant tensors.</x:v>
      </x:c>
    </x:row>
    <x:row r="223" ht="38" customHeight="1">
      <x:c r="A223" s="174" t="n">
        <x:v>222</x:v>
      </x:c>
      <x:c r="B223" s="7" t="str">
        <x:v>2026-06</x:v>
      </x:c>
      <x:c r="C223" s="7" t="str">
        <x:v>2606.21325</x:v>
      </x:c>
      <x:c r="D223" s="7" t="str">
        <x:v>L-infinity-metrics on tori and Schoen's conjecture</x:v>
      </x:c>
      <x:c r="E223" s="7" t="str">
        <x:v>Jian Wang; Jinmin Wang; Zhizhang Xie</x:v>
      </x:c>
      <x:c r="F223" s="7" t="str">
        <x:v>metric geometry / Schoen conjecture</x:v>
      </x:c>
      <x:c r="G223" s="6" t="n">
        <x:v>23</x:v>
      </x:c>
      <x:c r="H223" s="28" t="n">
        <x:v>84.15</x:v>
      </x:c>
      <x:c r="I223" s="28" t="n">
        <x:v>84.7</x:v>
      </x:c>
      <x:c r="J223" s="28" t="n">
        <x:v>83.6</x:v>
      </x:c>
      <x:c r="K223" s="174" t="n">
        <x:v>87</x:v>
      </x:c>
      <x:c r="L223" s="174" t="n">
        <x:v>84</x:v>
      </x:c>
      <x:c r="M223" s="174" t="n">
        <x:v>85</x:v>
      </x:c>
      <x:c r="N223" s="174" t="n">
        <x:v>83</x:v>
      </x:c>
      <x:c r="O223" s="174" t="n">
        <x:v>86</x:v>
      </x:c>
      <x:c r="P223" s="174" t="n">
        <x:v>81</x:v>
      </x:c>
      <x:c r="Q223" s="174" t="n">
        <x:v>21</x:v>
      </x:c>
      <x:c r="R223" s="7" t="str">
        <x:v>https://arxiv.org/abs/2606.21325</x:v>
      </x:c>
      <x:c r="S223" s="7"/>
      <x:c r="T223" s="7" t="str">
        <x:v>L-infinity metrics on tori related to Schoen's conjecture.</x:v>
      </x:c>
    </x:row>
    <x:row r="224" ht="38" customHeight="1">
      <x:c r="A224" s="174" t="n">
        <x:v>223</x:v>
      </x:c>
      <x:c r="B224" s="7" t="str">
        <x:v>2026-06</x:v>
      </x:c>
      <x:c r="C224" s="7" t="str">
        <x:v>2606.20276</x:v>
      </x:c>
      <x:c r="D224" s="7" t="str">
        <x:v>Comparison Theorems for the Profile Curve Equation of Rotationally Symmetric Self-Shrinkers</x:v>
      </x:c>
      <x:c r="E224" s="7" t="str">
        <x:v>Peng Peng</x:v>
      </x:c>
      <x:c r="F224" s="7" t="str">
        <x:v>self-shrinkers / comparison</x:v>
      </x:c>
      <x:c r="G224" s="6" t="n">
        <x:v>36</x:v>
      </x:c>
      <x:c r="H224" s="28" t="n">
        <x:v>83.92</x:v>
      </x:c>
      <x:c r="I224" s="28" t="n">
        <x:v>84.4</x:v>
      </x:c>
      <x:c r="J224" s="28" t="n">
        <x:v>83.45</x:v>
      </x:c>
      <x:c r="K224" s="174" t="n">
        <x:v>86</x:v>
      </x:c>
      <x:c r="L224" s="174" t="n">
        <x:v>84</x:v>
      </x:c>
      <x:c r="M224" s="174" t="n">
        <x:v>85</x:v>
      </x:c>
      <x:c r="N224" s="174" t="n">
        <x:v>83</x:v>
      </x:c>
      <x:c r="O224" s="174" t="n">
        <x:v>85</x:v>
      </x:c>
      <x:c r="P224" s="174" t="n">
        <x:v>81</x:v>
      </x:c>
      <x:c r="Q224" s="174" t="n">
        <x:v>20</x:v>
      </x:c>
      <x:c r="R224" s="7" t="str">
        <x:v>https://arxiv.org/abs/2606.20276</x:v>
      </x:c>
      <x:c r="S224" s="7"/>
      <x:c r="T224" s="7" t="str">
        <x:v>Comparison theorems for rotationally symmetric self-shrinkers.</x:v>
      </x:c>
    </x:row>
    <x:row r="225" ht="38" customHeight="1">
      <x:c r="A225" s="174" t="n">
        <x:v>224</x:v>
      </x:c>
      <x:c r="B225" s="7" t="str">
        <x:v>2026-06</x:v>
      </x:c>
      <x:c r="C225" s="7" t="str">
        <x:v>2606.20307</x:v>
      </x:c>
      <x:c r="D225" s="7" t="str">
        <x:v>The Hermitian-Yang-Mills Iteration on Stable Bundles</x:v>
      </x:c>
      <x:c r="E225" s="7" t="str">
        <x:v>Huai-Dong Cao; Xiaofeng Sun; Yingying Zhang</x:v>
      </x:c>
      <x:c r="F225" s="7" t="str">
        <x:v>Hermitian-Yang-Mills</x:v>
      </x:c>
      <x:c r="G225" s="6" t="str">
        <x:v>-</x:v>
      </x:c>
      <x:c r="H225" s="28" t="n">
        <x:v>83.92</x:v>
      </x:c>
      <x:c r="I225" s="28" t="n">
        <x:v>84.4</x:v>
      </x:c>
      <x:c r="J225" s="28" t="n">
        <x:v>83.45</x:v>
      </x:c>
      <x:c r="K225" s="174" t="n">
        <x:v>86</x:v>
      </x:c>
      <x:c r="L225" s="174" t="n">
        <x:v>84</x:v>
      </x:c>
      <x:c r="M225" s="174" t="n">
        <x:v>85</x:v>
      </x:c>
      <x:c r="N225" s="174" t="n">
        <x:v>83</x:v>
      </x:c>
      <x:c r="O225" s="174" t="n">
        <x:v>85</x:v>
      </x:c>
      <x:c r="P225" s="174" t="n">
        <x:v>81</x:v>
      </x:c>
      <x:c r="Q225" s="174" t="n">
        <x:v>20</x:v>
      </x:c>
      <x:c r="R225" s="7" t="str">
        <x:v>https://arxiv.org/abs/2606.20307</x:v>
      </x:c>
      <x:c r="S225" s="7"/>
      <x:c r="T225" s="7" t="str">
        <x:v>HYM iteration on stable bundles.</x:v>
      </x:c>
    </x:row>
    <x:row r="226" ht="38" customHeight="1">
      <x:c r="A226" s="174" t="n">
        <x:v>225</x:v>
      </x:c>
      <x:c r="B226" s="7" t="str">
        <x:v>2026-06</x:v>
      </x:c>
      <x:c r="C226" s="7" t="str">
        <x:v>2606.21112</x:v>
      </x:c>
      <x:c r="D226" s="7" t="str">
        <x:v>Illumination bodies on Riemannian manifolds</x:v>
      </x:c>
      <x:c r="E226" s="7" t="str">
        <x:v>Rotem Assouline; Carsten Schutt; Elisabeth M. Werner</x:v>
      </x:c>
      <x:c r="F226" s="7" t="str">
        <x:v>convex/Riemannian geometry</x:v>
      </x:c>
      <x:c r="G226" s="6" t="n">
        <x:v>34</x:v>
      </x:c>
      <x:c r="H226" s="28" t="n">
        <x:v>83.92</x:v>
      </x:c>
      <x:c r="I226" s="28" t="n">
        <x:v>84.4</x:v>
      </x:c>
      <x:c r="J226" s="28" t="n">
        <x:v>83.45</x:v>
      </x:c>
      <x:c r="K226" s="174" t="n">
        <x:v>86</x:v>
      </x:c>
      <x:c r="L226" s="174" t="n">
        <x:v>84</x:v>
      </x:c>
      <x:c r="M226" s="174" t="n">
        <x:v>85</x:v>
      </x:c>
      <x:c r="N226" s="174" t="n">
        <x:v>83</x:v>
      </x:c>
      <x:c r="O226" s="174" t="n">
        <x:v>85</x:v>
      </x:c>
      <x:c r="P226" s="174" t="n">
        <x:v>81</x:v>
      </x:c>
      <x:c r="Q226" s="174" t="n">
        <x:v>20</x:v>
      </x:c>
      <x:c r="R226" s="7" t="str">
        <x:v>https://arxiv.org/abs/2606.21112</x:v>
      </x:c>
      <x:c r="S226" s="7"/>
      <x:c r="T226" s="7" t="str">
        <x:v>Illumination bodies in Riemannian settings.</x:v>
      </x:c>
    </x:row>
    <x:row r="227" ht="38" customHeight="1">
      <x:c r="A227" s="174" t="n">
        <x:v>226</x:v>
      </x:c>
      <x:c r="B227" s="7" t="str">
        <x:v>2026-06</x:v>
      </x:c>
      <x:c r="C227" s="7" t="str">
        <x:v>2606.21417</x:v>
      </x:c>
      <x:c r="D227" s="7" t="str">
        <x:v>Ricci Flow Preserves Positive Sectional Curvature on Homogeneous Spheres</x:v>
      </x:c>
      <x:c r="E227" s="7" t="str">
        <x:v>Jason DeVito; David Gonzalez-Alvaro; Masoumeh Zarei</x:v>
      </x:c>
      <x:c r="F227" s="7" t="str">
        <x:v>Ricci flow / homogeneous spaces</x:v>
      </x:c>
      <x:c r="G227" s="6" t="n">
        <x:v>44</x:v>
      </x:c>
      <x:c r="H227" s="28" t="n">
        <x:v>83.85</x:v>
      </x:c>
      <x:c r="I227" s="28" t="n">
        <x:v>84.4</x:v>
      </x:c>
      <x:c r="J227" s="28" t="n">
        <x:v>83.3</x:v>
      </x:c>
      <x:c r="K227" s="174" t="n">
        <x:v>86</x:v>
      </x:c>
      <x:c r="L227" s="174" t="n">
        <x:v>84</x:v>
      </x:c>
      <x:c r="M227" s="174" t="n">
        <x:v>85</x:v>
      </x:c>
      <x:c r="N227" s="174" t="n">
        <x:v>83</x:v>
      </x:c>
      <x:c r="O227" s="174" t="n">
        <x:v>85</x:v>
      </x:c>
      <x:c r="P227" s="174" t="n">
        <x:v>81</x:v>
      </x:c>
      <x:c r="Q227" s="174" t="n">
        <x:v>21</x:v>
      </x:c>
      <x:c r="R227" s="7" t="str">
        <x:v>https://arxiv.org/abs/2606.21417</x:v>
      </x:c>
      <x:c r="S227" s="7"/>
      <x:c r="T227" s="7" t="str">
        <x:v>Ricci flow preserves positive sectional curvature on homogeneous spheres.</x:v>
      </x:c>
    </x:row>
    <x:row r="228" ht="38" customHeight="1">
      <x:c r="A228" s="174" t="n">
        <x:v>227</x:v>
      </x:c>
      <x:c r="B228" s="7" t="str">
        <x:v>2026-06</x:v>
      </x:c>
      <x:c r="C228" s="7" t="str">
        <x:v>2606.21455</x:v>
      </x:c>
      <x:c r="D228" s="7" t="str">
        <x:v>On toric self-dual Einstein gravitational instantons</x:v>
      </x:c>
      <x:c r="E228" s="7" t="str">
        <x:v>Bernardo Araneda; James Lucietti; Virinchi Rallabhandi</x:v>
      </x:c>
      <x:c r="F228" s="7" t="str">
        <x:v>Einstein metrics / instantons</x:v>
      </x:c>
      <x:c r="G228" s="6" t="n">
        <x:v>27</x:v>
      </x:c>
      <x:c r="H228" s="28" t="n">
        <x:v>83.85</x:v>
      </x:c>
      <x:c r="I228" s="28" t="n">
        <x:v>84.4</x:v>
      </x:c>
      <x:c r="J228" s="28" t="n">
        <x:v>83.3</x:v>
      </x:c>
      <x:c r="K228" s="174" t="n">
        <x:v>86</x:v>
      </x:c>
      <x:c r="L228" s="174" t="n">
        <x:v>84</x:v>
      </x:c>
      <x:c r="M228" s="174" t="n">
        <x:v>85</x:v>
      </x:c>
      <x:c r="N228" s="174" t="n">
        <x:v>83</x:v>
      </x:c>
      <x:c r="O228" s="174" t="n">
        <x:v>85</x:v>
      </x:c>
      <x:c r="P228" s="174" t="n">
        <x:v>81</x:v>
      </x:c>
      <x:c r="Q228" s="174" t="n">
        <x:v>21</x:v>
      </x:c>
      <x:c r="R228" s="7" t="str">
        <x:v>https://arxiv.org/abs/2606.21455</x:v>
      </x:c>
      <x:c r="S228" s="7"/>
      <x:c r="T228" s="7" t="str">
        <x:v>Toric self-dual Einstein gravitational instantons.</x:v>
      </x:c>
    </x:row>
    <x:row r="229" ht="38" customHeight="1">
      <x:c r="A229" s="174" t="n">
        <x:v>228</x:v>
      </x:c>
      <x:c r="B229" s="7" t="str">
        <x:v>2026-06</x:v>
      </x:c>
      <x:c r="C229" s="7" t="str">
        <x:v>2606.23184</x:v>
      </x:c>
      <x:c r="D229" s="7" t="str">
        <x:v>Hyperbolic solitons on trans-Sasakian space forms and its submanifolds</x:v>
      </x:c>
      <x:c r="E229" s="7" t="str">
        <x:v>Bidhan Mondal; Sibsankar Panda; Nirabhra Basu</x:v>
      </x:c>
      <x:c r="F229" s="7" t="str">
        <x:v>Sasakian geometry</x:v>
      </x:c>
      <x:c r="G229" s="6" t="str">
        <x:v>-</x:v>
      </x:c>
      <x:c r="H229" s="28" t="n">
        <x:v>83.78</x:v>
      </x:c>
      <x:c r="I229" s="28" t="n">
        <x:v>84.25</x:v>
      </x:c>
      <x:c r="J229" s="28" t="n">
        <x:v>83.3</x:v>
      </x:c>
      <x:c r="K229" s="174" t="n">
        <x:v>86</x:v>
      </x:c>
      <x:c r="L229" s="174" t="n">
        <x:v>84</x:v>
      </x:c>
      <x:c r="M229" s="174" t="n">
        <x:v>85</x:v>
      </x:c>
      <x:c r="N229" s="174" t="n">
        <x:v>82</x:v>
      </x:c>
      <x:c r="O229" s="174" t="n">
        <x:v>85</x:v>
      </x:c>
      <x:c r="P229" s="174" t="n">
        <x:v>81</x:v>
      </x:c>
      <x:c r="Q229" s="174" t="n">
        <x:v>21</x:v>
      </x:c>
      <x:c r="R229" s="7" t="str">
        <x:v>https://arxiv.org/abs/2606.23184</x:v>
      </x:c>
      <x:c r="S229" s="7"/>
      <x:c r="T229" s="7" t="str">
        <x:v>Hyperbolic solitons in trans-Sasakian settings.</x:v>
      </x:c>
    </x:row>
    <x:row r="230" ht="38" customHeight="1">
      <x:c r="A230" s="174" t="n">
        <x:v>229</x:v>
      </x:c>
      <x:c r="B230" s="7" t="str">
        <x:v>2026-06</x:v>
      </x:c>
      <x:c r="C230" s="7" t="str">
        <x:v>2606.23248</x:v>
      </x:c>
      <x:c r="D230" s="7" t="str">
        <x:v>A mass-type invariant for smooth metric measure spaces and its relation with the fractional Yamabe problem</x:v>
      </x:c>
      <x:c r="E230" s="7" t="str">
        <x:v>Sergio Almaraz; Levi Lopes de Lima; Shaodong Wang</x:v>
      </x:c>
      <x:c r="F230" s="7" t="str">
        <x:v>metric measure / fractional Yamabe</x:v>
      </x:c>
      <x:c r="G230" s="6" t="str">
        <x:v>-</x:v>
      </x:c>
      <x:c r="H230" s="28" t="n">
        <x:v>83.62</x:v>
      </x:c>
      <x:c r="I230" s="28" t="n">
        <x:v>83.95</x:v>
      </x:c>
      <x:c r="J230" s="28" t="n">
        <x:v>83.3</x:v>
      </x:c>
      <x:c r="K230" s="174" t="n">
        <x:v>85</x:v>
      </x:c>
      <x:c r="L230" s="174" t="n">
        <x:v>84</x:v>
      </x:c>
      <x:c r="M230" s="174" t="n">
        <x:v>85</x:v>
      </x:c>
      <x:c r="N230" s="174" t="n">
        <x:v>82</x:v>
      </x:c>
      <x:c r="O230" s="174" t="n">
        <x:v>85</x:v>
      </x:c>
      <x:c r="P230" s="174" t="n">
        <x:v>81</x:v>
      </x:c>
      <x:c r="Q230" s="174" t="n">
        <x:v>21</x:v>
      </x:c>
      <x:c r="R230" s="7" t="str">
        <x:v>https://arxiv.org/abs/2606.23248</x:v>
      </x:c>
      <x:c r="S230" s="7"/>
      <x:c r="T230" s="7" t="str">
        <x:v>Mass-type invariant linked to the fractional Yamabe problem.</x:v>
      </x:c>
    </x:row>
    <x:row r="231" ht="38" customHeight="1">
      <x:c r="A231" s="174" t="n">
        <x:v>230</x:v>
      </x:c>
      <x:c r="B231" s="7" t="str">
        <x:v>2026-06</x:v>
      </x:c>
      <x:c r="C231" s="7" t="str">
        <x:v>2606.24043</x:v>
      </x:c>
      <x:c r="D231" s="7" t="str">
        <x:v>First variation of the fractional k-dimensional measure: extending the concept of nonlocal curvature to submanifolds</x:v>
      </x:c>
      <x:c r="E231" s="7" t="str">
        <x:v>Cornelia Mihaila; Brian Seguin</x:v>
      </x:c>
      <x:c r="F231" s="7" t="str">
        <x:v>nonlocal curvature / first variation</x:v>
      </x:c>
      <x:c r="G231" s="6" t="n">
        <x:v>42</x:v>
      </x:c>
      <x:c r="H231" s="28" t="n">
        <x:v>83.4</x:v>
      </x:c>
      <x:c r="I231" s="28" t="n">
        <x:v>83.7</x:v>
      </x:c>
      <x:c r="J231" s="28" t="n">
        <x:v>83.1</x:v>
      </x:c>
      <x:c r="K231" s="174" t="n">
        <x:v>85</x:v>
      </x:c>
      <x:c r="L231" s="174" t="n">
        <x:v>84</x:v>
      </x:c>
      <x:c r="M231" s="174" t="n">
        <x:v>84</x:v>
      </x:c>
      <x:c r="N231" s="174" t="n">
        <x:v>82</x:v>
      </x:c>
      <x:c r="O231" s="174" t="n">
        <x:v>85</x:v>
      </x:c>
      <x:c r="P231" s="174" t="n">
        <x:v>81</x:v>
      </x:c>
      <x:c r="Q231" s="174" t="n">
        <x:v>21</x:v>
      </x:c>
      <x:c r="R231" s="7" t="str">
        <x:v>https://arxiv.org/abs/2606.24043</x:v>
      </x:c>
      <x:c r="S231" s="7"/>
      <x:c r="T231" s="7" t="str">
        <x:v>First variation for fractional k-dimensional measure on submanifolds.</x:v>
      </x:c>
    </x:row>
    <x:row r="232" ht="38" customHeight="1">
      <x:c r="A232" s="174" t="n">
        <x:v>231</x:v>
      </x:c>
      <x:c r="B232" s="7" t="str">
        <x:v>2026-06</x:v>
      </x:c>
      <x:c r="C232" s="7" t="str">
        <x:v>2606.24261</x:v>
      </x:c>
      <x:c r="D232" s="7" t="str">
        <x:v>A combinatorial Approach to alpha-Ricci and Lin-Lu-Yau Ricci curvatures on Graphs</x:v>
      </x:c>
      <x:c r="E232" s="7" t="str">
        <x:v>Jaewoo Jung; Young Soo Kwon; Seungjae Lee; Jihye Park</x:v>
      </x:c>
      <x:c r="F232" s="7" t="str">
        <x:v>discrete Ricci curvature</x:v>
      </x:c>
      <x:c r="G232" s="6" t="n">
        <x:v>16</x:v>
      </x:c>
      <x:c r="H232" s="28" t="n">
        <x:v>83.25</x:v>
      </x:c>
      <x:c r="I232" s="28" t="n">
        <x:v>83.7</x:v>
      </x:c>
      <x:c r="J232" s="28" t="n">
        <x:v>82.8</x:v>
      </x:c>
      <x:c r="K232" s="174" t="n">
        <x:v>85</x:v>
      </x:c>
      <x:c r="L232" s="174" t="n">
        <x:v>84</x:v>
      </x:c>
      <x:c r="M232" s="174" t="n">
        <x:v>84</x:v>
      </x:c>
      <x:c r="N232" s="174" t="n">
        <x:v>82</x:v>
      </x:c>
      <x:c r="O232" s="174" t="n">
        <x:v>85</x:v>
      </x:c>
      <x:c r="P232" s="174" t="n">
        <x:v>81</x:v>
      </x:c>
      <x:c r="Q232" s="174" t="n">
        <x:v>23</x:v>
      </x:c>
      <x:c r="R232" s="7" t="str">
        <x:v>https://arxiv.org/abs/2606.24261</x:v>
      </x:c>
      <x:c r="S232" s="7"/>
      <x:c r="T232" s="7" t="str">
        <x:v>Combinatorial treatment of alpha-Ricci and LLY Ricci curvature on graphs.</x:v>
      </x:c>
    </x:row>
    <x:row r="233" ht="38" customHeight="1">
      <x:c r="A233" s="174" t="n">
        <x:v>232</x:v>
      </x:c>
      <x:c r="B233" s="7" t="str">
        <x:v>2026-06</x:v>
      </x:c>
      <x:c r="C233" s="7" t="str">
        <x:v>2606.29045</x:v>
      </x:c>
      <x:c r="D233" s="7" t="str">
        <x:v>Compactness for minimal surfaces with injectivity radius bounded from below</x:v>
      </x:c>
      <x:c r="E233" s="7" t="str">
        <x:v>Luan de Figueiredo; Rosivaldo Goncalves</x:v>
      </x:c>
      <x:c r="F233" s="7" t="str">
        <x:v>minimal surface compactness</x:v>
      </x:c>
      <x:c r="G233" s="6" t="str">
        <x:v>-</x:v>
      </x:c>
      <x:c r="H233" s="28" t="n">
        <x:v>83.15</x:v>
      </x:c>
      <x:c r="I233" s="28" t="n">
        <x:v>83.7</x:v>
      </x:c>
      <x:c r="J233" s="28" t="n">
        <x:v>82.6</x:v>
      </x:c>
      <x:c r="K233" s="174" t="n">
        <x:v>86</x:v>
      </x:c>
      <x:c r="L233" s="174" t="n">
        <x:v>83</x:v>
      </x:c>
      <x:c r="M233" s="174" t="n">
        <x:v>84</x:v>
      </x:c>
      <x:c r="N233" s="174" t="n">
        <x:v>82</x:v>
      </x:c>
      <x:c r="O233" s="174" t="n">
        <x:v>85</x:v>
      </x:c>
      <x:c r="P233" s="174" t="n">
        <x:v>80</x:v>
      </x:c>
      <x:c r="Q233" s="174" t="n">
        <x:v>22</x:v>
      </x:c>
      <x:c r="R233" s="7" t="str">
        <x:v>https://arxiv.org/abs/2606.29045</x:v>
      </x:c>
      <x:c r="S233" s="7"/>
      <x:c r="T233" s="7" t="str">
        <x:v>Compactness under lower injectivity-radius bounds.</x:v>
      </x:c>
    </x:row>
    <x:row r="234" ht="38" customHeight="1">
      <x:c r="A234" s="174" t="n">
        <x:v>233</x:v>
      </x:c>
      <x:c r="B234" s="7" t="str">
        <x:v>2026-06</x:v>
      </x:c>
      <x:c r="C234" s="7" t="str">
        <x:v>2606.29046</x:v>
      </x:c>
      <x:c r="D234" s="7" t="str">
        <x:v>Anisotropic Obstacle Problems for Minimal Surfaces: Regularity of the Free Boundary via the Cahn-Hoffman Transform</x:v>
      </x:c>
      <x:c r="E234" s="7" t="str">
        <x:v>Ezequiel Barbosa; Rosivaldo Antonio Goncalves; Luan de Figueiredo</x:v>
      </x:c>
      <x:c r="F234" s="7" t="str">
        <x:v>anisotropic minimal surfaces / free boundary</x:v>
      </x:c>
      <x:c r="G234" s="6" t="str">
        <x:v>-</x:v>
      </x:c>
      <x:c r="H234" s="28" t="n">
        <x:v>83.15</x:v>
      </x:c>
      <x:c r="I234" s="28" t="n">
        <x:v>83.7</x:v>
      </x:c>
      <x:c r="J234" s="28" t="n">
        <x:v>82.6</x:v>
      </x:c>
      <x:c r="K234" s="174" t="n">
        <x:v>86</x:v>
      </x:c>
      <x:c r="L234" s="174" t="n">
        <x:v>83</x:v>
      </x:c>
      <x:c r="M234" s="174" t="n">
        <x:v>84</x:v>
      </x:c>
      <x:c r="N234" s="174" t="n">
        <x:v>82</x:v>
      </x:c>
      <x:c r="O234" s="174" t="n">
        <x:v>85</x:v>
      </x:c>
      <x:c r="P234" s="174" t="n">
        <x:v>80</x:v>
      </x:c>
      <x:c r="Q234" s="174" t="n">
        <x:v>22</x:v>
      </x:c>
      <x:c r="R234" s="7" t="str">
        <x:v>https://arxiv.org/abs/2606.29046</x:v>
      </x:c>
      <x:c r="S234" s="7"/>
      <x:c r="T234" s="7" t="str">
        <x:v>Free-boundary regularity for anisotropic obstacle problems.</x:v>
      </x:c>
    </x:row>
    <x:row r="235" ht="38" customHeight="1">
      <x:c r="A235" s="174" t="n">
        <x:v>234</x:v>
      </x:c>
      <x:c r="B235" s="7" t="str">
        <x:v>2026-06</x:v>
      </x:c>
      <x:c r="C235" s="7" t="str">
        <x:v>2606.24425</x:v>
      </x:c>
      <x:c r="D235" s="7" t="str">
        <x:v>Compact locally conformal Kähler manifolds with constant Chern holomorphic sectional curvature</x:v>
      </x:c>
      <x:c r="E235" s="7" t="str">
        <x:v>Zhuzhu Huang; Xueyuan Wan</x:v>
      </x:c>
      <x:c r="F235" s="7" t="str">
        <x:v>locally conformal Kähler geometry</x:v>
      </x:c>
      <x:c r="G235" s="6" t="n">
        <x:v>15</x:v>
      </x:c>
      <x:c r="H235" s="28" t="n">
        <x:v>83.12</x:v>
      </x:c>
      <x:c r="I235" s="28" t="n">
        <x:v>83.6</x:v>
      </x:c>
      <x:c r="J235" s="28" t="n">
        <x:v>82.65</x:v>
      </x:c>
      <x:c r="K235" s="174" t="n">
        <x:v>85</x:v>
      </x:c>
      <x:c r="L235" s="174" t="n">
        <x:v>84</x:v>
      </x:c>
      <x:c r="M235" s="174" t="n">
        <x:v>84</x:v>
      </x:c>
      <x:c r="N235" s="174" t="n">
        <x:v>82</x:v>
      </x:c>
      <x:c r="O235" s="174" t="n">
        <x:v>84</x:v>
      </x:c>
      <x:c r="P235" s="174" t="n">
        <x:v>80</x:v>
      </x:c>
      <x:c r="Q235" s="174" t="n">
        <x:v>21</x:v>
      </x:c>
      <x:c r="R235" s="7" t="str">
        <x:v>https://arxiv.org/abs/2606.24425</x:v>
      </x:c>
      <x:c r="S235" s="7"/>
      <x:c r="T235" s="7" t="str">
        <x:v>Locally conformal Kähler manifolds with constant Chern holomorphic sectional curvature.</x:v>
      </x:c>
    </x:row>
    <x:row r="236" ht="38" customHeight="1">
      <x:c r="A236" s="174" t="n">
        <x:v>235</x:v>
      </x:c>
      <x:c r="B236" s="7" t="str">
        <x:v>2026-06</x:v>
      </x:c>
      <x:c r="C236" s="7" t="str">
        <x:v>2606.24481</x:v>
      </x:c>
      <x:c r="D236" s="7" t="str">
        <x:v>L-infinity-estimates of Kähler-Einstein potentials on stable varieties</x:v>
      </x:c>
      <x:c r="E236" s="7" t="str">
        <x:v>Rui Tang</x:v>
      </x:c>
      <x:c r="F236" s="7" t="str">
        <x:v>Kähler-Einstein potentials</x:v>
      </x:c>
      <x:c r="G236" s="6" t="str">
        <x:v>-</x:v>
      </x:c>
      <x:c r="H236" s="28" t="n">
        <x:v>82.85</x:v>
      </x:c>
      <x:c r="I236" s="28" t="n">
        <x:v>83.4</x:v>
      </x:c>
      <x:c r="J236" s="28" t="n">
        <x:v>82.3</x:v>
      </x:c>
      <x:c r="K236" s="174" t="n">
        <x:v>85</x:v>
      </x:c>
      <x:c r="L236" s="174" t="n">
        <x:v>83</x:v>
      </x:c>
      <x:c r="M236" s="174" t="n">
        <x:v>84</x:v>
      </x:c>
      <x:c r="N236" s="174" t="n">
        <x:v>82</x:v>
      </x:c>
      <x:c r="O236" s="174" t="n">
        <x:v>84</x:v>
      </x:c>
      <x:c r="P236" s="174" t="n">
        <x:v>80</x:v>
      </x:c>
      <x:c r="Q236" s="174" t="n">
        <x:v>22</x:v>
      </x:c>
      <x:c r="R236" s="7" t="str">
        <x:v>https://arxiv.org/abs/2606.24481</x:v>
      </x:c>
      <x:c r="S236" s="7"/>
      <x:c r="T236" s="7" t="str">
        <x:v>L-infinity estimates for KE potentials on stable varieties.</x:v>
      </x:c>
    </x:row>
    <x:row r="237">
      <x:c r="A237" s="175" t="n">
        <x:v>236</x:v>
      </x:c>
      <x:c r="B237" t="str">
        <x:v>2026-06</x:v>
      </x:c>
      <x:c r="C237" t="str">
        <x:v>2606.24503</x:v>
      </x:c>
      <x:c r="D237" t="str">
        <x:v>Asymptotics for Toeplitz operators with symbol an indicator function</x:v>
      </x:c>
      <x:c r="E237" t="str">
        <x:v>Razvan Apredoaei</x:v>
      </x:c>
      <x:c r="F237" t="str">
        <x:v>Toeplitz operators / geometric quantization</x:v>
      </x:c>
      <x:c r="G237" t="n">
        <x:v>32</x:v>
      </x:c>
      <x:c r="H237" s="29" t="n">
        <x:v>82.85</x:v>
      </x:c>
      <x:c r="I237" s="29" t="n">
        <x:v>83.4</x:v>
      </x:c>
      <x:c r="J237" s="29" t="n">
        <x:v>82.3</x:v>
      </x:c>
      <x:c r="K237" s="175" t="n">
        <x:v>85</x:v>
      </x:c>
      <x:c r="L237" s="175" t="n">
        <x:v>83</x:v>
      </x:c>
      <x:c r="M237" s="175" t="n">
        <x:v>84</x:v>
      </x:c>
      <x:c r="N237" s="175" t="n">
        <x:v>82</x:v>
      </x:c>
      <x:c r="O237" s="175" t="n">
        <x:v>84</x:v>
      </x:c>
      <x:c r="P237" s="175" t="n">
        <x:v>80</x:v>
      </x:c>
      <x:c r="Q237" s="175" t="n">
        <x:v>22</x:v>
      </x:c>
      <x:c r="R237" t="str">
        <x:v>https://arxiv.org/abs/2606.24503</x:v>
      </x:c>
      <x:c r="S237"/>
      <x:c r="T237" t="str">
        <x:v>Asymptotics of Toeplitz operators with discontinuous symbols.</x:v>
      </x:c>
    </x:row>
    <x:row r="238">
      <x:c r="A238" s="175" t="n">
        <x:v>237</x:v>
      </x:c>
      <x:c r="B238" t="str">
        <x:v>2026-06</x:v>
      </x:c>
      <x:c r="C238" t="str">
        <x:v>2606.25582</x:v>
      </x:c>
      <x:c r="D238" t="str">
        <x:v>Alexandrov spaces with non negative curvature and displacement convexity of the entropy tensor</x:v>
      </x:c>
      <x:c r="E238" t="str">
        <x:v>Jordan Serres</x:v>
      </x:c>
      <x:c r="F238" t="str">
        <x:v>Alexandrov spaces / optimal transport</x:v>
      </x:c>
      <x:c r="G238" t="str">
        <x:v>-</x:v>
      </x:c>
      <x:c r="H238" s="29" t="n">
        <x:v>82.85</x:v>
      </x:c>
      <x:c r="I238" s="29" t="n">
        <x:v>83.4</x:v>
      </x:c>
      <x:c r="J238" s="29" t="n">
        <x:v>82.3</x:v>
      </x:c>
      <x:c r="K238" s="175" t="n">
        <x:v>85</x:v>
      </x:c>
      <x:c r="L238" s="175" t="n">
        <x:v>83</x:v>
      </x:c>
      <x:c r="M238" s="175" t="n">
        <x:v>84</x:v>
      </x:c>
      <x:c r="N238" s="175" t="n">
        <x:v>82</x:v>
      </x:c>
      <x:c r="O238" s="175" t="n">
        <x:v>84</x:v>
      </x:c>
      <x:c r="P238" s="175" t="n">
        <x:v>80</x:v>
      </x:c>
      <x:c r="Q238" s="175" t="n">
        <x:v>22</x:v>
      </x:c>
      <x:c r="R238" t="str">
        <x:v>https://arxiv.org/abs/2606.25582</x:v>
      </x:c>
      <x:c r="S238"/>
      <x:c r="T238" t="str">
        <x:v>Entropy tensor displacement convexity in nonnegative Alexandrov spaces.</x:v>
      </x:c>
    </x:row>
    <x:row r="239">
      <x:c r="A239" s="175" t="n">
        <x:v>238</x:v>
      </x:c>
      <x:c r="B239" t="str">
        <x:v>2026-06</x:v>
      </x:c>
      <x:c r="C239" t="str">
        <x:v>2606.29058</x:v>
      </x:c>
      <x:c r="D239" t="str">
        <x:v>Anisotropic Parabolic Obstacle Problems and the Stefan Problem: Regularity of the Evolving Free Boundary</x:v>
      </x:c>
      <x:c r="E239" t="str">
        <x:v>Ezequiel Barbosa; Rosivaldo Goncalves; Luan de Figueiredo</x:v>
      </x:c>
      <x:c r="F239" t="str">
        <x:v>anisotropic parabolic obstacle / Stefan</x:v>
      </x:c>
      <x:c r="G239" t="str">
        <x:v>-</x:v>
      </x:c>
      <x:c r="H239" s="29" t="n">
        <x:v>82.85</x:v>
      </x:c>
      <x:c r="I239" s="29" t="n">
        <x:v>83.4</x:v>
      </x:c>
      <x:c r="J239" s="29" t="n">
        <x:v>82.3</x:v>
      </x:c>
      <x:c r="K239" s="175" t="n">
        <x:v>85</x:v>
      </x:c>
      <x:c r="L239" s="175" t="n">
        <x:v>83</x:v>
      </x:c>
      <x:c r="M239" s="175" t="n">
        <x:v>84</x:v>
      </x:c>
      <x:c r="N239" s="175" t="n">
        <x:v>82</x:v>
      </x:c>
      <x:c r="O239" s="175" t="n">
        <x:v>84</x:v>
      </x:c>
      <x:c r="P239" s="175" t="n">
        <x:v>80</x:v>
      </x:c>
      <x:c r="Q239" s="175" t="n">
        <x:v>22</x:v>
      </x:c>
      <x:c r="R239" t="str">
        <x:v>https://arxiv.org/abs/2606.29058</x:v>
      </x:c>
      <x:c r="S239"/>
      <x:c r="T239" t="str">
        <x:v>Regularity for evolving free boundary in anisotropic parabolic obstacle problems.</x:v>
      </x:c>
    </x:row>
    <x:row r="240">
      <x:c r="A240" s="175" t="n">
        <x:v>239</x:v>
      </x:c>
      <x:c r="B240" t="str">
        <x:v>2026-06</x:v>
      </x:c>
      <x:c r="C240" t="str">
        <x:v>2606.14360</x:v>
      </x:c>
      <x:c r="D240" t="str">
        <x:v>Gaussian-Weighted Curvature Gaps for Self-Shrinkers</x:v>
      </x:c>
      <x:c r="E240" t="str">
        <x:v>Fagui Li; Yuhang Zhao</x:v>
      </x:c>
      <x:c r="F240" t="str">
        <x:v>self-shrinkers / curvature gaps</x:v>
      </x:c>
      <x:c r="G240" t="n">
        <x:v>11</x:v>
      </x:c>
      <x:c r="H240" s="29" t="n">
        <x:v>79.4</x:v>
      </x:c>
      <x:c r="I240" s="29" t="n">
        <x:v>80.35</x:v>
      </x:c>
      <x:c r="J240" s="29" t="n">
        <x:v>78.45</x:v>
      </x:c>
      <x:c r="K240" s="175" t="n">
        <x:v>79</x:v>
      </x:c>
      <x:c r="L240" s="175" t="n">
        <x:v>81</x:v>
      </x:c>
      <x:c r="M240" s="175" t="n">
        <x:v>81</x:v>
      </x:c>
      <x:c r="N240" s="175" t="n">
        <x:v>84</x:v>
      </x:c>
      <x:c r="O240" s="175" t="n">
        <x:v>80</x:v>
      </x:c>
      <x:c r="P240" s="175" t="n">
        <x:v>76</x:v>
      </x:c>
      <x:c r="Q240" s="175" t="n">
        <x:v>29</x:v>
      </x:c>
      <x:c r="R240" t="str">
        <x:v>https://arxiv.org/abs/2606.14360</x:v>
      </x:c>
      <x:c r="S240"/>
      <x:c r="T240" t="str">
        <x:v>Gaussian-weighted curvature gap estimates for self-shrinkers.</x:v>
      </x:c>
    </x:row>
  </x:sheetData>
  <x:conditionalFormatting sqref="H2:H23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f70c8272435485b"/>
  </x:tableParts>
</x:worksheet>
</file>

<file path=xl/worksheets/sheet4.xml><?xml version="1.0" encoding="utf-8"?>
<x:worksheet xmlns:x="http://schemas.openxmlformats.org/spreadsheetml/2006/main">
  <x:sheetFormatPr defaultColWidth="9" defaultRowHeight="13.5"/>
  <x:cols>
    <x:col min="1" max="1" width="12" customWidth="1"/>
    <x:col min="2" max="2" width="10" customWidth="1"/>
    <x:col min="3" max="3" width="18" customWidth="1"/>
    <x:col min="4" max="4" width="24" customWidth="1"/>
    <x:col min="5" max="5" width="42" customWidth="1"/>
    <x:col min="6" max="6" width="34" customWidth="1"/>
    <x:col min="7" max="7" width="12" customWidth="1"/>
    <x:col min="8" max="8" width="30" customWidth="1"/>
    <x:col min="9" max="9" width="32" customWidth="1"/>
    <x:col min="10" max="20" width="8" customWidth="1"/>
    <x:col min="21" max="21" width="36" customWidth="1"/>
    <x:col min="22" max="22" width="28" customWidth="1"/>
    <x:col min="23" max="23" width="12" customWidth="1"/>
    <x:col min="24" max="24" width="36" customWidth="1"/>
    <x:col min="25" max="25" width="48" customWidth="1"/>
  </x:cols>
  <x:sheetData>
    <x:row r="1" ht="28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</x:row>
    <x:row r="2" ht="38" customHeight="1">
      <x:c r="A2" s="7" t="s">
        <x:v>25</x:v>
      </x:c>
      <x:c r="B2" s="7" t="s">
        <x:v>26</x:v>
      </x:c>
      <x:c r="C2" s="7" t="s">
        <x:v>27</x:v>
      </x:c>
      <x:c r="D2" s="7" t="s">
        <x:v>28</x:v>
      </x:c>
      <x:c r="E2" s="7" t="s">
        <x:v>29</x:v>
      </x:c>
      <x:c r="F2" s="7" t="s">
        <x:v>30</x:v>
      </x:c>
      <x:c r="G2" s="7">
        <x:v>119</x:v>
      </x:c>
      <x:c r="H2" s="7" t="s">
        <x:v>31</x:v>
      </x:c>
      <x:c r="I2" s="7" t="s">
        <x:v>32</x:v>
      </x:c>
      <x:c r="J2" s="6">
        <x:v>98</x:v>
      </x:c>
      <x:c r="K2" s="6">
        <x:v>95</x:v>
      </x:c>
      <x:c r="L2" s="6">
        <x:v>96</x:v>
      </x:c>
      <x:c r="M2" s="6">
        <x:v>94</x:v>
      </x:c>
      <x:c r="N2" s="6">
        <x:v>97</x:v>
      </x:c>
      <x:c r="O2" s="6">
        <x:v>92</x:v>
      </x:c>
      <x:c r="P2" s="6">
        <x:v>8</x:v>
      </x:c>
      <x:c r="Q2" s="6">
        <x:v>5</x:v>
      </x:c>
      <x:c r="R2" s="6" t="n">
        <x:f t="shared" ref="R2:R65" si="0">0.3*J2+0.2*K2+0.25*L2+0.15*M2+0.1*O2</x:f>
        <x:v>95.7</x:v>
      </x:c>
      <x:c r="S2" s="6" t="n">
        <x:f t="shared" ref="S2:S65" si="1">0.3*N2+0.2*L2+0.2*K2+0.15*O2+0.15*(100-P2)</x:f>
        <x:v>94.89999999999999</x:v>
      </x:c>
      <x:c r="T2" s="6" t="n">
        <x:f t="shared" ref="T2:T65" si="2">(R2+S2)/2</x:f>
        <x:v>95.3</x:v>
      </x:c>
      <x:c r="U2" s="7" t="s">
        <x:v>33</x:v>
      </x:c>
      <x:c r="V2" s="7" t="s">
        <x:v>34</x:v>
      </x:c>
      <x:c r="W2" s="7" t="s">
        <x:v>35</x:v>
      </x:c>
      <x:c r="X2" s="7" t="s">
        <x:v>36</x:v>
      </x:c>
      <x:c r="Y2" s="7" t="s">
        <x:v>37</x:v>
      </x:c>
    </x:row>
    <x:row r="3" ht="38" customHeight="1">
      <x:c r="A3" s="7" t="s">
        <x:v>38</x:v>
      </x:c>
      <x:c r="B3" s="7" t="s">
        <x:v>26</x:v>
      </x:c>
      <x:c r="C3" s="7" t="s">
        <x:v>39</x:v>
      </x:c>
      <x:c r="D3" s="7" t="s">
        <x:v>40</x:v>
      </x:c>
      <x:c r="E3" s="7" t="s">
        <x:v>41</x:v>
      </x:c>
      <x:c r="F3" s="7" t="s">
        <x:v>42</x:v>
      </x:c>
      <x:c r="G3" s="7">
        <x:v>58</x:v>
      </x:c>
      <x:c r="H3" s="7" t="s">
        <x:v>43</x:v>
      </x:c>
      <x:c r="I3" s="7" t="s">
        <x:v>32</x:v>
      </x:c>
      <x:c r="J3" s="6">
        <x:v>97</x:v>
      </x:c>
      <x:c r="K3" s="6">
        <x:v>95</x:v>
      </x:c>
      <x:c r="L3" s="6">
        <x:v>96</x:v>
      </x:c>
      <x:c r="M3" s="6">
        <x:v>93</x:v>
      </x:c>
      <x:c r="N3" s="6">
        <x:v>97</x:v>
      </x:c>
      <x:c r="O3" s="6">
        <x:v>92</x:v>
      </x:c>
      <x:c r="P3" s="6">
        <x:v>8</x:v>
      </x:c>
      <x:c r="Q3" s="6">
        <x:v>5</x:v>
      </x:c>
      <x:c r="R3" s="6">
        <x:f t="shared" si="0"/>
        <x:v>95.25</x:v>
      </x:c>
      <x:c r="S3" s="6">
        <x:f t="shared" si="1"/>
        <x:v>94.9</x:v>
      </x:c>
      <x:c r="T3" s="6">
        <x:f t="shared" si="2"/>
        <x:v>95.075</x:v>
      </x:c>
      <x:c r="U3" s="7" t="s">
        <x:v>33</x:v>
      </x:c>
      <x:c r="V3" s="7" t="s">
        <x:v>34</x:v>
      </x:c>
      <x:c r="W3" s="7" t="s">
        <x:v>35</x:v>
      </x:c>
      <x:c r="X3" s="7" t="s">
        <x:v>36</x:v>
      </x:c>
      <x:c r="Y3" s="7" t="s">
        <x:v>44</x:v>
      </x:c>
    </x:row>
    <x:row r="4" ht="38" customHeight="1">
      <x:c r="A4" s="7" t="s">
        <x:v>45</x:v>
      </x:c>
      <x:c r="B4" s="7" t="s">
        <x:v>26</x:v>
      </x:c>
      <x:c r="C4" s="7" t="s">
        <x:v>46</x:v>
      </x:c>
      <x:c r="D4" s="7" t="s">
        <x:v>47</x:v>
      </x:c>
      <x:c r="E4" s="7" t="s">
        <x:v>48</x:v>
      </x:c>
      <x:c r="F4" s="7" t="s">
        <x:v>49</x:v>
      </x:c>
      <x:c r="G4" s="7">
        <x:v>333</x:v>
      </x:c>
      <x:c r="H4" s="7" t="s">
        <x:v>50</x:v>
      </x:c>
      <x:c r="I4" s="7" t="s">
        <x:v>32</x:v>
      </x:c>
      <x:c r="J4" s="6">
        <x:v>97</x:v>
      </x:c>
      <x:c r="K4" s="6">
        <x:v>95</x:v>
      </x:c>
      <x:c r="L4" s="6">
        <x:v>95</x:v>
      </x:c>
      <x:c r="M4" s="6">
        <x:v>93</x:v>
      </x:c>
      <x:c r="N4" s="6">
        <x:v>97</x:v>
      </x:c>
      <x:c r="O4" s="6">
        <x:v>92</x:v>
      </x:c>
      <x:c r="P4" s="6">
        <x:v>8</x:v>
      </x:c>
      <x:c r="Q4" s="6">
        <x:v>5</x:v>
      </x:c>
      <x:c r="R4" s="6">
        <x:f t="shared" si="0"/>
        <x:v>95</x:v>
      </x:c>
      <x:c r="S4" s="6">
        <x:f t="shared" si="1"/>
        <x:v>94.7</x:v>
      </x:c>
      <x:c r="T4" s="6">
        <x:f t="shared" si="2"/>
        <x:v>94.85</x:v>
      </x:c>
      <x:c r="U4" s="7" t="s">
        <x:v>33</x:v>
      </x:c>
      <x:c r="V4" s="7" t="s">
        <x:v>34</x:v>
      </x:c>
      <x:c r="W4" s="7" t="s">
        <x:v>35</x:v>
      </x:c>
      <x:c r="X4" s="7" t="s">
        <x:v>36</x:v>
      </x:c>
      <x:c r="Y4" s="7" t="s">
        <x:v>51</x:v>
      </x:c>
    </x:row>
    <x:row r="5" ht="38" customHeight="1">
      <x:c r="A5" s="7" t="s">
        <x:v>52</x:v>
      </x:c>
      <x:c r="B5" s="7" t="s">
        <x:v>26</x:v>
      </x:c>
      <x:c r="C5" s="7" t="s">
        <x:v>27</x:v>
      </x:c>
      <x:c r="D5" s="7" t="s">
        <x:v>53</x:v>
      </x:c>
      <x:c r="E5" s="7" t="s">
        <x:v>54</x:v>
      </x:c>
      <x:c r="F5" s="7" t="s">
        <x:v>55</x:v>
      </x:c>
      <x:c r="G5" s="7">
        <x:v>77</x:v>
      </x:c>
      <x:c r="H5" s="7" t="s">
        <x:v>56</x:v>
      </x:c>
      <x:c r="I5" s="7" t="s">
        <x:v>32</x:v>
      </x:c>
      <x:c r="J5" s="6">
        <x:v>97</x:v>
      </x:c>
      <x:c r="K5" s="6">
        <x:v>94</x:v>
      </x:c>
      <x:c r="L5" s="6">
        <x:v>95</x:v>
      </x:c>
      <x:c r="M5" s="6">
        <x:v>93</x:v>
      </x:c>
      <x:c r="N5" s="6">
        <x:v>96</x:v>
      </x:c>
      <x:c r="O5" s="6">
        <x:v>91</x:v>
      </x:c>
      <x:c r="P5" s="6">
        <x:v>8</x:v>
      </x:c>
      <x:c r="Q5" s="6">
        <x:v>5</x:v>
      </x:c>
      <x:c r="R5" s="6">
        <x:f t="shared" si="0"/>
        <x:v>94.7</x:v>
      </x:c>
      <x:c r="S5" s="6">
        <x:f t="shared" si="1"/>
        <x:v>94.05</x:v>
      </x:c>
      <x:c r="T5" s="6">
        <x:f t="shared" si="2"/>
        <x:v>94.375</x:v>
      </x:c>
      <x:c r="U5" s="7" t="s">
        <x:v>33</x:v>
      </x:c>
      <x:c r="V5" s="7" t="s">
        <x:v>34</x:v>
      </x:c>
      <x:c r="W5" s="7" t="s">
        <x:v>35</x:v>
      </x:c>
      <x:c r="X5" s="7" t="s">
        <x:v>36</x:v>
      </x:c>
      <x:c r="Y5" s="7" t="s">
        <x:v>57</x:v>
      </x:c>
    </x:row>
    <x:row r="6" ht="38" customHeight="1">
      <x:c r="A6" s="7" t="s">
        <x:v>58</x:v>
      </x:c>
      <x:c r="B6" s="7" t="s">
        <x:v>26</x:v>
      </x:c>
      <x:c r="C6" s="7" t="s">
        <x:v>27</x:v>
      </x:c>
      <x:c r="D6" s="7" t="s">
        <x:v>59</x:v>
      </x:c>
      <x:c r="E6" s="7" t="s">
        <x:v>60</x:v>
      </x:c>
      <x:c r="F6" s="7" t="s">
        <x:v>61</x:v>
      </x:c>
      <x:c r="G6" s="7">
        <x:v>59</x:v>
      </x:c>
      <x:c r="H6" s="7" t="s">
        <x:v>62</x:v>
      </x:c>
      <x:c r="I6" s="7" t="s">
        <x:v>32</x:v>
      </x:c>
      <x:c r="J6" s="6">
        <x:v>96</x:v>
      </x:c>
      <x:c r="K6" s="6">
        <x:v>94</x:v>
      </x:c>
      <x:c r="L6" s="6">
        <x:v>95</x:v>
      </x:c>
      <x:c r="M6" s="6">
        <x:v>93</x:v>
      </x:c>
      <x:c r="N6" s="6">
        <x:v>95</x:v>
      </x:c>
      <x:c r="O6" s="6">
        <x:v>91</x:v>
      </x:c>
      <x:c r="P6" s="6">
        <x:v>8</x:v>
      </x:c>
      <x:c r="Q6" s="6">
        <x:v>5</x:v>
      </x:c>
      <x:c r="R6" s="6">
        <x:f t="shared" si="0"/>
        <x:v>94.4</x:v>
      </x:c>
      <x:c r="S6" s="6">
        <x:f t="shared" si="1"/>
        <x:v>93.75</x:v>
      </x:c>
      <x:c r="T6" s="6">
        <x:f t="shared" si="2"/>
        <x:v>94.075</x:v>
      </x:c>
      <x:c r="U6" s="7" t="s">
        <x:v>33</x:v>
      </x:c>
      <x:c r="V6" s="7" t="s">
        <x:v>34</x:v>
      </x:c>
      <x:c r="W6" s="7" t="s">
        <x:v>35</x:v>
      </x:c>
      <x:c r="X6" s="7" t="s">
        <x:v>36</x:v>
      </x:c>
      <x:c r="Y6" s="7" t="s">
        <x:v>63</x:v>
      </x:c>
    </x:row>
    <x:row r="7" ht="38" customHeight="1">
      <x:c r="A7" s="7" t="s">
        <x:v>64</x:v>
      </x:c>
      <x:c r="B7" s="7" t="s">
        <x:v>26</x:v>
      </x:c>
      <x:c r="C7" s="7" t="s">
        <x:v>27</x:v>
      </x:c>
      <x:c r="D7" s="7" t="s">
        <x:v>65</x:v>
      </x:c>
      <x:c r="E7" s="7" t="s">
        <x:v>66</x:v>
      </x:c>
      <x:c r="F7" s="7" t="s">
        <x:v>67</x:v>
      </x:c>
      <x:c r="G7" s="7">
        <x:v>44</x:v>
      </x:c>
      <x:c r="H7" s="7" t="s">
        <x:v>68</x:v>
      </x:c>
      <x:c r="I7" s="7" t="s">
        <x:v>32</x:v>
      </x:c>
      <x:c r="J7" s="6">
        <x:v>96</x:v>
      </x:c>
      <x:c r="K7" s="6">
        <x:v>94</x:v>
      </x:c>
      <x:c r="L7" s="6">
        <x:v>95</x:v>
      </x:c>
      <x:c r="M7" s="6">
        <x:v>93</x:v>
      </x:c>
      <x:c r="N7" s="6">
        <x:v>95</x:v>
      </x:c>
      <x:c r="O7" s="6">
        <x:v>91</x:v>
      </x:c>
      <x:c r="P7" s="6">
        <x:v>8</x:v>
      </x:c>
      <x:c r="Q7" s="6">
        <x:v>5</x:v>
      </x:c>
      <x:c r="R7" s="6">
        <x:f t="shared" si="0"/>
        <x:v>94.4</x:v>
      </x:c>
      <x:c r="S7" s="6">
        <x:f t="shared" si="1"/>
        <x:v>93.75</x:v>
      </x:c>
      <x:c r="T7" s="6">
        <x:f t="shared" si="2"/>
        <x:v>94.075</x:v>
      </x:c>
      <x:c r="U7" s="7" t="s">
        <x:v>33</x:v>
      </x:c>
      <x:c r="V7" s="7" t="s">
        <x:v>34</x:v>
      </x:c>
      <x:c r="W7" s="7" t="s">
        <x:v>35</x:v>
      </x:c>
      <x:c r="X7" s="7" t="s">
        <x:v>36</x:v>
      </x:c>
      <x:c r="Y7" s="7" t="s">
        <x:v>69</x:v>
      </x:c>
    </x:row>
    <x:row r="8" ht="38" customHeight="1">
      <x:c r="A8" s="7" t="s">
        <x:v>70</x:v>
      </x:c>
      <x:c r="B8" s="7" t="s">
        <x:v>26</x:v>
      </x:c>
      <x:c r="C8" s="7" t="s">
        <x:v>71</x:v>
      </x:c>
      <x:c r="D8" s="7" t="s">
        <x:v>72</x:v>
      </x:c>
      <x:c r="E8" s="7" t="s">
        <x:v>73</x:v>
      </x:c>
      <x:c r="F8" s="7" t="s">
        <x:v>74</x:v>
      </x:c>
      <x:c r="G8" s="7" t="s">
        <x:v>75</x:v>
      </x:c>
      <x:c r="H8" s="7" t="s">
        <x:v>76</x:v>
      </x:c>
      <x:c r="I8" s="7" t="s">
        <x:v>32</x:v>
      </x:c>
      <x:c r="J8" s="6">
        <x:v>96</x:v>
      </x:c>
      <x:c r="K8" s="6">
        <x:v>94</x:v>
      </x:c>
      <x:c r="L8" s="6">
        <x:v>95</x:v>
      </x:c>
      <x:c r="M8" s="6">
        <x:v>92</x:v>
      </x:c>
      <x:c r="N8" s="6">
        <x:v>95</x:v>
      </x:c>
      <x:c r="O8" s="6">
        <x:v>91</x:v>
      </x:c>
      <x:c r="P8" s="6">
        <x:v>8</x:v>
      </x:c>
      <x:c r="Q8" s="6">
        <x:v>5</x:v>
      </x:c>
      <x:c r="R8" s="6">
        <x:f t="shared" si="0"/>
        <x:v>94.25</x:v>
      </x:c>
      <x:c r="S8" s="6">
        <x:f t="shared" si="1"/>
        <x:v>93.75</x:v>
      </x:c>
      <x:c r="T8" s="6">
        <x:f t="shared" si="2"/>
        <x:v>94</x:v>
      </x:c>
      <x:c r="U8" s="7" t="s">
        <x:v>33</x:v>
      </x:c>
      <x:c r="V8" s="7" t="s">
        <x:v>34</x:v>
      </x:c>
      <x:c r="W8" s="7" t="s">
        <x:v>35</x:v>
      </x:c>
      <x:c r="X8" s="7" t="s">
        <x:v>36</x:v>
      </x:c>
      <x:c r="Y8" s="7" t="s">
        <x:v>77</x:v>
      </x:c>
    </x:row>
    <x:row r="9" ht="38" customHeight="1">
      <x:c r="A9" s="7" t="s">
        <x:v>78</x:v>
      </x:c>
      <x:c r="B9" s="7" t="s">
        <x:v>26</x:v>
      </x:c>
      <x:c r="C9" s="7" t="s">
        <x:v>79</x:v>
      </x:c>
      <x:c r="D9" s="7" t="s">
        <x:v>80</x:v>
      </x:c>
      <x:c r="E9" s="7" t="s">
        <x:v>81</x:v>
      </x:c>
      <x:c r="F9" s="7" t="s">
        <x:v>82</x:v>
      </x:c>
      <x:c r="G9" s="7">
        <x:v>56</x:v>
      </x:c>
      <x:c r="H9" s="7" t="s">
        <x:v>83</x:v>
      </x:c>
      <x:c r="I9" s="7" t="s">
        <x:v>32</x:v>
      </x:c>
      <x:c r="J9" s="6">
        <x:v>95</x:v>
      </x:c>
      <x:c r="K9" s="6">
        <x:v>94</x:v>
      </x:c>
      <x:c r="L9" s="6">
        <x:v>94</x:v>
      </x:c>
      <x:c r="M9" s="6">
        <x:v>92</x:v>
      </x:c>
      <x:c r="N9" s="6">
        <x:v>95</x:v>
      </x:c>
      <x:c r="O9" s="6">
        <x:v>91</x:v>
      </x:c>
      <x:c r="P9" s="6">
        <x:v>9</x:v>
      </x:c>
      <x:c r="Q9" s="6">
        <x:v>5</x:v>
      </x:c>
      <x:c r="R9" s="6">
        <x:f t="shared" si="0"/>
        <x:v>93.7</x:v>
      </x:c>
      <x:c r="S9" s="6">
        <x:f t="shared" si="1"/>
        <x:v>93.4</x:v>
      </x:c>
      <x:c r="T9" s="6">
        <x:f t="shared" si="2"/>
        <x:v>93.55</x:v>
      </x:c>
      <x:c r="U9" s="7" t="s">
        <x:v>33</x:v>
      </x:c>
      <x:c r="V9" s="7" t="s">
        <x:v>34</x:v>
      </x:c>
      <x:c r="W9" s="7" t="s">
        <x:v>35</x:v>
      </x:c>
      <x:c r="X9" s="7" t="s">
        <x:v>36</x:v>
      </x:c>
      <x:c r="Y9" s="7" t="s">
        <x:v>84</x:v>
      </x:c>
    </x:row>
    <x:row r="10" ht="38" customHeight="1">
      <x:c r="A10" s="7" t="s">
        <x:v>85</x:v>
      </x:c>
      <x:c r="B10" s="7" t="s">
        <x:v>26</x:v>
      </x:c>
      <x:c r="C10" s="7" t="s">
        <x:v>86</x:v>
      </x:c>
      <x:c r="D10" s="7" t="s">
        <x:v>87</x:v>
      </x:c>
      <x:c r="E10" s="7" t="s">
        <x:v>88</x:v>
      </x:c>
      <x:c r="F10" s="7" t="s">
        <x:v>89</x:v>
      </x:c>
      <x:c r="G10" s="7" t="s">
        <x:v>75</x:v>
      </x:c>
      <x:c r="H10" s="7" t="s">
        <x:v>90</x:v>
      </x:c>
      <x:c r="I10" s="7" t="s">
        <x:v>32</x:v>
      </x:c>
      <x:c r="J10" s="6">
        <x:v>95</x:v>
      </x:c>
      <x:c r="K10" s="6">
        <x:v>94</x:v>
      </x:c>
      <x:c r="L10" s="6">
        <x:v>94</x:v>
      </x:c>
      <x:c r="M10" s="6">
        <x:v>92</x:v>
      </x:c>
      <x:c r="N10" s="6">
        <x:v>95</x:v>
      </x:c>
      <x:c r="O10" s="6">
        <x:v>91</x:v>
      </x:c>
      <x:c r="P10" s="6">
        <x:v>9</x:v>
      </x:c>
      <x:c r="Q10" s="6">
        <x:v>5</x:v>
      </x:c>
      <x:c r="R10" s="6">
        <x:f t="shared" si="0"/>
        <x:v>93.7</x:v>
      </x:c>
      <x:c r="S10" s="6">
        <x:f t="shared" si="1"/>
        <x:v>93.4</x:v>
      </x:c>
      <x:c r="T10" s="6">
        <x:f t="shared" si="2"/>
        <x:v>93.55</x:v>
      </x:c>
      <x:c r="U10" s="7" t="s">
        <x:v>33</x:v>
      </x:c>
      <x:c r="V10" s="7" t="s">
        <x:v>34</x:v>
      </x:c>
      <x:c r="W10" s="7" t="s">
        <x:v>35</x:v>
      </x:c>
      <x:c r="X10" s="7" t="s">
        <x:v>36</x:v>
      </x:c>
      <x:c r="Y10" s="7" t="s">
        <x:v>91</x:v>
      </x:c>
    </x:row>
    <x:row r="11" ht="38" customHeight="1">
      <x:c r="A11" s="7" t="s">
        <x:v>92</x:v>
      </x:c>
      <x:c r="B11" s="7" t="s">
        <x:v>26</x:v>
      </x:c>
      <x:c r="C11" s="7" t="s">
        <x:v>79</x:v>
      </x:c>
      <x:c r="D11" s="7" t="s">
        <x:v>93</x:v>
      </x:c>
      <x:c r="E11" s="7" t="s">
        <x:v>94</x:v>
      </x:c>
      <x:c r="F11" s="7" t="s">
        <x:v>95</x:v>
      </x:c>
      <x:c r="G11" s="7">
        <x:v>74</x:v>
      </x:c>
      <x:c r="H11" s="7" t="s">
        <x:v>96</x:v>
      </x:c>
      <x:c r="I11" s="7" t="s">
        <x:v>32</x:v>
      </x:c>
      <x:c r="J11" s="6">
        <x:v>96</x:v>
      </x:c>
      <x:c r="K11" s="6">
        <x:v>93</x:v>
      </x:c>
      <x:c r="L11" s="6">
        <x:v>94</x:v>
      </x:c>
      <x:c r="M11" s="6">
        <x:v>92</x:v>
      </x:c>
      <x:c r="N11" s="6">
        <x:v>95</x:v>
      </x:c>
      <x:c r="O11" s="6">
        <x:v>90</x:v>
      </x:c>
      <x:c r="P11" s="6">
        <x:v>9</x:v>
      </x:c>
      <x:c r="Q11" s="6">
        <x:v>5</x:v>
      </x:c>
      <x:c r="R11" s="6">
        <x:f t="shared" si="0"/>
        <x:v>93.7</x:v>
      </x:c>
      <x:c r="S11" s="6">
        <x:f t="shared" si="1"/>
        <x:v>93.05</x:v>
      </x:c>
      <x:c r="T11" s="6">
        <x:f t="shared" si="2"/>
        <x:v>93.375</x:v>
      </x:c>
      <x:c r="U11" s="7" t="s">
        <x:v>33</x:v>
      </x:c>
      <x:c r="V11" s="7" t="s">
        <x:v>34</x:v>
      </x:c>
      <x:c r="W11" s="7" t="s">
        <x:v>35</x:v>
      </x:c>
      <x:c r="X11" s="7" t="s">
        <x:v>36</x:v>
      </x:c>
      <x:c r="Y11" s="7" t="s">
        <x:v>97</x:v>
      </x:c>
    </x:row>
    <x:row r="12" ht="38" customHeight="1">
      <x:c r="A12" s="7" t="s">
        <x:v>98</x:v>
      </x:c>
      <x:c r="B12" s="7" t="s">
        <x:v>26</x:v>
      </x:c>
      <x:c r="C12" s="7" t="s">
        <x:v>99</x:v>
      </x:c>
      <x:c r="D12" s="7" t="s">
        <x:v>100</x:v>
      </x:c>
      <x:c r="E12" s="7" t="s">
        <x:v>101</x:v>
      </x:c>
      <x:c r="F12" s="7" t="s">
        <x:v>102</x:v>
      </x:c>
      <x:c r="G12" s="7">
        <x:v>27</x:v>
      </x:c>
      <x:c r="H12" s="7" t="s">
        <x:v>103</x:v>
      </x:c>
      <x:c r="I12" s="7" t="s">
        <x:v>32</x:v>
      </x:c>
      <x:c r="J12" s="6">
        <x:v>95</x:v>
      </x:c>
      <x:c r="K12" s="6">
        <x:v>93</x:v>
      </x:c>
      <x:c r="L12" s="6">
        <x:v>94</x:v>
      </x:c>
      <x:c r="M12" s="6">
        <x:v>91</x:v>
      </x:c>
      <x:c r="N12" s="6">
        <x:v>95</x:v>
      </x:c>
      <x:c r="O12" s="6">
        <x:v>90</x:v>
      </x:c>
      <x:c r="P12" s="6">
        <x:v>9</x:v>
      </x:c>
      <x:c r="Q12" s="6">
        <x:v>5</x:v>
      </x:c>
      <x:c r="R12" s="6">
        <x:f t="shared" si="0"/>
        <x:v>93.25</x:v>
      </x:c>
      <x:c r="S12" s="6">
        <x:f t="shared" si="1"/>
        <x:v>93.05</x:v>
      </x:c>
      <x:c r="T12" s="6">
        <x:f t="shared" si="2"/>
        <x:v>93.15</x:v>
      </x:c>
      <x:c r="U12" s="7" t="s">
        <x:v>33</x:v>
      </x:c>
      <x:c r="V12" s="7" t="s">
        <x:v>34</x:v>
      </x:c>
      <x:c r="W12" s="7" t="s">
        <x:v>35</x:v>
      </x:c>
      <x:c r="X12" s="7" t="s">
        <x:v>36</x:v>
      </x:c>
      <x:c r="Y12" s="7" t="s">
        <x:v>104</x:v>
      </x:c>
    </x:row>
    <x:row r="13" ht="38" customHeight="1">
      <x:c r="A13" s="7" t="s">
        <x:v>105</x:v>
      </x:c>
      <x:c r="B13" s="7" t="s">
        <x:v>26</x:v>
      </x:c>
      <x:c r="C13" s="7" t="s">
        <x:v>106</x:v>
      </x:c>
      <x:c r="D13" s="7" t="s">
        <x:v>107</x:v>
      </x:c>
      <x:c r="E13" s="7" t="s">
        <x:v>108</x:v>
      </x:c>
      <x:c r="F13" s="7" t="s">
        <x:v>109</x:v>
      </x:c>
      <x:c r="G13" s="7" t="s">
        <x:v>75</x:v>
      </x:c>
      <x:c r="H13" s="7" t="s">
        <x:v>110</x:v>
      </x:c>
      <x:c r="I13" s="7" t="s">
        <x:v>32</x:v>
      </x:c>
      <x:c r="J13" s="6">
        <x:v>95</x:v>
      </x:c>
      <x:c r="K13" s="6">
        <x:v>93</x:v>
      </x:c>
      <x:c r="L13" s="6">
        <x:v>94</x:v>
      </x:c>
      <x:c r="M13" s="6">
        <x:v>92</x:v>
      </x:c>
      <x:c r="N13" s="6">
        <x:v>94</x:v>
      </x:c>
      <x:c r="O13" s="6">
        <x:v>90</x:v>
      </x:c>
      <x:c r="P13" s="6">
        <x:v>9</x:v>
      </x:c>
      <x:c r="Q13" s="6">
        <x:v>5</x:v>
      </x:c>
      <x:c r="R13" s="6">
        <x:f t="shared" si="0"/>
        <x:v>93.4</x:v>
      </x:c>
      <x:c r="S13" s="6">
        <x:f t="shared" si="1"/>
        <x:v>92.75</x:v>
      </x:c>
      <x:c r="T13" s="6">
        <x:f t="shared" si="2"/>
        <x:v>93.075</x:v>
      </x:c>
      <x:c r="U13" s="7" t="s">
        <x:v>33</x:v>
      </x:c>
      <x:c r="V13" s="7" t="s">
        <x:v>34</x:v>
      </x:c>
      <x:c r="W13" s="7" t="s">
        <x:v>35</x:v>
      </x:c>
      <x:c r="X13" s="7" t="s">
        <x:v>36</x:v>
      </x:c>
      <x:c r="Y13" s="7" t="s">
        <x:v>111</x:v>
      </x:c>
    </x:row>
    <x:row r="14" ht="38" customHeight="1">
      <x:c r="A14" s="7" t="s">
        <x:v>112</x:v>
      </x:c>
      <x:c r="B14" s="7" t="s">
        <x:v>26</x:v>
      </x:c>
      <x:c r="C14" s="7" t="s">
        <x:v>106</x:v>
      </x:c>
      <x:c r="D14" s="7" t="s">
        <x:v>107</x:v>
      </x:c>
      <x:c r="E14" s="7" t="s">
        <x:v>113</x:v>
      </x:c>
      <x:c r="F14" s="7" t="s">
        <x:v>109</x:v>
      </x:c>
      <x:c r="G14" s="7" t="s">
        <x:v>75</x:v>
      </x:c>
      <x:c r="H14" s="7" t="s">
        <x:v>114</x:v>
      </x:c>
      <x:c r="I14" s="7" t="s">
        <x:v>32</x:v>
      </x:c>
      <x:c r="J14" s="6">
        <x:v>95</x:v>
      </x:c>
      <x:c r="K14" s="6">
        <x:v>93</x:v>
      </x:c>
      <x:c r="L14" s="6">
        <x:v>94</x:v>
      </x:c>
      <x:c r="M14" s="6">
        <x:v>92</x:v>
      </x:c>
      <x:c r="N14" s="6">
        <x:v>94</x:v>
      </x:c>
      <x:c r="O14" s="6">
        <x:v>90</x:v>
      </x:c>
      <x:c r="P14" s="6">
        <x:v>9</x:v>
      </x:c>
      <x:c r="Q14" s="6">
        <x:v>5</x:v>
      </x:c>
      <x:c r="R14" s="6">
        <x:f t="shared" si="0"/>
        <x:v>93.4</x:v>
      </x:c>
      <x:c r="S14" s="6">
        <x:f t="shared" si="1"/>
        <x:v>92.75</x:v>
      </x:c>
      <x:c r="T14" s="6">
        <x:f t="shared" si="2"/>
        <x:v>93.075</x:v>
      </x:c>
      <x:c r="U14" s="7" t="s">
        <x:v>33</x:v>
      </x:c>
      <x:c r="V14" s="7" t="s">
        <x:v>34</x:v>
      </x:c>
      <x:c r="W14" s="7" t="s">
        <x:v>35</x:v>
      </x:c>
      <x:c r="X14" s="7" t="s">
        <x:v>36</x:v>
      </x:c>
      <x:c r="Y14" s="7" t="s">
        <x:v>115</x:v>
      </x:c>
    </x:row>
    <x:row r="15" ht="38" customHeight="1">
      <x:c r="A15" s="7" t="s">
        <x:v>116</x:v>
      </x:c>
      <x:c r="B15" s="7" t="s">
        <x:v>26</x:v>
      </x:c>
      <x:c r="C15" s="7" t="s">
        <x:v>79</x:v>
      </x:c>
      <x:c r="D15" s="7" t="s">
        <x:v>117</x:v>
      </x:c>
      <x:c r="E15" s="7" t="s">
        <x:v>118</x:v>
      </x:c>
      <x:c r="F15" s="7" t="s">
        <x:v>119</x:v>
      </x:c>
      <x:c r="G15" s="7" t="s">
        <x:v>75</x:v>
      </x:c>
      <x:c r="H15" s="7" t="s">
        <x:v>120</x:v>
      </x:c>
      <x:c r="I15" s="7" t="s">
        <x:v>32</x:v>
      </x:c>
      <x:c r="J15" s="6">
        <x:v>94</x:v>
      </x:c>
      <x:c r="K15" s="6">
        <x:v>93</x:v>
      </x:c>
      <x:c r="L15" s="6">
        <x:v>93</x:v>
      </x:c>
      <x:c r="M15" s="6">
        <x:v>91</x:v>
      </x:c>
      <x:c r="N15" s="6">
        <x:v>94</x:v>
      </x:c>
      <x:c r="O15" s="6">
        <x:v>90</x:v>
      </x:c>
      <x:c r="P15" s="6">
        <x:v>9</x:v>
      </x:c>
      <x:c r="Q15" s="6">
        <x:v>5</x:v>
      </x:c>
      <x:c r="R15" s="6">
        <x:f t="shared" si="0"/>
        <x:v>92.7</x:v>
      </x:c>
      <x:c r="S15" s="6">
        <x:f t="shared" si="1"/>
        <x:v>92.55</x:v>
      </x:c>
      <x:c r="T15" s="6">
        <x:f t="shared" si="2"/>
        <x:v>92.625</x:v>
      </x:c>
      <x:c r="U15" s="7" t="s">
        <x:v>33</x:v>
      </x:c>
      <x:c r="V15" s="7" t="s">
        <x:v>34</x:v>
      </x:c>
      <x:c r="W15" s="7" t="s">
        <x:v>35</x:v>
      </x:c>
      <x:c r="X15" s="7" t="s">
        <x:v>36</x:v>
      </x:c>
      <x:c r="Y15" s="7" t="s">
        <x:v>121</x:v>
      </x:c>
    </x:row>
    <x:row r="16" ht="38" customHeight="1">
      <x:c r="A16" s="7" t="s">
        <x:v>122</x:v>
      </x:c>
      <x:c r="B16" s="7" t="s">
        <x:v>26</x:v>
      </x:c>
      <x:c r="C16" s="7" t="s">
        <x:v>123</x:v>
      </x:c>
      <x:c r="D16" s="7" t="s">
        <x:v>124</x:v>
      </x:c>
      <x:c r="E16" s="7" t="s">
        <x:v>125</x:v>
      </x:c>
      <x:c r="F16" s="7" t="s">
        <x:v>126</x:v>
      </x:c>
      <x:c r="G16" s="7">
        <x:v>64</x:v>
      </x:c>
      <x:c r="H16" s="7" t="s">
        <x:v>127</x:v>
      </x:c>
      <x:c r="I16" s="7" t="s">
        <x:v>32</x:v>
      </x:c>
      <x:c r="J16" s="6">
        <x:v>94</x:v>
      </x:c>
      <x:c r="K16" s="6">
        <x:v>93</x:v>
      </x:c>
      <x:c r="L16" s="6">
        <x:v>93</x:v>
      </x:c>
      <x:c r="M16" s="6">
        <x:v>91</x:v>
      </x:c>
      <x:c r="N16" s="6">
        <x:v>94</x:v>
      </x:c>
      <x:c r="O16" s="6">
        <x:v>90</x:v>
      </x:c>
      <x:c r="P16" s="6">
        <x:v>9</x:v>
      </x:c>
      <x:c r="Q16" s="6">
        <x:v>5</x:v>
      </x:c>
      <x:c r="R16" s="6">
        <x:f t="shared" si="0"/>
        <x:v>92.7</x:v>
      </x:c>
      <x:c r="S16" s="6">
        <x:f t="shared" si="1"/>
        <x:v>92.55</x:v>
      </x:c>
      <x:c r="T16" s="6">
        <x:f t="shared" si="2"/>
        <x:v>92.625</x:v>
      </x:c>
      <x:c r="U16" s="7" t="s">
        <x:v>33</x:v>
      </x:c>
      <x:c r="V16" s="7" t="s">
        <x:v>34</x:v>
      </x:c>
      <x:c r="W16" s="7" t="s">
        <x:v>35</x:v>
      </x:c>
      <x:c r="X16" s="7" t="s">
        <x:v>36</x:v>
      </x:c>
      <x:c r="Y16" s="7" t="s">
        <x:v>128</x:v>
      </x:c>
    </x:row>
    <x:row r="17" ht="38" customHeight="1">
      <x:c r="A17" s="7" t="s">
        <x:v>129</x:v>
      </x:c>
      <x:c r="B17" s="7" t="s">
        <x:v>26</x:v>
      </x:c>
      <x:c r="C17" s="7" t="s">
        <x:v>39</x:v>
      </x:c>
      <x:c r="D17" s="7" t="s">
        <x:v>130</x:v>
      </x:c>
      <x:c r="E17" s="7" t="s">
        <x:v>131</x:v>
      </x:c>
      <x:c r="F17" s="7" t="s">
        <x:v>132</x:v>
      </x:c>
      <x:c r="G17" s="7">
        <x:v>22</x:v>
      </x:c>
      <x:c r="H17" s="7" t="s">
        <x:v>133</x:v>
      </x:c>
      <x:c r="I17" s="7" t="s">
        <x:v>32</x:v>
      </x:c>
      <x:c r="J17" s="6">
        <x:v>95</x:v>
      </x:c>
      <x:c r="K17" s="6">
        <x:v>92</x:v>
      </x:c>
      <x:c r="L17" s="6">
        <x:v>93</x:v>
      </x:c>
      <x:c r="M17" s="6">
        <x:v>91</x:v>
      </x:c>
      <x:c r="N17" s="6">
        <x:v>94</x:v>
      </x:c>
      <x:c r="O17" s="6">
        <x:v>89</x:v>
      </x:c>
      <x:c r="P17" s="6">
        <x:v>10</x:v>
      </x:c>
      <x:c r="Q17" s="6">
        <x:v>5</x:v>
      </x:c>
      <x:c r="R17" s="6">
        <x:f t="shared" si="0"/>
        <x:v>92.7</x:v>
      </x:c>
      <x:c r="S17" s="6">
        <x:f t="shared" si="1"/>
        <x:v>92.05</x:v>
      </x:c>
      <x:c r="T17" s="6">
        <x:f t="shared" si="2"/>
        <x:v>92.375</x:v>
      </x:c>
      <x:c r="U17" s="7" t="s">
        <x:v>33</x:v>
      </x:c>
      <x:c r="V17" s="7" t="s">
        <x:v>34</x:v>
      </x:c>
      <x:c r="W17" s="7" t="s">
        <x:v>35</x:v>
      </x:c>
      <x:c r="X17" s="7" t="s">
        <x:v>36</x:v>
      </x:c>
      <x:c r="Y17" s="7" t="s">
        <x:v>134</x:v>
      </x:c>
    </x:row>
    <x:row r="18" ht="38" customHeight="1">
      <x:c r="A18" s="7" t="s">
        <x:v>135</x:v>
      </x:c>
      <x:c r="B18" s="7" t="s">
        <x:v>26</x:v>
      </x:c>
      <x:c r="C18" s="7" t="s">
        <x:v>79</x:v>
      </x:c>
      <x:c r="D18" s="7" t="s">
        <x:v>136</x:v>
      </x:c>
      <x:c r="E18" s="7" t="s">
        <x:v>137</x:v>
      </x:c>
      <x:c r="F18" s="7" t="s">
        <x:v>138</x:v>
      </x:c>
      <x:c r="G18" s="7" t="s">
        <x:v>75</x:v>
      </x:c>
      <x:c r="H18" s="7" t="s">
        <x:v>139</x:v>
      </x:c>
      <x:c r="I18" s="7" t="s">
        <x:v>32</x:v>
      </x:c>
      <x:c r="J18" s="6">
        <x:v>95</x:v>
      </x:c>
      <x:c r="K18" s="6">
        <x:v>92</x:v>
      </x:c>
      <x:c r="L18" s="6">
        <x:v>93</x:v>
      </x:c>
      <x:c r="M18" s="6">
        <x:v>91</x:v>
      </x:c>
      <x:c r="N18" s="6">
        <x:v>94</x:v>
      </x:c>
      <x:c r="O18" s="6">
        <x:v>89</x:v>
      </x:c>
      <x:c r="P18" s="6">
        <x:v>10</x:v>
      </x:c>
      <x:c r="Q18" s="6">
        <x:v>5</x:v>
      </x:c>
      <x:c r="R18" s="6">
        <x:f t="shared" si="0"/>
        <x:v>92.7</x:v>
      </x:c>
      <x:c r="S18" s="6">
        <x:f t="shared" si="1"/>
        <x:v>92.05</x:v>
      </x:c>
      <x:c r="T18" s="6">
        <x:f t="shared" si="2"/>
        <x:v>92.375</x:v>
      </x:c>
      <x:c r="U18" s="7" t="s">
        <x:v>33</x:v>
      </x:c>
      <x:c r="V18" s="7" t="s">
        <x:v>34</x:v>
      </x:c>
      <x:c r="W18" s="7" t="s">
        <x:v>35</x:v>
      </x:c>
      <x:c r="X18" s="7" t="s">
        <x:v>36</x:v>
      </x:c>
      <x:c r="Y18" s="7" t="s">
        <x:v>140</x:v>
      </x:c>
    </x:row>
    <x:row r="19" ht="38" customHeight="1">
      <x:c r="A19" s="7" t="s">
        <x:v>141</x:v>
      </x:c>
      <x:c r="B19" s="7" t="s">
        <x:v>26</x:v>
      </x:c>
      <x:c r="C19" s="7" t="s">
        <x:v>79</x:v>
      </x:c>
      <x:c r="D19" s="7" t="s">
        <x:v>142</x:v>
      </x:c>
      <x:c r="E19" s="7" t="s">
        <x:v>143</x:v>
      </x:c>
      <x:c r="F19" s="7" t="s">
        <x:v>144</x:v>
      </x:c>
      <x:c r="G19" s="7" t="s">
        <x:v>75</x:v>
      </x:c>
      <x:c r="H19" s="7" t="s">
        <x:v>145</x:v>
      </x:c>
      <x:c r="I19" s="7" t="s">
        <x:v>32</x:v>
      </x:c>
      <x:c r="J19" s="6">
        <x:v>95</x:v>
      </x:c>
      <x:c r="K19" s="6">
        <x:v>92</x:v>
      </x:c>
      <x:c r="L19" s="6">
        <x:v>93</x:v>
      </x:c>
      <x:c r="M19" s="6">
        <x:v>90</x:v>
      </x:c>
      <x:c r="N19" s="6">
        <x:v>94</x:v>
      </x:c>
      <x:c r="O19" s="6">
        <x:v>89</x:v>
      </x:c>
      <x:c r="P19" s="6">
        <x:v>10</x:v>
      </x:c>
      <x:c r="Q19" s="6">
        <x:v>5</x:v>
      </x:c>
      <x:c r="R19" s="6">
        <x:f t="shared" si="0"/>
        <x:v>92.55</x:v>
      </x:c>
      <x:c r="S19" s="6">
        <x:f t="shared" si="1"/>
        <x:v>92.05</x:v>
      </x:c>
      <x:c r="T19" s="6">
        <x:f t="shared" si="2"/>
        <x:v>92.3</x:v>
      </x:c>
      <x:c r="U19" s="7" t="s">
        <x:v>33</x:v>
      </x:c>
      <x:c r="V19" s="7" t="s">
        <x:v>34</x:v>
      </x:c>
      <x:c r="W19" s="7" t="s">
        <x:v>35</x:v>
      </x:c>
      <x:c r="X19" s="7" t="s">
        <x:v>36</x:v>
      </x:c>
      <x:c r="Y19" s="7" t="s">
        <x:v>146</x:v>
      </x:c>
    </x:row>
    <x:row r="20" ht="38" customHeight="1">
      <x:c r="A20" s="7" t="s">
        <x:v>147</x:v>
      </x:c>
      <x:c r="B20" s="7" t="s">
        <x:v>26</x:v>
      </x:c>
      <x:c r="C20" s="7" t="s">
        <x:v>79</x:v>
      </x:c>
      <x:c r="D20" s="7" t="s">
        <x:v>148</x:v>
      </x:c>
      <x:c r="E20" s="7" t="s">
        <x:v>149</x:v>
      </x:c>
      <x:c r="F20" s="7" t="s">
        <x:v>150</x:v>
      </x:c>
      <x:c r="G20" s="7">
        <x:v>71</x:v>
      </x:c>
      <x:c r="H20" s="7" t="s">
        <x:v>151</x:v>
      </x:c>
      <x:c r="I20" s="7" t="s">
        <x:v>32</x:v>
      </x:c>
      <x:c r="J20" s="6">
        <x:v>94</x:v>
      </x:c>
      <x:c r="K20" s="6">
        <x:v>92</x:v>
      </x:c>
      <x:c r="L20" s="6">
        <x:v>93</x:v>
      </x:c>
      <x:c r="M20" s="6">
        <x:v>91</x:v>
      </x:c>
      <x:c r="N20" s="6">
        <x:v>93</x:v>
      </x:c>
      <x:c r="O20" s="6">
        <x:v>89</x:v>
      </x:c>
      <x:c r="P20" s="6">
        <x:v>10</x:v>
      </x:c>
      <x:c r="Q20" s="6">
        <x:v>5</x:v>
      </x:c>
      <x:c r="R20" s="6">
        <x:f t="shared" si="0"/>
        <x:v>92.4</x:v>
      </x:c>
      <x:c r="S20" s="6">
        <x:f t="shared" si="1"/>
        <x:v>91.75</x:v>
      </x:c>
      <x:c r="T20" s="6">
        <x:f t="shared" si="2"/>
        <x:v>92.075</x:v>
      </x:c>
      <x:c r="U20" s="7" t="s">
        <x:v>33</x:v>
      </x:c>
      <x:c r="V20" s="7" t="s">
        <x:v>34</x:v>
      </x:c>
      <x:c r="W20" s="7" t="s">
        <x:v>35</x:v>
      </x:c>
      <x:c r="X20" s="7" t="s">
        <x:v>36</x:v>
      </x:c>
      <x:c r="Y20" s="7" t="s">
        <x:v>152</x:v>
      </x:c>
    </x:row>
    <x:row r="21" ht="38" customHeight="1">
      <x:c r="A21" s="7" t="s">
        <x:v>153</x:v>
      </x:c>
      <x:c r="B21" s="7" t="s">
        <x:v>26</x:v>
      </x:c>
      <x:c r="C21" s="7" t="s">
        <x:v>27</x:v>
      </x:c>
      <x:c r="D21" s="7" t="s">
        <x:v>154</x:v>
      </x:c>
      <x:c r="E21" s="7" t="s">
        <x:v>155</x:v>
      </x:c>
      <x:c r="F21" s="7" t="s">
        <x:v>156</x:v>
      </x:c>
      <x:c r="G21" s="7" t="s">
        <x:v>75</x:v>
      </x:c>
      <x:c r="H21" s="7" t="s">
        <x:v>157</x:v>
      </x:c>
      <x:c r="I21" s="7" t="s">
        <x:v>32</x:v>
      </x:c>
      <x:c r="J21" s="6">
        <x:v>94</x:v>
      </x:c>
      <x:c r="K21" s="6">
        <x:v>92</x:v>
      </x:c>
      <x:c r="L21" s="6">
        <x:v>93</x:v>
      </x:c>
      <x:c r="M21" s="6">
        <x:v>91</x:v>
      </x:c>
      <x:c r="N21" s="6">
        <x:v>93</x:v>
      </x:c>
      <x:c r="O21" s="6">
        <x:v>89</x:v>
      </x:c>
      <x:c r="P21" s="6">
        <x:v>10</x:v>
      </x:c>
      <x:c r="Q21" s="6">
        <x:v>5</x:v>
      </x:c>
      <x:c r="R21" s="6">
        <x:f t="shared" si="0"/>
        <x:v>92.4</x:v>
      </x:c>
      <x:c r="S21" s="6">
        <x:f t="shared" si="1"/>
        <x:v>91.75</x:v>
      </x:c>
      <x:c r="T21" s="6">
        <x:f t="shared" si="2"/>
        <x:v>92.075</x:v>
      </x:c>
      <x:c r="U21" s="7" t="s">
        <x:v>33</x:v>
      </x:c>
      <x:c r="V21" s="7" t="s">
        <x:v>34</x:v>
      </x:c>
      <x:c r="W21" s="7" t="s">
        <x:v>35</x:v>
      </x:c>
      <x:c r="X21" s="7" t="s">
        <x:v>36</x:v>
      </x:c>
      <x:c r="Y21" s="7" t="s">
        <x:v>158</x:v>
      </x:c>
    </x:row>
    <x:row r="22" ht="38" customHeight="1">
      <x:c r="A22" s="7" t="s">
        <x:v>159</x:v>
      </x:c>
      <x:c r="B22" s="7" t="s">
        <x:v>26</x:v>
      </x:c>
      <x:c r="C22" s="7" t="s">
        <x:v>27</x:v>
      </x:c>
      <x:c r="D22" s="7" t="s">
        <x:v>160</x:v>
      </x:c>
      <x:c r="E22" s="7" t="s">
        <x:v>161</x:v>
      </x:c>
      <x:c r="F22" s="7" t="s">
        <x:v>162</x:v>
      </x:c>
      <x:c r="G22" s="7">
        <x:v>22</x:v>
      </x:c>
      <x:c r="H22" s="7" t="s">
        <x:v>163</x:v>
      </x:c>
      <x:c r="I22" s="7" t="s">
        <x:v>32</x:v>
      </x:c>
      <x:c r="J22" s="6">
        <x:v>94</x:v>
      </x:c>
      <x:c r="K22" s="6">
        <x:v>92</x:v>
      </x:c>
      <x:c r="L22" s="6">
        <x:v>93</x:v>
      </x:c>
      <x:c r="M22" s="6">
        <x:v>91</x:v>
      </x:c>
      <x:c r="N22" s="6">
        <x:v>93</x:v>
      </x:c>
      <x:c r="O22" s="6">
        <x:v>89</x:v>
      </x:c>
      <x:c r="P22" s="6">
        <x:v>10</x:v>
      </x:c>
      <x:c r="Q22" s="6">
        <x:v>5</x:v>
      </x:c>
      <x:c r="R22" s="6">
        <x:f t="shared" si="0"/>
        <x:v>92.4</x:v>
      </x:c>
      <x:c r="S22" s="6">
        <x:f t="shared" si="1"/>
        <x:v>91.75</x:v>
      </x:c>
      <x:c r="T22" s="6">
        <x:f t="shared" si="2"/>
        <x:v>92.075</x:v>
      </x:c>
      <x:c r="U22" s="7" t="s">
        <x:v>33</x:v>
      </x:c>
      <x:c r="V22" s="7" t="s">
        <x:v>34</x:v>
      </x:c>
      <x:c r="W22" s="7" t="s">
        <x:v>35</x:v>
      </x:c>
      <x:c r="X22" s="7" t="s">
        <x:v>36</x:v>
      </x:c>
      <x:c r="Y22" s="7" t="s">
        <x:v>164</x:v>
      </x:c>
    </x:row>
    <x:row r="23" ht="38" customHeight="1">
      <x:c r="A23" s="7" t="s">
        <x:v>165</x:v>
      </x:c>
      <x:c r="B23" s="7" t="s">
        <x:v>26</x:v>
      </x:c>
      <x:c r="C23" s="7" t="s">
        <x:v>27</x:v>
      </x:c>
      <x:c r="D23" s="7" t="s">
        <x:v>166</x:v>
      </x:c>
      <x:c r="E23" s="7" t="s">
        <x:v>167</x:v>
      </x:c>
      <x:c r="F23" s="7" t="s">
        <x:v>168</x:v>
      </x:c>
      <x:c r="G23" s="7">
        <x:v>43</x:v>
      </x:c>
      <x:c r="H23" s="7" t="s">
        <x:v>169</x:v>
      </x:c>
      <x:c r="I23" s="7" t="s">
        <x:v>32</x:v>
      </x:c>
      <x:c r="J23" s="6">
        <x:v>93</x:v>
      </x:c>
      <x:c r="K23" s="6">
        <x:v>92</x:v>
      </x:c>
      <x:c r="L23" s="6">
        <x:v>93</x:v>
      </x:c>
      <x:c r="M23" s="6">
        <x:v>90</x:v>
      </x:c>
      <x:c r="N23" s="6">
        <x:v>93</x:v>
      </x:c>
      <x:c r="O23" s="6">
        <x:v>89</x:v>
      </x:c>
      <x:c r="P23" s="6">
        <x:v>10</x:v>
      </x:c>
      <x:c r="Q23" s="6">
        <x:v>5</x:v>
      </x:c>
      <x:c r="R23" s="6">
        <x:f t="shared" si="0"/>
        <x:v>91.95</x:v>
      </x:c>
      <x:c r="S23" s="6">
        <x:f t="shared" si="1"/>
        <x:v>91.75</x:v>
      </x:c>
      <x:c r="T23" s="6">
        <x:f t="shared" si="2"/>
        <x:v>91.85</x:v>
      </x:c>
      <x:c r="U23" s="7" t="s">
        <x:v>33</x:v>
      </x:c>
      <x:c r="V23" s="7" t="s">
        <x:v>34</x:v>
      </x:c>
      <x:c r="W23" s="7" t="s">
        <x:v>35</x:v>
      </x:c>
      <x:c r="X23" s="7" t="s">
        <x:v>36</x:v>
      </x:c>
      <x:c r="Y23" s="7" t="s">
        <x:v>170</x:v>
      </x:c>
    </x:row>
    <x:row r="24" ht="38" customHeight="1">
      <x:c r="A24" s="7" t="s">
        <x:v>171</x:v>
      </x:c>
      <x:c r="B24" s="7" t="s">
        <x:v>26</x:v>
      </x:c>
      <x:c r="C24" s="7" t="s">
        <x:v>79</x:v>
      </x:c>
      <x:c r="D24" s="7" t="s">
        <x:v>172</x:v>
      </x:c>
      <x:c r="E24" s="7" t="s">
        <x:v>173</x:v>
      </x:c>
      <x:c r="F24" s="7" t="s">
        <x:v>174</x:v>
      </x:c>
      <x:c r="G24" s="7">
        <x:v>23</x:v>
      </x:c>
      <x:c r="H24" s="7" t="s">
        <x:v>175</x:v>
      </x:c>
      <x:c r="I24" s="7" t="s">
        <x:v>32</x:v>
      </x:c>
      <x:c r="J24" s="6">
        <x:v>94</x:v>
      </x:c>
      <x:c r="K24" s="6">
        <x:v>92</x:v>
      </x:c>
      <x:c r="L24" s="6">
        <x:v>92</x:v>
      </x:c>
      <x:c r="M24" s="6">
        <x:v>90</x:v>
      </x:c>
      <x:c r="N24" s="6">
        <x:v>94</x:v>
      </x:c>
      <x:c r="O24" s="6">
        <x:v>89</x:v>
      </x:c>
      <x:c r="P24" s="6">
        <x:v>12</x:v>
      </x:c>
      <x:c r="Q24" s="6">
        <x:v>5</x:v>
      </x:c>
      <x:c r="R24" s="6">
        <x:f t="shared" si="0"/>
        <x:v>92</x:v>
      </x:c>
      <x:c r="S24" s="6">
        <x:f t="shared" si="1"/>
        <x:v>91.55</x:v>
      </x:c>
      <x:c r="T24" s="6">
        <x:f t="shared" si="2"/>
        <x:v>91.775</x:v>
      </x:c>
      <x:c r="U24" s="7" t="s">
        <x:v>33</x:v>
      </x:c>
      <x:c r="V24" s="7" t="s">
        <x:v>34</x:v>
      </x:c>
      <x:c r="W24" s="7" t="s">
        <x:v>35</x:v>
      </x:c>
      <x:c r="X24" s="7" t="s">
        <x:v>36</x:v>
      </x:c>
      <x:c r="Y24" s="7" t="s">
        <x:v>176</x:v>
      </x:c>
    </x:row>
    <x:row r="25" ht="38" customHeight="1">
      <x:c r="A25" s="7" t="s">
        <x:v>177</x:v>
      </x:c>
      <x:c r="B25" s="7" t="s">
        <x:v>26</x:v>
      </x:c>
      <x:c r="C25" s="7" t="s">
        <x:v>79</x:v>
      </x:c>
      <x:c r="D25" s="7" t="s">
        <x:v>178</x:v>
      </x:c>
      <x:c r="E25" s="7" t="s">
        <x:v>179</x:v>
      </x:c>
      <x:c r="F25" s="7" t="s">
        <x:v>180</x:v>
      </x:c>
      <x:c r="G25" s="7">
        <x:v>28</x:v>
      </x:c>
      <x:c r="H25" s="7" t="s">
        <x:v>181</x:v>
      </x:c>
      <x:c r="I25" s="7" t="s">
        <x:v>32</x:v>
      </x:c>
      <x:c r="J25" s="6">
        <x:v>94</x:v>
      </x:c>
      <x:c r="K25" s="6">
        <x:v>91</x:v>
      </x:c>
      <x:c r="L25" s="6">
        <x:v>92</x:v>
      </x:c>
      <x:c r="M25" s="6">
        <x:v>90</x:v>
      </x:c>
      <x:c r="N25" s="6">
        <x:v>93</x:v>
      </x:c>
      <x:c r="O25" s="6">
        <x:v>88</x:v>
      </x:c>
      <x:c r="P25" s="6">
        <x:v>11</x:v>
      </x:c>
      <x:c r="Q25" s="6">
        <x:v>5</x:v>
      </x:c>
      <x:c r="R25" s="6">
        <x:f t="shared" si="0"/>
        <x:v>91.7</x:v>
      </x:c>
      <x:c r="S25" s="6">
        <x:f t="shared" si="1"/>
        <x:v>91.05</x:v>
      </x:c>
      <x:c r="T25" s="6">
        <x:f t="shared" si="2"/>
        <x:v>91.375</x:v>
      </x:c>
      <x:c r="U25" s="7" t="s">
        <x:v>33</x:v>
      </x:c>
      <x:c r="V25" s="7" t="s">
        <x:v>34</x:v>
      </x:c>
      <x:c r="W25" s="7" t="s">
        <x:v>35</x:v>
      </x:c>
      <x:c r="X25" s="7" t="s">
        <x:v>36</x:v>
      </x:c>
      <x:c r="Y25" s="7" t="s">
        <x:v>182</x:v>
      </x:c>
    </x:row>
    <x:row r="26" ht="38" customHeight="1">
      <x:c r="A26" s="7" t="s">
        <x:v>183</x:v>
      </x:c>
      <x:c r="B26" s="7" t="s">
        <x:v>26</x:v>
      </x:c>
      <x:c r="C26" s="7" t="s">
        <x:v>79</x:v>
      </x:c>
      <x:c r="D26" s="7" t="s">
        <x:v>184</x:v>
      </x:c>
      <x:c r="E26" s="7" t="s">
        <x:v>185</x:v>
      </x:c>
      <x:c r="F26" s="7" t="s">
        <x:v>186</x:v>
      </x:c>
      <x:c r="G26" s="7" t="s">
        <x:v>75</x:v>
      </x:c>
      <x:c r="H26" s="7" t="s">
        <x:v>187</x:v>
      </x:c>
      <x:c r="I26" s="7" t="s">
        <x:v>32</x:v>
      </x:c>
      <x:c r="J26" s="6">
        <x:v>93</x:v>
      </x:c>
      <x:c r="K26" s="6">
        <x:v>91</x:v>
      </x:c>
      <x:c r="L26" s="6">
        <x:v>92</x:v>
      </x:c>
      <x:c r="M26" s="6">
        <x:v>90</x:v>
      </x:c>
      <x:c r="N26" s="6">
        <x:v>92</x:v>
      </x:c>
      <x:c r="O26" s="6">
        <x:v>88</x:v>
      </x:c>
      <x:c r="P26" s="6">
        <x:v>11</x:v>
      </x:c>
      <x:c r="Q26" s="6">
        <x:v>5</x:v>
      </x:c>
      <x:c r="R26" s="6">
        <x:f t="shared" si="0"/>
        <x:v>91.4</x:v>
      </x:c>
      <x:c r="S26" s="6">
        <x:f t="shared" si="1"/>
        <x:v>90.75</x:v>
      </x:c>
      <x:c r="T26" s="6">
        <x:f t="shared" si="2"/>
        <x:v>91.075</x:v>
      </x:c>
      <x:c r="U26" s="7" t="s">
        <x:v>33</x:v>
      </x:c>
      <x:c r="V26" s="7" t="s">
        <x:v>34</x:v>
      </x:c>
      <x:c r="W26" s="7" t="s">
        <x:v>35</x:v>
      </x:c>
      <x:c r="X26" s="7" t="s">
        <x:v>36</x:v>
      </x:c>
      <x:c r="Y26" s="7" t="s">
        <x:v>188</x:v>
      </x:c>
    </x:row>
    <x:row r="27" ht="38" customHeight="1">
      <x:c r="A27" s="7" t="s">
        <x:v>189</x:v>
      </x:c>
      <x:c r="B27" s="7" t="s">
        <x:v>26</x:v>
      </x:c>
      <x:c r="C27" s="7" t="s">
        <x:v>79</x:v>
      </x:c>
      <x:c r="D27" s="7" t="s">
        <x:v>190</x:v>
      </x:c>
      <x:c r="E27" s="7" t="s">
        <x:v>191</x:v>
      </x:c>
      <x:c r="F27" s="7" t="s">
        <x:v>192</x:v>
      </x:c>
      <x:c r="G27" s="7">
        <x:v>21</x:v>
      </x:c>
      <x:c r="H27" s="7" t="s">
        <x:v>193</x:v>
      </x:c>
      <x:c r="I27" s="7" t="s">
        <x:v>32</x:v>
      </x:c>
      <x:c r="J27" s="6">
        <x:v>93</x:v>
      </x:c>
      <x:c r="K27" s="6">
        <x:v>91</x:v>
      </x:c>
      <x:c r="L27" s="6">
        <x:v>92</x:v>
      </x:c>
      <x:c r="M27" s="6">
        <x:v>90</x:v>
      </x:c>
      <x:c r="N27" s="6">
        <x:v>92</x:v>
      </x:c>
      <x:c r="O27" s="6">
        <x:v>88</x:v>
      </x:c>
      <x:c r="P27" s="6">
        <x:v>11</x:v>
      </x:c>
      <x:c r="Q27" s="6">
        <x:v>5</x:v>
      </x:c>
      <x:c r="R27" s="6">
        <x:f t="shared" si="0"/>
        <x:v>91.4</x:v>
      </x:c>
      <x:c r="S27" s="6">
        <x:f t="shared" si="1"/>
        <x:v>90.75</x:v>
      </x:c>
      <x:c r="T27" s="6">
        <x:f t="shared" si="2"/>
        <x:v>91.075</x:v>
      </x:c>
      <x:c r="U27" s="7" t="s">
        <x:v>33</x:v>
      </x:c>
      <x:c r="V27" s="7" t="s">
        <x:v>34</x:v>
      </x:c>
      <x:c r="W27" s="7" t="s">
        <x:v>35</x:v>
      </x:c>
      <x:c r="X27" s="7" t="s">
        <x:v>36</x:v>
      </x:c>
      <x:c r="Y27" s="7" t="s">
        <x:v>194</x:v>
      </x:c>
    </x:row>
    <x:row r="28" ht="38" customHeight="1">
      <x:c r="A28" s="7" t="s">
        <x:v>195</x:v>
      </x:c>
      <x:c r="B28" s="7" t="s">
        <x:v>26</x:v>
      </x:c>
      <x:c r="C28" s="7" t="s">
        <x:v>79</x:v>
      </x:c>
      <x:c r="D28" s="7" t="s">
        <x:v>196</x:v>
      </x:c>
      <x:c r="E28" s="7" t="s">
        <x:v>197</x:v>
      </x:c>
      <x:c r="F28" s="7" t="s">
        <x:v>198</x:v>
      </x:c>
      <x:c r="G28" s="7" t="s">
        <x:v>75</x:v>
      </x:c>
      <x:c r="H28" s="7" t="s">
        <x:v>199</x:v>
      </x:c>
      <x:c r="I28" s="7" t="s">
        <x:v>32</x:v>
      </x:c>
      <x:c r="J28" s="6">
        <x:v>93</x:v>
      </x:c>
      <x:c r="K28" s="6">
        <x:v>91</x:v>
      </x:c>
      <x:c r="L28" s="6">
        <x:v>92</x:v>
      </x:c>
      <x:c r="M28" s="6">
        <x:v>90</x:v>
      </x:c>
      <x:c r="N28" s="6">
        <x:v>92</x:v>
      </x:c>
      <x:c r="O28" s="6">
        <x:v>88</x:v>
      </x:c>
      <x:c r="P28" s="6">
        <x:v>11</x:v>
      </x:c>
      <x:c r="Q28" s="6">
        <x:v>5</x:v>
      </x:c>
      <x:c r="R28" s="6">
        <x:f t="shared" si="0"/>
        <x:v>91.4</x:v>
      </x:c>
      <x:c r="S28" s="6">
        <x:f t="shared" si="1"/>
        <x:v>90.75</x:v>
      </x:c>
      <x:c r="T28" s="6">
        <x:f t="shared" si="2"/>
        <x:v>91.075</x:v>
      </x:c>
      <x:c r="U28" s="7" t="s">
        <x:v>33</x:v>
      </x:c>
      <x:c r="V28" s="7" t="s">
        <x:v>34</x:v>
      </x:c>
      <x:c r="W28" s="7" t="s">
        <x:v>35</x:v>
      </x:c>
      <x:c r="X28" s="7" t="s">
        <x:v>36</x:v>
      </x:c>
      <x:c r="Y28" s="7" t="s">
        <x:v>200</x:v>
      </x:c>
    </x:row>
    <x:row r="29" ht="38" customHeight="1">
      <x:c r="A29" s="7" t="s">
        <x:v>201</x:v>
      </x:c>
      <x:c r="B29" s="7" t="s">
        <x:v>26</x:v>
      </x:c>
      <x:c r="C29" s="7" t="s">
        <x:v>79</x:v>
      </x:c>
      <x:c r="D29" s="7" t="s">
        <x:v>202</x:v>
      </x:c>
      <x:c r="E29" s="7" t="s">
        <x:v>203</x:v>
      </x:c>
      <x:c r="F29" s="7" t="s">
        <x:v>204</x:v>
      </x:c>
      <x:c r="G29" s="7">
        <x:v>10</x:v>
      </x:c>
      <x:c r="H29" s="7" t="s">
        <x:v>205</x:v>
      </x:c>
      <x:c r="I29" s="7" t="s">
        <x:v>32</x:v>
      </x:c>
      <x:c r="J29" s="6">
        <x:v>93</x:v>
      </x:c>
      <x:c r="K29" s="6">
        <x:v>91</x:v>
      </x:c>
      <x:c r="L29" s="6">
        <x:v>92</x:v>
      </x:c>
      <x:c r="M29" s="6">
        <x:v>90</x:v>
      </x:c>
      <x:c r="N29" s="6">
        <x:v>92</x:v>
      </x:c>
      <x:c r="O29" s="6">
        <x:v>88</x:v>
      </x:c>
      <x:c r="P29" s="6">
        <x:v>11</x:v>
      </x:c>
      <x:c r="Q29" s="6">
        <x:v>5</x:v>
      </x:c>
      <x:c r="R29" s="6">
        <x:f t="shared" si="0"/>
        <x:v>91.4</x:v>
      </x:c>
      <x:c r="S29" s="6">
        <x:f t="shared" si="1"/>
        <x:v>90.75</x:v>
      </x:c>
      <x:c r="T29" s="6">
        <x:f t="shared" si="2"/>
        <x:v>91.075</x:v>
      </x:c>
      <x:c r="U29" s="7" t="s">
        <x:v>33</x:v>
      </x:c>
      <x:c r="V29" s="7" t="s">
        <x:v>34</x:v>
      </x:c>
      <x:c r="W29" s="7" t="s">
        <x:v>35</x:v>
      </x:c>
      <x:c r="X29" s="7" t="s">
        <x:v>36</x:v>
      </x:c>
      <x:c r="Y29" s="7" t="s">
        <x:v>206</x:v>
      </x:c>
    </x:row>
    <x:row r="30" ht="38" customHeight="1">
      <x:c r="A30" s="7" t="s">
        <x:v>207</x:v>
      </x:c>
      <x:c r="B30" s="7" t="s">
        <x:v>26</x:v>
      </x:c>
      <x:c r="C30" s="7" t="s">
        <x:v>79</x:v>
      </x:c>
      <x:c r="D30" s="7" t="s">
        <x:v>208</x:v>
      </x:c>
      <x:c r="E30" s="7" t="s">
        <x:v>209</x:v>
      </x:c>
      <x:c r="F30" s="7" t="s">
        <x:v>210</x:v>
      </x:c>
      <x:c r="G30" s="7">
        <x:v>16</x:v>
      </x:c>
      <x:c r="H30" s="7" t="s">
        <x:v>211</x:v>
      </x:c>
      <x:c r="I30" s="7" t="s">
        <x:v>32</x:v>
      </x:c>
      <x:c r="J30" s="6">
        <x:v>93</x:v>
      </x:c>
      <x:c r="K30" s="6">
        <x:v>91</x:v>
      </x:c>
      <x:c r="L30" s="6">
        <x:v>92</x:v>
      </x:c>
      <x:c r="M30" s="6">
        <x:v>90</x:v>
      </x:c>
      <x:c r="N30" s="6">
        <x:v>92</x:v>
      </x:c>
      <x:c r="O30" s="6">
        <x:v>88</x:v>
      </x:c>
      <x:c r="P30" s="6">
        <x:v>11</x:v>
      </x:c>
      <x:c r="Q30" s="6">
        <x:v>5</x:v>
      </x:c>
      <x:c r="R30" s="6">
        <x:f t="shared" si="0"/>
        <x:v>91.4</x:v>
      </x:c>
      <x:c r="S30" s="6">
        <x:f t="shared" si="1"/>
        <x:v>90.75</x:v>
      </x:c>
      <x:c r="T30" s="6">
        <x:f t="shared" si="2"/>
        <x:v>91.075</x:v>
      </x:c>
      <x:c r="U30" s="7" t="s">
        <x:v>33</x:v>
      </x:c>
      <x:c r="V30" s="7" t="s">
        <x:v>34</x:v>
      </x:c>
      <x:c r="W30" s="7" t="s">
        <x:v>35</x:v>
      </x:c>
      <x:c r="X30" s="7" t="s">
        <x:v>36</x:v>
      </x:c>
      <x:c r="Y30" s="7" t="s">
        <x:v>212</x:v>
      </x:c>
    </x:row>
    <x:row r="31" ht="38" customHeight="1">
      <x:c r="A31" s="7" t="s">
        <x:v>213</x:v>
      </x:c>
      <x:c r="B31" s="7" t="s">
        <x:v>26</x:v>
      </x:c>
      <x:c r="C31" s="7" t="s">
        <x:v>79</x:v>
      </x:c>
      <x:c r="D31" s="7" t="s">
        <x:v>214</x:v>
      </x:c>
      <x:c r="E31" s="7" t="s">
        <x:v>215</x:v>
      </x:c>
      <x:c r="F31" s="7" t="s">
        <x:v>216</x:v>
      </x:c>
      <x:c r="G31" s="7">
        <x:v>16</x:v>
      </x:c>
      <x:c r="H31" s="7" t="s">
        <x:v>217</x:v>
      </x:c>
      <x:c r="I31" s="7" t="s">
        <x:v>32</x:v>
      </x:c>
      <x:c r="J31" s="6">
        <x:v>93</x:v>
      </x:c>
      <x:c r="K31" s="6">
        <x:v>91</x:v>
      </x:c>
      <x:c r="L31" s="6">
        <x:v>92</x:v>
      </x:c>
      <x:c r="M31" s="6">
        <x:v>89</x:v>
      </x:c>
      <x:c r="N31" s="6">
        <x:v>93</x:v>
      </x:c>
      <x:c r="O31" s="6">
        <x:v>88</x:v>
      </x:c>
      <x:c r="P31" s="6">
        <x:v>12</x:v>
      </x:c>
      <x:c r="Q31" s="6">
        <x:v>5</x:v>
      </x:c>
      <x:c r="R31" s="6">
        <x:f t="shared" si="0"/>
        <x:v>91.25</x:v>
      </x:c>
      <x:c r="S31" s="6">
        <x:f t="shared" si="1"/>
        <x:v>90.9</x:v>
      </x:c>
      <x:c r="T31" s="6">
        <x:f t="shared" si="2"/>
        <x:v>91.075</x:v>
      </x:c>
      <x:c r="U31" s="7" t="s">
        <x:v>33</x:v>
      </x:c>
      <x:c r="V31" s="7" t="s">
        <x:v>34</x:v>
      </x:c>
      <x:c r="W31" s="7" t="s">
        <x:v>35</x:v>
      </x:c>
      <x:c r="X31" s="7" t="s">
        <x:v>36</x:v>
      </x:c>
      <x:c r="Y31" s="7" t="s">
        <x:v>218</x:v>
      </x:c>
    </x:row>
    <x:row r="32" ht="38" customHeight="1">
      <x:c r="A32" s="7" t="s">
        <x:v>219</x:v>
      </x:c>
      <x:c r="B32" s="7" t="s">
        <x:v>26</x:v>
      </x:c>
      <x:c r="C32" s="7" t="s">
        <x:v>79</x:v>
      </x:c>
      <x:c r="D32" s="7" t="s">
        <x:v>220</x:v>
      </x:c>
      <x:c r="E32" s="7" t="s">
        <x:v>221</x:v>
      </x:c>
      <x:c r="F32" s="7" t="s">
        <x:v>222</x:v>
      </x:c>
      <x:c r="G32" s="7" t="s">
        <x:v>75</x:v>
      </x:c>
      <x:c r="H32" s="7" t="s">
        <x:v>223</x:v>
      </x:c>
      <x:c r="I32" s="7" t="s">
        <x:v>32</x:v>
      </x:c>
      <x:c r="J32" s="6">
        <x:v>93</x:v>
      </x:c>
      <x:c r="K32" s="6">
        <x:v>91</x:v>
      </x:c>
      <x:c r="L32" s="6">
        <x:v>92</x:v>
      </x:c>
      <x:c r="M32" s="6">
        <x:v>90</x:v>
      </x:c>
      <x:c r="N32" s="6">
        <x:v>92</x:v>
      </x:c>
      <x:c r="O32" s="6">
        <x:v>88</x:v>
      </x:c>
      <x:c r="P32" s="6">
        <x:v>13</x:v>
      </x:c>
      <x:c r="Q32" s="6">
        <x:v>5</x:v>
      </x:c>
      <x:c r="R32" s="6">
        <x:f t="shared" si="0"/>
        <x:v>91.4</x:v>
      </x:c>
      <x:c r="S32" s="6">
        <x:f t="shared" si="1"/>
        <x:v>90.45</x:v>
      </x:c>
      <x:c r="T32" s="6">
        <x:f t="shared" si="2"/>
        <x:v>90.925</x:v>
      </x:c>
      <x:c r="U32" s="7" t="s">
        <x:v>33</x:v>
      </x:c>
      <x:c r="V32" s="7" t="s">
        <x:v>34</x:v>
      </x:c>
      <x:c r="W32" s="7" t="s">
        <x:v>35</x:v>
      </x:c>
      <x:c r="X32" s="7" t="s">
        <x:v>36</x:v>
      </x:c>
      <x:c r="Y32" s="7" t="s">
        <x:v>224</x:v>
      </x:c>
    </x:row>
    <x:row r="33" ht="38" customHeight="1">
      <x:c r="A33" s="7" t="s">
        <x:v>225</x:v>
      </x:c>
      <x:c r="B33" s="7" t="s">
        <x:v>26</x:v>
      </x:c>
      <x:c r="C33" s="7" t="s">
        <x:v>79</x:v>
      </x:c>
      <x:c r="D33" s="7" t="s">
        <x:v>124</x:v>
      </x:c>
      <x:c r="E33" s="7" t="s">
        <x:v>226</x:v>
      </x:c>
      <x:c r="F33" s="7" t="s">
        <x:v>227</x:v>
      </x:c>
      <x:c r="G33" s="7">
        <x:v>31</x:v>
      </x:c>
      <x:c r="H33" s="7" t="s">
        <x:v>228</x:v>
      </x:c>
      <x:c r="I33" s="7" t="s">
        <x:v>32</x:v>
      </x:c>
      <x:c r="J33" s="6">
        <x:v>93</x:v>
      </x:c>
      <x:c r="K33" s="6">
        <x:v>91</x:v>
      </x:c>
      <x:c r="L33" s="6">
        <x:v>92</x:v>
      </x:c>
      <x:c r="M33" s="6">
        <x:v>89</x:v>
      </x:c>
      <x:c r="N33" s="6">
        <x:v>92</x:v>
      </x:c>
      <x:c r="O33" s="6">
        <x:v>88</x:v>
      </x:c>
      <x:c r="P33" s="6">
        <x:v>12</x:v>
      </x:c>
      <x:c r="Q33" s="6">
        <x:v>5</x:v>
      </x:c>
      <x:c r="R33" s="6">
        <x:f t="shared" si="0"/>
        <x:v>91.25</x:v>
      </x:c>
      <x:c r="S33" s="6">
        <x:f t="shared" si="1"/>
        <x:v>90.6</x:v>
      </x:c>
      <x:c r="T33" s="6">
        <x:f t="shared" si="2"/>
        <x:v>90.925</x:v>
      </x:c>
      <x:c r="U33" s="7" t="s">
        <x:v>33</x:v>
      </x:c>
      <x:c r="V33" s="7" t="s">
        <x:v>34</x:v>
      </x:c>
      <x:c r="W33" s="7" t="s">
        <x:v>35</x:v>
      </x:c>
      <x:c r="X33" s="7" t="s">
        <x:v>36</x:v>
      </x:c>
      <x:c r="Y33" s="7" t="s">
        <x:v>229</x:v>
      </x:c>
    </x:row>
    <x:row r="34" ht="38" customHeight="1">
      <x:c r="A34" s="7" t="s">
        <x:v>230</x:v>
      </x:c>
      <x:c r="B34" s="7" t="s">
        <x:v>26</x:v>
      </x:c>
      <x:c r="C34" s="7" t="s">
        <x:v>79</x:v>
      </x:c>
      <x:c r="D34" s="7" t="s">
        <x:v>231</x:v>
      </x:c>
      <x:c r="E34" s="7" t="s">
        <x:v>232</x:v>
      </x:c>
      <x:c r="F34" s="7" t="s">
        <x:v>233</x:v>
      </x:c>
      <x:c r="G34" s="7">
        <x:v>10</x:v>
      </x:c>
      <x:c r="H34" s="7" t="s">
        <x:v>234</x:v>
      </x:c>
      <x:c r="I34" s="7" t="s">
        <x:v>32</x:v>
      </x:c>
      <x:c r="J34" s="6">
        <x:v>93</x:v>
      </x:c>
      <x:c r="K34" s="6">
        <x:v>91</x:v>
      </x:c>
      <x:c r="L34" s="6">
        <x:v>91</x:v>
      </x:c>
      <x:c r="M34" s="6">
        <x:v>89</x:v>
      </x:c>
      <x:c r="N34" s="6">
        <x:v>93</x:v>
      </x:c>
      <x:c r="O34" s="6">
        <x:v>88</x:v>
      </x:c>
      <x:c r="P34" s="6">
        <x:v>12</x:v>
      </x:c>
      <x:c r="Q34" s="6">
        <x:v>5</x:v>
      </x:c>
      <x:c r="R34" s="6">
        <x:f t="shared" si="0"/>
        <x:v>91</x:v>
      </x:c>
      <x:c r="S34" s="6">
        <x:f t="shared" si="1"/>
        <x:v>90.7</x:v>
      </x:c>
      <x:c r="T34" s="6">
        <x:f t="shared" si="2"/>
        <x:v>90.85</x:v>
      </x:c>
      <x:c r="U34" s="7" t="s">
        <x:v>33</x:v>
      </x:c>
      <x:c r="V34" s="7" t="s">
        <x:v>34</x:v>
      </x:c>
      <x:c r="W34" s="7" t="s">
        <x:v>35</x:v>
      </x:c>
      <x:c r="X34" s="7" t="s">
        <x:v>36</x:v>
      </x:c>
      <x:c r="Y34" s="7" t="s">
        <x:v>235</x:v>
      </x:c>
    </x:row>
    <x:row r="35" ht="38" customHeight="1">
      <x:c r="A35" s="7" t="s">
        <x:v>236</x:v>
      </x:c>
      <x:c r="B35" s="7" t="s">
        <x:v>26</x:v>
      </x:c>
      <x:c r="C35" s="7" t="s">
        <x:v>79</x:v>
      </x:c>
      <x:c r="D35" s="7" t="s">
        <x:v>237</x:v>
      </x:c>
      <x:c r="E35" s="7" t="s">
        <x:v>238</x:v>
      </x:c>
      <x:c r="F35" s="7" t="s">
        <x:v>239</x:v>
      </x:c>
      <x:c r="G35" s="7">
        <x:v>31</x:v>
      </x:c>
      <x:c r="H35" s="7" t="s">
        <x:v>240</x:v>
      </x:c>
      <x:c r="I35" s="7" t="s">
        <x:v>32</x:v>
      </x:c>
      <x:c r="J35" s="6">
        <x:v>93</x:v>
      </x:c>
      <x:c r="K35" s="6">
        <x:v>91</x:v>
      </x:c>
      <x:c r="L35" s="6">
        <x:v>91</x:v>
      </x:c>
      <x:c r="M35" s="6">
        <x:v>89</x:v>
      </x:c>
      <x:c r="N35" s="6">
        <x:v>93</x:v>
      </x:c>
      <x:c r="O35" s="6">
        <x:v>88</x:v>
      </x:c>
      <x:c r="P35" s="6">
        <x:v>12</x:v>
      </x:c>
      <x:c r="Q35" s="6">
        <x:v>5</x:v>
      </x:c>
      <x:c r="R35" s="6">
        <x:f t="shared" si="0"/>
        <x:v>91</x:v>
      </x:c>
      <x:c r="S35" s="6">
        <x:f t="shared" si="1"/>
        <x:v>90.7</x:v>
      </x:c>
      <x:c r="T35" s="6">
        <x:f t="shared" si="2"/>
        <x:v>90.85</x:v>
      </x:c>
      <x:c r="U35" s="7" t="s">
        <x:v>33</x:v>
      </x:c>
      <x:c r="V35" s="7" t="s">
        <x:v>34</x:v>
      </x:c>
      <x:c r="W35" s="7" t="s">
        <x:v>35</x:v>
      </x:c>
      <x:c r="X35" s="7" t="s">
        <x:v>36</x:v>
      </x:c>
      <x:c r="Y35" s="7" t="s">
        <x:v>241</x:v>
      </x:c>
    </x:row>
    <x:row r="36" ht="38" customHeight="1">
      <x:c r="A36" s="7" t="s">
        <x:v>242</x:v>
      </x:c>
      <x:c r="B36" s="7" t="s">
        <x:v>26</x:v>
      </x:c>
      <x:c r="C36" s="7" t="s">
        <x:v>79</x:v>
      </x:c>
      <x:c r="D36" s="7" t="s">
        <x:v>243</x:v>
      </x:c>
      <x:c r="E36" s="7" t="s">
        <x:v>244</x:v>
      </x:c>
      <x:c r="F36" s="7" t="s">
        <x:v>245</x:v>
      </x:c>
      <x:c r="G36" s="7">
        <x:v>27</x:v>
      </x:c>
      <x:c r="H36" s="7" t="s">
        <x:v>246</x:v>
      </x:c>
      <x:c r="I36" s="7" t="s">
        <x:v>32</x:v>
      </x:c>
      <x:c r="J36" s="6">
        <x:v>92</x:v>
      </x:c>
      <x:c r="K36" s="6">
        <x:v>90</x:v>
      </x:c>
      <x:c r="L36" s="6">
        <x:v>91</x:v>
      </x:c>
      <x:c r="M36" s="6">
        <x:v>89</x:v>
      </x:c>
      <x:c r="N36" s="6">
        <x:v>92</x:v>
      </x:c>
      <x:c r="O36" s="6">
        <x:v>88</x:v>
      </x:c>
      <x:c r="P36" s="6">
        <x:v>12</x:v>
      </x:c>
      <x:c r="Q36" s="6">
        <x:v>5</x:v>
      </x:c>
      <x:c r="R36" s="6">
        <x:f t="shared" si="0"/>
        <x:v>90.5</x:v>
      </x:c>
      <x:c r="S36" s="6">
        <x:f t="shared" si="1"/>
        <x:v>90.2</x:v>
      </x:c>
      <x:c r="T36" s="6">
        <x:f t="shared" si="2"/>
        <x:v>90.35</x:v>
      </x:c>
      <x:c r="U36" s="7" t="s">
        <x:v>33</x:v>
      </x:c>
      <x:c r="V36" s="7" t="s">
        <x:v>34</x:v>
      </x:c>
      <x:c r="W36" s="7" t="s">
        <x:v>35</x:v>
      </x:c>
      <x:c r="X36" s="7" t="s">
        <x:v>36</x:v>
      </x:c>
      <x:c r="Y36" s="7" t="s">
        <x:v>247</x:v>
      </x:c>
    </x:row>
    <x:row r="37" ht="38" customHeight="1">
      <x:c r="A37" s="7" t="s">
        <x:v>248</x:v>
      </x:c>
      <x:c r="B37" s="7" t="s">
        <x:v>26</x:v>
      </x:c>
      <x:c r="C37" s="7" t="s">
        <x:v>79</x:v>
      </x:c>
      <x:c r="D37" s="7" t="s">
        <x:v>249</x:v>
      </x:c>
      <x:c r="E37" s="7" t="s">
        <x:v>250</x:v>
      </x:c>
      <x:c r="F37" s="7" t="s">
        <x:v>251</x:v>
      </x:c>
      <x:c r="G37" s="7">
        <x:v>43</x:v>
      </x:c>
      <x:c r="H37" s="7" t="s">
        <x:v>252</x:v>
      </x:c>
      <x:c r="I37" s="7" t="s">
        <x:v>32</x:v>
      </x:c>
      <x:c r="J37" s="6">
        <x:v>93</x:v>
      </x:c>
      <x:c r="K37" s="6">
        <x:v>90</x:v>
      </x:c>
      <x:c r="L37" s="6">
        <x:v>91</x:v>
      </x:c>
      <x:c r="M37" s="6">
        <x:v>89</x:v>
      </x:c>
      <x:c r="N37" s="6">
        <x:v>92</x:v>
      </x:c>
      <x:c r="O37" s="6">
        <x:v>87</x:v>
      </x:c>
      <x:c r="P37" s="6">
        <x:v>13</x:v>
      </x:c>
      <x:c r="Q37" s="6">
        <x:v>5</x:v>
      </x:c>
      <x:c r="R37" s="6">
        <x:f t="shared" si="0"/>
        <x:v>90.7</x:v>
      </x:c>
      <x:c r="S37" s="6">
        <x:f t="shared" si="1"/>
        <x:v>89.9</x:v>
      </x:c>
      <x:c r="T37" s="6">
        <x:f t="shared" si="2"/>
        <x:v>90.3</x:v>
      </x:c>
      <x:c r="U37" s="7" t="s">
        <x:v>33</x:v>
      </x:c>
      <x:c r="V37" s="7" t="s">
        <x:v>34</x:v>
      </x:c>
      <x:c r="W37" s="7" t="s">
        <x:v>35</x:v>
      </x:c>
      <x:c r="X37" s="7" t="s">
        <x:v>36</x:v>
      </x:c>
      <x:c r="Y37" s="7" t="s">
        <x:v>253</x:v>
      </x:c>
    </x:row>
    <x:row r="38" ht="38" customHeight="1">
      <x:c r="A38" s="7" t="s">
        <x:v>254</x:v>
      </x:c>
      <x:c r="B38" s="7" t="s">
        <x:v>26</x:v>
      </x:c>
      <x:c r="C38" s="7" t="s">
        <x:v>27</x:v>
      </x:c>
      <x:c r="D38" s="7" t="s">
        <x:v>255</x:v>
      </x:c>
      <x:c r="E38" s="7" t="s">
        <x:v>256</x:v>
      </x:c>
      <x:c r="F38" s="7" t="s">
        <x:v>257</x:v>
      </x:c>
      <x:c r="G38" s="7" t="s">
        <x:v>75</x:v>
      </x:c>
      <x:c r="H38" s="7" t="s">
        <x:v>258</x:v>
      </x:c>
      <x:c r="I38" s="7" t="s">
        <x:v>32</x:v>
      </x:c>
      <x:c r="J38" s="6">
        <x:v>93</x:v>
      </x:c>
      <x:c r="K38" s="6">
        <x:v>90</x:v>
      </x:c>
      <x:c r="L38" s="6">
        <x:v>91</x:v>
      </x:c>
      <x:c r="M38" s="6">
        <x:v>89</x:v>
      </x:c>
      <x:c r="N38" s="6">
        <x:v>92</x:v>
      </x:c>
      <x:c r="O38" s="6">
        <x:v>87</x:v>
      </x:c>
      <x:c r="P38" s="6">
        <x:v>13</x:v>
      </x:c>
      <x:c r="Q38" s="6">
        <x:v>5</x:v>
      </x:c>
      <x:c r="R38" s="6">
        <x:f t="shared" si="0"/>
        <x:v>90.7</x:v>
      </x:c>
      <x:c r="S38" s="6">
        <x:f t="shared" si="1"/>
        <x:v>89.9</x:v>
      </x:c>
      <x:c r="T38" s="6">
        <x:f t="shared" si="2"/>
        <x:v>90.3</x:v>
      </x:c>
      <x:c r="U38" s="7" t="s">
        <x:v>33</x:v>
      </x:c>
      <x:c r="V38" s="7" t="s">
        <x:v>34</x:v>
      </x:c>
      <x:c r="W38" s="7" t="s">
        <x:v>35</x:v>
      </x:c>
      <x:c r="X38" s="7" t="s">
        <x:v>36</x:v>
      </x:c>
      <x:c r="Y38" s="7" t="s">
        <x:v>259</x:v>
      </x:c>
    </x:row>
    <x:row r="39" ht="38" customHeight="1">
      <x:c r="A39" s="7" t="s">
        <x:v>260</x:v>
      </x:c>
      <x:c r="B39" s="7" t="s">
        <x:v>26</x:v>
      </x:c>
      <x:c r="C39" s="7" t="s">
        <x:v>71</x:v>
      </x:c>
      <x:c r="D39" s="7" t="s">
        <x:v>261</x:v>
      </x:c>
      <x:c r="E39" s="7" t="s">
        <x:v>262</x:v>
      </x:c>
      <x:c r="F39" s="7" t="s">
        <x:v>263</x:v>
      </x:c>
      <x:c r="G39" s="7">
        <x:v>20</x:v>
      </x:c>
      <x:c r="H39" s="7" t="s">
        <x:v>264</x:v>
      </x:c>
      <x:c r="I39" s="7" t="s">
        <x:v>32</x:v>
      </x:c>
      <x:c r="J39" s="6">
        <x:v>92</x:v>
      </x:c>
      <x:c r="K39" s="6">
        <x:v>90</x:v>
      </x:c>
      <x:c r="L39" s="6">
        <x:v>91</x:v>
      </x:c>
      <x:c r="M39" s="6">
        <x:v>89</x:v>
      </x:c>
      <x:c r="N39" s="6">
        <x:v>91</x:v>
      </x:c>
      <x:c r="O39" s="6">
        <x:v>87</x:v>
      </x:c>
      <x:c r="P39" s="6">
        <x:v>12</x:v>
      </x:c>
      <x:c r="Q39" s="6">
        <x:v>5</x:v>
      </x:c>
      <x:c r="R39" s="6">
        <x:f t="shared" si="0"/>
        <x:v>90.4</x:v>
      </x:c>
      <x:c r="S39" s="6">
        <x:f t="shared" si="1"/>
        <x:v>89.75</x:v>
      </x:c>
      <x:c r="T39" s="6">
        <x:f t="shared" si="2"/>
        <x:v>90.075</x:v>
      </x:c>
      <x:c r="U39" s="7" t="s">
        <x:v>33</x:v>
      </x:c>
      <x:c r="V39" s="7" t="s">
        <x:v>34</x:v>
      </x:c>
      <x:c r="W39" s="7" t="s">
        <x:v>35</x:v>
      </x:c>
      <x:c r="X39" s="7" t="s">
        <x:v>36</x:v>
      </x:c>
      <x:c r="Y39" s="7" t="s">
        <x:v>265</x:v>
      </x:c>
    </x:row>
    <x:row r="40" ht="38" customHeight="1">
      <x:c r="A40" s="7" t="s">
        <x:v>266</x:v>
      </x:c>
      <x:c r="B40" s="7" t="s">
        <x:v>26</x:v>
      </x:c>
      <x:c r="C40" s="7" t="s">
        <x:v>27</x:v>
      </x:c>
      <x:c r="D40" s="7" t="s">
        <x:v>267</x:v>
      </x:c>
      <x:c r="E40" s="7" t="s">
        <x:v>268</x:v>
      </x:c>
      <x:c r="F40" s="7" t="s">
        <x:v>269</x:v>
      </x:c>
      <x:c r="G40" s="7">
        <x:v>59</x:v>
      </x:c>
      <x:c r="H40" s="7" t="s">
        <x:v>270</x:v>
      </x:c>
      <x:c r="I40" s="7" t="s">
        <x:v>32</x:v>
      </x:c>
      <x:c r="J40" s="6">
        <x:v>92</x:v>
      </x:c>
      <x:c r="K40" s="6">
        <x:v>90</x:v>
      </x:c>
      <x:c r="L40" s="6">
        <x:v>91</x:v>
      </x:c>
      <x:c r="M40" s="6">
        <x:v>89</x:v>
      </x:c>
      <x:c r="N40" s="6">
        <x:v>91</x:v>
      </x:c>
      <x:c r="O40" s="6">
        <x:v>87</x:v>
      </x:c>
      <x:c r="P40" s="6">
        <x:v>12</x:v>
      </x:c>
      <x:c r="Q40" s="6">
        <x:v>5</x:v>
      </x:c>
      <x:c r="R40" s="6">
        <x:f t="shared" si="0"/>
        <x:v>90.4</x:v>
      </x:c>
      <x:c r="S40" s="6">
        <x:f t="shared" si="1"/>
        <x:v>89.75</x:v>
      </x:c>
      <x:c r="T40" s="6">
        <x:f t="shared" si="2"/>
        <x:v>90.075</x:v>
      </x:c>
      <x:c r="U40" s="7" t="s">
        <x:v>33</x:v>
      </x:c>
      <x:c r="V40" s="7" t="s">
        <x:v>34</x:v>
      </x:c>
      <x:c r="W40" s="7" t="s">
        <x:v>35</x:v>
      </x:c>
      <x:c r="X40" s="7" t="s">
        <x:v>36</x:v>
      </x:c>
      <x:c r="Y40" s="7" t="s">
        <x:v>271</x:v>
      </x:c>
    </x:row>
    <x:row r="41" ht="38" customHeight="1">
      <x:c r="A41" s="7" t="s">
        <x:v>272</x:v>
      </x:c>
      <x:c r="B41" s="7" t="s">
        <x:v>26</x:v>
      </x:c>
      <x:c r="C41" s="7" t="s">
        <x:v>273</x:v>
      </x:c>
      <x:c r="D41" s="7" t="s">
        <x:v>274</x:v>
      </x:c>
      <x:c r="E41" s="7" t="s">
        <x:v>275</x:v>
      </x:c>
      <x:c r="F41" s="7" t="s">
        <x:v>276</x:v>
      </x:c>
      <x:c r="G41" s="7">
        <x:v>41</x:v>
      </x:c>
      <x:c r="H41" s="7" t="s">
        <x:v>277</x:v>
      </x:c>
      <x:c r="I41" s="7" t="s">
        <x:v>32</x:v>
      </x:c>
      <x:c r="J41" s="6">
        <x:v>92</x:v>
      </x:c>
      <x:c r="K41" s="6">
        <x:v>90</x:v>
      </x:c>
      <x:c r="L41" s="6">
        <x:v>91</x:v>
      </x:c>
      <x:c r="M41" s="6">
        <x:v>89</x:v>
      </x:c>
      <x:c r="N41" s="6">
        <x:v>91</x:v>
      </x:c>
      <x:c r="O41" s="6">
        <x:v>87</x:v>
      </x:c>
      <x:c r="P41" s="6">
        <x:v>12</x:v>
      </x:c>
      <x:c r="Q41" s="6">
        <x:v>5</x:v>
      </x:c>
      <x:c r="R41" s="6">
        <x:f t="shared" si="0"/>
        <x:v>90.4</x:v>
      </x:c>
      <x:c r="S41" s="6">
        <x:f t="shared" si="1"/>
        <x:v>89.75</x:v>
      </x:c>
      <x:c r="T41" s="6">
        <x:f t="shared" si="2"/>
        <x:v>90.075</x:v>
      </x:c>
      <x:c r="U41" s="7" t="s">
        <x:v>33</x:v>
      </x:c>
      <x:c r="V41" s="7" t="s">
        <x:v>34</x:v>
      </x:c>
      <x:c r="W41" s="7" t="s">
        <x:v>35</x:v>
      </x:c>
      <x:c r="X41" s="7" t="s">
        <x:v>36</x:v>
      </x:c>
      <x:c r="Y41" s="7" t="s">
        <x:v>278</x:v>
      </x:c>
    </x:row>
    <x:row r="42" ht="38" customHeight="1">
      <x:c r="A42" s="7" t="s">
        <x:v>279</x:v>
      </x:c>
      <x:c r="B42" s="7" t="s">
        <x:v>26</x:v>
      </x:c>
      <x:c r="C42" s="7" t="s">
        <x:v>27</x:v>
      </x:c>
      <x:c r="D42" s="7" t="s">
        <x:v>280</x:v>
      </x:c>
      <x:c r="E42" s="7" t="s">
        <x:v>281</x:v>
      </x:c>
      <x:c r="F42" s="7" t="s">
        <x:v>282</x:v>
      </x:c>
      <x:c r="G42" s="7" t="s">
        <x:v>75</x:v>
      </x:c>
      <x:c r="H42" s="7" t="s">
        <x:v>283</x:v>
      </x:c>
      <x:c r="I42" s="7" t="s">
        <x:v>32</x:v>
      </x:c>
      <x:c r="J42" s="6">
        <x:v>92</x:v>
      </x:c>
      <x:c r="K42" s="6">
        <x:v>90</x:v>
      </x:c>
      <x:c r="L42" s="6">
        <x:v>91</x:v>
      </x:c>
      <x:c r="M42" s="6">
        <x:v>89</x:v>
      </x:c>
      <x:c r="N42" s="6">
        <x:v>91</x:v>
      </x:c>
      <x:c r="O42" s="6">
        <x:v>87</x:v>
      </x:c>
      <x:c r="P42" s="6">
        <x:v>13</x:v>
      </x:c>
      <x:c r="Q42" s="6">
        <x:v>5</x:v>
      </x:c>
      <x:c r="R42" s="6">
        <x:f t="shared" si="0"/>
        <x:v>90.4</x:v>
      </x:c>
      <x:c r="S42" s="6">
        <x:f t="shared" si="1"/>
        <x:v>89.6</x:v>
      </x:c>
      <x:c r="T42" s="6">
        <x:f t="shared" si="2"/>
        <x:v>90</x:v>
      </x:c>
      <x:c r="U42" s="7" t="s">
        <x:v>33</x:v>
      </x:c>
      <x:c r="V42" s="7" t="s">
        <x:v>34</x:v>
      </x:c>
      <x:c r="W42" s="7" t="s">
        <x:v>35</x:v>
      </x:c>
      <x:c r="X42" s="7" t="s">
        <x:v>36</x:v>
      </x:c>
      <x:c r="Y42" s="7" t="s">
        <x:v>284</x:v>
      </x:c>
    </x:row>
    <x:row r="43" ht="38" customHeight="1">
      <x:c r="A43" s="7" t="s">
        <x:v>285</x:v>
      </x:c>
      <x:c r="B43" s="7" t="s">
        <x:v>26</x:v>
      </x:c>
      <x:c r="C43" s="7" t="s">
        <x:v>286</x:v>
      </x:c>
      <x:c r="D43" s="7" t="s">
        <x:v>287</x:v>
      </x:c>
      <x:c r="E43" s="7" t="s">
        <x:v>288</x:v>
      </x:c>
      <x:c r="F43" s="7" t="s">
        <x:v>289</x:v>
      </x:c>
      <x:c r="G43" s="7">
        <x:v>67</x:v>
      </x:c>
      <x:c r="H43" s="7" t="s">
        <x:v>290</x:v>
      </x:c>
      <x:c r="I43" s="7" t="s">
        <x:v>32</x:v>
      </x:c>
      <x:c r="J43" s="6">
        <x:v>92</x:v>
      </x:c>
      <x:c r="K43" s="6">
        <x:v>90</x:v>
      </x:c>
      <x:c r="L43" s="6">
        <x:v>91</x:v>
      </x:c>
      <x:c r="M43" s="6">
        <x:v>89</x:v>
      </x:c>
      <x:c r="N43" s="6">
        <x:v>91</x:v>
      </x:c>
      <x:c r="O43" s="6">
        <x:v>87</x:v>
      </x:c>
      <x:c r="P43" s="6">
        <x:v>13</x:v>
      </x:c>
      <x:c r="Q43" s="6">
        <x:v>5</x:v>
      </x:c>
      <x:c r="R43" s="6">
        <x:f t="shared" si="0"/>
        <x:v>90.4</x:v>
      </x:c>
      <x:c r="S43" s="6">
        <x:f t="shared" si="1"/>
        <x:v>89.6</x:v>
      </x:c>
      <x:c r="T43" s="6">
        <x:f t="shared" si="2"/>
        <x:v>90</x:v>
      </x:c>
      <x:c r="U43" s="7" t="s">
        <x:v>33</x:v>
      </x:c>
      <x:c r="V43" s="7" t="s">
        <x:v>34</x:v>
      </x:c>
      <x:c r="W43" s="7" t="s">
        <x:v>35</x:v>
      </x:c>
      <x:c r="X43" s="7" t="s">
        <x:v>36</x:v>
      </x:c>
      <x:c r="Y43" s="7" t="s">
        <x:v>291</x:v>
      </x:c>
    </x:row>
    <x:row r="44" ht="38" customHeight="1">
      <x:c r="A44" s="7" t="s">
        <x:v>292</x:v>
      </x:c>
      <x:c r="B44" s="7" t="s">
        <x:v>26</x:v>
      </x:c>
      <x:c r="C44" s="7" t="s">
        <x:v>79</x:v>
      </x:c>
      <x:c r="D44" s="7" t="s">
        <x:v>293</x:v>
      </x:c>
      <x:c r="E44" s="7" t="s">
        <x:v>294</x:v>
      </x:c>
      <x:c r="F44" s="7" t="s">
        <x:v>295</x:v>
      </x:c>
      <x:c r="G44" s="7">
        <x:v>22</x:v>
      </x:c>
      <x:c r="H44" s="7" t="s">
        <x:v>296</x:v>
      </x:c>
      <x:c r="I44" s="7" t="s">
        <x:v>32</x:v>
      </x:c>
      <x:c r="J44" s="6">
        <x:v>92</x:v>
      </x:c>
      <x:c r="K44" s="6">
        <x:v>90</x:v>
      </x:c>
      <x:c r="L44" s="6">
        <x:v>91</x:v>
      </x:c>
      <x:c r="M44" s="6">
        <x:v>88</x:v>
      </x:c>
      <x:c r="N44" s="6">
        <x:v>91</x:v>
      </x:c>
      <x:c r="O44" s="6">
        <x:v>87</x:v>
      </x:c>
      <x:c r="P44" s="6">
        <x:v>13</x:v>
      </x:c>
      <x:c r="Q44" s="6">
        <x:v>5</x:v>
      </x:c>
      <x:c r="R44" s="6">
        <x:f t="shared" si="0"/>
        <x:v>90.25</x:v>
      </x:c>
      <x:c r="S44" s="6">
        <x:f t="shared" si="1"/>
        <x:v>89.6</x:v>
      </x:c>
      <x:c r="T44" s="6">
        <x:f t="shared" si="2"/>
        <x:v>89.925</x:v>
      </x:c>
      <x:c r="U44" s="7" t="s">
        <x:v>33</x:v>
      </x:c>
      <x:c r="V44" s="7" t="s">
        <x:v>34</x:v>
      </x:c>
      <x:c r="W44" s="7" t="s">
        <x:v>35</x:v>
      </x:c>
      <x:c r="X44" s="7" t="s">
        <x:v>36</x:v>
      </x:c>
      <x:c r="Y44" s="7" t="s">
        <x:v>297</x:v>
      </x:c>
    </x:row>
    <x:row r="45" ht="38" customHeight="1">
      <x:c r="A45" s="7" t="s">
        <x:v>298</x:v>
      </x:c>
      <x:c r="B45" s="7" t="s">
        <x:v>26</x:v>
      </x:c>
      <x:c r="C45" s="7" t="s">
        <x:v>27</x:v>
      </x:c>
      <x:c r="D45" s="7" t="s">
        <x:v>299</x:v>
      </x:c>
      <x:c r="E45" s="7" t="s">
        <x:v>300</x:v>
      </x:c>
      <x:c r="F45" s="7" t="s">
        <x:v>301</x:v>
      </x:c>
      <x:c r="G45" s="7" t="s">
        <x:v>75</x:v>
      </x:c>
      <x:c r="H45" s="7" t="s">
        <x:v>302</x:v>
      </x:c>
      <x:c r="I45" s="7" t="s">
        <x:v>32</x:v>
      </x:c>
      <x:c r="J45" s="6">
        <x:v>91</x:v>
      </x:c>
      <x:c r="K45" s="6">
        <x:v>90</x:v>
      </x:c>
      <x:c r="L45" s="6">
        <x:v>91</x:v>
      </x:c>
      <x:c r="M45" s="6">
        <x:v>88</x:v>
      </x:c>
      <x:c r="N45" s="6">
        <x:v>91</x:v>
      </x:c>
      <x:c r="O45" s="6">
        <x:v>87</x:v>
      </x:c>
      <x:c r="P45" s="6">
        <x:v>13</x:v>
      </x:c>
      <x:c r="Q45" s="6">
        <x:v>5</x:v>
      </x:c>
      <x:c r="R45" s="6">
        <x:f t="shared" si="0"/>
        <x:v>89.95</x:v>
      </x:c>
      <x:c r="S45" s="6">
        <x:f t="shared" si="1"/>
        <x:v>89.6</x:v>
      </x:c>
      <x:c r="T45" s="6">
        <x:f t="shared" si="2"/>
        <x:v>89.775</x:v>
      </x:c>
      <x:c r="U45" s="7" t="s">
        <x:v>33</x:v>
      </x:c>
      <x:c r="V45" s="7" t="s">
        <x:v>34</x:v>
      </x:c>
      <x:c r="W45" s="7" t="s">
        <x:v>35</x:v>
      </x:c>
      <x:c r="X45" s="7" t="s">
        <x:v>36</x:v>
      </x:c>
      <x:c r="Y45" s="7" t="s">
        <x:v>303</x:v>
      </x:c>
    </x:row>
    <x:row r="46" ht="38" customHeight="1">
      <x:c r="A46" s="7" t="s">
        <x:v>304</x:v>
      </x:c>
      <x:c r="B46" s="7" t="s">
        <x:v>26</x:v>
      </x:c>
      <x:c r="C46" s="7" t="s">
        <x:v>79</x:v>
      </x:c>
      <x:c r="D46" s="7" t="s">
        <x:v>305</x:v>
      </x:c>
      <x:c r="E46" s="7" t="s">
        <x:v>306</x:v>
      </x:c>
      <x:c r="F46" s="7" t="s">
        <x:v>307</x:v>
      </x:c>
      <x:c r="G46" s="7" t="s">
        <x:v>75</x:v>
      </x:c>
      <x:c r="H46" s="7" t="s">
        <x:v>308</x:v>
      </x:c>
      <x:c r="I46" s="7" t="s">
        <x:v>32</x:v>
      </x:c>
      <x:c r="J46" s="6">
        <x:v>91</x:v>
      </x:c>
      <x:c r="K46" s="6">
        <x:v>90</x:v>
      </x:c>
      <x:c r="L46" s="6">
        <x:v>90</x:v>
      </x:c>
      <x:c r="M46" s="6">
        <x:v>88</x:v>
      </x:c>
      <x:c r="N46" s="6">
        <x:v>91</x:v>
      </x:c>
      <x:c r="O46" s="6">
        <x:v>87</x:v>
      </x:c>
      <x:c r="P46" s="6">
        <x:v>13</x:v>
      </x:c>
      <x:c r="Q46" s="6">
        <x:v>5</x:v>
      </x:c>
      <x:c r="R46" s="6">
        <x:f t="shared" si="0"/>
        <x:v>89.7</x:v>
      </x:c>
      <x:c r="S46" s="6">
        <x:f t="shared" si="1"/>
        <x:v>89.4</x:v>
      </x:c>
      <x:c r="T46" s="6">
        <x:f t="shared" si="2"/>
        <x:v>89.55</x:v>
      </x:c>
      <x:c r="U46" s="7" t="s">
        <x:v>33</x:v>
      </x:c>
      <x:c r="V46" s="7" t="s">
        <x:v>34</x:v>
      </x:c>
      <x:c r="W46" s="7" t="s">
        <x:v>35</x:v>
      </x:c>
      <x:c r="X46" s="7" t="s">
        <x:v>36</x:v>
      </x:c>
      <x:c r="Y46" s="7" t="s">
        <x:v>309</x:v>
      </x:c>
    </x:row>
    <x:row r="47" ht="38" customHeight="1">
      <x:c r="A47" s="7" t="s">
        <x:v>310</x:v>
      </x:c>
      <x:c r="B47" s="7" t="s">
        <x:v>26</x:v>
      </x:c>
      <x:c r="C47" s="7" t="s">
        <x:v>311</x:v>
      </x:c>
      <x:c r="D47" s="7" t="s">
        <x:v>312</x:v>
      </x:c>
      <x:c r="E47" s="7" t="s">
        <x:v>313</x:v>
      </x:c>
      <x:c r="F47" s="7" t="s">
        <x:v>314</x:v>
      </x:c>
      <x:c r="G47" s="7" t="s">
        <x:v>75</x:v>
      </x:c>
      <x:c r="H47" s="7" t="s">
        <x:v>315</x:v>
      </x:c>
      <x:c r="I47" s="7" t="s">
        <x:v>32</x:v>
      </x:c>
      <x:c r="J47" s="6">
        <x:v>91</x:v>
      </x:c>
      <x:c r="K47" s="6">
        <x:v>90</x:v>
      </x:c>
      <x:c r="L47" s="6">
        <x:v>90</x:v>
      </x:c>
      <x:c r="M47" s="6">
        <x:v>88</x:v>
      </x:c>
      <x:c r="N47" s="6">
        <x:v>91</x:v>
      </x:c>
      <x:c r="O47" s="6">
        <x:v>87</x:v>
      </x:c>
      <x:c r="P47" s="6">
        <x:v>13</x:v>
      </x:c>
      <x:c r="Q47" s="6">
        <x:v>5</x:v>
      </x:c>
      <x:c r="R47" s="6">
        <x:f t="shared" si="0"/>
        <x:v>89.7</x:v>
      </x:c>
      <x:c r="S47" s="6">
        <x:f t="shared" si="1"/>
        <x:v>89.4</x:v>
      </x:c>
      <x:c r="T47" s="6">
        <x:f t="shared" si="2"/>
        <x:v>89.55</x:v>
      </x:c>
      <x:c r="U47" s="7" t="s">
        <x:v>33</x:v>
      </x:c>
      <x:c r="V47" s="7" t="s">
        <x:v>34</x:v>
      </x:c>
      <x:c r="W47" s="7" t="s">
        <x:v>35</x:v>
      </x:c>
      <x:c r="X47" s="7" t="s">
        <x:v>36</x:v>
      </x:c>
      <x:c r="Y47" s="7" t="s">
        <x:v>316</x:v>
      </x:c>
    </x:row>
    <x:row r="48" ht="38" customHeight="1">
      <x:c r="A48" s="7" t="s">
        <x:v>317</x:v>
      </x:c>
      <x:c r="B48" s="7" t="s">
        <x:v>26</x:v>
      </x:c>
      <x:c r="C48" s="7" t="s">
        <x:v>106</x:v>
      </x:c>
      <x:c r="D48" s="7" t="s">
        <x:v>318</x:v>
      </x:c>
      <x:c r="E48" s="7" t="s">
        <x:v>319</x:v>
      </x:c>
      <x:c r="F48" s="7" t="s">
        <x:v>320</x:v>
      </x:c>
      <x:c r="G48" s="7">
        <x:v>34</x:v>
      </x:c>
      <x:c r="H48" s="7" t="s">
        <x:v>321</x:v>
      </x:c>
      <x:c r="I48" s="7" t="s">
        <x:v>32</x:v>
      </x:c>
      <x:c r="J48" s="6">
        <x:v>92</x:v>
      </x:c>
      <x:c r="K48" s="6">
        <x:v>89</x:v>
      </x:c>
      <x:c r="L48" s="6">
        <x:v>90</x:v>
      </x:c>
      <x:c r="M48" s="6">
        <x:v>88</x:v>
      </x:c>
      <x:c r="N48" s="6">
        <x:v>91</x:v>
      </x:c>
      <x:c r="O48" s="6">
        <x:v>86</x:v>
      </x:c>
      <x:c r="P48" s="6">
        <x:v>14</x:v>
      </x:c>
      <x:c r="Q48" s="6">
        <x:v>5</x:v>
      </x:c>
      <x:c r="R48" s="6">
        <x:f t="shared" si="0"/>
        <x:v>89.7</x:v>
      </x:c>
      <x:c r="S48" s="6">
        <x:f t="shared" si="1"/>
        <x:v>88.9</x:v>
      </x:c>
      <x:c r="T48" s="6">
        <x:f t="shared" si="2"/>
        <x:v>89.3</x:v>
      </x:c>
      <x:c r="U48" s="7" t="s">
        <x:v>33</x:v>
      </x:c>
      <x:c r="V48" s="7" t="s">
        <x:v>34</x:v>
      </x:c>
      <x:c r="W48" s="7" t="s">
        <x:v>35</x:v>
      </x:c>
      <x:c r="X48" s="7" t="s">
        <x:v>36</x:v>
      </x:c>
      <x:c r="Y48" s="7" t="s">
        <x:v>322</x:v>
      </x:c>
    </x:row>
    <x:row r="49" ht="38" customHeight="1">
      <x:c r="A49" s="7" t="s">
        <x:v>323</x:v>
      </x:c>
      <x:c r="B49" s="7" t="s">
        <x:v>26</x:v>
      </x:c>
      <x:c r="C49" s="7" t="s">
        <x:v>79</x:v>
      </x:c>
      <x:c r="D49" s="7" t="s">
        <x:v>324</x:v>
      </x:c>
      <x:c r="E49" s="7" t="s">
        <x:v>325</x:v>
      </x:c>
      <x:c r="F49" s="7" t="s">
        <x:v>326</x:v>
      </x:c>
      <x:c r="G49" s="7" t="s">
        <x:v>75</x:v>
      </x:c>
      <x:c r="H49" s="7" t="s">
        <x:v>327</x:v>
      </x:c>
      <x:c r="I49" s="7" t="s">
        <x:v>32</x:v>
      </x:c>
      <x:c r="J49" s="6">
        <x:v>91</x:v>
      </x:c>
      <x:c r="K49" s="6">
        <x:v>90</x:v>
      </x:c>
      <x:c r="L49" s="6">
        <x:v>90</x:v>
      </x:c>
      <x:c r="M49" s="6">
        <x:v>88</x:v>
      </x:c>
      <x:c r="N49" s="6">
        <x:v>91</x:v>
      </x:c>
      <x:c r="O49" s="6">
        <x:v>87</x:v>
      </x:c>
      <x:c r="P49" s="6">
        <x:v>18</x:v>
      </x:c>
      <x:c r="Q49" s="6">
        <x:v>5</x:v>
      </x:c>
      <x:c r="R49" s="6">
        <x:f t="shared" si="0"/>
        <x:v>89.7</x:v>
      </x:c>
      <x:c r="S49" s="6">
        <x:f t="shared" si="1"/>
        <x:v>88.65</x:v>
      </x:c>
      <x:c r="T49" s="6">
        <x:f t="shared" si="2"/>
        <x:v>89.175</x:v>
      </x:c>
      <x:c r="U49" s="7" t="s">
        <x:v>33</x:v>
      </x:c>
      <x:c r="V49" s="7" t="s">
        <x:v>34</x:v>
      </x:c>
      <x:c r="W49" s="7" t="s">
        <x:v>35</x:v>
      </x:c>
      <x:c r="X49" s="7" t="s">
        <x:v>36</x:v>
      </x:c>
      <x:c r="Y49" s="7" t="s">
        <x:v>328</x:v>
      </x:c>
    </x:row>
    <x:row r="50" ht="38" customHeight="1">
      <x:c r="A50" s="7" t="s">
        <x:v>329</x:v>
      </x:c>
      <x:c r="B50" s="7" t="s">
        <x:v>26</x:v>
      </x:c>
      <x:c r="C50" s="7" t="s">
        <x:v>79</x:v>
      </x:c>
      <x:c r="D50" s="7" t="s">
        <x:v>330</x:v>
      </x:c>
      <x:c r="E50" s="7" t="s">
        <x:v>331</x:v>
      </x:c>
      <x:c r="F50" s="7" t="s">
        <x:v>332</x:v>
      </x:c>
      <x:c r="G50" s="7">
        <x:v>24</x:v>
      </x:c>
      <x:c r="H50" s="7" t="s">
        <x:v>333</x:v>
      </x:c>
      <x:c r="I50" s="7" t="s">
        <x:v>32</x:v>
      </x:c>
      <x:c r="J50" s="6">
        <x:v>91</x:v>
      </x:c>
      <x:c r="K50" s="6">
        <x:v>89</x:v>
      </x:c>
      <x:c r="L50" s="6">
        <x:v>90</x:v>
      </x:c>
      <x:c r="M50" s="6">
        <x:v>88</x:v>
      </x:c>
      <x:c r="N50" s="6">
        <x:v>90</x:v>
      </x:c>
      <x:c r="O50" s="6">
        <x:v>86</x:v>
      </x:c>
      <x:c r="P50" s="6">
        <x:v>14</x:v>
      </x:c>
      <x:c r="Q50" s="6">
        <x:v>5</x:v>
      </x:c>
      <x:c r="R50" s="6">
        <x:f t="shared" si="0"/>
        <x:v>89.4</x:v>
      </x:c>
      <x:c r="S50" s="6">
        <x:f t="shared" si="1"/>
        <x:v>88.6</x:v>
      </x:c>
      <x:c r="T50" s="6">
        <x:f t="shared" si="2"/>
        <x:v>89</x:v>
      </x:c>
      <x:c r="U50" s="7" t="s">
        <x:v>33</x:v>
      </x:c>
      <x:c r="V50" s="7" t="s">
        <x:v>34</x:v>
      </x:c>
      <x:c r="W50" s="7" t="s">
        <x:v>35</x:v>
      </x:c>
      <x:c r="X50" s="7" t="s">
        <x:v>36</x:v>
      </x:c>
      <x:c r="Y50" s="7" t="s">
        <x:v>334</x:v>
      </x:c>
    </x:row>
    <x:row r="51" ht="38" customHeight="1">
      <x:c r="A51" s="7" t="s">
        <x:v>335</x:v>
      </x:c>
      <x:c r="B51" s="7" t="s">
        <x:v>26</x:v>
      </x:c>
      <x:c r="C51" s="7" t="s">
        <x:v>273</x:v>
      </x:c>
      <x:c r="D51" s="7" t="s">
        <x:v>336</x:v>
      </x:c>
      <x:c r="E51" s="7" t="s">
        <x:v>337</x:v>
      </x:c>
      <x:c r="F51" s="7" t="s">
        <x:v>338</x:v>
      </x:c>
      <x:c r="G51" s="7" t="s">
        <x:v>75</x:v>
      </x:c>
      <x:c r="H51" s="7" t="s">
        <x:v>339</x:v>
      </x:c>
      <x:c r="I51" s="7" t="s">
        <x:v>32</x:v>
      </x:c>
      <x:c r="J51" s="6">
        <x:v>91</x:v>
      </x:c>
      <x:c r="K51" s="6">
        <x:v>89</x:v>
      </x:c>
      <x:c r="L51" s="6">
        <x:v>90</x:v>
      </x:c>
      <x:c r="M51" s="6">
        <x:v>88</x:v>
      </x:c>
      <x:c r="N51" s="6">
        <x:v>90</x:v>
      </x:c>
      <x:c r="O51" s="6">
        <x:v>86</x:v>
      </x:c>
      <x:c r="P51" s="6">
        <x:v>14</x:v>
      </x:c>
      <x:c r="Q51" s="6">
        <x:v>5</x:v>
      </x:c>
      <x:c r="R51" s="6">
        <x:f t="shared" si="0"/>
        <x:v>89.4</x:v>
      </x:c>
      <x:c r="S51" s="6">
        <x:f t="shared" si="1"/>
        <x:v>88.6</x:v>
      </x:c>
      <x:c r="T51" s="6">
        <x:f t="shared" si="2"/>
        <x:v>89</x:v>
      </x:c>
      <x:c r="U51" s="7" t="s">
        <x:v>33</x:v>
      </x:c>
      <x:c r="V51" s="7" t="s">
        <x:v>34</x:v>
      </x:c>
      <x:c r="W51" s="7" t="s">
        <x:v>35</x:v>
      </x:c>
      <x:c r="X51" s="7" t="s">
        <x:v>36</x:v>
      </x:c>
      <x:c r="Y51" s="7" t="s">
        <x:v>340</x:v>
      </x:c>
    </x:row>
    <x:row r="52" ht="38" customHeight="1">
      <x:c r="A52" s="7" t="s">
        <x:v>341</x:v>
      </x:c>
      <x:c r="B52" s="7" t="s">
        <x:v>26</x:v>
      </x:c>
      <x:c r="C52" s="7" t="s">
        <x:v>79</x:v>
      </x:c>
      <x:c r="D52" s="7" t="s">
        <x:v>342</x:v>
      </x:c>
      <x:c r="E52" s="7" t="s">
        <x:v>343</x:v>
      </x:c>
      <x:c r="F52" s="7" t="s">
        <x:v>344</x:v>
      </x:c>
      <x:c r="G52" s="7" t="s">
        <x:v>75</x:v>
      </x:c>
      <x:c r="H52" s="7" t="s">
        <x:v>345</x:v>
      </x:c>
      <x:c r="I52" s="7" t="s">
        <x:v>32</x:v>
      </x:c>
      <x:c r="J52" s="6">
        <x:v>91</x:v>
      </x:c>
      <x:c r="K52" s="6">
        <x:v>89</x:v>
      </x:c>
      <x:c r="L52" s="6">
        <x:v>90</x:v>
      </x:c>
      <x:c r="M52" s="6">
        <x:v>88</x:v>
      </x:c>
      <x:c r="N52" s="6">
        <x:v>90</x:v>
      </x:c>
      <x:c r="O52" s="6">
        <x:v>86</x:v>
      </x:c>
      <x:c r="P52" s="6">
        <x:v>14</x:v>
      </x:c>
      <x:c r="Q52" s="6">
        <x:v>5</x:v>
      </x:c>
      <x:c r="R52" s="6">
        <x:f t="shared" si="0"/>
        <x:v>89.4</x:v>
      </x:c>
      <x:c r="S52" s="6">
        <x:f t="shared" si="1"/>
        <x:v>88.6</x:v>
      </x:c>
      <x:c r="T52" s="6">
        <x:f t="shared" si="2"/>
        <x:v>89</x:v>
      </x:c>
      <x:c r="U52" s="7" t="s">
        <x:v>33</x:v>
      </x:c>
      <x:c r="V52" s="7" t="s">
        <x:v>34</x:v>
      </x:c>
      <x:c r="W52" s="7" t="s">
        <x:v>346</x:v>
      </x:c>
      <x:c r="X52" s="7" t="s">
        <x:v>36</x:v>
      </x:c>
      <x:c r="Y52" s="7" t="s">
        <x:v>347</x:v>
      </x:c>
    </x:row>
    <x:row r="53" ht="38" customHeight="1">
      <x:c r="A53" s="7" t="s">
        <x:v>348</x:v>
      </x:c>
      <x:c r="B53" s="7" t="s">
        <x:v>26</x:v>
      </x:c>
      <x:c r="C53" s="7" t="s">
        <x:v>79</x:v>
      </x:c>
      <x:c r="D53" s="7" t="s">
        <x:v>349</x:v>
      </x:c>
      <x:c r="E53" s="7" t="s">
        <x:v>350</x:v>
      </x:c>
      <x:c r="F53" s="7" t="s">
        <x:v>351</x:v>
      </x:c>
      <x:c r="G53" s="7" t="s">
        <x:v>75</x:v>
      </x:c>
      <x:c r="H53" s="7" t="s">
        <x:v>352</x:v>
      </x:c>
      <x:c r="I53" s="7" t="s">
        <x:v>32</x:v>
      </x:c>
      <x:c r="J53" s="6">
        <x:v>91</x:v>
      </x:c>
      <x:c r="K53" s="6">
        <x:v>89</x:v>
      </x:c>
      <x:c r="L53" s="6">
        <x:v>90</x:v>
      </x:c>
      <x:c r="M53" s="6">
        <x:v>88</x:v>
      </x:c>
      <x:c r="N53" s="6">
        <x:v>90</x:v>
      </x:c>
      <x:c r="O53" s="6">
        <x:v>86</x:v>
      </x:c>
      <x:c r="P53" s="6">
        <x:v>14</x:v>
      </x:c>
      <x:c r="Q53" s="6">
        <x:v>5</x:v>
      </x:c>
      <x:c r="R53" s="6">
        <x:f t="shared" si="0"/>
        <x:v>89.4</x:v>
      </x:c>
      <x:c r="S53" s="6">
        <x:f t="shared" si="1"/>
        <x:v>88.6</x:v>
      </x:c>
      <x:c r="T53" s="6">
        <x:f t="shared" si="2"/>
        <x:v>89</x:v>
      </x:c>
      <x:c r="U53" s="7" t="s">
        <x:v>33</x:v>
      </x:c>
      <x:c r="V53" s="7" t="s">
        <x:v>34</x:v>
      </x:c>
      <x:c r="W53" s="7" t="s">
        <x:v>346</x:v>
      </x:c>
      <x:c r="X53" s="7" t="s">
        <x:v>36</x:v>
      </x:c>
      <x:c r="Y53" s="7" t="s">
        <x:v>353</x:v>
      </x:c>
    </x:row>
    <x:row r="54" ht="38" customHeight="1">
      <x:c r="A54" s="7" t="s">
        <x:v>354</x:v>
      </x:c>
      <x:c r="B54" s="7" t="s">
        <x:v>26</x:v>
      </x:c>
      <x:c r="C54" s="7" t="s">
        <x:v>27</x:v>
      </x:c>
      <x:c r="D54" s="7" t="s">
        <x:v>355</x:v>
      </x:c>
      <x:c r="E54" s="7" t="s">
        <x:v>356</x:v>
      </x:c>
      <x:c r="F54" s="7" t="s">
        <x:v>357</x:v>
      </x:c>
      <x:c r="G54" s="7" t="s">
        <x:v>75</x:v>
      </x:c>
      <x:c r="H54" s="7" t="s">
        <x:v>358</x:v>
      </x:c>
      <x:c r="I54" s="7" t="s">
        <x:v>32</x:v>
      </x:c>
      <x:c r="J54" s="6">
        <x:v>91</x:v>
      </x:c>
      <x:c r="K54" s="6">
        <x:v>89</x:v>
      </x:c>
      <x:c r="L54" s="6">
        <x:v>90</x:v>
      </x:c>
      <x:c r="M54" s="6">
        <x:v>88</x:v>
      </x:c>
      <x:c r="N54" s="6">
        <x:v>90</x:v>
      </x:c>
      <x:c r="O54" s="6">
        <x:v>86</x:v>
      </x:c>
      <x:c r="P54" s="6">
        <x:v>14</x:v>
      </x:c>
      <x:c r="Q54" s="6">
        <x:v>5</x:v>
      </x:c>
      <x:c r="R54" s="6">
        <x:f t="shared" si="0"/>
        <x:v>89.4</x:v>
      </x:c>
      <x:c r="S54" s="6">
        <x:f t="shared" si="1"/>
        <x:v>88.6</x:v>
      </x:c>
      <x:c r="T54" s="6">
        <x:f t="shared" si="2"/>
        <x:v>89</x:v>
      </x:c>
      <x:c r="U54" s="7" t="s">
        <x:v>33</x:v>
      </x:c>
      <x:c r="V54" s="7" t="s">
        <x:v>34</x:v>
      </x:c>
      <x:c r="W54" s="7" t="s">
        <x:v>346</x:v>
      </x:c>
      <x:c r="X54" s="7" t="s">
        <x:v>36</x:v>
      </x:c>
      <x:c r="Y54" s="7" t="s">
        <x:v>359</x:v>
      </x:c>
    </x:row>
    <x:row r="55" ht="38" customHeight="1">
      <x:c r="A55" s="7" t="s">
        <x:v>360</x:v>
      </x:c>
      <x:c r="B55" s="7" t="s">
        <x:v>26</x:v>
      </x:c>
      <x:c r="C55" s="7" t="s">
        <x:v>27</x:v>
      </x:c>
      <x:c r="D55" s="7" t="s">
        <x:v>361</x:v>
      </x:c>
      <x:c r="E55" s="7" t="s">
        <x:v>362</x:v>
      </x:c>
      <x:c r="F55" s="7" t="s">
        <x:v>363</x:v>
      </x:c>
      <x:c r="G55" s="7">
        <x:v>20</x:v>
      </x:c>
      <x:c r="H55" s="7" t="s">
        <x:v>364</x:v>
      </x:c>
      <x:c r="I55" s="7" t="s">
        <x:v>32</x:v>
      </x:c>
      <x:c r="J55" s="6">
        <x:v>91</x:v>
      </x:c>
      <x:c r="K55" s="6">
        <x:v>89</x:v>
      </x:c>
      <x:c r="L55" s="6">
        <x:v>90</x:v>
      </x:c>
      <x:c r="M55" s="6">
        <x:v>87</x:v>
      </x:c>
      <x:c r="N55" s="6">
        <x:v>90</x:v>
      </x:c>
      <x:c r="O55" s="6">
        <x:v>86</x:v>
      </x:c>
      <x:c r="P55" s="6">
        <x:v>14</x:v>
      </x:c>
      <x:c r="Q55" s="6">
        <x:v>5</x:v>
      </x:c>
      <x:c r="R55" s="6">
        <x:f t="shared" si="0"/>
        <x:v>89.25</x:v>
      </x:c>
      <x:c r="S55" s="6">
        <x:f t="shared" si="1"/>
        <x:v>88.6</x:v>
      </x:c>
      <x:c r="T55" s="6">
        <x:f t="shared" si="2"/>
        <x:v>88.925</x:v>
      </x:c>
      <x:c r="U55" s="7" t="s">
        <x:v>33</x:v>
      </x:c>
      <x:c r="V55" s="7" t="s">
        <x:v>34</x:v>
      </x:c>
      <x:c r="W55" s="7" t="s">
        <x:v>346</x:v>
      </x:c>
      <x:c r="X55" s="7" t="s">
        <x:v>36</x:v>
      </x:c>
      <x:c r="Y55" s="7" t="s">
        <x:v>365</x:v>
      </x:c>
    </x:row>
    <x:row r="56" ht="38" customHeight="1">
      <x:c r="A56" s="7" t="s">
        <x:v>366</x:v>
      </x:c>
      <x:c r="B56" s="7" t="s">
        <x:v>26</x:v>
      </x:c>
      <x:c r="C56" s="7" t="s">
        <x:v>27</x:v>
      </x:c>
      <x:c r="D56" s="7" t="s">
        <x:v>367</x:v>
      </x:c>
      <x:c r="E56" s="7" t="s">
        <x:v>368</x:v>
      </x:c>
      <x:c r="F56" s="7" t="s">
        <x:v>369</x:v>
      </x:c>
      <x:c r="G56" s="7">
        <x:v>15</x:v>
      </x:c>
      <x:c r="H56" s="7" t="s">
        <x:v>370</x:v>
      </x:c>
      <x:c r="I56" s="7" t="s">
        <x:v>32</x:v>
      </x:c>
      <x:c r="J56" s="6">
        <x:v>90</x:v>
      </x:c>
      <x:c r="K56" s="6">
        <x:v>89</x:v>
      </x:c>
      <x:c r="L56" s="6">
        <x:v>90</x:v>
      </x:c>
      <x:c r="M56" s="6">
        <x:v>87</x:v>
      </x:c>
      <x:c r="N56" s="6">
        <x:v>90</x:v>
      </x:c>
      <x:c r="O56" s="6">
        <x:v>86</x:v>
      </x:c>
      <x:c r="P56" s="6">
        <x:v>15</x:v>
      </x:c>
      <x:c r="Q56" s="6">
        <x:v>5</x:v>
      </x:c>
      <x:c r="R56" s="6">
        <x:f t="shared" si="0"/>
        <x:v>88.95</x:v>
      </x:c>
      <x:c r="S56" s="6">
        <x:f t="shared" si="1"/>
        <x:v>88.45</x:v>
      </x:c>
      <x:c r="T56" s="6">
        <x:f t="shared" si="2"/>
        <x:v>88.7</x:v>
      </x:c>
      <x:c r="U56" s="7" t="s">
        <x:v>33</x:v>
      </x:c>
      <x:c r="V56" s="7" t="s">
        <x:v>34</x:v>
      </x:c>
      <x:c r="W56" s="7" t="s">
        <x:v>346</x:v>
      </x:c>
      <x:c r="X56" s="7" t="s">
        <x:v>36</x:v>
      </x:c>
      <x:c r="Y56" s="7" t="s">
        <x:v>371</x:v>
      </x:c>
    </x:row>
    <x:row r="57" ht="38" customHeight="1">
      <x:c r="A57" s="7" t="s">
        <x:v>372</x:v>
      </x:c>
      <x:c r="B57" s="7" t="s">
        <x:v>26</x:v>
      </x:c>
      <x:c r="C57" s="7" t="s">
        <x:v>79</x:v>
      </x:c>
      <x:c r="D57" s="7" t="s">
        <x:v>373</x:v>
      </x:c>
      <x:c r="E57" s="7" t="s">
        <x:v>374</x:v>
      </x:c>
      <x:c r="F57" s="7" t="s">
        <x:v>375</x:v>
      </x:c>
      <x:c r="G57" s="7">
        <x:v>29</x:v>
      </x:c>
      <x:c r="H57" s="7" t="s">
        <x:v>376</x:v>
      </x:c>
      <x:c r="I57" s="7" t="s">
        <x:v>32</x:v>
      </x:c>
      <x:c r="J57" s="6">
        <x:v>90</x:v>
      </x:c>
      <x:c r="K57" s="6">
        <x:v>89</x:v>
      </x:c>
      <x:c r="L57" s="6">
        <x:v>89</x:v>
      </x:c>
      <x:c r="M57" s="6">
        <x:v>87</x:v>
      </x:c>
      <x:c r="N57" s="6">
        <x:v>90</x:v>
      </x:c>
      <x:c r="O57" s="6">
        <x:v>86</x:v>
      </x:c>
      <x:c r="P57" s="6">
        <x:v>15</x:v>
      </x:c>
      <x:c r="Q57" s="6">
        <x:v>5</x:v>
      </x:c>
      <x:c r="R57" s="6">
        <x:f t="shared" si="0"/>
        <x:v>88.7</x:v>
      </x:c>
      <x:c r="S57" s="6">
        <x:f t="shared" si="1"/>
        <x:v>88.25</x:v>
      </x:c>
      <x:c r="T57" s="6">
        <x:f t="shared" si="2"/>
        <x:v>88.475</x:v>
      </x:c>
      <x:c r="U57" s="7" t="s">
        <x:v>33</x:v>
      </x:c>
      <x:c r="V57" s="7" t="s">
        <x:v>34</x:v>
      </x:c>
      <x:c r="W57" s="7" t="s">
        <x:v>346</x:v>
      </x:c>
      <x:c r="X57" s="7" t="s">
        <x:v>36</x:v>
      </x:c>
      <x:c r="Y57" s="7" t="s">
        <x:v>377</x:v>
      </x:c>
    </x:row>
    <x:row r="58" ht="38" customHeight="1">
      <x:c r="A58" s="7" t="s">
        <x:v>378</x:v>
      </x:c>
      <x:c r="B58" s="7" t="s">
        <x:v>26</x:v>
      </x:c>
      <x:c r="C58" s="7" t="s">
        <x:v>379</x:v>
      </x:c>
      <x:c r="D58" s="7" t="s">
        <x:v>380</x:v>
      </x:c>
      <x:c r="E58" s="7" t="s">
        <x:v>381</x:v>
      </x:c>
      <x:c r="F58" s="7" t="s">
        <x:v>382</x:v>
      </x:c>
      <x:c r="G58" s="7" t="s">
        <x:v>75</x:v>
      </x:c>
      <x:c r="H58" s="7" t="s">
        <x:v>383</x:v>
      </x:c>
      <x:c r="I58" s="7" t="s">
        <x:v>32</x:v>
      </x:c>
      <x:c r="J58" s="6">
        <x:v>90</x:v>
      </x:c>
      <x:c r="K58" s="6">
        <x:v>89</x:v>
      </x:c>
      <x:c r="L58" s="6">
        <x:v>89</x:v>
      </x:c>
      <x:c r="M58" s="6">
        <x:v>87</x:v>
      </x:c>
      <x:c r="N58" s="6">
        <x:v>90</x:v>
      </x:c>
      <x:c r="O58" s="6">
        <x:v>86</x:v>
      </x:c>
      <x:c r="P58" s="6">
        <x:v>15</x:v>
      </x:c>
      <x:c r="Q58" s="6">
        <x:v>5</x:v>
      </x:c>
      <x:c r="R58" s="6">
        <x:f t="shared" si="0"/>
        <x:v>88.7</x:v>
      </x:c>
      <x:c r="S58" s="6">
        <x:f t="shared" si="1"/>
        <x:v>88.25</x:v>
      </x:c>
      <x:c r="T58" s="6">
        <x:f t="shared" si="2"/>
        <x:v>88.475</x:v>
      </x:c>
      <x:c r="U58" s="7" t="s">
        <x:v>33</x:v>
      </x:c>
      <x:c r="V58" s="7" t="s">
        <x:v>34</x:v>
      </x:c>
      <x:c r="W58" s="7" t="s">
        <x:v>346</x:v>
      </x:c>
      <x:c r="X58" s="7" t="s">
        <x:v>36</x:v>
      </x:c>
      <x:c r="Y58" s="7" t="s">
        <x:v>384</x:v>
      </x:c>
    </x:row>
    <x:row r="59" ht="38" customHeight="1">
      <x:c r="A59" s="7" t="s">
        <x:v>385</x:v>
      </x:c>
      <x:c r="B59" s="7" t="s">
        <x:v>26</x:v>
      </x:c>
      <x:c r="C59" s="7" t="s">
        <x:v>386</x:v>
      </x:c>
      <x:c r="D59" s="7" t="s">
        <x:v>387</x:v>
      </x:c>
      <x:c r="E59" s="7" t="s">
        <x:v>388</x:v>
      </x:c>
      <x:c r="F59" s="7" t="s">
        <x:v>389</x:v>
      </x:c>
      <x:c r="G59" s="7" t="s">
        <x:v>75</x:v>
      </x:c>
      <x:c r="H59" s="7" t="s">
        <x:v>390</x:v>
      </x:c>
      <x:c r="I59" s="7" t="s">
        <x:v>32</x:v>
      </x:c>
      <x:c r="J59" s="6">
        <x:v>91</x:v>
      </x:c>
      <x:c r="K59" s="6">
        <x:v>88</x:v>
      </x:c>
      <x:c r="L59" s="6">
        <x:v>89</x:v>
      </x:c>
      <x:c r="M59" s="6">
        <x:v>87</x:v>
      </x:c>
      <x:c r="N59" s="6">
        <x:v>90</x:v>
      </x:c>
      <x:c r="O59" s="6">
        <x:v>85</x:v>
      </x:c>
      <x:c r="P59" s="6">
        <x:v>15</x:v>
      </x:c>
      <x:c r="Q59" s="6">
        <x:v>5</x:v>
      </x:c>
      <x:c r="R59" s="6">
        <x:f t="shared" si="0"/>
        <x:v>88.7</x:v>
      </x:c>
      <x:c r="S59" s="6">
        <x:f t="shared" si="1"/>
        <x:v>87.9</x:v>
      </x:c>
      <x:c r="T59" s="6">
        <x:f t="shared" si="2"/>
        <x:v>88.3</x:v>
      </x:c>
      <x:c r="U59" s="7" t="s">
        <x:v>33</x:v>
      </x:c>
      <x:c r="V59" s="7" t="s">
        <x:v>34</x:v>
      </x:c>
      <x:c r="W59" s="7" t="s">
        <x:v>346</x:v>
      </x:c>
      <x:c r="X59" s="7" t="s">
        <x:v>36</x:v>
      </x:c>
      <x:c r="Y59" s="7" t="s">
        <x:v>391</x:v>
      </x:c>
    </x:row>
    <x:row r="60" ht="38" customHeight="1">
      <x:c r="A60" s="7" t="s">
        <x:v>392</x:v>
      </x:c>
      <x:c r="B60" s="7" t="s">
        <x:v>26</x:v>
      </x:c>
      <x:c r="C60" s="7" t="s">
        <x:v>79</x:v>
      </x:c>
      <x:c r="D60" s="7" t="s">
        <x:v>393</x:v>
      </x:c>
      <x:c r="E60" s="7" t="s">
        <x:v>394</x:v>
      </x:c>
      <x:c r="F60" s="7" t="s">
        <x:v>395</x:v>
      </x:c>
      <x:c r="G60" s="7">
        <x:v>73</x:v>
      </x:c>
      <x:c r="H60" s="7" t="s">
        <x:v>396</x:v>
      </x:c>
      <x:c r="I60" s="7" t="s">
        <x:v>32</x:v>
      </x:c>
      <x:c r="J60" s="6">
        <x:v>90</x:v>
      </x:c>
      <x:c r="K60" s="6">
        <x:v>88</x:v>
      </x:c>
      <x:c r="L60" s="6">
        <x:v>89</x:v>
      </x:c>
      <x:c r="M60" s="6">
        <x:v>87</x:v>
      </x:c>
      <x:c r="N60" s="6">
        <x:v>89</x:v>
      </x:c>
      <x:c r="O60" s="6">
        <x:v>85</x:v>
      </x:c>
      <x:c r="P60" s="6">
        <x:v>15</x:v>
      </x:c>
      <x:c r="Q60" s="6">
        <x:v>5</x:v>
      </x:c>
      <x:c r="R60" s="6">
        <x:f t="shared" si="0"/>
        <x:v>88.4</x:v>
      </x:c>
      <x:c r="S60" s="6">
        <x:f t="shared" si="1"/>
        <x:v>87.6</x:v>
      </x:c>
      <x:c r="T60" s="6">
        <x:f t="shared" si="2"/>
        <x:v>88</x:v>
      </x:c>
      <x:c r="U60" s="7" t="s">
        <x:v>33</x:v>
      </x:c>
      <x:c r="V60" s="7" t="s">
        <x:v>34</x:v>
      </x:c>
      <x:c r="W60" s="7" t="s">
        <x:v>346</x:v>
      </x:c>
      <x:c r="X60" s="7" t="s">
        <x:v>36</x:v>
      </x:c>
      <x:c r="Y60" s="7" t="s">
        <x:v>397</x:v>
      </x:c>
    </x:row>
    <x:row r="61" ht="38" customHeight="1">
      <x:c r="A61" s="7" t="s">
        <x:v>398</x:v>
      </x:c>
      <x:c r="B61" s="7" t="s">
        <x:v>26</x:v>
      </x:c>
      <x:c r="C61" s="7" t="s">
        <x:v>399</x:v>
      </x:c>
      <x:c r="D61" s="7" t="s">
        <x:v>400</x:v>
      </x:c>
      <x:c r="E61" s="7" t="s">
        <x:v>401</x:v>
      </x:c>
      <x:c r="F61" s="7" t="s">
        <x:v>402</x:v>
      </x:c>
      <x:c r="G61" s="7" t="s">
        <x:v>75</x:v>
      </x:c>
      <x:c r="H61" s="7" t="s">
        <x:v>403</x:v>
      </x:c>
      <x:c r="I61" s="7" t="s">
        <x:v>32</x:v>
      </x:c>
      <x:c r="J61" s="6">
        <x:v>90</x:v>
      </x:c>
      <x:c r="K61" s="6">
        <x:v>88</x:v>
      </x:c>
      <x:c r="L61" s="6">
        <x:v>89</x:v>
      </x:c>
      <x:c r="M61" s="6">
        <x:v>87</x:v>
      </x:c>
      <x:c r="N61" s="6">
        <x:v>89</x:v>
      </x:c>
      <x:c r="O61" s="6">
        <x:v>85</x:v>
      </x:c>
      <x:c r="P61" s="6">
        <x:v>15</x:v>
      </x:c>
      <x:c r="Q61" s="6">
        <x:v>5</x:v>
      </x:c>
      <x:c r="R61" s="6">
        <x:f t="shared" si="0"/>
        <x:v>88.4</x:v>
      </x:c>
      <x:c r="S61" s="6">
        <x:f t="shared" si="1"/>
        <x:v>87.6</x:v>
      </x:c>
      <x:c r="T61" s="6">
        <x:f t="shared" si="2"/>
        <x:v>88</x:v>
      </x:c>
      <x:c r="U61" s="7" t="s">
        <x:v>33</x:v>
      </x:c>
      <x:c r="V61" s="7" t="s">
        <x:v>34</x:v>
      </x:c>
      <x:c r="W61" s="7" t="s">
        <x:v>346</x:v>
      </x:c>
      <x:c r="X61" s="7" t="s">
        <x:v>36</x:v>
      </x:c>
      <x:c r="Y61" s="7" t="s">
        <x:v>404</x:v>
      </x:c>
    </x:row>
    <x:row r="62" ht="38" customHeight="1">
      <x:c r="A62" s="7" t="s">
        <x:v>405</x:v>
      </x:c>
      <x:c r="B62" s="7" t="s">
        <x:v>26</x:v>
      </x:c>
      <x:c r="C62" s="7" t="s">
        <x:v>79</x:v>
      </x:c>
      <x:c r="D62" s="7" t="s">
        <x:v>406</x:v>
      </x:c>
      <x:c r="E62" s="7" t="s">
        <x:v>407</x:v>
      </x:c>
      <x:c r="F62" s="7" t="s">
        <x:v>408</x:v>
      </x:c>
      <x:c r="G62" s="7">
        <x:v>19</x:v>
      </x:c>
      <x:c r="H62" s="7" t="s">
        <x:v>409</x:v>
      </x:c>
      <x:c r="I62" s="7" t="s">
        <x:v>32</x:v>
      </x:c>
      <x:c r="J62" s="6">
        <x:v>90</x:v>
      </x:c>
      <x:c r="K62" s="6">
        <x:v>88</x:v>
      </x:c>
      <x:c r="L62" s="6">
        <x:v>89</x:v>
      </x:c>
      <x:c r="M62" s="6">
        <x:v>87</x:v>
      </x:c>
      <x:c r="N62" s="6">
        <x:v>89</x:v>
      </x:c>
      <x:c r="O62" s="6">
        <x:v>85</x:v>
      </x:c>
      <x:c r="P62" s="6">
        <x:v>15</x:v>
      </x:c>
      <x:c r="Q62" s="6">
        <x:v>5</x:v>
      </x:c>
      <x:c r="R62" s="6">
        <x:f t="shared" si="0"/>
        <x:v>88.4</x:v>
      </x:c>
      <x:c r="S62" s="6">
        <x:f t="shared" si="1"/>
        <x:v>87.6</x:v>
      </x:c>
      <x:c r="T62" s="6">
        <x:f t="shared" si="2"/>
        <x:v>88</x:v>
      </x:c>
      <x:c r="U62" s="7" t="s">
        <x:v>33</x:v>
      </x:c>
      <x:c r="V62" s="7" t="s">
        <x:v>34</x:v>
      </x:c>
      <x:c r="W62" s="7" t="s">
        <x:v>346</x:v>
      </x:c>
      <x:c r="X62" s="7" t="s">
        <x:v>36</x:v>
      </x:c>
      <x:c r="Y62" s="7" t="s">
        <x:v>410</x:v>
      </x:c>
    </x:row>
    <x:row r="63" ht="38" customHeight="1">
      <x:c r="A63" s="7" t="s">
        <x:v>411</x:v>
      </x:c>
      <x:c r="B63" s="7" t="s">
        <x:v>26</x:v>
      </x:c>
      <x:c r="C63" s="7" t="s">
        <x:v>412</x:v>
      </x:c>
      <x:c r="D63" s="7" t="s">
        <x:v>413</x:v>
      </x:c>
      <x:c r="E63" s="7" t="s">
        <x:v>414</x:v>
      </x:c>
      <x:c r="F63" s="7" t="s">
        <x:v>415</x:v>
      </x:c>
      <x:c r="G63" s="7">
        <x:v>20</x:v>
      </x:c>
      <x:c r="H63" s="7" t="s">
        <x:v>416</x:v>
      </x:c>
      <x:c r="I63" s="7" t="s">
        <x:v>32</x:v>
      </x:c>
      <x:c r="J63" s="6">
        <x:v>90</x:v>
      </x:c>
      <x:c r="K63" s="6">
        <x:v>88</x:v>
      </x:c>
      <x:c r="L63" s="6">
        <x:v>89</x:v>
      </x:c>
      <x:c r="M63" s="6">
        <x:v>87</x:v>
      </x:c>
      <x:c r="N63" s="6">
        <x:v>89</x:v>
      </x:c>
      <x:c r="O63" s="6">
        <x:v>85</x:v>
      </x:c>
      <x:c r="P63" s="6">
        <x:v>15</x:v>
      </x:c>
      <x:c r="Q63" s="6">
        <x:v>5</x:v>
      </x:c>
      <x:c r="R63" s="6">
        <x:f t="shared" si="0"/>
        <x:v>88.4</x:v>
      </x:c>
      <x:c r="S63" s="6">
        <x:f t="shared" si="1"/>
        <x:v>87.6</x:v>
      </x:c>
      <x:c r="T63" s="6">
        <x:f t="shared" si="2"/>
        <x:v>88</x:v>
      </x:c>
      <x:c r="U63" s="7" t="s">
        <x:v>33</x:v>
      </x:c>
      <x:c r="V63" s="7" t="s">
        <x:v>34</x:v>
      </x:c>
      <x:c r="W63" s="7" t="s">
        <x:v>346</x:v>
      </x:c>
      <x:c r="X63" s="7" t="s">
        <x:v>36</x:v>
      </x:c>
      <x:c r="Y63" s="7" t="s">
        <x:v>417</x:v>
      </x:c>
    </x:row>
    <x:row r="64" ht="38" customHeight="1">
      <x:c r="A64" s="7" t="s">
        <x:v>418</x:v>
      </x:c>
      <x:c r="B64" s="7" t="s">
        <x:v>26</x:v>
      </x:c>
      <x:c r="C64" s="7" t="s">
        <x:v>419</x:v>
      </x:c>
      <x:c r="D64" s="7" t="s">
        <x:v>420</x:v>
      </x:c>
      <x:c r="E64" s="7" t="s">
        <x:v>421</x:v>
      </x:c>
      <x:c r="F64" s="7" t="s">
        <x:v>422</x:v>
      </x:c>
      <x:c r="G64" s="7">
        <x:v>23</x:v>
      </x:c>
      <x:c r="H64" s="7" t="s">
        <x:v>423</x:v>
      </x:c>
      <x:c r="I64" s="7" t="s">
        <x:v>32</x:v>
      </x:c>
      <x:c r="J64" s="6">
        <x:v>90</x:v>
      </x:c>
      <x:c r="K64" s="6">
        <x:v>88</x:v>
      </x:c>
      <x:c r="L64" s="6">
        <x:v>89</x:v>
      </x:c>
      <x:c r="M64" s="6">
        <x:v>87</x:v>
      </x:c>
      <x:c r="N64" s="6">
        <x:v>89</x:v>
      </x:c>
      <x:c r="O64" s="6">
        <x:v>85</x:v>
      </x:c>
      <x:c r="P64" s="6">
        <x:v>16</x:v>
      </x:c>
      <x:c r="Q64" s="6">
        <x:v>5</x:v>
      </x:c>
      <x:c r="R64" s="6">
        <x:f t="shared" si="0"/>
        <x:v>88.4</x:v>
      </x:c>
      <x:c r="S64" s="6">
        <x:f t="shared" si="1"/>
        <x:v>87.45</x:v>
      </x:c>
      <x:c r="T64" s="6">
        <x:f t="shared" si="2"/>
        <x:v>87.925</x:v>
      </x:c>
      <x:c r="U64" s="7" t="s">
        <x:v>33</x:v>
      </x:c>
      <x:c r="V64" s="7" t="s">
        <x:v>34</x:v>
      </x:c>
      <x:c r="W64" s="7" t="s">
        <x:v>346</x:v>
      </x:c>
      <x:c r="X64" s="7" t="s">
        <x:v>36</x:v>
      </x:c>
      <x:c r="Y64" s="7" t="s">
        <x:v>424</x:v>
      </x:c>
    </x:row>
    <x:row r="65" ht="38" customHeight="1">
      <x:c r="A65" s="7" t="s">
        <x:v>425</x:v>
      </x:c>
      <x:c r="B65" s="7" t="s">
        <x:v>26</x:v>
      </x:c>
      <x:c r="C65" s="7" t="s">
        <x:v>273</x:v>
      </x:c>
      <x:c r="D65" s="7" t="s">
        <x:v>426</x:v>
      </x:c>
      <x:c r="E65" s="7" t="s">
        <x:v>427</x:v>
      </x:c>
      <x:c r="F65" s="7" t="s">
        <x:v>428</x:v>
      </x:c>
      <x:c r="G65" s="7">
        <x:v>15</x:v>
      </x:c>
      <x:c r="H65" s="7" t="s">
        <x:v>429</x:v>
      </x:c>
      <x:c r="I65" s="7" t="s">
        <x:v>32</x:v>
      </x:c>
      <x:c r="J65" s="6">
        <x:v>90</x:v>
      </x:c>
      <x:c r="K65" s="6">
        <x:v>88</x:v>
      </x:c>
      <x:c r="L65" s="6">
        <x:v>89</x:v>
      </x:c>
      <x:c r="M65" s="6">
        <x:v>86</x:v>
      </x:c>
      <x:c r="N65" s="6">
        <x:v>89</x:v>
      </x:c>
      <x:c r="O65" s="6">
        <x:v>85</x:v>
      </x:c>
      <x:c r="P65" s="6">
        <x:v>16</x:v>
      </x:c>
      <x:c r="Q65" s="6">
        <x:v>5</x:v>
      </x:c>
      <x:c r="R65" s="6">
        <x:f t="shared" si="0"/>
        <x:v>88.25</x:v>
      </x:c>
      <x:c r="S65" s="6">
        <x:f t="shared" si="1"/>
        <x:v>87.45</x:v>
      </x:c>
      <x:c r="T65" s="6">
        <x:f t="shared" si="2"/>
        <x:v>87.85</x:v>
      </x:c>
      <x:c r="U65" s="7" t="s">
        <x:v>33</x:v>
      </x:c>
      <x:c r="V65" s="7" t="s">
        <x:v>34</x:v>
      </x:c>
      <x:c r="W65" s="7" t="s">
        <x:v>346</x:v>
      </x:c>
      <x:c r="X65" s="7" t="s">
        <x:v>36</x:v>
      </x:c>
      <x:c r="Y65" s="7" t="s">
        <x:v>430</x:v>
      </x:c>
    </x:row>
    <x:row r="66" ht="38" customHeight="1">
      <x:c r="A66" s="7" t="s">
        <x:v>431</x:v>
      </x:c>
      <x:c r="B66" s="7" t="s">
        <x:v>26</x:v>
      </x:c>
      <x:c r="C66" s="7" t="s">
        <x:v>27</x:v>
      </x:c>
      <x:c r="D66" s="7" t="s">
        <x:v>432</x:v>
      </x:c>
      <x:c r="E66" s="7" t="s">
        <x:v>433</x:v>
      </x:c>
      <x:c r="F66" s="7" t="s">
        <x:v>434</x:v>
      </x:c>
      <x:c r="G66" s="7">
        <x:v>12</x:v>
      </x:c>
      <x:c r="H66" s="7" t="s">
        <x:v>435</x:v>
      </x:c>
      <x:c r="I66" s="7" t="s">
        <x:v>32</x:v>
      </x:c>
      <x:c r="J66" s="6">
        <x:v>89</x:v>
      </x:c>
      <x:c r="K66" s="6">
        <x:v>88</x:v>
      </x:c>
      <x:c r="L66" s="6">
        <x:v>89</x:v>
      </x:c>
      <x:c r="M66" s="6">
        <x:v>86</x:v>
      </x:c>
      <x:c r="N66" s="6">
        <x:v>89</x:v>
      </x:c>
      <x:c r="O66" s="6">
        <x:v>85</x:v>
      </x:c>
      <x:c r="P66" s="6">
        <x:v>16</x:v>
      </x:c>
      <x:c r="Q66" s="6">
        <x:v>5</x:v>
      </x:c>
      <x:c r="R66" s="6" t="n">
        <x:f t="shared" ref="R66:R118" si="3">0.3*J66+0.2*K66+0.25*L66+0.15*M66+0.1*O66</x:f>
        <x:v>87.95</x:v>
      </x:c>
      <x:c r="S66" s="6" t="n">
        <x:f t="shared" ref="S66:S118" si="4">0.3*N66+0.2*L66+0.2*K66+0.15*O66+0.15*(100-P66)</x:f>
        <x:v>87.44999999999999</x:v>
      </x:c>
      <x:c r="T66" s="6" t="n">
        <x:f t="shared" ref="T66:T118" si="5">(R66+S66)/2</x:f>
        <x:v>87.69999999999999</x:v>
      </x:c>
      <x:c r="U66" s="7" t="s">
        <x:v>33</x:v>
      </x:c>
      <x:c r="V66" s="7" t="s">
        <x:v>34</x:v>
      </x:c>
      <x:c r="W66" s="7" t="s">
        <x:v>346</x:v>
      </x:c>
      <x:c r="X66" s="7" t="s">
        <x:v>36</x:v>
      </x:c>
      <x:c r="Y66" s="7" t="s">
        <x:v>436</x:v>
      </x:c>
    </x:row>
    <x:row r="67" ht="38" customHeight="1">
      <x:c r="A67" s="7" t="s">
        <x:v>437</x:v>
      </x:c>
      <x:c r="B67" s="7" t="s">
        <x:v>26</x:v>
      </x:c>
      <x:c r="C67" s="7" t="s">
        <x:v>79</x:v>
      </x:c>
      <x:c r="D67" s="7" t="s">
        <x:v>438</x:v>
      </x:c>
      <x:c r="E67" s="7" t="s">
        <x:v>439</x:v>
      </x:c>
      <x:c r="F67" s="7" t="s">
        <x:v>440</x:v>
      </x:c>
      <x:c r="G67" s="7">
        <x:v>64</x:v>
      </x:c>
      <x:c r="H67" s="7" t="s">
        <x:v>441</x:v>
      </x:c>
      <x:c r="I67" s="7" t="s">
        <x:v>32</x:v>
      </x:c>
      <x:c r="J67" s="6">
        <x:v>89</x:v>
      </x:c>
      <x:c r="K67" s="6">
        <x:v>88</x:v>
      </x:c>
      <x:c r="L67" s="6">
        <x:v>88</x:v>
      </x:c>
      <x:c r="M67" s="6">
        <x:v>86</x:v>
      </x:c>
      <x:c r="N67" s="6">
        <x:v>89</x:v>
      </x:c>
      <x:c r="O67" s="6">
        <x:v>85</x:v>
      </x:c>
      <x:c r="P67" s="6">
        <x:v>16</x:v>
      </x:c>
      <x:c r="Q67" s="6">
        <x:v>5</x:v>
      </x:c>
      <x:c r="R67" s="6">
        <x:f t="shared" si="3"/>
        <x:v>87.7</x:v>
      </x:c>
      <x:c r="S67" s="6">
        <x:f t="shared" si="4"/>
        <x:v>87.25</x:v>
      </x:c>
      <x:c r="T67" s="6">
        <x:f t="shared" si="5"/>
        <x:v>87.475</x:v>
      </x:c>
      <x:c r="U67" s="7" t="s">
        <x:v>33</x:v>
      </x:c>
      <x:c r="V67" s="7" t="s">
        <x:v>34</x:v>
      </x:c>
      <x:c r="W67" s="7" t="s">
        <x:v>346</x:v>
      </x:c>
      <x:c r="X67" s="7" t="s">
        <x:v>36</x:v>
      </x:c>
      <x:c r="Y67" s="7" t="s">
        <x:v>442</x:v>
      </x:c>
    </x:row>
    <x:row r="68" ht="38" customHeight="1">
      <x:c r="A68" s="7" t="s">
        <x:v>443</x:v>
      </x:c>
      <x:c r="B68" s="7" t="s">
        <x:v>26</x:v>
      </x:c>
      <x:c r="C68" s="7" t="s">
        <x:v>79</x:v>
      </x:c>
      <x:c r="D68" s="7" t="s">
        <x:v>444</x:v>
      </x:c>
      <x:c r="E68" s="7" t="s">
        <x:v>445</x:v>
      </x:c>
      <x:c r="F68" s="7" t="s">
        <x:v>446</x:v>
      </x:c>
      <x:c r="G68" s="7">
        <x:v>52</x:v>
      </x:c>
      <x:c r="H68" s="7" t="s">
        <x:v>447</x:v>
      </x:c>
      <x:c r="I68" s="7" t="s">
        <x:v>32</x:v>
      </x:c>
      <x:c r="J68" s="6">
        <x:v>89</x:v>
      </x:c>
      <x:c r="K68" s="6">
        <x:v>88</x:v>
      </x:c>
      <x:c r="L68" s="6">
        <x:v>88</x:v>
      </x:c>
      <x:c r="M68" s="6">
        <x:v>86</x:v>
      </x:c>
      <x:c r="N68" s="6">
        <x:v>89</x:v>
      </x:c>
      <x:c r="O68" s="6">
        <x:v>85</x:v>
      </x:c>
      <x:c r="P68" s="6">
        <x:v>16</x:v>
      </x:c>
      <x:c r="Q68" s="6">
        <x:v>5</x:v>
      </x:c>
      <x:c r="R68" s="6">
        <x:f t="shared" si="3"/>
        <x:v>87.7</x:v>
      </x:c>
      <x:c r="S68" s="6">
        <x:f t="shared" si="4"/>
        <x:v>87.25</x:v>
      </x:c>
      <x:c r="T68" s="6">
        <x:f t="shared" si="5"/>
        <x:v>87.475</x:v>
      </x:c>
      <x:c r="U68" s="7" t="s">
        <x:v>33</x:v>
      </x:c>
      <x:c r="V68" s="7" t="s">
        <x:v>34</x:v>
      </x:c>
      <x:c r="W68" s="7" t="s">
        <x:v>346</x:v>
      </x:c>
      <x:c r="X68" s="7" t="s">
        <x:v>36</x:v>
      </x:c>
      <x:c r="Y68" s="7" t="s">
        <x:v>448</x:v>
      </x:c>
    </x:row>
    <x:row r="69" ht="38" customHeight="1">
      <x:c r="A69" s="7" t="s">
        <x:v>449</x:v>
      </x:c>
      <x:c r="B69" s="7" t="s">
        <x:v>26</x:v>
      </x:c>
      <x:c r="C69" s="7" t="s">
        <x:v>79</x:v>
      </x:c>
      <x:c r="D69" s="7" t="s">
        <x:v>450</x:v>
      </x:c>
      <x:c r="E69" s="7" t="s">
        <x:v>451</x:v>
      </x:c>
      <x:c r="F69" s="7" t="s">
        <x:v>452</x:v>
      </x:c>
      <x:c r="G69" s="7" t="s">
        <x:v>75</x:v>
      </x:c>
      <x:c r="H69" s="7" t="s">
        <x:v>453</x:v>
      </x:c>
      <x:c r="I69" s="7" t="s">
        <x:v>32</x:v>
      </x:c>
      <x:c r="J69" s="6">
        <x:v>90</x:v>
      </x:c>
      <x:c r="K69" s="6">
        <x:v>87</x:v>
      </x:c>
      <x:c r="L69" s="6">
        <x:v>88</x:v>
      </x:c>
      <x:c r="M69" s="6">
        <x:v>86</x:v>
      </x:c>
      <x:c r="N69" s="6">
        <x:v>89</x:v>
      </x:c>
      <x:c r="O69" s="6">
        <x:v>84</x:v>
      </x:c>
      <x:c r="P69" s="6">
        <x:v>17</x:v>
      </x:c>
      <x:c r="Q69" s="6">
        <x:v>5</x:v>
      </x:c>
      <x:c r="R69" s="6">
        <x:f t="shared" si="3"/>
        <x:v>87.7</x:v>
      </x:c>
      <x:c r="S69" s="6">
        <x:f t="shared" si="4"/>
        <x:v>86.75</x:v>
      </x:c>
      <x:c r="T69" s="6">
        <x:f t="shared" si="5"/>
        <x:v>87.225</x:v>
      </x:c>
      <x:c r="U69" s="7" t="s">
        <x:v>33</x:v>
      </x:c>
      <x:c r="V69" s="7" t="s">
        <x:v>34</x:v>
      </x:c>
      <x:c r="W69" s="7" t="s">
        <x:v>346</x:v>
      </x:c>
      <x:c r="X69" s="7" t="s">
        <x:v>36</x:v>
      </x:c>
      <x:c r="Y69" s="7" t="s">
        <x:v>454</x:v>
      </x:c>
    </x:row>
    <x:row r="70" ht="38" customHeight="1">
      <x:c r="A70" s="7" t="s">
        <x:v>455</x:v>
      </x:c>
      <x:c r="B70" s="7" t="s">
        <x:v>26</x:v>
      </x:c>
      <x:c r="C70" s="7" t="s">
        <x:v>456</x:v>
      </x:c>
      <x:c r="D70" s="7" t="s">
        <x:v>457</x:v>
      </x:c>
      <x:c r="E70" s="7" t="s">
        <x:v>458</x:v>
      </x:c>
      <x:c r="F70" s="7" t="s">
        <x:v>459</x:v>
      </x:c>
      <x:c r="G70" s="7">
        <x:v>32</x:v>
      </x:c>
      <x:c r="H70" s="7" t="s">
        <x:v>460</x:v>
      </x:c>
      <x:c r="I70" s="7" t="s">
        <x:v>32</x:v>
      </x:c>
      <x:c r="J70" s="6">
        <x:v>89</x:v>
      </x:c>
      <x:c r="K70" s="6">
        <x:v>87</x:v>
      </x:c>
      <x:c r="L70" s="6">
        <x:v>88</x:v>
      </x:c>
      <x:c r="M70" s="6">
        <x:v>86</x:v>
      </x:c>
      <x:c r="N70" s="6">
        <x:v>88</x:v>
      </x:c>
      <x:c r="O70" s="6">
        <x:v>84</x:v>
      </x:c>
      <x:c r="P70" s="6">
        <x:v>16</x:v>
      </x:c>
      <x:c r="Q70" s="6">
        <x:v>5</x:v>
      </x:c>
      <x:c r="R70" s="6">
        <x:f t="shared" si="3"/>
        <x:v>87.4</x:v>
      </x:c>
      <x:c r="S70" s="6">
        <x:f t="shared" si="4"/>
        <x:v>86.6</x:v>
      </x:c>
      <x:c r="T70" s="6">
        <x:f t="shared" si="5"/>
        <x:v>87</x:v>
      </x:c>
      <x:c r="U70" s="7" t="s">
        <x:v>33</x:v>
      </x:c>
      <x:c r="V70" s="7" t="s">
        <x:v>34</x:v>
      </x:c>
      <x:c r="W70" s="7" t="s">
        <x:v>346</x:v>
      </x:c>
      <x:c r="X70" s="7" t="s">
        <x:v>36</x:v>
      </x:c>
      <x:c r="Y70" s="7" t="s">
        <x:v>461</x:v>
      </x:c>
    </x:row>
    <x:row r="71" ht="38" customHeight="1">
      <x:c r="A71" s="7" t="s">
        <x:v>462</x:v>
      </x:c>
      <x:c r="B71" s="7" t="s">
        <x:v>26</x:v>
      </x:c>
      <x:c r="C71" s="7" t="s">
        <x:v>106</x:v>
      </x:c>
      <x:c r="D71" s="7" t="s">
        <x:v>463</x:v>
      </x:c>
      <x:c r="E71" s="7" t="s">
        <x:v>464</x:v>
      </x:c>
      <x:c r="F71" s="7" t="s">
        <x:v>465</x:v>
      </x:c>
      <x:c r="G71" s="7" t="s">
        <x:v>75</x:v>
      </x:c>
      <x:c r="H71" s="7" t="s">
        <x:v>466</x:v>
      </x:c>
      <x:c r="I71" s="7" t="s">
        <x:v>32</x:v>
      </x:c>
      <x:c r="J71" s="6">
        <x:v>89</x:v>
      </x:c>
      <x:c r="K71" s="6">
        <x:v>87</x:v>
      </x:c>
      <x:c r="L71" s="6">
        <x:v>88</x:v>
      </x:c>
      <x:c r="M71" s="6">
        <x:v>86</x:v>
      </x:c>
      <x:c r="N71" s="6">
        <x:v>88</x:v>
      </x:c>
      <x:c r="O71" s="6">
        <x:v>84</x:v>
      </x:c>
      <x:c r="P71" s="6">
        <x:v>16</x:v>
      </x:c>
      <x:c r="Q71" s="6">
        <x:v>5</x:v>
      </x:c>
      <x:c r="R71" s="6">
        <x:f t="shared" si="3"/>
        <x:v>87.4</x:v>
      </x:c>
      <x:c r="S71" s="6">
        <x:f t="shared" si="4"/>
        <x:v>86.6</x:v>
      </x:c>
      <x:c r="T71" s="6">
        <x:f t="shared" si="5"/>
        <x:v>87</x:v>
      </x:c>
      <x:c r="U71" s="7" t="s">
        <x:v>33</x:v>
      </x:c>
      <x:c r="V71" s="7" t="s">
        <x:v>34</x:v>
      </x:c>
      <x:c r="W71" s="7" t="s">
        <x:v>346</x:v>
      </x:c>
      <x:c r="X71" s="7" t="s">
        <x:v>36</x:v>
      </x:c>
      <x:c r="Y71" s="7" t="s">
        <x:v>467</x:v>
      </x:c>
    </x:row>
    <x:row r="72" ht="38" customHeight="1">
      <x:c r="A72" s="7" t="s">
        <x:v>468</x:v>
      </x:c>
      <x:c r="B72" s="7" t="s">
        <x:v>26</x:v>
      </x:c>
      <x:c r="C72" s="7" t="s">
        <x:v>79</x:v>
      </x:c>
      <x:c r="D72" s="7" t="s">
        <x:v>469</x:v>
      </x:c>
      <x:c r="E72" s="7" t="s">
        <x:v>470</x:v>
      </x:c>
      <x:c r="F72" s="7" t="s">
        <x:v>471</x:v>
      </x:c>
      <x:c r="G72" s="7" t="s">
        <x:v>75</x:v>
      </x:c>
      <x:c r="H72" s="7" t="s">
        <x:v>472</x:v>
      </x:c>
      <x:c r="I72" s="7" t="s">
        <x:v>32</x:v>
      </x:c>
      <x:c r="J72" s="6">
        <x:v>89</x:v>
      </x:c>
      <x:c r="K72" s="6">
        <x:v>87</x:v>
      </x:c>
      <x:c r="L72" s="6">
        <x:v>88</x:v>
      </x:c>
      <x:c r="M72" s="6">
        <x:v>86</x:v>
      </x:c>
      <x:c r="N72" s="6">
        <x:v>88</x:v>
      </x:c>
      <x:c r="O72" s="6">
        <x:v>84</x:v>
      </x:c>
      <x:c r="P72" s="6">
        <x:v>17</x:v>
      </x:c>
      <x:c r="Q72" s="6">
        <x:v>5</x:v>
      </x:c>
      <x:c r="R72" s="6">
        <x:f t="shared" si="3"/>
        <x:v>87.4</x:v>
      </x:c>
      <x:c r="S72" s="6">
        <x:f t="shared" si="4"/>
        <x:v>86.45</x:v>
      </x:c>
      <x:c r="T72" s="6">
        <x:f t="shared" si="5"/>
        <x:v>86.925</x:v>
      </x:c>
      <x:c r="U72" s="7" t="s">
        <x:v>33</x:v>
      </x:c>
      <x:c r="V72" s="7" t="s">
        <x:v>34</x:v>
      </x:c>
      <x:c r="W72" s="7" t="s">
        <x:v>346</x:v>
      </x:c>
      <x:c r="X72" s="7" t="s">
        <x:v>36</x:v>
      </x:c>
      <x:c r="Y72" s="7" t="s">
        <x:v>473</x:v>
      </x:c>
    </x:row>
    <x:row r="73" ht="38" customHeight="1">
      <x:c r="A73" s="7" t="s">
        <x:v>474</x:v>
      </x:c>
      <x:c r="B73" s="7" t="s">
        <x:v>26</x:v>
      </x:c>
      <x:c r="C73" s="7" t="s">
        <x:v>79</x:v>
      </x:c>
      <x:c r="D73" s="7" t="s">
        <x:v>475</x:v>
      </x:c>
      <x:c r="E73" s="7" t="s">
        <x:v>476</x:v>
      </x:c>
      <x:c r="F73" s="7" t="s">
        <x:v>477</x:v>
      </x:c>
      <x:c r="G73" s="7">
        <x:v>19</x:v>
      </x:c>
      <x:c r="H73" s="7" t="s">
        <x:v>478</x:v>
      </x:c>
      <x:c r="I73" s="7" t="s">
        <x:v>32</x:v>
      </x:c>
      <x:c r="J73" s="6">
        <x:v>89</x:v>
      </x:c>
      <x:c r="K73" s="6">
        <x:v>87</x:v>
      </x:c>
      <x:c r="L73" s="6">
        <x:v>88</x:v>
      </x:c>
      <x:c r="M73" s="6">
        <x:v>86</x:v>
      </x:c>
      <x:c r="N73" s="6">
        <x:v>88</x:v>
      </x:c>
      <x:c r="O73" s="6">
        <x:v>84</x:v>
      </x:c>
      <x:c r="P73" s="6">
        <x:v>17</x:v>
      </x:c>
      <x:c r="Q73" s="6">
        <x:v>5</x:v>
      </x:c>
      <x:c r="R73" s="6">
        <x:f t="shared" si="3"/>
        <x:v>87.4</x:v>
      </x:c>
      <x:c r="S73" s="6">
        <x:f t="shared" si="4"/>
        <x:v>86.45</x:v>
      </x:c>
      <x:c r="T73" s="6">
        <x:f t="shared" si="5"/>
        <x:v>86.925</x:v>
      </x:c>
      <x:c r="U73" s="7" t="s">
        <x:v>33</x:v>
      </x:c>
      <x:c r="V73" s="7" t="s">
        <x:v>34</x:v>
      </x:c>
      <x:c r="W73" s="7" t="s">
        <x:v>346</x:v>
      </x:c>
      <x:c r="X73" s="7" t="s">
        <x:v>36</x:v>
      </x:c>
      <x:c r="Y73" s="7" t="s">
        <x:v>479</x:v>
      </x:c>
    </x:row>
    <x:row r="74" ht="38" customHeight="1">
      <x:c r="A74" s="7" t="s">
        <x:v>480</x:v>
      </x:c>
      <x:c r="B74" s="7" t="s">
        <x:v>26</x:v>
      </x:c>
      <x:c r="C74" s="7" t="s">
        <x:v>79</x:v>
      </x:c>
      <x:c r="D74" s="7" t="s">
        <x:v>166</x:v>
      </x:c>
      <x:c r="E74" s="7" t="s">
        <x:v>481</x:v>
      </x:c>
      <x:c r="F74" s="7" t="s">
        <x:v>482</x:v>
      </x:c>
      <x:c r="G74" s="7" t="s">
        <x:v>75</x:v>
      </x:c>
      <x:c r="H74" s="7" t="s">
        <x:v>483</x:v>
      </x:c>
      <x:c r="I74" s="7" t="s">
        <x:v>32</x:v>
      </x:c>
      <x:c r="J74" s="6">
        <x:v>89</x:v>
      </x:c>
      <x:c r="K74" s="6">
        <x:v>87</x:v>
      </x:c>
      <x:c r="L74" s="6">
        <x:v>88</x:v>
      </x:c>
      <x:c r="M74" s="6">
        <x:v>86</x:v>
      </x:c>
      <x:c r="N74" s="6">
        <x:v>88</x:v>
      </x:c>
      <x:c r="O74" s="6">
        <x:v>84</x:v>
      </x:c>
      <x:c r="P74" s="6">
        <x:v>17</x:v>
      </x:c>
      <x:c r="Q74" s="6">
        <x:v>5</x:v>
      </x:c>
      <x:c r="R74" s="6">
        <x:f t="shared" si="3"/>
        <x:v>87.4</x:v>
      </x:c>
      <x:c r="S74" s="6">
        <x:f t="shared" si="4"/>
        <x:v>86.45</x:v>
      </x:c>
      <x:c r="T74" s="6">
        <x:f t="shared" si="5"/>
        <x:v>86.925</x:v>
      </x:c>
      <x:c r="U74" s="7" t="s">
        <x:v>33</x:v>
      </x:c>
      <x:c r="V74" s="7" t="s">
        <x:v>34</x:v>
      </x:c>
      <x:c r="W74" s="7" t="s">
        <x:v>346</x:v>
      </x:c>
      <x:c r="X74" s="7" t="s">
        <x:v>36</x:v>
      </x:c>
      <x:c r="Y74" s="7" t="s">
        <x:v>484</x:v>
      </x:c>
    </x:row>
    <x:row r="75" ht="38" customHeight="1">
      <x:c r="A75" s="7" t="s">
        <x:v>485</x:v>
      </x:c>
      <x:c r="B75" s="7" t="s">
        <x:v>26</x:v>
      </x:c>
      <x:c r="C75" s="7" t="s">
        <x:v>486</x:v>
      </x:c>
      <x:c r="D75" s="7" t="s">
        <x:v>487</x:v>
      </x:c>
      <x:c r="E75" s="7" t="s">
        <x:v>488</x:v>
      </x:c>
      <x:c r="F75" s="7" t="s">
        <x:v>489</x:v>
      </x:c>
      <x:c r="G75" s="7" t="s">
        <x:v>75</x:v>
      </x:c>
      <x:c r="H75" s="7" t="s">
        <x:v>490</x:v>
      </x:c>
      <x:c r="I75" s="7" t="s">
        <x:v>32</x:v>
      </x:c>
      <x:c r="J75" s="6">
        <x:v>89</x:v>
      </x:c>
      <x:c r="K75" s="6">
        <x:v>87</x:v>
      </x:c>
      <x:c r="L75" s="6">
        <x:v>88</x:v>
      </x:c>
      <x:c r="M75" s="6">
        <x:v>86</x:v>
      </x:c>
      <x:c r="N75" s="6">
        <x:v>88</x:v>
      </x:c>
      <x:c r="O75" s="6">
        <x:v>84</x:v>
      </x:c>
      <x:c r="P75" s="6">
        <x:v>18</x:v>
      </x:c>
      <x:c r="Q75" s="6">
        <x:v>5</x:v>
      </x:c>
      <x:c r="R75" s="6">
        <x:f t="shared" si="3"/>
        <x:v>87.4</x:v>
      </x:c>
      <x:c r="S75" s="6">
        <x:f t="shared" si="4"/>
        <x:v>86.3</x:v>
      </x:c>
      <x:c r="T75" s="6">
        <x:f t="shared" si="5"/>
        <x:v>86.85</x:v>
      </x:c>
      <x:c r="U75" s="7" t="s">
        <x:v>33</x:v>
      </x:c>
      <x:c r="V75" s="7" t="s">
        <x:v>34</x:v>
      </x:c>
      <x:c r="W75" s="7" t="s">
        <x:v>346</x:v>
      </x:c>
      <x:c r="X75" s="7" t="s">
        <x:v>36</x:v>
      </x:c>
      <x:c r="Y75" s="7" t="s">
        <x:v>491</x:v>
      </x:c>
    </x:row>
    <x:row r="76" ht="38" customHeight="1">
      <x:c r="A76" s="7" t="s">
        <x:v>492</x:v>
      </x:c>
      <x:c r="B76" s="7" t="s">
        <x:v>26</x:v>
      </x:c>
      <x:c r="C76" s="7" t="s">
        <x:v>79</x:v>
      </x:c>
      <x:c r="D76" s="7" t="s">
        <x:v>493</x:v>
      </x:c>
      <x:c r="E76" s="7" t="s">
        <x:v>494</x:v>
      </x:c>
      <x:c r="F76" s="7" t="s">
        <x:v>495</x:v>
      </x:c>
      <x:c r="G76" s="7" t="s">
        <x:v>75</x:v>
      </x:c>
      <x:c r="H76" s="7" t="s">
        <x:v>496</x:v>
      </x:c>
      <x:c r="I76" s="7" t="s">
        <x:v>32</x:v>
      </x:c>
      <x:c r="J76" s="6">
        <x:v>89</x:v>
      </x:c>
      <x:c r="K76" s="6">
        <x:v>87</x:v>
      </x:c>
      <x:c r="L76" s="6">
        <x:v>88</x:v>
      </x:c>
      <x:c r="M76" s="6">
        <x:v>85</x:v>
      </x:c>
      <x:c r="N76" s="6">
        <x:v>88</x:v>
      </x:c>
      <x:c r="O76" s="6">
        <x:v>84</x:v>
      </x:c>
      <x:c r="P76" s="6">
        <x:v>17</x:v>
      </x:c>
      <x:c r="Q76" s="6">
        <x:v>5</x:v>
      </x:c>
      <x:c r="R76" s="6">
        <x:f t="shared" si="3"/>
        <x:v>87.25</x:v>
      </x:c>
      <x:c r="S76" s="6">
        <x:f t="shared" si="4"/>
        <x:v>86.45</x:v>
      </x:c>
      <x:c r="T76" s="6">
        <x:f t="shared" si="5"/>
        <x:v>86.85</x:v>
      </x:c>
      <x:c r="U76" s="7" t="s">
        <x:v>33</x:v>
      </x:c>
      <x:c r="V76" s="7" t="s">
        <x:v>34</x:v>
      </x:c>
      <x:c r="W76" s="7" t="s">
        <x:v>346</x:v>
      </x:c>
      <x:c r="X76" s="7" t="s">
        <x:v>36</x:v>
      </x:c>
      <x:c r="Y76" s="7" t="s">
        <x:v>497</x:v>
      </x:c>
    </x:row>
    <x:row r="77" ht="38" customHeight="1">
      <x:c r="A77" s="7" t="s">
        <x:v>498</x:v>
      </x:c>
      <x:c r="B77" s="7" t="s">
        <x:v>26</x:v>
      </x:c>
      <x:c r="C77" s="7" t="s">
        <x:v>79</x:v>
      </x:c>
      <x:c r="D77" s="7" t="s">
        <x:v>499</x:v>
      </x:c>
      <x:c r="E77" s="7" t="s">
        <x:v>500</x:v>
      </x:c>
      <x:c r="F77" s="7" t="s">
        <x:v>501</x:v>
      </x:c>
      <x:c r="G77" s="7">
        <x:v>32</x:v>
      </x:c>
      <x:c r="H77" s="7" t="s">
        <x:v>502</x:v>
      </x:c>
      <x:c r="I77" s="7" t="s">
        <x:v>32</x:v>
      </x:c>
      <x:c r="J77" s="6">
        <x:v>88</x:v>
      </x:c>
      <x:c r="K77" s="6">
        <x:v>87</x:v>
      </x:c>
      <x:c r="L77" s="6">
        <x:v>88</x:v>
      </x:c>
      <x:c r="M77" s="6">
        <x:v>85</x:v>
      </x:c>
      <x:c r="N77" s="6">
        <x:v>88</x:v>
      </x:c>
      <x:c r="O77" s="6">
        <x:v>84</x:v>
      </x:c>
      <x:c r="P77" s="6">
        <x:v>17</x:v>
      </x:c>
      <x:c r="Q77" s="6">
        <x:v>5</x:v>
      </x:c>
      <x:c r="R77" s="6">
        <x:f t="shared" si="3"/>
        <x:v>86.95</x:v>
      </x:c>
      <x:c r="S77" s="6">
        <x:f t="shared" si="4"/>
        <x:v>86.45</x:v>
      </x:c>
      <x:c r="T77" s="6">
        <x:f t="shared" si="5"/>
        <x:v>86.7</x:v>
      </x:c>
      <x:c r="U77" s="7" t="s">
        <x:v>33</x:v>
      </x:c>
      <x:c r="V77" s="7" t="s">
        <x:v>34</x:v>
      </x:c>
      <x:c r="W77" s="7" t="s">
        <x:v>346</x:v>
      </x:c>
      <x:c r="X77" s="7" t="s">
        <x:v>36</x:v>
      </x:c>
      <x:c r="Y77" s="7" t="s">
        <x:v>503</x:v>
      </x:c>
    </x:row>
    <x:row r="78" ht="38" customHeight="1">
      <x:c r="A78" s="7" t="s">
        <x:v>504</x:v>
      </x:c>
      <x:c r="B78" s="7" t="s">
        <x:v>26</x:v>
      </x:c>
      <x:c r="C78" s="7" t="s">
        <x:v>79</x:v>
      </x:c>
      <x:c r="D78" s="7" t="s">
        <x:v>87</x:v>
      </x:c>
      <x:c r="E78" s="7" t="s">
        <x:v>505</x:v>
      </x:c>
      <x:c r="F78" s="7" t="s">
        <x:v>506</x:v>
      </x:c>
      <x:c r="G78" s="7">
        <x:v>28</x:v>
      </x:c>
      <x:c r="H78" s="7" t="s">
        <x:v>507</x:v>
      </x:c>
      <x:c r="I78" s="7" t="s">
        <x:v>32</x:v>
      </x:c>
      <x:c r="J78" s="6">
        <x:v>88</x:v>
      </x:c>
      <x:c r="K78" s="6">
        <x:v>87</x:v>
      </x:c>
      <x:c r="L78" s="6">
        <x:v>87</x:v>
      </x:c>
      <x:c r="M78" s="6">
        <x:v>85</x:v>
      </x:c>
      <x:c r="N78" s="6">
        <x:v>88</x:v>
      </x:c>
      <x:c r="O78" s="6">
        <x:v>84</x:v>
      </x:c>
      <x:c r="P78" s="6">
        <x:v>17</x:v>
      </x:c>
      <x:c r="Q78" s="6">
        <x:v>5</x:v>
      </x:c>
      <x:c r="R78" s="6">
        <x:f t="shared" si="3"/>
        <x:v>86.7</x:v>
      </x:c>
      <x:c r="S78" s="6">
        <x:f t="shared" si="4"/>
        <x:v>86.25</x:v>
      </x:c>
      <x:c r="T78" s="6">
        <x:f t="shared" si="5"/>
        <x:v>86.475</x:v>
      </x:c>
      <x:c r="U78" s="7" t="s">
        <x:v>33</x:v>
      </x:c>
      <x:c r="V78" s="7" t="s">
        <x:v>34</x:v>
      </x:c>
      <x:c r="W78" s="7" t="s">
        <x:v>346</x:v>
      </x:c>
      <x:c r="X78" s="7" t="s">
        <x:v>36</x:v>
      </x:c>
      <x:c r="Y78" s="7" t="s">
        <x:v>508</x:v>
      </x:c>
    </x:row>
    <x:row r="79" ht="38" customHeight="1">
      <x:c r="A79" s="7" t="s">
        <x:v>509</x:v>
      </x:c>
      <x:c r="B79" s="7" t="s">
        <x:v>26</x:v>
      </x:c>
      <x:c r="C79" s="7" t="s">
        <x:v>79</x:v>
      </x:c>
      <x:c r="D79" s="7" t="s">
        <x:v>510</x:v>
      </x:c>
      <x:c r="E79" s="7" t="s">
        <x:v>511</x:v>
      </x:c>
      <x:c r="F79" s="7" t="s">
        <x:v>512</x:v>
      </x:c>
      <x:c r="G79" s="7">
        <x:v>23</x:v>
      </x:c>
      <x:c r="H79" s="7" t="s">
        <x:v>513</x:v>
      </x:c>
      <x:c r="I79" s="7" t="s">
        <x:v>32</x:v>
      </x:c>
      <x:c r="J79" s="6">
        <x:v>88</x:v>
      </x:c>
      <x:c r="K79" s="6">
        <x:v>87</x:v>
      </x:c>
      <x:c r="L79" s="6">
        <x:v>87</x:v>
      </x:c>
      <x:c r="M79" s="6">
        <x:v>85</x:v>
      </x:c>
      <x:c r="N79" s="6">
        <x:v>88</x:v>
      </x:c>
      <x:c r="O79" s="6">
        <x:v>84</x:v>
      </x:c>
      <x:c r="P79" s="6">
        <x:v>17</x:v>
      </x:c>
      <x:c r="Q79" s="6">
        <x:v>5</x:v>
      </x:c>
      <x:c r="R79" s="6">
        <x:f t="shared" si="3"/>
        <x:v>86.7</x:v>
      </x:c>
      <x:c r="S79" s="6">
        <x:f t="shared" si="4"/>
        <x:v>86.25</x:v>
      </x:c>
      <x:c r="T79" s="6">
        <x:f t="shared" si="5"/>
        <x:v>86.475</x:v>
      </x:c>
      <x:c r="U79" s="7" t="s">
        <x:v>33</x:v>
      </x:c>
      <x:c r="V79" s="7" t="s">
        <x:v>34</x:v>
      </x:c>
      <x:c r="W79" s="7" t="s">
        <x:v>346</x:v>
      </x:c>
      <x:c r="X79" s="7" t="s">
        <x:v>36</x:v>
      </x:c>
      <x:c r="Y79" s="7" t="s">
        <x:v>514</x:v>
      </x:c>
    </x:row>
    <x:row r="80" ht="38" customHeight="1">
      <x:c r="A80" s="7" t="s">
        <x:v>515</x:v>
      </x:c>
      <x:c r="B80" s="7" t="s">
        <x:v>26</x:v>
      </x:c>
      <x:c r="C80" s="7" t="s">
        <x:v>79</x:v>
      </x:c>
      <x:c r="D80" s="7" t="s">
        <x:v>516</x:v>
      </x:c>
      <x:c r="E80" s="7" t="s">
        <x:v>517</x:v>
      </x:c>
      <x:c r="F80" s="7" t="s">
        <x:v>518</x:v>
      </x:c>
      <x:c r="G80" s="7">
        <x:v>19</x:v>
      </x:c>
      <x:c r="H80" s="7" t="s">
        <x:v>519</x:v>
      </x:c>
      <x:c r="I80" s="7" t="s">
        <x:v>32</x:v>
      </x:c>
      <x:c r="J80" s="6">
        <x:v>89</x:v>
      </x:c>
      <x:c r="K80" s="6">
        <x:v>86</x:v>
      </x:c>
      <x:c r="L80" s="6">
        <x:v>87</x:v>
      </x:c>
      <x:c r="M80" s="6">
        <x:v>84</x:v>
      </x:c>
      <x:c r="N80" s="6">
        <x:v>88</x:v>
      </x:c>
      <x:c r="O80" s="6">
        <x:v>83</x:v>
      </x:c>
      <x:c r="P80" s="6">
        <x:v>18</x:v>
      </x:c>
      <x:c r="Q80" s="6">
        <x:v>5</x:v>
      </x:c>
      <x:c r="R80" s="6">
        <x:f t="shared" si="3"/>
        <x:v>86.55</x:v>
      </x:c>
      <x:c r="S80" s="6">
        <x:f t="shared" si="4"/>
        <x:v>85.75</x:v>
      </x:c>
      <x:c r="T80" s="6">
        <x:f t="shared" si="5"/>
        <x:v>86.15</x:v>
      </x:c>
      <x:c r="U80" s="7" t="s">
        <x:v>33</x:v>
      </x:c>
      <x:c r="V80" s="7" t="s">
        <x:v>34</x:v>
      </x:c>
      <x:c r="W80" s="7" t="s">
        <x:v>346</x:v>
      </x:c>
      <x:c r="X80" s="7" t="s">
        <x:v>36</x:v>
      </x:c>
      <x:c r="Y80" s="7" t="s">
        <x:v>520</x:v>
      </x:c>
    </x:row>
    <x:row r="81" ht="38" customHeight="1">
      <x:c r="A81" s="7" t="s">
        <x:v>521</x:v>
      </x:c>
      <x:c r="B81" s="7" t="s">
        <x:v>26</x:v>
      </x:c>
      <x:c r="C81" s="7" t="s">
        <x:v>79</x:v>
      </x:c>
      <x:c r="D81" s="7" t="s">
        <x:v>522</x:v>
      </x:c>
      <x:c r="E81" s="7" t="s">
        <x:v>523</x:v>
      </x:c>
      <x:c r="F81" s="7" t="s">
        <x:v>524</x:v>
      </x:c>
      <x:c r="G81" s="7">
        <x:v>39</x:v>
      </x:c>
      <x:c r="H81" s="7" t="s">
        <x:v>525</x:v>
      </x:c>
      <x:c r="I81" s="7" t="s">
        <x:v>32</x:v>
      </x:c>
      <x:c r="J81" s="6">
        <x:v>88</x:v>
      </x:c>
      <x:c r="K81" s="6">
        <x:v>86</x:v>
      </x:c>
      <x:c r="L81" s="6">
        <x:v>87</x:v>
      </x:c>
      <x:c r="M81" s="6">
        <x:v>85</x:v>
      </x:c>
      <x:c r="N81" s="6">
        <x:v>87</x:v>
      </x:c>
      <x:c r="O81" s="6">
        <x:v>83</x:v>
      </x:c>
      <x:c r="P81" s="6">
        <x:v>18</x:v>
      </x:c>
      <x:c r="Q81" s="6">
        <x:v>5</x:v>
      </x:c>
      <x:c r="R81" s="6">
        <x:f t="shared" si="3"/>
        <x:v>86.4</x:v>
      </x:c>
      <x:c r="S81" s="6">
        <x:f t="shared" si="4"/>
        <x:v>85.45</x:v>
      </x:c>
      <x:c r="T81" s="6">
        <x:f t="shared" si="5"/>
        <x:v>85.925</x:v>
      </x:c>
      <x:c r="U81" s="7" t="s">
        <x:v>33</x:v>
      </x:c>
      <x:c r="V81" s="7" t="s">
        <x:v>34</x:v>
      </x:c>
      <x:c r="W81" s="7" t="s">
        <x:v>346</x:v>
      </x:c>
      <x:c r="X81" s="7" t="s">
        <x:v>36</x:v>
      </x:c>
      <x:c r="Y81" s="7" t="s">
        <x:v>526</x:v>
      </x:c>
    </x:row>
    <x:row r="82" ht="38" customHeight="1">
      <x:c r="A82" s="7" t="s">
        <x:v>527</x:v>
      </x:c>
      <x:c r="B82" s="7" t="s">
        <x:v>26</x:v>
      </x:c>
      <x:c r="C82" s="7" t="s">
        <x:v>79</x:v>
      </x:c>
      <x:c r="D82" s="7" t="s">
        <x:v>528</x:v>
      </x:c>
      <x:c r="E82" s="7" t="s">
        <x:v>529</x:v>
      </x:c>
      <x:c r="F82" s="7" t="s">
        <x:v>530</x:v>
      </x:c>
      <x:c r="G82" s="7" t="s">
        <x:v>75</x:v>
      </x:c>
      <x:c r="H82" s="7" t="s">
        <x:v>531</x:v>
      </x:c>
      <x:c r="I82" s="7" t="s">
        <x:v>32</x:v>
      </x:c>
      <x:c r="J82" s="6">
        <x:v>88</x:v>
      </x:c>
      <x:c r="K82" s="6">
        <x:v>86</x:v>
      </x:c>
      <x:c r="L82" s="6">
        <x:v>87</x:v>
      </x:c>
      <x:c r="M82" s="6">
        <x:v>85</x:v>
      </x:c>
      <x:c r="N82" s="6">
        <x:v>87</x:v>
      </x:c>
      <x:c r="O82" s="6">
        <x:v>83</x:v>
      </x:c>
      <x:c r="P82" s="6">
        <x:v>18</x:v>
      </x:c>
      <x:c r="Q82" s="6">
        <x:v>5</x:v>
      </x:c>
      <x:c r="R82" s="6">
        <x:f t="shared" si="3"/>
        <x:v>86.4</x:v>
      </x:c>
      <x:c r="S82" s="6">
        <x:f t="shared" si="4"/>
        <x:v>85.45</x:v>
      </x:c>
      <x:c r="T82" s="6">
        <x:f t="shared" si="5"/>
        <x:v>85.925</x:v>
      </x:c>
      <x:c r="U82" s="7" t="s">
        <x:v>33</x:v>
      </x:c>
      <x:c r="V82" s="7" t="s">
        <x:v>34</x:v>
      </x:c>
      <x:c r="W82" s="7" t="s">
        <x:v>346</x:v>
      </x:c>
      <x:c r="X82" s="7" t="s">
        <x:v>36</x:v>
      </x:c>
      <x:c r="Y82" s="7" t="s">
        <x:v>532</x:v>
      </x:c>
    </x:row>
    <x:row r="83" ht="38" customHeight="1">
      <x:c r="A83" s="7" t="s">
        <x:v>533</x:v>
      </x:c>
      <x:c r="B83" s="7" t="s">
        <x:v>26</x:v>
      </x:c>
      <x:c r="C83" s="7" t="s">
        <x:v>79</x:v>
      </x:c>
      <x:c r="D83" s="7" t="s">
        <x:v>534</x:v>
      </x:c>
      <x:c r="E83" s="7" t="s">
        <x:v>535</x:v>
      </x:c>
      <x:c r="F83" s="7" t="s">
        <x:v>536</x:v>
      </x:c>
      <x:c r="G83" s="7" t="s">
        <x:v>75</x:v>
      </x:c>
      <x:c r="H83" s="7" t="s">
        <x:v>537</x:v>
      </x:c>
      <x:c r="I83" s="7" t="s">
        <x:v>32</x:v>
      </x:c>
      <x:c r="J83" s="6">
        <x:v>88</x:v>
      </x:c>
      <x:c r="K83" s="6">
        <x:v>86</x:v>
      </x:c>
      <x:c r="L83" s="6">
        <x:v>87</x:v>
      </x:c>
      <x:c r="M83" s="6">
        <x:v>85</x:v>
      </x:c>
      <x:c r="N83" s="6">
        <x:v>87</x:v>
      </x:c>
      <x:c r="O83" s="6">
        <x:v>83</x:v>
      </x:c>
      <x:c r="P83" s="6">
        <x:v>18</x:v>
      </x:c>
      <x:c r="Q83" s="6">
        <x:v>5</x:v>
      </x:c>
      <x:c r="R83" s="6">
        <x:f t="shared" si="3"/>
        <x:v>86.4</x:v>
      </x:c>
      <x:c r="S83" s="6">
        <x:f t="shared" si="4"/>
        <x:v>85.45</x:v>
      </x:c>
      <x:c r="T83" s="6">
        <x:f t="shared" si="5"/>
        <x:v>85.925</x:v>
      </x:c>
      <x:c r="U83" s="7" t="s">
        <x:v>33</x:v>
      </x:c>
      <x:c r="V83" s="7" t="s">
        <x:v>34</x:v>
      </x:c>
      <x:c r="W83" s="7" t="s">
        <x:v>346</x:v>
      </x:c>
      <x:c r="X83" s="7" t="s">
        <x:v>36</x:v>
      </x:c>
      <x:c r="Y83" s="7" t="s">
        <x:v>538</x:v>
      </x:c>
    </x:row>
    <x:row r="84" ht="38" customHeight="1">
      <x:c r="A84" s="7" t="s">
        <x:v>539</x:v>
      </x:c>
      <x:c r="B84" s="7" t="s">
        <x:v>26</x:v>
      </x:c>
      <x:c r="C84" s="7" t="s">
        <x:v>79</x:v>
      </x:c>
      <x:c r="D84" s="7" t="s">
        <x:v>540</x:v>
      </x:c>
      <x:c r="E84" s="7" t="s">
        <x:v>541</x:v>
      </x:c>
      <x:c r="F84" s="7" t="s">
        <x:v>542</x:v>
      </x:c>
      <x:c r="G84" s="7" t="s">
        <x:v>75</x:v>
      </x:c>
      <x:c r="H84" s="7" t="s">
        <x:v>543</x:v>
      </x:c>
      <x:c r="I84" s="7" t="s">
        <x:v>32</x:v>
      </x:c>
      <x:c r="J84" s="6">
        <x:v>88</x:v>
      </x:c>
      <x:c r="K84" s="6">
        <x:v>86</x:v>
      </x:c>
      <x:c r="L84" s="6">
        <x:v>87</x:v>
      </x:c>
      <x:c r="M84" s="6">
        <x:v>85</x:v>
      </x:c>
      <x:c r="N84" s="6">
        <x:v>87</x:v>
      </x:c>
      <x:c r="O84" s="6">
        <x:v>83</x:v>
      </x:c>
      <x:c r="P84" s="6">
        <x:v>18</x:v>
      </x:c>
      <x:c r="Q84" s="6">
        <x:v>5</x:v>
      </x:c>
      <x:c r="R84" s="6">
        <x:f t="shared" si="3"/>
        <x:v>86.4</x:v>
      </x:c>
      <x:c r="S84" s="6">
        <x:f t="shared" si="4"/>
        <x:v>85.45</x:v>
      </x:c>
      <x:c r="T84" s="6">
        <x:f t="shared" si="5"/>
        <x:v>85.925</x:v>
      </x:c>
      <x:c r="U84" s="7" t="s">
        <x:v>33</x:v>
      </x:c>
      <x:c r="V84" s="7" t="s">
        <x:v>34</x:v>
      </x:c>
      <x:c r="W84" s="7" t="s">
        <x:v>346</x:v>
      </x:c>
      <x:c r="X84" s="7" t="s">
        <x:v>36</x:v>
      </x:c>
      <x:c r="Y84" s="7" t="s">
        <x:v>544</x:v>
      </x:c>
    </x:row>
    <x:row r="85" ht="38" customHeight="1">
      <x:c r="A85" s="7" t="s">
        <x:v>545</x:v>
      </x:c>
      <x:c r="B85" s="7" t="s">
        <x:v>26</x:v>
      </x:c>
      <x:c r="C85" s="7" t="s">
        <x:v>273</x:v>
      </x:c>
      <x:c r="D85" s="7" t="s">
        <x:v>546</x:v>
      </x:c>
      <x:c r="E85" s="7" t="s">
        <x:v>547</x:v>
      </x:c>
      <x:c r="F85" s="7" t="s">
        <x:v>548</x:v>
      </x:c>
      <x:c r="G85" s="7" t="s">
        <x:v>75</x:v>
      </x:c>
      <x:c r="H85" s="7" t="s">
        <x:v>549</x:v>
      </x:c>
      <x:c r="I85" s="7" t="s">
        <x:v>32</x:v>
      </x:c>
      <x:c r="J85" s="6">
        <x:v>88</x:v>
      </x:c>
      <x:c r="K85" s="6">
        <x:v>86</x:v>
      </x:c>
      <x:c r="L85" s="6">
        <x:v>87</x:v>
      </x:c>
      <x:c r="M85" s="6">
        <x:v>85</x:v>
      </x:c>
      <x:c r="N85" s="6">
        <x:v>87</x:v>
      </x:c>
      <x:c r="O85" s="6">
        <x:v>83</x:v>
      </x:c>
      <x:c r="P85" s="6">
        <x:v>18</x:v>
      </x:c>
      <x:c r="Q85" s="6">
        <x:v>5</x:v>
      </x:c>
      <x:c r="R85" s="6">
        <x:f t="shared" si="3"/>
        <x:v>86.4</x:v>
      </x:c>
      <x:c r="S85" s="6">
        <x:f t="shared" si="4"/>
        <x:v>85.45</x:v>
      </x:c>
      <x:c r="T85" s="6">
        <x:f t="shared" si="5"/>
        <x:v>85.925</x:v>
      </x:c>
      <x:c r="U85" s="7" t="s">
        <x:v>33</x:v>
      </x:c>
      <x:c r="V85" s="7" t="s">
        <x:v>34</x:v>
      </x:c>
      <x:c r="W85" s="7" t="s">
        <x:v>346</x:v>
      </x:c>
      <x:c r="X85" s="7" t="s">
        <x:v>36</x:v>
      </x:c>
      <x:c r="Y85" s="7" t="s">
        <x:v>550</x:v>
      </x:c>
    </x:row>
    <x:row r="86" ht="38" customHeight="1">
      <x:c r="A86" s="7" t="s">
        <x:v>551</x:v>
      </x:c>
      <x:c r="B86" s="7" t="s">
        <x:v>26</x:v>
      </x:c>
      <x:c r="C86" s="7" t="s">
        <x:v>79</x:v>
      </x:c>
      <x:c r="D86" s="7" t="s">
        <x:v>552</x:v>
      </x:c>
      <x:c r="E86" s="7" t="s">
        <x:v>553</x:v>
      </x:c>
      <x:c r="F86" s="7" t="s">
        <x:v>554</x:v>
      </x:c>
      <x:c r="G86" s="7">
        <x:v>22</x:v>
      </x:c>
      <x:c r="H86" s="7" t="s">
        <x:v>555</x:v>
      </x:c>
      <x:c r="I86" s="7" t="s">
        <x:v>32</x:v>
      </x:c>
      <x:c r="J86" s="6">
        <x:v>87</x:v>
      </x:c>
      <x:c r="K86" s="6">
        <x:v>86</x:v>
      </x:c>
      <x:c r="L86" s="6">
        <x:v>87</x:v>
      </x:c>
      <x:c r="M86" s="6">
        <x:v>84</x:v>
      </x:c>
      <x:c r="N86" s="6">
        <x:v>87</x:v>
      </x:c>
      <x:c r="O86" s="6">
        <x:v>83</x:v>
      </x:c>
      <x:c r="P86" s="6">
        <x:v>18</x:v>
      </x:c>
      <x:c r="Q86" s="6">
        <x:v>5</x:v>
      </x:c>
      <x:c r="R86" s="6">
        <x:f t="shared" si="3"/>
        <x:v>85.95</x:v>
      </x:c>
      <x:c r="S86" s="6">
        <x:f t="shared" si="4"/>
        <x:v>85.45</x:v>
      </x:c>
      <x:c r="T86" s="6">
        <x:f t="shared" si="5"/>
        <x:v>85.7</x:v>
      </x:c>
      <x:c r="U86" s="7" t="s">
        <x:v>33</x:v>
      </x:c>
      <x:c r="V86" s="7" t="s">
        <x:v>34</x:v>
      </x:c>
      <x:c r="W86" s="7" t="s">
        <x:v>346</x:v>
      </x:c>
      <x:c r="X86" s="7" t="s">
        <x:v>36</x:v>
      </x:c>
      <x:c r="Y86" s="7" t="s">
        <x:v>556</x:v>
      </x:c>
    </x:row>
    <x:row r="87" ht="38" customHeight="1">
      <x:c r="A87" s="7" t="s">
        <x:v>557</x:v>
      </x:c>
      <x:c r="B87" s="7" t="s">
        <x:v>26</x:v>
      </x:c>
      <x:c r="C87" s="7" t="s">
        <x:v>79</x:v>
      </x:c>
      <x:c r="D87" s="7" t="s">
        <x:v>558</x:v>
      </x:c>
      <x:c r="E87" s="7" t="s">
        <x:v>559</x:v>
      </x:c>
      <x:c r="F87" s="7" t="s">
        <x:v>560</x:v>
      </x:c>
      <x:c r="G87" s="7" t="s">
        <x:v>75</x:v>
      </x:c>
      <x:c r="H87" s="7" t="s">
        <x:v>561</x:v>
      </x:c>
      <x:c r="I87" s="7" t="s">
        <x:v>32</x:v>
      </x:c>
      <x:c r="J87" s="6">
        <x:v>88</x:v>
      </x:c>
      <x:c r="K87" s="6">
        <x:v>86</x:v>
      </x:c>
      <x:c r="L87" s="6">
        <x:v>87</x:v>
      </x:c>
      <x:c r="M87" s="6">
        <x:v>85</x:v>
      </x:c>
      <x:c r="N87" s="6">
        <x:v>87</x:v>
      </x:c>
      <x:c r="O87" s="6">
        <x:v>83</x:v>
      </x:c>
      <x:c r="P87" s="6">
        <x:v>22</x:v>
      </x:c>
      <x:c r="Q87" s="6">
        <x:v>5</x:v>
      </x:c>
      <x:c r="R87" s="6">
        <x:f t="shared" si="3"/>
        <x:v>86.4</x:v>
      </x:c>
      <x:c r="S87" s="6">
        <x:f t="shared" si="4"/>
        <x:v>84.85</x:v>
      </x:c>
      <x:c r="T87" s="6">
        <x:f t="shared" si="5"/>
        <x:v>85.625</x:v>
      </x:c>
      <x:c r="U87" s="7" t="s">
        <x:v>33</x:v>
      </x:c>
      <x:c r="V87" s="7" t="s">
        <x:v>34</x:v>
      </x:c>
      <x:c r="W87" s="7" t="s">
        <x:v>346</x:v>
      </x:c>
      <x:c r="X87" s="7" t="s">
        <x:v>36</x:v>
      </x:c>
      <x:c r="Y87" s="7" t="s">
        <x:v>562</x:v>
      </x:c>
    </x:row>
    <x:row r="88" ht="38" customHeight="1">
      <x:c r="A88" s="7" t="s">
        <x:v>563</x:v>
      </x:c>
      <x:c r="B88" s="7" t="s">
        <x:v>26</x:v>
      </x:c>
      <x:c r="C88" s="7" t="s">
        <x:v>79</x:v>
      </x:c>
      <x:c r="D88" s="7" t="s">
        <x:v>564</x:v>
      </x:c>
      <x:c r="E88" s="7" t="s">
        <x:v>565</x:v>
      </x:c>
      <x:c r="F88" s="7" t="s">
        <x:v>566</x:v>
      </x:c>
      <x:c r="G88" s="7">
        <x:v>59</x:v>
      </x:c>
      <x:c r="H88" s="7" t="s">
        <x:v>567</x:v>
      </x:c>
      <x:c r="I88" s="7" t="s">
        <x:v>32</x:v>
      </x:c>
      <x:c r="J88" s="6">
        <x:v>85</x:v>
      </x:c>
      <x:c r="K88" s="6">
        <x:v>87</x:v>
      </x:c>
      <x:c r="L88" s="6">
        <x:v>87</x:v>
      </x:c>
      <x:c r="M88" s="6">
        <x:v>90</x:v>
      </x:c>
      <x:c r="N88" s="6">
        <x:v>86</x:v>
      </x:c>
      <x:c r="O88" s="6">
        <x:v>82</x:v>
      </x:c>
      <x:c r="P88" s="6">
        <x:v>21</x:v>
      </x:c>
      <x:c r="Q88" s="6">
        <x:v>5</x:v>
      </x:c>
      <x:c r="R88" s="6">
        <x:f t="shared" si="3"/>
        <x:v>86.35</x:v>
      </x:c>
      <x:c r="S88" s="6">
        <x:f t="shared" si="4"/>
        <x:v>84.75</x:v>
      </x:c>
      <x:c r="T88" s="6">
        <x:f t="shared" si="5"/>
        <x:v>85.55</x:v>
      </x:c>
      <x:c r="U88" s="7" t="s">
        <x:v>33</x:v>
      </x:c>
      <x:c r="V88" s="7" t="s">
        <x:v>34</x:v>
      </x:c>
      <x:c r="W88" s="7" t="s">
        <x:v>346</x:v>
      </x:c>
      <x:c r="X88" s="7" t="s">
        <x:v>36</x:v>
      </x:c>
      <x:c r="Y88" s="7" t="s">
        <x:v>568</x:v>
      </x:c>
    </x:row>
    <x:row r="89" ht="38" customHeight="1">
      <x:c r="A89" s="7" t="s">
        <x:v>569</x:v>
      </x:c>
      <x:c r="B89" s="7" t="s">
        <x:v>26</x:v>
      </x:c>
      <x:c r="C89" s="7" t="s">
        <x:v>79</x:v>
      </x:c>
      <x:c r="D89" s="7" t="s">
        <x:v>570</x:v>
      </x:c>
      <x:c r="E89" s="7" t="s">
        <x:v>571</x:v>
      </x:c>
      <x:c r="F89" s="7" t="s">
        <x:v>572</x:v>
      </x:c>
      <x:c r="G89" s="7">
        <x:v>31</x:v>
      </x:c>
      <x:c r="H89" s="7" t="s">
        <x:v>573</x:v>
      </x:c>
      <x:c r="I89" s="7" t="s">
        <x:v>32</x:v>
      </x:c>
      <x:c r="J89" s="6">
        <x:v>87</x:v>
      </x:c>
      <x:c r="K89" s="6">
        <x:v>86</x:v>
      </x:c>
      <x:c r="L89" s="6">
        <x:v>86</x:v>
      </x:c>
      <x:c r="M89" s="6">
        <x:v>84</x:v>
      </x:c>
      <x:c r="N89" s="6">
        <x:v>87</x:v>
      </x:c>
      <x:c r="O89" s="6">
        <x:v>83</x:v>
      </x:c>
      <x:c r="P89" s="6">
        <x:v>19</x:v>
      </x:c>
      <x:c r="Q89" s="6">
        <x:v>5</x:v>
      </x:c>
      <x:c r="R89" s="6">
        <x:f t="shared" si="3"/>
        <x:v>85.7</x:v>
      </x:c>
      <x:c r="S89" s="6">
        <x:f t="shared" si="4"/>
        <x:v>85.1</x:v>
      </x:c>
      <x:c r="T89" s="6">
        <x:f t="shared" si="5"/>
        <x:v>85.4</x:v>
      </x:c>
      <x:c r="U89" s="7" t="s">
        <x:v>33</x:v>
      </x:c>
      <x:c r="V89" s="7" t="s">
        <x:v>34</x:v>
      </x:c>
      <x:c r="W89" s="7" t="s">
        <x:v>346</x:v>
      </x:c>
      <x:c r="X89" s="7" t="s">
        <x:v>36</x:v>
      </x:c>
      <x:c r="Y89" s="7" t="s">
        <x:v>574</x:v>
      </x:c>
    </x:row>
    <x:row r="90" ht="38" customHeight="1">
      <x:c r="A90" s="7" t="s">
        <x:v>575</x:v>
      </x:c>
      <x:c r="B90" s="7" t="s">
        <x:v>26</x:v>
      </x:c>
      <x:c r="C90" s="7" t="s">
        <x:v>79</x:v>
      </x:c>
      <x:c r="D90" s="7" t="s">
        <x:v>540</x:v>
      </x:c>
      <x:c r="E90" s="7" t="s">
        <x:v>576</x:v>
      </x:c>
      <x:c r="F90" s="7" t="s">
        <x:v>577</x:v>
      </x:c>
      <x:c r="G90" s="7">
        <x:v>26</x:v>
      </x:c>
      <x:c r="H90" s="7" t="s">
        <x:v>578</x:v>
      </x:c>
      <x:c r="I90" s="7" t="s">
        <x:v>32</x:v>
      </x:c>
      <x:c r="J90" s="6">
        <x:v>87</x:v>
      </x:c>
      <x:c r="K90" s="6">
        <x:v>86</x:v>
      </x:c>
      <x:c r="L90" s="6">
        <x:v>86</x:v>
      </x:c>
      <x:c r="M90" s="6">
        <x:v>84</x:v>
      </x:c>
      <x:c r="N90" s="6">
        <x:v>87</x:v>
      </x:c>
      <x:c r="O90" s="6">
        <x:v>83</x:v>
      </x:c>
      <x:c r="P90" s="6">
        <x:v>19</x:v>
      </x:c>
      <x:c r="Q90" s="6">
        <x:v>5</x:v>
      </x:c>
      <x:c r="R90" s="6">
        <x:f t="shared" si="3"/>
        <x:v>85.7</x:v>
      </x:c>
      <x:c r="S90" s="6">
        <x:f t="shared" si="4"/>
        <x:v>85.1</x:v>
      </x:c>
      <x:c r="T90" s="6">
        <x:f t="shared" si="5"/>
        <x:v>85.4</x:v>
      </x:c>
      <x:c r="U90" s="7" t="s">
        <x:v>33</x:v>
      </x:c>
      <x:c r="V90" s="7" t="s">
        <x:v>34</x:v>
      </x:c>
      <x:c r="W90" s="7" t="s">
        <x:v>346</x:v>
      </x:c>
      <x:c r="X90" s="7" t="s">
        <x:v>36</x:v>
      </x:c>
      <x:c r="Y90" s="7" t="s">
        <x:v>579</x:v>
      </x:c>
    </x:row>
    <x:row r="91" ht="38" customHeight="1">
      <x:c r="A91" s="7" t="s">
        <x:v>580</x:v>
      </x:c>
      <x:c r="B91" s="7" t="s">
        <x:v>26</x:v>
      </x:c>
      <x:c r="C91" s="7" t="s">
        <x:v>79</x:v>
      </x:c>
      <x:c r="D91" s="7" t="s">
        <x:v>581</x:v>
      </x:c>
      <x:c r="E91" s="7" t="s">
        <x:v>582</x:v>
      </x:c>
      <x:c r="F91" s="7" t="s">
        <x:v>583</x:v>
      </x:c>
      <x:c r="G91" s="7">
        <x:v>12</x:v>
      </x:c>
      <x:c r="H91" s="7" t="s">
        <x:v>584</x:v>
      </x:c>
      <x:c r="I91" s="7" t="s">
        <x:v>32</x:v>
      </x:c>
      <x:c r="J91" s="6">
        <x:v>88</x:v>
      </x:c>
      <x:c r="K91" s="6">
        <x:v>85</x:v>
      </x:c>
      <x:c r="L91" s="6">
        <x:v>86</x:v>
      </x:c>
      <x:c r="M91" s="6">
        <x:v>84</x:v>
      </x:c>
      <x:c r="N91" s="6">
        <x:v>87</x:v>
      </x:c>
      <x:c r="O91" s="6">
        <x:v>82</x:v>
      </x:c>
      <x:c r="P91" s="6">
        <x:v>19</x:v>
      </x:c>
      <x:c r="Q91" s="6">
        <x:v>5</x:v>
      </x:c>
      <x:c r="R91" s="6">
        <x:f t="shared" si="3"/>
        <x:v>85.7</x:v>
      </x:c>
      <x:c r="S91" s="6">
        <x:f t="shared" si="4"/>
        <x:v>84.75</x:v>
      </x:c>
      <x:c r="T91" s="6">
        <x:f t="shared" si="5"/>
        <x:v>85.225</x:v>
      </x:c>
      <x:c r="U91" s="7" t="s">
        <x:v>33</x:v>
      </x:c>
      <x:c r="V91" s="7" t="s">
        <x:v>34</x:v>
      </x:c>
      <x:c r="W91" s="7" t="s">
        <x:v>346</x:v>
      </x:c>
      <x:c r="X91" s="7" t="s">
        <x:v>36</x:v>
      </x:c>
      <x:c r="Y91" s="7" t="s">
        <x:v>585</x:v>
      </x:c>
    </x:row>
    <x:row r="92" ht="38" customHeight="1">
      <x:c r="A92" s="7" t="s">
        <x:v>586</x:v>
      </x:c>
      <x:c r="B92" s="7" t="s">
        <x:v>26</x:v>
      </x:c>
      <x:c r="C92" s="7" t="s">
        <x:v>79</x:v>
      </x:c>
      <x:c r="D92" s="7" t="s">
        <x:v>587</x:v>
      </x:c>
      <x:c r="E92" s="7" t="s">
        <x:v>588</x:v>
      </x:c>
      <x:c r="F92" s="7" t="s">
        <x:v>589</x:v>
      </x:c>
      <x:c r="G92" s="7" t="s">
        <x:v>75</x:v>
      </x:c>
      <x:c r="H92" s="7" t="s">
        <x:v>590</x:v>
      </x:c>
      <x:c r="I92" s="7" t="s">
        <x:v>32</x:v>
      </x:c>
      <x:c r="J92" s="6">
        <x:v>88</x:v>
      </x:c>
      <x:c r="K92" s="6">
        <x:v>85</x:v>
      </x:c>
      <x:c r="L92" s="6">
        <x:v>86</x:v>
      </x:c>
      <x:c r="M92" s="6">
        <x:v>84</x:v>
      </x:c>
      <x:c r="N92" s="6">
        <x:v>87</x:v>
      </x:c>
      <x:c r="O92" s="6">
        <x:v>82</x:v>
      </x:c>
      <x:c r="P92" s="6">
        <x:v>20</x:v>
      </x:c>
      <x:c r="Q92" s="6">
        <x:v>5</x:v>
      </x:c>
      <x:c r="R92" s="6">
        <x:f t="shared" si="3"/>
        <x:v>85.7</x:v>
      </x:c>
      <x:c r="S92" s="6">
        <x:f t="shared" si="4"/>
        <x:v>84.6</x:v>
      </x:c>
      <x:c r="T92" s="6">
        <x:f t="shared" si="5"/>
        <x:v>85.15</x:v>
      </x:c>
      <x:c r="U92" s="7" t="s">
        <x:v>33</x:v>
      </x:c>
      <x:c r="V92" s="7" t="s">
        <x:v>34</x:v>
      </x:c>
      <x:c r="W92" s="7" t="s">
        <x:v>346</x:v>
      </x:c>
      <x:c r="X92" s="7" t="s">
        <x:v>36</x:v>
      </x:c>
      <x:c r="Y92" s="7" t="s">
        <x:v>591</x:v>
      </x:c>
    </x:row>
    <x:row r="93" ht="38" customHeight="1">
      <x:c r="A93" s="7" t="s">
        <x:v>592</x:v>
      </x:c>
      <x:c r="B93" s="7" t="s">
        <x:v>26</x:v>
      </x:c>
      <x:c r="C93" s="7" t="s">
        <x:v>79</x:v>
      </x:c>
      <x:c r="D93" s="7" t="s">
        <x:v>593</x:v>
      </x:c>
      <x:c r="E93" s="7" t="s">
        <x:v>594</x:v>
      </x:c>
      <x:c r="F93" s="7" t="s">
        <x:v>595</x:v>
      </x:c>
      <x:c r="G93" s="7">
        <x:v>20</x:v>
      </x:c>
      <x:c r="H93" s="7" t="s">
        <x:v>596</x:v>
      </x:c>
      <x:c r="I93" s="7" t="s">
        <x:v>32</x:v>
      </x:c>
      <x:c r="J93" s="6">
        <x:v>87</x:v>
      </x:c>
      <x:c r="K93" s="6">
        <x:v>85</x:v>
      </x:c>
      <x:c r="L93" s="6">
        <x:v>86</x:v>
      </x:c>
      <x:c r="M93" s="6">
        <x:v>84</x:v>
      </x:c>
      <x:c r="N93" s="6">
        <x:v>86</x:v>
      </x:c>
      <x:c r="O93" s="6">
        <x:v>82</x:v>
      </x:c>
      <x:c r="P93" s="6">
        <x:v>19</x:v>
      </x:c>
      <x:c r="Q93" s="6">
        <x:v>5</x:v>
      </x:c>
      <x:c r="R93" s="6">
        <x:f t="shared" si="3"/>
        <x:v>85.4</x:v>
      </x:c>
      <x:c r="S93" s="6">
        <x:f t="shared" si="4"/>
        <x:v>84.45</x:v>
      </x:c>
      <x:c r="T93" s="6">
        <x:f t="shared" si="5"/>
        <x:v>84.925</x:v>
      </x:c>
      <x:c r="U93" s="7" t="s">
        <x:v>33</x:v>
      </x:c>
      <x:c r="V93" s="7" t="s">
        <x:v>34</x:v>
      </x:c>
      <x:c r="W93" s="7" t="s">
        <x:v>346</x:v>
      </x:c>
      <x:c r="X93" s="7" t="s">
        <x:v>36</x:v>
      </x:c>
      <x:c r="Y93" s="7" t="s">
        <x:v>597</x:v>
      </x:c>
    </x:row>
    <x:row r="94" ht="38" customHeight="1">
      <x:c r="A94" s="7" t="s">
        <x:v>598</x:v>
      </x:c>
      <x:c r="B94" s="7" t="s">
        <x:v>26</x:v>
      </x:c>
      <x:c r="C94" s="7" t="s">
        <x:v>79</x:v>
      </x:c>
      <x:c r="D94" s="7" t="s">
        <x:v>599</x:v>
      </x:c>
      <x:c r="E94" s="7" t="s">
        <x:v>600</x:v>
      </x:c>
      <x:c r="F94" s="7" t="s">
        <x:v>601</x:v>
      </x:c>
      <x:c r="G94" s="7">
        <x:v>17</x:v>
      </x:c>
      <x:c r="H94" s="7" t="s">
        <x:v>602</x:v>
      </x:c>
      <x:c r="I94" s="7" t="s">
        <x:v>32</x:v>
      </x:c>
      <x:c r="J94" s="6">
        <x:v>87</x:v>
      </x:c>
      <x:c r="K94" s="6">
        <x:v>85</x:v>
      </x:c>
      <x:c r="L94" s="6">
        <x:v>86</x:v>
      </x:c>
      <x:c r="M94" s="6">
        <x:v>84</x:v>
      </x:c>
      <x:c r="N94" s="6">
        <x:v>86</x:v>
      </x:c>
      <x:c r="O94" s="6">
        <x:v>82</x:v>
      </x:c>
      <x:c r="P94" s="6">
        <x:v>19</x:v>
      </x:c>
      <x:c r="Q94" s="6">
        <x:v>5</x:v>
      </x:c>
      <x:c r="R94" s="6">
        <x:f t="shared" si="3"/>
        <x:v>85.4</x:v>
      </x:c>
      <x:c r="S94" s="6">
        <x:f t="shared" si="4"/>
        <x:v>84.45</x:v>
      </x:c>
      <x:c r="T94" s="6">
        <x:f t="shared" si="5"/>
        <x:v>84.925</x:v>
      </x:c>
      <x:c r="U94" s="7" t="s">
        <x:v>33</x:v>
      </x:c>
      <x:c r="V94" s="7" t="s">
        <x:v>34</x:v>
      </x:c>
      <x:c r="W94" s="7" t="s">
        <x:v>346</x:v>
      </x:c>
      <x:c r="X94" s="7" t="s">
        <x:v>36</x:v>
      </x:c>
      <x:c r="Y94" s="7" t="s">
        <x:v>603</x:v>
      </x:c>
    </x:row>
    <x:row r="95" ht="38" customHeight="1">
      <x:c r="A95" s="7" t="s">
        <x:v>604</x:v>
      </x:c>
      <x:c r="B95" s="7" t="s">
        <x:v>26</x:v>
      </x:c>
      <x:c r="C95" s="7" t="s">
        <x:v>79</x:v>
      </x:c>
      <x:c r="D95" s="7" t="s">
        <x:v>605</x:v>
      </x:c>
      <x:c r="E95" s="7" t="s">
        <x:v>606</x:v>
      </x:c>
      <x:c r="F95" s="7" t="s">
        <x:v>607</x:v>
      </x:c>
      <x:c r="G95" s="7">
        <x:v>14</x:v>
      </x:c>
      <x:c r="H95" s="7" t="s">
        <x:v>608</x:v>
      </x:c>
      <x:c r="I95" s="7" t="s">
        <x:v>32</x:v>
      </x:c>
      <x:c r="J95" s="6">
        <x:v>87</x:v>
      </x:c>
      <x:c r="K95" s="6">
        <x:v>85</x:v>
      </x:c>
      <x:c r="L95" s="6">
        <x:v>86</x:v>
      </x:c>
      <x:c r="M95" s="6">
        <x:v>84</x:v>
      </x:c>
      <x:c r="N95" s="6">
        <x:v>86</x:v>
      </x:c>
      <x:c r="O95" s="6">
        <x:v>82</x:v>
      </x:c>
      <x:c r="P95" s="6">
        <x:v>19</x:v>
      </x:c>
      <x:c r="Q95" s="6">
        <x:v>5</x:v>
      </x:c>
      <x:c r="R95" s="6">
        <x:f t="shared" si="3"/>
        <x:v>85.4</x:v>
      </x:c>
      <x:c r="S95" s="6">
        <x:f t="shared" si="4"/>
        <x:v>84.45</x:v>
      </x:c>
      <x:c r="T95" s="6">
        <x:f t="shared" si="5"/>
        <x:v>84.925</x:v>
      </x:c>
      <x:c r="U95" s="7" t="s">
        <x:v>33</x:v>
      </x:c>
      <x:c r="V95" s="7" t="s">
        <x:v>34</x:v>
      </x:c>
      <x:c r="W95" s="7" t="s">
        <x:v>346</x:v>
      </x:c>
      <x:c r="X95" s="7" t="s">
        <x:v>36</x:v>
      </x:c>
      <x:c r="Y95" s="7" t="s">
        <x:v>609</x:v>
      </x:c>
    </x:row>
    <x:row r="96" ht="38" customHeight="1">
      <x:c r="A96" s="7" t="s">
        <x:v>610</x:v>
      </x:c>
      <x:c r="B96" s="7" t="s">
        <x:v>26</x:v>
      </x:c>
      <x:c r="C96" s="7" t="s">
        <x:v>79</x:v>
      </x:c>
      <x:c r="D96" s="7" t="s">
        <x:v>611</x:v>
      </x:c>
      <x:c r="E96" s="7" t="s">
        <x:v>612</x:v>
      </x:c>
      <x:c r="F96" s="7" t="s">
        <x:v>613</x:v>
      </x:c>
      <x:c r="G96" s="7">
        <x:v>22</x:v>
      </x:c>
      <x:c r="H96" s="7" t="s">
        <x:v>614</x:v>
      </x:c>
      <x:c r="I96" s="7" t="s">
        <x:v>32</x:v>
      </x:c>
      <x:c r="J96" s="6">
        <x:v>87</x:v>
      </x:c>
      <x:c r="K96" s="6">
        <x:v>85</x:v>
      </x:c>
      <x:c r="L96" s="6">
        <x:v>86</x:v>
      </x:c>
      <x:c r="M96" s="6">
        <x:v>84</x:v>
      </x:c>
      <x:c r="N96" s="6">
        <x:v>86</x:v>
      </x:c>
      <x:c r="O96" s="6">
        <x:v>82</x:v>
      </x:c>
      <x:c r="P96" s="6">
        <x:v>19</x:v>
      </x:c>
      <x:c r="Q96" s="6">
        <x:v>5</x:v>
      </x:c>
      <x:c r="R96" s="6">
        <x:f t="shared" si="3"/>
        <x:v>85.4</x:v>
      </x:c>
      <x:c r="S96" s="6">
        <x:f t="shared" si="4"/>
        <x:v>84.45</x:v>
      </x:c>
      <x:c r="T96" s="6">
        <x:f t="shared" si="5"/>
        <x:v>84.925</x:v>
      </x:c>
      <x:c r="U96" s="7" t="s">
        <x:v>33</x:v>
      </x:c>
      <x:c r="V96" s="7" t="s">
        <x:v>34</x:v>
      </x:c>
      <x:c r="W96" s="7" t="s">
        <x:v>346</x:v>
      </x:c>
      <x:c r="X96" s="7" t="s">
        <x:v>36</x:v>
      </x:c>
      <x:c r="Y96" s="7" t="s">
        <x:v>615</x:v>
      </x:c>
    </x:row>
    <x:row r="97" ht="38" customHeight="1">
      <x:c r="A97" s="7" t="s">
        <x:v>616</x:v>
      </x:c>
      <x:c r="B97" s="7" t="s">
        <x:v>26</x:v>
      </x:c>
      <x:c r="C97" s="7" t="s">
        <x:v>79</x:v>
      </x:c>
      <x:c r="D97" s="7" t="s">
        <x:v>617</x:v>
      </x:c>
      <x:c r="E97" s="7" t="s">
        <x:v>618</x:v>
      </x:c>
      <x:c r="F97" s="7" t="s">
        <x:v>619</x:v>
      </x:c>
      <x:c r="G97" s="7" t="s">
        <x:v>75</x:v>
      </x:c>
      <x:c r="H97" s="7" t="s">
        <x:v>620</x:v>
      </x:c>
      <x:c r="I97" s="7" t="s">
        <x:v>32</x:v>
      </x:c>
      <x:c r="J97" s="6">
        <x:v>87</x:v>
      </x:c>
      <x:c r="K97" s="6">
        <x:v>85</x:v>
      </x:c>
      <x:c r="L97" s="6">
        <x:v>86</x:v>
      </x:c>
      <x:c r="M97" s="6">
        <x:v>83</x:v>
      </x:c>
      <x:c r="N97" s="6">
        <x:v>87</x:v>
      </x:c>
      <x:c r="O97" s="6">
        <x:v>82</x:v>
      </x:c>
      <x:c r="P97" s="6">
        <x:v>20</x:v>
      </x:c>
      <x:c r="Q97" s="6">
        <x:v>5</x:v>
      </x:c>
      <x:c r="R97" s="6">
        <x:f t="shared" si="3"/>
        <x:v>85.25</x:v>
      </x:c>
      <x:c r="S97" s="6">
        <x:f t="shared" si="4"/>
        <x:v>84.6</x:v>
      </x:c>
      <x:c r="T97" s="6">
        <x:f t="shared" si="5"/>
        <x:v>84.925</x:v>
      </x:c>
      <x:c r="U97" s="7" t="s">
        <x:v>33</x:v>
      </x:c>
      <x:c r="V97" s="7" t="s">
        <x:v>34</x:v>
      </x:c>
      <x:c r="W97" s="7" t="s">
        <x:v>346</x:v>
      </x:c>
      <x:c r="X97" s="7" t="s">
        <x:v>36</x:v>
      </x:c>
      <x:c r="Y97" s="7" t="s">
        <x:v>621</x:v>
      </x:c>
    </x:row>
    <x:row r="98" ht="38" customHeight="1">
      <x:c r="A98" s="7" t="s">
        <x:v>622</x:v>
      </x:c>
      <x:c r="B98" s="7" t="s">
        <x:v>26</x:v>
      </x:c>
      <x:c r="C98" s="7" t="s">
        <x:v>79</x:v>
      </x:c>
      <x:c r="D98" s="7" t="s">
        <x:v>87</x:v>
      </x:c>
      <x:c r="E98" s="7" t="s">
        <x:v>623</x:v>
      </x:c>
      <x:c r="F98" s="7" t="s">
        <x:v>624</x:v>
      </x:c>
      <x:c r="G98" s="7">
        <x:v>20</x:v>
      </x:c>
      <x:c r="H98" s="7" t="s">
        <x:v>625</x:v>
      </x:c>
      <x:c r="I98" s="7" t="s">
        <x:v>32</x:v>
      </x:c>
      <x:c r="J98" s="6">
        <x:v>87</x:v>
      </x:c>
      <x:c r="K98" s="6">
        <x:v>85</x:v>
      </x:c>
      <x:c r="L98" s="6">
        <x:v>86</x:v>
      </x:c>
      <x:c r="M98" s="6">
        <x:v>83</x:v>
      </x:c>
      <x:c r="N98" s="6">
        <x:v>86</x:v>
      </x:c>
      <x:c r="O98" s="6">
        <x:v>82</x:v>
      </x:c>
      <x:c r="P98" s="6">
        <x:v>20</x:v>
      </x:c>
      <x:c r="Q98" s="6">
        <x:v>5</x:v>
      </x:c>
      <x:c r="R98" s="6">
        <x:f t="shared" si="3"/>
        <x:v>85.25</x:v>
      </x:c>
      <x:c r="S98" s="6">
        <x:f t="shared" si="4"/>
        <x:v>84.3</x:v>
      </x:c>
      <x:c r="T98" s="6">
        <x:f t="shared" si="5"/>
        <x:v>84.775</x:v>
      </x:c>
      <x:c r="U98" s="7" t="s">
        <x:v>33</x:v>
      </x:c>
      <x:c r="V98" s="7" t="s">
        <x:v>34</x:v>
      </x:c>
      <x:c r="W98" s="7" t="s">
        <x:v>346</x:v>
      </x:c>
      <x:c r="X98" s="7" t="s">
        <x:v>36</x:v>
      </x:c>
      <x:c r="Y98" s="7" t="s">
        <x:v>626</x:v>
      </x:c>
    </x:row>
    <x:row r="99" ht="38" customHeight="1">
      <x:c r="A99" s="7" t="s">
        <x:v>627</x:v>
      </x:c>
      <x:c r="B99" s="7" t="s">
        <x:v>26</x:v>
      </x:c>
      <x:c r="C99" s="7" t="s">
        <x:v>79</x:v>
      </x:c>
      <x:c r="D99" s="7" t="s">
        <x:v>628</x:v>
      </x:c>
      <x:c r="E99" s="7" t="s">
        <x:v>629</x:v>
      </x:c>
      <x:c r="F99" s="7" t="s">
        <x:v>630</x:v>
      </x:c>
      <x:c r="G99" s="7">
        <x:v>18</x:v>
      </x:c>
      <x:c r="H99" s="7" t="s">
        <x:v>631</x:v>
      </x:c>
      <x:c r="I99" s="7" t="s">
        <x:v>32</x:v>
      </x:c>
      <x:c r="J99" s="6">
        <x:v>87</x:v>
      </x:c>
      <x:c r="K99" s="6">
        <x:v>85</x:v>
      </x:c>
      <x:c r="L99" s="6">
        <x:v>85</x:v>
      </x:c>
      <x:c r="M99" s="6">
        <x:v>83</x:v>
      </x:c>
      <x:c r="N99" s="6">
        <x:v>87</x:v>
      </x:c>
      <x:c r="O99" s="6">
        <x:v>82</x:v>
      </x:c>
      <x:c r="P99" s="6">
        <x:v>20</x:v>
      </x:c>
      <x:c r="Q99" s="6">
        <x:v>5</x:v>
      </x:c>
      <x:c r="R99" s="6">
        <x:f t="shared" si="3"/>
        <x:v>85</x:v>
      </x:c>
      <x:c r="S99" s="6">
        <x:f t="shared" si="4"/>
        <x:v>84.4</x:v>
      </x:c>
      <x:c r="T99" s="6">
        <x:f t="shared" si="5"/>
        <x:v>84.7</x:v>
      </x:c>
      <x:c r="U99" s="7" t="s">
        <x:v>33</x:v>
      </x:c>
      <x:c r="V99" s="7" t="s">
        <x:v>34</x:v>
      </x:c>
      <x:c r="W99" s="7" t="s">
        <x:v>346</x:v>
      </x:c>
      <x:c r="X99" s="7" t="s">
        <x:v>36</x:v>
      </x:c>
      <x:c r="Y99" s="7" t="s">
        <x:v>632</x:v>
      </x:c>
    </x:row>
    <x:row r="100" ht="38" customHeight="1">
      <x:c r="A100" s="7" t="s">
        <x:v>633</x:v>
      </x:c>
      <x:c r="B100" s="7" t="s">
        <x:v>26</x:v>
      </x:c>
      <x:c r="C100" s="7" t="s">
        <x:v>79</x:v>
      </x:c>
      <x:c r="D100" s="7" t="s">
        <x:v>634</x:v>
      </x:c>
      <x:c r="E100" s="7" t="s">
        <x:v>635</x:v>
      </x:c>
      <x:c r="F100" s="7" t="s">
        <x:v>636</x:v>
      </x:c>
      <x:c r="G100" s="7">
        <x:v>29</x:v>
      </x:c>
      <x:c r="H100" s="7" t="s">
        <x:v>637</x:v>
      </x:c>
      <x:c r="I100" s="7" t="s">
        <x:v>32</x:v>
      </x:c>
      <x:c r="J100" s="6">
        <x:v>86</x:v>
      </x:c>
      <x:c r="K100" s="6">
        <x:v>85</x:v>
      </x:c>
      <x:c r="L100" s="6">
        <x:v>85</x:v>
      </x:c>
      <x:c r="M100" s="6">
        <x:v>83</x:v>
      </x:c>
      <x:c r="N100" s="6">
        <x:v>86</x:v>
      </x:c>
      <x:c r="O100" s="6">
        <x:v>82</x:v>
      </x:c>
      <x:c r="P100" s="6">
        <x:v>20</x:v>
      </x:c>
      <x:c r="Q100" s="6">
        <x:v>5</x:v>
      </x:c>
      <x:c r="R100" s="6">
        <x:f t="shared" si="3"/>
        <x:v>84.7</x:v>
      </x:c>
      <x:c r="S100" s="6">
        <x:f t="shared" si="4"/>
        <x:v>84.1</x:v>
      </x:c>
      <x:c r="T100" s="6">
        <x:f t="shared" si="5"/>
        <x:v>84.4</x:v>
      </x:c>
      <x:c r="U100" s="7" t="s">
        <x:v>33</x:v>
      </x:c>
      <x:c r="V100" s="7" t="s">
        <x:v>34</x:v>
      </x:c>
      <x:c r="W100" s="7" t="s">
        <x:v>346</x:v>
      </x:c>
      <x:c r="X100" s="7" t="s">
        <x:v>36</x:v>
      </x:c>
      <x:c r="Y100" s="7" t="s">
        <x:v>638</x:v>
      </x:c>
    </x:row>
    <x:row r="101" ht="38" customHeight="1">
      <x:c r="A101" s="7" t="s">
        <x:v>639</x:v>
      </x:c>
      <x:c r="B101" s="7" t="s">
        <x:v>26</x:v>
      </x:c>
      <x:c r="C101" s="7" t="s">
        <x:v>79</x:v>
      </x:c>
      <x:c r="D101" s="7" t="s">
        <x:v>640</x:v>
      </x:c>
      <x:c r="E101" s="7" t="s">
        <x:v>641</x:v>
      </x:c>
      <x:c r="F101" s="7" t="s">
        <x:v>642</x:v>
      </x:c>
      <x:c r="G101" s="7">
        <x:v>23</x:v>
      </x:c>
      <x:c r="H101" s="7" t="s">
        <x:v>643</x:v>
      </x:c>
      <x:c r="I101" s="7" t="s">
        <x:v>32</x:v>
      </x:c>
      <x:c r="J101" s="6">
        <x:v>87</x:v>
      </x:c>
      <x:c r="K101" s="6">
        <x:v>84</x:v>
      </x:c>
      <x:c r="L101" s="6">
        <x:v>85</x:v>
      </x:c>
      <x:c r="M101" s="6">
        <x:v>83</x:v>
      </x:c>
      <x:c r="N101" s="6">
        <x:v>86</x:v>
      </x:c>
      <x:c r="O101" s="6">
        <x:v>81</x:v>
      </x:c>
      <x:c r="P101" s="6">
        <x:v>21</x:v>
      </x:c>
      <x:c r="Q101" s="6">
        <x:v>5</x:v>
      </x:c>
      <x:c r="R101" s="6">
        <x:f t="shared" si="3"/>
        <x:v>84.7</x:v>
      </x:c>
      <x:c r="S101" s="6">
        <x:f t="shared" si="4"/>
        <x:v>83.6</x:v>
      </x:c>
      <x:c r="T101" s="6">
        <x:f t="shared" si="5"/>
        <x:v>84.15</x:v>
      </x:c>
      <x:c r="U101" s="7" t="s">
        <x:v>33</x:v>
      </x:c>
      <x:c r="V101" s="7" t="s">
        <x:v>34</x:v>
      </x:c>
      <x:c r="W101" s="7" t="s">
        <x:v>346</x:v>
      </x:c>
      <x:c r="X101" s="7" t="s">
        <x:v>36</x:v>
      </x:c>
      <x:c r="Y101" s="7" t="s">
        <x:v>644</x:v>
      </x:c>
    </x:row>
    <x:row r="102" ht="38" customHeight="1">
      <x:c r="A102" s="7" t="s">
        <x:v>645</x:v>
      </x:c>
      <x:c r="B102" s="7" t="s">
        <x:v>26</x:v>
      </x:c>
      <x:c r="C102" s="7" t="s">
        <x:v>79</x:v>
      </x:c>
      <x:c r="D102" s="7" t="s">
        <x:v>646</x:v>
      </x:c>
      <x:c r="E102" s="7" t="s">
        <x:v>647</x:v>
      </x:c>
      <x:c r="F102" s="7" t="s">
        <x:v>648</x:v>
      </x:c>
      <x:c r="G102" s="7">
        <x:v>36</x:v>
      </x:c>
      <x:c r="H102" s="7" t="s">
        <x:v>649</x:v>
      </x:c>
      <x:c r="I102" s="7" t="s">
        <x:v>32</x:v>
      </x:c>
      <x:c r="J102" s="6">
        <x:v>86</x:v>
      </x:c>
      <x:c r="K102" s="6">
        <x:v>84</x:v>
      </x:c>
      <x:c r="L102" s="6">
        <x:v>85</x:v>
      </x:c>
      <x:c r="M102" s="6">
        <x:v>83</x:v>
      </x:c>
      <x:c r="N102" s="6">
        <x:v>85</x:v>
      </x:c>
      <x:c r="O102" s="6">
        <x:v>81</x:v>
      </x:c>
      <x:c r="P102" s="6">
        <x:v>20</x:v>
      </x:c>
      <x:c r="Q102" s="6">
        <x:v>5</x:v>
      </x:c>
      <x:c r="R102" s="6">
        <x:f t="shared" si="3"/>
        <x:v>84.4</x:v>
      </x:c>
      <x:c r="S102" s="6">
        <x:f t="shared" si="4"/>
        <x:v>83.45</x:v>
      </x:c>
      <x:c r="T102" s="6">
        <x:f t="shared" si="5"/>
        <x:v>83.925</x:v>
      </x:c>
      <x:c r="U102" s="7" t="s">
        <x:v>33</x:v>
      </x:c>
      <x:c r="V102" s="7" t="s">
        <x:v>34</x:v>
      </x:c>
      <x:c r="W102" s="7" t="s">
        <x:v>346</x:v>
      </x:c>
      <x:c r="X102" s="7" t="s">
        <x:v>36</x:v>
      </x:c>
      <x:c r="Y102" s="7" t="s">
        <x:v>650</x:v>
      </x:c>
    </x:row>
    <x:row r="103" ht="38" customHeight="1">
      <x:c r="A103" s="7" t="s">
        <x:v>651</x:v>
      </x:c>
      <x:c r="B103" s="7" t="s">
        <x:v>26</x:v>
      </x:c>
      <x:c r="C103" s="7" t="s">
        <x:v>106</x:v>
      </x:c>
      <x:c r="D103" s="7" t="s">
        <x:v>652</x:v>
      </x:c>
      <x:c r="E103" s="7" t="s">
        <x:v>653</x:v>
      </x:c>
      <x:c r="F103" s="7" t="s">
        <x:v>654</x:v>
      </x:c>
      <x:c r="G103" s="7" t="s">
        <x:v>75</x:v>
      </x:c>
      <x:c r="H103" s="7" t="s">
        <x:v>655</x:v>
      </x:c>
      <x:c r="I103" s="7" t="s">
        <x:v>32</x:v>
      </x:c>
      <x:c r="J103" s="6">
        <x:v>86</x:v>
      </x:c>
      <x:c r="K103" s="6">
        <x:v>84</x:v>
      </x:c>
      <x:c r="L103" s="6">
        <x:v>85</x:v>
      </x:c>
      <x:c r="M103" s="6">
        <x:v>83</x:v>
      </x:c>
      <x:c r="N103" s="6">
        <x:v>85</x:v>
      </x:c>
      <x:c r="O103" s="6">
        <x:v>81</x:v>
      </x:c>
      <x:c r="P103" s="6">
        <x:v>20</x:v>
      </x:c>
      <x:c r="Q103" s="6">
        <x:v>5</x:v>
      </x:c>
      <x:c r="R103" s="6">
        <x:f t="shared" si="3"/>
        <x:v>84.4</x:v>
      </x:c>
      <x:c r="S103" s="6">
        <x:f t="shared" si="4"/>
        <x:v>83.45</x:v>
      </x:c>
      <x:c r="T103" s="6">
        <x:f t="shared" si="5"/>
        <x:v>83.925</x:v>
      </x:c>
      <x:c r="U103" s="7" t="s">
        <x:v>33</x:v>
      </x:c>
      <x:c r="V103" s="7" t="s">
        <x:v>34</x:v>
      </x:c>
      <x:c r="W103" s="7" t="s">
        <x:v>346</x:v>
      </x:c>
      <x:c r="X103" s="7" t="s">
        <x:v>36</x:v>
      </x:c>
      <x:c r="Y103" s="7" t="s">
        <x:v>656</x:v>
      </x:c>
    </x:row>
    <x:row r="104" ht="38" customHeight="1">
      <x:c r="A104" s="7" t="s">
        <x:v>657</x:v>
      </x:c>
      <x:c r="B104" s="7" t="s">
        <x:v>26</x:v>
      </x:c>
      <x:c r="C104" s="7" t="s">
        <x:v>79</x:v>
      </x:c>
      <x:c r="D104" s="7" t="s">
        <x:v>658</x:v>
      </x:c>
      <x:c r="E104" s="7" t="s">
        <x:v>659</x:v>
      </x:c>
      <x:c r="F104" s="7" t="s">
        <x:v>660</x:v>
      </x:c>
      <x:c r="G104" s="7">
        <x:v>34</x:v>
      </x:c>
      <x:c r="H104" s="7" t="s">
        <x:v>661</x:v>
      </x:c>
      <x:c r="I104" s="7" t="s">
        <x:v>32</x:v>
      </x:c>
      <x:c r="J104" s="6">
        <x:v>86</x:v>
      </x:c>
      <x:c r="K104" s="6">
        <x:v>84</x:v>
      </x:c>
      <x:c r="L104" s="6">
        <x:v>85</x:v>
      </x:c>
      <x:c r="M104" s="6">
        <x:v>83</x:v>
      </x:c>
      <x:c r="N104" s="6">
        <x:v>85</x:v>
      </x:c>
      <x:c r="O104" s="6">
        <x:v>81</x:v>
      </x:c>
      <x:c r="P104" s="6">
        <x:v>20</x:v>
      </x:c>
      <x:c r="Q104" s="6">
        <x:v>5</x:v>
      </x:c>
      <x:c r="R104" s="6">
        <x:f t="shared" si="3"/>
        <x:v>84.4</x:v>
      </x:c>
      <x:c r="S104" s="6">
        <x:f t="shared" si="4"/>
        <x:v>83.45</x:v>
      </x:c>
      <x:c r="T104" s="6">
        <x:f t="shared" si="5"/>
        <x:v>83.925</x:v>
      </x:c>
      <x:c r="U104" s="7" t="s">
        <x:v>33</x:v>
      </x:c>
      <x:c r="V104" s="7" t="s">
        <x:v>34</x:v>
      </x:c>
      <x:c r="W104" s="7" t="s">
        <x:v>346</x:v>
      </x:c>
      <x:c r="X104" s="7" t="s">
        <x:v>36</x:v>
      </x:c>
      <x:c r="Y104" s="7" t="s">
        <x:v>662</x:v>
      </x:c>
    </x:row>
    <x:row r="105" ht="38" customHeight="1">
      <x:c r="A105" s="7" t="s">
        <x:v>663</x:v>
      </x:c>
      <x:c r="B105" s="7" t="s">
        <x:v>26</x:v>
      </x:c>
      <x:c r="C105" s="7" t="s">
        <x:v>79</x:v>
      </x:c>
      <x:c r="D105" s="7" t="s">
        <x:v>664</x:v>
      </x:c>
      <x:c r="E105" s="7" t="s">
        <x:v>665</x:v>
      </x:c>
      <x:c r="F105" s="7" t="s">
        <x:v>666</x:v>
      </x:c>
      <x:c r="G105" s="7">
        <x:v>44</x:v>
      </x:c>
      <x:c r="H105" s="7" t="s">
        <x:v>667</x:v>
      </x:c>
      <x:c r="I105" s="7" t="s">
        <x:v>32</x:v>
      </x:c>
      <x:c r="J105" s="6">
        <x:v>86</x:v>
      </x:c>
      <x:c r="K105" s="6">
        <x:v>84</x:v>
      </x:c>
      <x:c r="L105" s="6">
        <x:v>85</x:v>
      </x:c>
      <x:c r="M105" s="6">
        <x:v>83</x:v>
      </x:c>
      <x:c r="N105" s="6">
        <x:v>85</x:v>
      </x:c>
      <x:c r="O105" s="6">
        <x:v>81</x:v>
      </x:c>
      <x:c r="P105" s="6">
        <x:v>21</x:v>
      </x:c>
      <x:c r="Q105" s="6">
        <x:v>5</x:v>
      </x:c>
      <x:c r="R105" s="6">
        <x:f t="shared" si="3"/>
        <x:v>84.4</x:v>
      </x:c>
      <x:c r="S105" s="6">
        <x:f t="shared" si="4"/>
        <x:v>83.3</x:v>
      </x:c>
      <x:c r="T105" s="6">
        <x:f t="shared" si="5"/>
        <x:v>83.85</x:v>
      </x:c>
      <x:c r="U105" s="7" t="s">
        <x:v>33</x:v>
      </x:c>
      <x:c r="V105" s="7" t="s">
        <x:v>34</x:v>
      </x:c>
      <x:c r="W105" s="7" t="s">
        <x:v>346</x:v>
      </x:c>
      <x:c r="X105" s="7" t="s">
        <x:v>36</x:v>
      </x:c>
      <x:c r="Y105" s="7" t="s">
        <x:v>668</x:v>
      </x:c>
    </x:row>
    <x:row r="106" ht="38" customHeight="1">
      <x:c r="A106" s="7" t="s">
        <x:v>669</x:v>
      </x:c>
      <x:c r="B106" s="7" t="s">
        <x:v>26</x:v>
      </x:c>
      <x:c r="C106" s="7" t="s">
        <x:v>670</x:v>
      </x:c>
      <x:c r="D106" s="7" t="s">
        <x:v>671</x:v>
      </x:c>
      <x:c r="E106" s="7" t="s">
        <x:v>672</x:v>
      </x:c>
      <x:c r="F106" s="7" t="s">
        <x:v>673</x:v>
      </x:c>
      <x:c r="G106" s="7">
        <x:v>27</x:v>
      </x:c>
      <x:c r="H106" s="7" t="s">
        <x:v>674</x:v>
      </x:c>
      <x:c r="I106" s="7" t="s">
        <x:v>32</x:v>
      </x:c>
      <x:c r="J106" s="6">
        <x:v>86</x:v>
      </x:c>
      <x:c r="K106" s="6">
        <x:v>84</x:v>
      </x:c>
      <x:c r="L106" s="6">
        <x:v>85</x:v>
      </x:c>
      <x:c r="M106" s="6">
        <x:v>83</x:v>
      </x:c>
      <x:c r="N106" s="6">
        <x:v>85</x:v>
      </x:c>
      <x:c r="O106" s="6">
        <x:v>81</x:v>
      </x:c>
      <x:c r="P106" s="6">
        <x:v>21</x:v>
      </x:c>
      <x:c r="Q106" s="6">
        <x:v>5</x:v>
      </x:c>
      <x:c r="R106" s="6">
        <x:f t="shared" si="3"/>
        <x:v>84.4</x:v>
      </x:c>
      <x:c r="S106" s="6">
        <x:f t="shared" si="4"/>
        <x:v>83.3</x:v>
      </x:c>
      <x:c r="T106" s="6">
        <x:f t="shared" si="5"/>
        <x:v>83.85</x:v>
      </x:c>
      <x:c r="U106" s="7" t="s">
        <x:v>33</x:v>
      </x:c>
      <x:c r="V106" s="7" t="s">
        <x:v>34</x:v>
      </x:c>
      <x:c r="W106" s="7" t="s">
        <x:v>346</x:v>
      </x:c>
      <x:c r="X106" s="7" t="s">
        <x:v>36</x:v>
      </x:c>
      <x:c r="Y106" s="7" t="s">
        <x:v>675</x:v>
      </x:c>
    </x:row>
    <x:row r="107" ht="38" customHeight="1">
      <x:c r="A107" s="7" t="s">
        <x:v>676</x:v>
      </x:c>
      <x:c r="B107" s="7" t="s">
        <x:v>26</x:v>
      </x:c>
      <x:c r="C107" s="7" t="s">
        <x:v>79</x:v>
      </x:c>
      <x:c r="D107" s="7" t="s">
        <x:v>677</x:v>
      </x:c>
      <x:c r="E107" s="7" t="s">
        <x:v>678</x:v>
      </x:c>
      <x:c r="F107" s="7" t="s">
        <x:v>679</x:v>
      </x:c>
      <x:c r="G107" s="7" t="s">
        <x:v>75</x:v>
      </x:c>
      <x:c r="H107" s="7" t="s">
        <x:v>680</x:v>
      </x:c>
      <x:c r="I107" s="7" t="s">
        <x:v>32</x:v>
      </x:c>
      <x:c r="J107" s="6">
        <x:v>86</x:v>
      </x:c>
      <x:c r="K107" s="6">
        <x:v>84</x:v>
      </x:c>
      <x:c r="L107" s="6">
        <x:v>85</x:v>
      </x:c>
      <x:c r="M107" s="6">
        <x:v>82</x:v>
      </x:c>
      <x:c r="N107" s="6">
        <x:v>85</x:v>
      </x:c>
      <x:c r="O107" s="6">
        <x:v>81</x:v>
      </x:c>
      <x:c r="P107" s="6">
        <x:v>21</x:v>
      </x:c>
      <x:c r="Q107" s="6">
        <x:v>5</x:v>
      </x:c>
      <x:c r="R107" s="6">
        <x:f t="shared" si="3"/>
        <x:v>84.25</x:v>
      </x:c>
      <x:c r="S107" s="6">
        <x:f t="shared" si="4"/>
        <x:v>83.3</x:v>
      </x:c>
      <x:c r="T107" s="6">
        <x:f t="shared" si="5"/>
        <x:v>83.775</x:v>
      </x:c>
      <x:c r="U107" s="7" t="s">
        <x:v>33</x:v>
      </x:c>
      <x:c r="V107" s="7" t="s">
        <x:v>34</x:v>
      </x:c>
      <x:c r="W107" s="7" t="s">
        <x:v>346</x:v>
      </x:c>
      <x:c r="X107" s="7" t="s">
        <x:v>36</x:v>
      </x:c>
      <x:c r="Y107" s="7" t="s">
        <x:v>681</x:v>
      </x:c>
    </x:row>
    <x:row r="108" ht="38" customHeight="1">
      <x:c r="A108" s="7" t="s">
        <x:v>682</x:v>
      </x:c>
      <x:c r="B108" s="7" t="s">
        <x:v>26</x:v>
      </x:c>
      <x:c r="C108" s="7" t="s">
        <x:v>79</x:v>
      </x:c>
      <x:c r="D108" s="7" t="s">
        <x:v>683</x:v>
      </x:c>
      <x:c r="E108" s="7" t="s">
        <x:v>684</x:v>
      </x:c>
      <x:c r="F108" s="7" t="s">
        <x:v>685</x:v>
      </x:c>
      <x:c r="G108" s="7" t="s">
        <x:v>75</x:v>
      </x:c>
      <x:c r="H108" s="7" t="s">
        <x:v>686</x:v>
      </x:c>
      <x:c r="I108" s="7" t="s">
        <x:v>32</x:v>
      </x:c>
      <x:c r="J108" s="6">
        <x:v>85</x:v>
      </x:c>
      <x:c r="K108" s="6">
        <x:v>84</x:v>
      </x:c>
      <x:c r="L108" s="6">
        <x:v>85</x:v>
      </x:c>
      <x:c r="M108" s="6">
        <x:v>82</x:v>
      </x:c>
      <x:c r="N108" s="6">
        <x:v>85</x:v>
      </x:c>
      <x:c r="O108" s="6">
        <x:v>81</x:v>
      </x:c>
      <x:c r="P108" s="6">
        <x:v>21</x:v>
      </x:c>
      <x:c r="Q108" s="6">
        <x:v>5</x:v>
      </x:c>
      <x:c r="R108" s="6">
        <x:f t="shared" si="3"/>
        <x:v>83.95</x:v>
      </x:c>
      <x:c r="S108" s="6">
        <x:f t="shared" si="4"/>
        <x:v>83.3</x:v>
      </x:c>
      <x:c r="T108" s="6">
        <x:f t="shared" si="5"/>
        <x:v>83.625</x:v>
      </x:c>
      <x:c r="U108" s="7" t="s">
        <x:v>33</x:v>
      </x:c>
      <x:c r="V108" s="7" t="s">
        <x:v>34</x:v>
      </x:c>
      <x:c r="W108" s="7" t="s">
        <x:v>346</x:v>
      </x:c>
      <x:c r="X108" s="7" t="s">
        <x:v>36</x:v>
      </x:c>
      <x:c r="Y108" s="7" t="s">
        <x:v>687</x:v>
      </x:c>
    </x:row>
    <x:row r="109" ht="38" customHeight="1">
      <x:c r="A109" s="7" t="s">
        <x:v>688</x:v>
      </x:c>
      <x:c r="B109" s="7" t="s">
        <x:v>26</x:v>
      </x:c>
      <x:c r="C109" s="7" t="s">
        <x:v>79</x:v>
      </x:c>
      <x:c r="D109" s="7" t="s">
        <x:v>689</x:v>
      </x:c>
      <x:c r="E109" s="7" t="s">
        <x:v>690</x:v>
      </x:c>
      <x:c r="F109" s="7" t="s">
        <x:v>691</x:v>
      </x:c>
      <x:c r="G109" s="7">
        <x:v>42</x:v>
      </x:c>
      <x:c r="H109" s="7" t="s">
        <x:v>692</x:v>
      </x:c>
      <x:c r="I109" s="7" t="s">
        <x:v>32</x:v>
      </x:c>
      <x:c r="J109" s="6">
        <x:v>85</x:v>
      </x:c>
      <x:c r="K109" s="6">
        <x:v>84</x:v>
      </x:c>
      <x:c r="L109" s="6">
        <x:v>84</x:v>
      </x:c>
      <x:c r="M109" s="6">
        <x:v>82</x:v>
      </x:c>
      <x:c r="N109" s="6">
        <x:v>85</x:v>
      </x:c>
      <x:c r="O109" s="6">
        <x:v>81</x:v>
      </x:c>
      <x:c r="P109" s="6">
        <x:v>21</x:v>
      </x:c>
      <x:c r="Q109" s="6">
        <x:v>5</x:v>
      </x:c>
      <x:c r="R109" s="6">
        <x:f t="shared" si="3"/>
        <x:v>83.7</x:v>
      </x:c>
      <x:c r="S109" s="6">
        <x:f t="shared" si="4"/>
        <x:v>83.1</x:v>
      </x:c>
      <x:c r="T109" s="6">
        <x:f t="shared" si="5"/>
        <x:v>83.4</x:v>
      </x:c>
      <x:c r="U109" s="7" t="s">
        <x:v>33</x:v>
      </x:c>
      <x:c r="V109" s="7" t="s">
        <x:v>34</x:v>
      </x:c>
      <x:c r="W109" s="7" t="s">
        <x:v>346</x:v>
      </x:c>
      <x:c r="X109" s="7" t="s">
        <x:v>36</x:v>
      </x:c>
      <x:c r="Y109" s="7" t="s">
        <x:v>693</x:v>
      </x:c>
    </x:row>
    <x:row r="110" ht="38" customHeight="1">
      <x:c r="A110" s="7" t="s">
        <x:v>694</x:v>
      </x:c>
      <x:c r="B110" s="7" t="s">
        <x:v>26</x:v>
      </x:c>
      <x:c r="C110" s="7" t="s">
        <x:v>79</x:v>
      </x:c>
      <x:c r="D110" s="7" t="s">
        <x:v>695</x:v>
      </x:c>
      <x:c r="E110" s="7" t="s">
        <x:v>696</x:v>
      </x:c>
      <x:c r="F110" s="7" t="s">
        <x:v>697</x:v>
      </x:c>
      <x:c r="G110" s="7">
        <x:v>16</x:v>
      </x:c>
      <x:c r="H110" s="7" t="s">
        <x:v>698</x:v>
      </x:c>
      <x:c r="I110" s="7" t="s">
        <x:v>32</x:v>
      </x:c>
      <x:c r="J110" s="6">
        <x:v>85</x:v>
      </x:c>
      <x:c r="K110" s="6">
        <x:v>84</x:v>
      </x:c>
      <x:c r="L110" s="6">
        <x:v>84</x:v>
      </x:c>
      <x:c r="M110" s="6">
        <x:v>82</x:v>
      </x:c>
      <x:c r="N110" s="6">
        <x:v>85</x:v>
      </x:c>
      <x:c r="O110" s="6">
        <x:v>81</x:v>
      </x:c>
      <x:c r="P110" s="6">
        <x:v>23</x:v>
      </x:c>
      <x:c r="Q110" s="6">
        <x:v>5</x:v>
      </x:c>
      <x:c r="R110" s="6">
        <x:f t="shared" si="3"/>
        <x:v>83.7</x:v>
      </x:c>
      <x:c r="S110" s="6">
        <x:f t="shared" si="4"/>
        <x:v>82.8</x:v>
      </x:c>
      <x:c r="T110" s="6">
        <x:f t="shared" si="5"/>
        <x:v>83.25</x:v>
      </x:c>
      <x:c r="U110" s="7" t="s">
        <x:v>33</x:v>
      </x:c>
      <x:c r="V110" s="7" t="s">
        <x:v>34</x:v>
      </x:c>
      <x:c r="W110" s="7" t="s">
        <x:v>346</x:v>
      </x:c>
      <x:c r="X110" s="7" t="s">
        <x:v>36</x:v>
      </x:c>
      <x:c r="Y110" s="7" t="s">
        <x:v>699</x:v>
      </x:c>
    </x:row>
    <x:row r="111" ht="38" customHeight="1">
      <x:c r="A111" s="7" t="s">
        <x:v>700</x:v>
      </x:c>
      <x:c r="B111" s="7" t="s">
        <x:v>26</x:v>
      </x:c>
      <x:c r="C111" s="7" t="s">
        <x:v>79</x:v>
      </x:c>
      <x:c r="D111" s="7" t="s">
        <x:v>701</x:v>
      </x:c>
      <x:c r="E111" s="7" t="s">
        <x:v>702</x:v>
      </x:c>
      <x:c r="F111" s="7" t="s">
        <x:v>703</x:v>
      </x:c>
      <x:c r="G111" s="7" t="s">
        <x:v>75</x:v>
      </x:c>
      <x:c r="H111" s="7" t="s">
        <x:v>704</x:v>
      </x:c>
      <x:c r="I111" s="7" t="s">
        <x:v>32</x:v>
      </x:c>
      <x:c r="J111" s="6">
        <x:v>86</x:v>
      </x:c>
      <x:c r="K111" s="6">
        <x:v>83</x:v>
      </x:c>
      <x:c r="L111" s="6">
        <x:v>84</x:v>
      </x:c>
      <x:c r="M111" s="6">
        <x:v>82</x:v>
      </x:c>
      <x:c r="N111" s="6">
        <x:v>85</x:v>
      </x:c>
      <x:c r="O111" s="6">
        <x:v>80</x:v>
      </x:c>
      <x:c r="P111" s="6">
        <x:v>22</x:v>
      </x:c>
      <x:c r="Q111" s="6">
        <x:v>5</x:v>
      </x:c>
      <x:c r="R111" s="6">
        <x:f t="shared" si="3"/>
        <x:v>83.7</x:v>
      </x:c>
      <x:c r="S111" s="6">
        <x:f t="shared" si="4"/>
        <x:v>82.6</x:v>
      </x:c>
      <x:c r="T111" s="6">
        <x:f t="shared" si="5"/>
        <x:v>83.15</x:v>
      </x:c>
      <x:c r="U111" s="7" t="s">
        <x:v>33</x:v>
      </x:c>
      <x:c r="V111" s="7" t="s">
        <x:v>34</x:v>
      </x:c>
      <x:c r="W111" s="7" t="s">
        <x:v>346</x:v>
      </x:c>
      <x:c r="X111" s="7" t="s">
        <x:v>36</x:v>
      </x:c>
      <x:c r="Y111" s="7" t="s">
        <x:v>705</x:v>
      </x:c>
    </x:row>
    <x:row r="112" ht="38" customHeight="1">
      <x:c r="A112" s="7" t="s">
        <x:v>706</x:v>
      </x:c>
      <x:c r="B112" s="7" t="s">
        <x:v>26</x:v>
      </x:c>
      <x:c r="C112" s="7" t="s">
        <x:v>79</x:v>
      </x:c>
      <x:c r="D112" s="7" t="s">
        <x:v>707</x:v>
      </x:c>
      <x:c r="E112" s="7" t="s">
        <x:v>708</x:v>
      </x:c>
      <x:c r="F112" s="7" t="s">
        <x:v>709</x:v>
      </x:c>
      <x:c r="G112" s="7" t="s">
        <x:v>75</x:v>
      </x:c>
      <x:c r="H112" s="7" t="s">
        <x:v>710</x:v>
      </x:c>
      <x:c r="I112" s="7" t="s">
        <x:v>32</x:v>
      </x:c>
      <x:c r="J112" s="6">
        <x:v>86</x:v>
      </x:c>
      <x:c r="K112" s="6">
        <x:v>83</x:v>
      </x:c>
      <x:c r="L112" s="6">
        <x:v>84</x:v>
      </x:c>
      <x:c r="M112" s="6">
        <x:v>82</x:v>
      </x:c>
      <x:c r="N112" s="6">
        <x:v>85</x:v>
      </x:c>
      <x:c r="O112" s="6">
        <x:v>80</x:v>
      </x:c>
      <x:c r="P112" s="6">
        <x:v>22</x:v>
      </x:c>
      <x:c r="Q112" s="6">
        <x:v>5</x:v>
      </x:c>
      <x:c r="R112" s="6">
        <x:f t="shared" si="3"/>
        <x:v>83.7</x:v>
      </x:c>
      <x:c r="S112" s="6">
        <x:f t="shared" si="4"/>
        <x:v>82.6</x:v>
      </x:c>
      <x:c r="T112" s="6">
        <x:f t="shared" si="5"/>
        <x:v>83.15</x:v>
      </x:c>
      <x:c r="U112" s="7" t="s">
        <x:v>33</x:v>
      </x:c>
      <x:c r="V112" s="7" t="s">
        <x:v>34</x:v>
      </x:c>
      <x:c r="W112" s="7" t="s">
        <x:v>346</x:v>
      </x:c>
      <x:c r="X112" s="7" t="s">
        <x:v>36</x:v>
      </x:c>
      <x:c r="Y112" s="7" t="s">
        <x:v>711</x:v>
      </x:c>
    </x:row>
    <x:row r="113" ht="38" customHeight="1">
      <x:c r="A113" s="7" t="s">
        <x:v>712</x:v>
      </x:c>
      <x:c r="B113" s="7" t="s">
        <x:v>26</x:v>
      </x:c>
      <x:c r="C113" s="7" t="s">
        <x:v>79</x:v>
      </x:c>
      <x:c r="D113" s="7" t="s">
        <x:v>713</x:v>
      </x:c>
      <x:c r="E113" s="7" t="s">
        <x:v>714</x:v>
      </x:c>
      <x:c r="F113" s="7" t="s">
        <x:v>715</x:v>
      </x:c>
      <x:c r="G113" s="7">
        <x:v>15</x:v>
      </x:c>
      <x:c r="H113" s="7" t="s">
        <x:v>716</x:v>
      </x:c>
      <x:c r="I113" s="7" t="s">
        <x:v>32</x:v>
      </x:c>
      <x:c r="J113" s="6">
        <x:v>85</x:v>
      </x:c>
      <x:c r="K113" s="6">
        <x:v>84</x:v>
      </x:c>
      <x:c r="L113" s="6">
        <x:v>84</x:v>
      </x:c>
      <x:c r="M113" s="6">
        <x:v>82</x:v>
      </x:c>
      <x:c r="N113" s="6">
        <x:v>84</x:v>
      </x:c>
      <x:c r="O113" s="6">
        <x:v>80</x:v>
      </x:c>
      <x:c r="P113" s="6">
        <x:v>21</x:v>
      </x:c>
      <x:c r="Q113" s="6">
        <x:v>5</x:v>
      </x:c>
      <x:c r="R113" s="6">
        <x:f t="shared" si="3"/>
        <x:v>83.6</x:v>
      </x:c>
      <x:c r="S113" s="6">
        <x:f t="shared" si="4"/>
        <x:v>82.65</x:v>
      </x:c>
      <x:c r="T113" s="6">
        <x:f t="shared" si="5"/>
        <x:v>83.125</x:v>
      </x:c>
      <x:c r="U113" s="7" t="s">
        <x:v>33</x:v>
      </x:c>
      <x:c r="V113" s="7" t="s">
        <x:v>34</x:v>
      </x:c>
      <x:c r="W113" s="7" t="s">
        <x:v>346</x:v>
      </x:c>
      <x:c r="X113" s="7" t="s">
        <x:v>36</x:v>
      </x:c>
      <x:c r="Y113" s="7" t="s">
        <x:v>717</x:v>
      </x:c>
    </x:row>
    <x:row r="114" ht="38" customHeight="1">
      <x:c r="A114" s="7" t="s">
        <x:v>718</x:v>
      </x:c>
      <x:c r="B114" s="7" t="s">
        <x:v>26</x:v>
      </x:c>
      <x:c r="C114" s="7" t="s">
        <x:v>719</x:v>
      </x:c>
      <x:c r="D114" s="7" t="s">
        <x:v>720</x:v>
      </x:c>
      <x:c r="E114" s="7" t="s">
        <x:v>721</x:v>
      </x:c>
      <x:c r="F114" s="7" t="s">
        <x:v>722</x:v>
      </x:c>
      <x:c r="G114" s="7" t="s">
        <x:v>75</x:v>
      </x:c>
      <x:c r="H114" s="7" t="s">
        <x:v>723</x:v>
      </x:c>
      <x:c r="I114" s="7" t="s">
        <x:v>32</x:v>
      </x:c>
      <x:c r="J114" s="6">
        <x:v>85</x:v>
      </x:c>
      <x:c r="K114" s="6">
        <x:v>83</x:v>
      </x:c>
      <x:c r="L114" s="6">
        <x:v>84</x:v>
      </x:c>
      <x:c r="M114" s="6">
        <x:v>82</x:v>
      </x:c>
      <x:c r="N114" s="6">
        <x:v>84</x:v>
      </x:c>
      <x:c r="O114" s="6">
        <x:v>80</x:v>
      </x:c>
      <x:c r="P114" s="6">
        <x:v>22</x:v>
      </x:c>
      <x:c r="Q114" s="6">
        <x:v>5</x:v>
      </x:c>
      <x:c r="R114" s="6">
        <x:f t="shared" si="3"/>
        <x:v>83.4</x:v>
      </x:c>
      <x:c r="S114" s="6">
        <x:f t="shared" si="4"/>
        <x:v>82.3</x:v>
      </x:c>
      <x:c r="T114" s="6">
        <x:f t="shared" si="5"/>
        <x:v>82.85</x:v>
      </x:c>
      <x:c r="U114" s="7" t="s">
        <x:v>33</x:v>
      </x:c>
      <x:c r="V114" s="7" t="s">
        <x:v>34</x:v>
      </x:c>
      <x:c r="W114" s="7" t="s">
        <x:v>346</x:v>
      </x:c>
      <x:c r="X114" s="7" t="s">
        <x:v>36</x:v>
      </x:c>
      <x:c r="Y114" s="7" t="s">
        <x:v>724</x:v>
      </x:c>
    </x:row>
    <x:row r="115" ht="38" customHeight="1">
      <x:c r="A115" s="7" t="s">
        <x:v>725</x:v>
      </x:c>
      <x:c r="B115" s="7" t="s">
        <x:v>26</x:v>
      </x:c>
      <x:c r="C115" s="7" t="s">
        <x:v>79</x:v>
      </x:c>
      <x:c r="D115" s="7" t="s">
        <x:v>726</x:v>
      </x:c>
      <x:c r="E115" s="7" t="s">
        <x:v>727</x:v>
      </x:c>
      <x:c r="F115" s="7" t="s">
        <x:v>728</x:v>
      </x:c>
      <x:c r="G115" s="7">
        <x:v>32</x:v>
      </x:c>
      <x:c r="H115" s="7" t="s">
        <x:v>729</x:v>
      </x:c>
      <x:c r="I115" s="7" t="s">
        <x:v>32</x:v>
      </x:c>
      <x:c r="J115" s="6">
        <x:v>85</x:v>
      </x:c>
      <x:c r="K115" s="6">
        <x:v>83</x:v>
      </x:c>
      <x:c r="L115" s="6">
        <x:v>84</x:v>
      </x:c>
      <x:c r="M115" s="6">
        <x:v>82</x:v>
      </x:c>
      <x:c r="N115" s="6">
        <x:v>84</x:v>
      </x:c>
      <x:c r="O115" s="6">
        <x:v>80</x:v>
      </x:c>
      <x:c r="P115" s="6">
        <x:v>22</x:v>
      </x:c>
      <x:c r="Q115" s="6">
        <x:v>5</x:v>
      </x:c>
      <x:c r="R115" s="6">
        <x:f t="shared" si="3"/>
        <x:v>83.4</x:v>
      </x:c>
      <x:c r="S115" s="6">
        <x:f t="shared" si="4"/>
        <x:v>82.3</x:v>
      </x:c>
      <x:c r="T115" s="6">
        <x:f t="shared" si="5"/>
        <x:v>82.85</x:v>
      </x:c>
      <x:c r="U115" s="7" t="s">
        <x:v>33</x:v>
      </x:c>
      <x:c r="V115" s="7" t="s">
        <x:v>34</x:v>
      </x:c>
      <x:c r="W115" s="7" t="s">
        <x:v>346</x:v>
      </x:c>
      <x:c r="X115" s="7" t="s">
        <x:v>36</x:v>
      </x:c>
      <x:c r="Y115" s="7" t="s">
        <x:v>730</x:v>
      </x:c>
    </x:row>
    <x:row r="116" ht="38" customHeight="1">
      <x:c r="A116" s="7" t="s">
        <x:v>731</x:v>
      </x:c>
      <x:c r="B116" s="7" t="s">
        <x:v>26</x:v>
      </x:c>
      <x:c r="C116" s="7" t="s">
        <x:v>273</x:v>
      </x:c>
      <x:c r="D116" s="7" t="s">
        <x:v>732</x:v>
      </x:c>
      <x:c r="E116" s="7" t="s">
        <x:v>733</x:v>
      </x:c>
      <x:c r="F116" s="7" t="s">
        <x:v>734</x:v>
      </x:c>
      <x:c r="G116" s="7" t="s">
        <x:v>75</x:v>
      </x:c>
      <x:c r="H116" s="7" t="s">
        <x:v>735</x:v>
      </x:c>
      <x:c r="I116" s="7" t="s">
        <x:v>32</x:v>
      </x:c>
      <x:c r="J116" s="6">
        <x:v>85</x:v>
      </x:c>
      <x:c r="K116" s="6">
        <x:v>83</x:v>
      </x:c>
      <x:c r="L116" s="6">
        <x:v>84</x:v>
      </x:c>
      <x:c r="M116" s="6">
        <x:v>82</x:v>
      </x:c>
      <x:c r="N116" s="6">
        <x:v>84</x:v>
      </x:c>
      <x:c r="O116" s="6">
        <x:v>80</x:v>
      </x:c>
      <x:c r="P116" s="6">
        <x:v>22</x:v>
      </x:c>
      <x:c r="Q116" s="6">
        <x:v>5</x:v>
      </x:c>
      <x:c r="R116" s="6">
        <x:f t="shared" si="3"/>
        <x:v>83.4</x:v>
      </x:c>
      <x:c r="S116" s="6">
        <x:f t="shared" si="4"/>
        <x:v>82.3</x:v>
      </x:c>
      <x:c r="T116" s="6">
        <x:f t="shared" si="5"/>
        <x:v>82.85</x:v>
      </x:c>
      <x:c r="U116" s="7" t="s">
        <x:v>33</x:v>
      </x:c>
      <x:c r="V116" s="7" t="s">
        <x:v>34</x:v>
      </x:c>
      <x:c r="W116" s="7" t="s">
        <x:v>346</x:v>
      </x:c>
      <x:c r="X116" s="7" t="s">
        <x:v>36</x:v>
      </x:c>
      <x:c r="Y116" s="7" t="s">
        <x:v>736</x:v>
      </x:c>
    </x:row>
    <x:row r="117" ht="38" customHeight="1">
      <x:c r="A117" s="7" t="s">
        <x:v>737</x:v>
      </x:c>
      <x:c r="B117" s="7" t="s">
        <x:v>26</x:v>
      </x:c>
      <x:c r="C117" s="7" t="s">
        <x:v>27</x:v>
      </x:c>
      <x:c r="D117" s="7" t="s">
        <x:v>738</x:v>
      </x:c>
      <x:c r="E117" s="7" t="s">
        <x:v>739</x:v>
      </x:c>
      <x:c r="F117" s="7" t="s">
        <x:v>740</x:v>
      </x:c>
      <x:c r="G117" s="7" t="s">
        <x:v>75</x:v>
      </x:c>
      <x:c r="H117" s="7" t="s">
        <x:v>741</x:v>
      </x:c>
      <x:c r="I117" s="7" t="s">
        <x:v>32</x:v>
      </x:c>
      <x:c r="J117" s="6">
        <x:v>85</x:v>
      </x:c>
      <x:c r="K117" s="6">
        <x:v>83</x:v>
      </x:c>
      <x:c r="L117" s="6">
        <x:v>84</x:v>
      </x:c>
      <x:c r="M117" s="6">
        <x:v>82</x:v>
      </x:c>
      <x:c r="N117" s="6">
        <x:v>84</x:v>
      </x:c>
      <x:c r="O117" s="6">
        <x:v>80</x:v>
      </x:c>
      <x:c r="P117" s="6">
        <x:v>22</x:v>
      </x:c>
      <x:c r="Q117" s="6">
        <x:v>5</x:v>
      </x:c>
      <x:c r="R117" s="6">
        <x:f t="shared" si="3"/>
        <x:v>83.4</x:v>
      </x:c>
      <x:c r="S117" s="6">
        <x:f t="shared" si="4"/>
        <x:v>82.3</x:v>
      </x:c>
      <x:c r="T117" s="6">
        <x:f t="shared" si="5"/>
        <x:v>82.85</x:v>
      </x:c>
      <x:c r="U117" s="7" t="s">
        <x:v>33</x:v>
      </x:c>
      <x:c r="V117" s="7" t="s">
        <x:v>34</x:v>
      </x:c>
      <x:c r="W117" s="7" t="s">
        <x:v>346</x:v>
      </x:c>
      <x:c r="X117" s="7" t="s">
        <x:v>36</x:v>
      </x:c>
      <x:c r="Y117" s="7" t="s">
        <x:v>742</x:v>
      </x:c>
    </x:row>
    <x:row r="118" ht="38" customHeight="1">
      <x:c r="A118" s="7" t="s">
        <x:v>743</x:v>
      </x:c>
      <x:c r="B118" s="7" t="s">
        <x:v>26</x:v>
      </x:c>
      <x:c r="C118" s="7" t="s">
        <x:v>79</x:v>
      </x:c>
      <x:c r="D118" s="7" t="s">
        <x:v>744</x:v>
      </x:c>
      <x:c r="E118" s="7" t="s">
        <x:v>745</x:v>
      </x:c>
      <x:c r="F118" s="7" t="s">
        <x:v>746</x:v>
      </x:c>
      <x:c r="G118" s="7">
        <x:v>11</x:v>
      </x:c>
      <x:c r="H118" s="7" t="s">
        <x:v>747</x:v>
      </x:c>
      <x:c r="I118" s="7" t="s">
        <x:v>32</x:v>
      </x:c>
      <x:c r="J118" s="6">
        <x:v>79</x:v>
      </x:c>
      <x:c r="K118" s="6">
        <x:v>81</x:v>
      </x:c>
      <x:c r="L118" s="6">
        <x:v>81</x:v>
      </x:c>
      <x:c r="M118" s="6">
        <x:v>84</x:v>
      </x:c>
      <x:c r="N118" s="6">
        <x:v>80</x:v>
      </x:c>
      <x:c r="O118" s="6">
        <x:v>76</x:v>
      </x:c>
      <x:c r="P118" s="6">
        <x:v>29</x:v>
      </x:c>
      <x:c r="Q118" s="6">
        <x:v>5</x:v>
      </x:c>
      <x:c r="R118" s="6">
        <x:f t="shared" si="3"/>
        <x:v>80.35</x:v>
      </x:c>
      <x:c r="S118" s="6">
        <x:f t="shared" si="4"/>
        <x:v>78.45</x:v>
      </x:c>
      <x:c r="T118" s="6">
        <x:f t="shared" si="5"/>
        <x:v>79.4</x:v>
      </x:c>
      <x:c r="U118" s="7" t="s">
        <x:v>33</x:v>
      </x:c>
      <x:c r="V118" s="7" t="s">
        <x:v>34</x:v>
      </x:c>
      <x:c r="W118" s="7" t="s">
        <x:v>346</x:v>
      </x:c>
      <x:c r="X118" s="7" t="s">
        <x:v>36</x:v>
      </x:c>
      <x:c r="Y118" s="7" t="s">
        <x:v>748</x:v>
      </x:c>
    </x:row>
  </x:sheetData>
  <x:conditionalFormatting sqref="T2:T11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1f17915e2cd49fe"/>
  </x:tableParts>
</x:worksheet>
</file>

<file path=xl/worksheets/sheet5.xml><?xml version="1.0" encoding="utf-8"?>
<x:worksheet xmlns:x="http://schemas.openxmlformats.org/spreadsheetml/2006/main">
  <x:sheetFormatPr defaultColWidth="9" defaultRowHeight="13.5"/>
  <x:cols>
    <x:col min="1" max="1" width="12" customWidth="1"/>
    <x:col min="2" max="2" width="10" customWidth="1"/>
    <x:col min="3" max="3" width="18" customWidth="1"/>
    <x:col min="4" max="4" width="24" customWidth="1"/>
    <x:col min="5" max="5" width="42" customWidth="1"/>
    <x:col min="6" max="6" width="34" customWidth="1"/>
    <x:col min="7" max="7" width="12" customWidth="1"/>
    <x:col min="8" max="8" width="30" customWidth="1"/>
    <x:col min="9" max="9" width="32" customWidth="1"/>
    <x:col min="10" max="20" width="8" customWidth="1"/>
    <x:col min="21" max="21" width="36" customWidth="1"/>
    <x:col min="22" max="22" width="28" customWidth="1"/>
    <x:col min="23" max="23" width="12" customWidth="1"/>
    <x:col min="24" max="24" width="36" customWidth="1"/>
    <x:col min="25" max="25" width="48" customWidth="1"/>
  </x:cols>
  <x:sheetData>
    <x:row r="1" ht="28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</x:row>
    <x:row r="2" ht="38" customHeight="1">
      <x:c r="A2" s="7" t="s">
        <x:v>749</x:v>
      </x:c>
      <x:c r="B2" s="7" t="s">
        <x:v>750</x:v>
      </x:c>
      <x:c r="C2" s="7" t="s">
        <x:v>27</x:v>
      </x:c>
      <x:c r="D2" s="7" t="s">
        <x:v>751</x:v>
      </x:c>
      <x:c r="E2" s="7" t="s">
        <x:v>752</x:v>
      </x:c>
      <x:c r="F2" s="7" t="s">
        <x:v>753</x:v>
      </x:c>
      <x:c r="G2" s="7">
        <x:v>156</x:v>
      </x:c>
      <x:c r="H2" s="7" t="s">
        <x:v>754</x:v>
      </x:c>
      <x:c r="I2" s="7" t="s">
        <x:v>755</x:v>
      </x:c>
      <x:c r="J2" s="6">
        <x:v>97</x:v>
      </x:c>
      <x:c r="K2" s="6">
        <x:v>94</x:v>
      </x:c>
      <x:c r="L2" s="6">
        <x:v>97</x:v>
      </x:c>
      <x:c r="M2" s="6">
        <x:v>93</x:v>
      </x:c>
      <x:c r="N2" s="6">
        <x:v>97</x:v>
      </x:c>
      <x:c r="O2" s="6">
        <x:v>86</x:v>
      </x:c>
      <x:c r="P2" s="6">
        <x:v>8</x:v>
      </x:c>
      <x:c r="Q2" s="6">
        <x:v>5</x:v>
      </x:c>
      <x:c r="R2" s="6">
        <x:v>94.7</x:v>
      </x:c>
      <x:c r="S2" s="6">
        <x:v>94</x:v>
      </x:c>
      <x:c r="T2" s="6">
        <x:v>94.35</x:v>
      </x:c>
      <x:c r="U2" s="7" t="s">
        <x:v>33</x:v>
      </x:c>
      <x:c r="V2" s="7" t="s">
        <x:v>756</x:v>
      </x:c>
      <x:c r="W2" s="7" t="s">
        <x:v>35</x:v>
      </x:c>
      <x:c r="X2" s="7" t="s">
        <x:v>757</x:v>
      </x:c>
      <x:c r="Y2" s="7" t="s">
        <x:v>758</x:v>
      </x:c>
    </x:row>
    <x:row r="3" ht="38" customHeight="1">
      <x:c r="A3" s="7" t="s">
        <x:v>759</x:v>
      </x:c>
      <x:c r="B3" s="7" t="s">
        <x:v>750</x:v>
      </x:c>
      <x:c r="C3" s="7" t="s">
        <x:v>760</x:v>
      </x:c>
      <x:c r="D3" s="7" t="s">
        <x:v>761</x:v>
      </x:c>
      <x:c r="E3" s="7" t="s">
        <x:v>762</x:v>
      </x:c>
      <x:c r="F3" s="7" t="s">
        <x:v>763</x:v>
      </x:c>
      <x:c r="G3" s="7">
        <x:v>116</x:v>
      </x:c>
      <x:c r="H3" s="7" t="s">
        <x:v>764</x:v>
      </x:c>
      <x:c r="I3" s="7" t="s">
        <x:v>765</x:v>
      </x:c>
      <x:c r="J3" s="6">
        <x:v>97</x:v>
      </x:c>
      <x:c r="K3" s="6">
        <x:v>94</x:v>
      </x:c>
      <x:c r="L3" s="6">
        <x:v>97</x:v>
      </x:c>
      <x:c r="M3" s="6">
        <x:v>93</x:v>
      </x:c>
      <x:c r="N3" s="6">
        <x:v>97</x:v>
      </x:c>
      <x:c r="O3" s="6">
        <x:v>86</x:v>
      </x:c>
      <x:c r="P3" s="6">
        <x:v>8</x:v>
      </x:c>
      <x:c r="Q3" s="6">
        <x:v>5</x:v>
      </x:c>
      <x:c r="R3" s="6">
        <x:v>94.7</x:v>
      </x:c>
      <x:c r="S3" s="6">
        <x:v>94</x:v>
      </x:c>
      <x:c r="T3" s="6">
        <x:v>94.35</x:v>
      </x:c>
      <x:c r="U3" s="7" t="s">
        <x:v>33</x:v>
      </x:c>
      <x:c r="V3" s="7" t="s">
        <x:v>756</x:v>
      </x:c>
      <x:c r="W3" s="7" t="s">
        <x:v>35</x:v>
      </x:c>
      <x:c r="X3" s="7" t="s">
        <x:v>757</x:v>
      </x:c>
      <x:c r="Y3" s="7" t="s">
        <x:v>758</x:v>
      </x:c>
    </x:row>
    <x:row r="4" ht="38" customHeight="1">
      <x:c r="A4" s="7" t="s">
        <x:v>766</x:v>
      </x:c>
      <x:c r="B4" s="7" t="s">
        <x:v>750</x:v>
      </x:c>
      <x:c r="C4" s="7" t="s">
        <x:v>767</x:v>
      </x:c>
      <x:c r="D4" s="7" t="s">
        <x:v>768</x:v>
      </x:c>
      <x:c r="E4" s="7" t="s">
        <x:v>769</x:v>
      </x:c>
      <x:c r="F4" s="7" t="s">
        <x:v>770</x:v>
      </x:c>
      <x:c r="G4" s="7">
        <x:v>34</x:v>
      </x:c>
      <x:c r="H4" s="7" t="s">
        <x:v>771</x:v>
      </x:c>
      <x:c r="I4" s="7" t="s">
        <x:v>772</x:v>
      </x:c>
      <x:c r="J4" s="6">
        <x:v>96</x:v>
      </x:c>
      <x:c r="K4" s="6">
        <x:v>94</x:v>
      </x:c>
      <x:c r="L4" s="6">
        <x:v>95</x:v>
      </x:c>
      <x:c r="M4" s="6">
        <x:v>95</x:v>
      </x:c>
      <x:c r="N4" s="6">
        <x:v>95</x:v>
      </x:c>
      <x:c r="O4" s="6">
        <x:v>87</x:v>
      </x:c>
      <x:c r="P4" s="6">
        <x:v>9</x:v>
      </x:c>
      <x:c r="Q4" s="6">
        <x:v>5</x:v>
      </x:c>
      <x:c r="R4" s="6">
        <x:v>94.3</x:v>
      </x:c>
      <x:c r="S4" s="6">
        <x:v>93</x:v>
      </x:c>
      <x:c r="T4" s="6">
        <x:v>93.65</x:v>
      </x:c>
      <x:c r="U4" s="7" t="s">
        <x:v>33</x:v>
      </x:c>
      <x:c r="V4" s="7" t="s">
        <x:v>773</x:v>
      </x:c>
      <x:c r="W4" s="7" t="s">
        <x:v>35</x:v>
      </x:c>
      <x:c r="X4" s="7" t="s">
        <x:v>774</x:v>
      </x:c>
      <x:c r="Y4" s="7" t="s">
        <x:v>775</x:v>
      </x:c>
    </x:row>
    <x:row r="5" ht="38" customHeight="1">
      <x:c r="A5" s="7" t="s">
        <x:v>776</x:v>
      </x:c>
      <x:c r="B5" s="7" t="s">
        <x:v>750</x:v>
      </x:c>
      <x:c r="C5" s="7" t="s">
        <x:v>760</x:v>
      </x:c>
      <x:c r="D5" s="7" t="s">
        <x:v>777</x:v>
      </x:c>
      <x:c r="E5" s="7" t="s">
        <x:v>778</x:v>
      </x:c>
      <x:c r="F5" s="7" t="s">
        <x:v>779</x:v>
      </x:c>
      <x:c r="G5" s="7" t="s">
        <x:v>75</x:v>
      </x:c>
      <x:c r="H5" s="7" t="s">
        <x:v>780</x:v>
      </x:c>
      <x:c r="I5" s="7" t="s">
        <x:v>781</x:v>
      </x:c>
      <x:c r="J5" s="6">
        <x:v>95</x:v>
      </x:c>
      <x:c r="K5" s="6">
        <x:v>93</x:v>
      </x:c>
      <x:c r="L5" s="6">
        <x:v>96</x:v>
      </x:c>
      <x:c r="M5" s="6">
        <x:v>92</x:v>
      </x:c>
      <x:c r="N5" s="6">
        <x:v>96</x:v>
      </x:c>
      <x:c r="O5" s="6">
        <x:v>86</x:v>
      </x:c>
      <x:c r="P5" s="6">
        <x:v>9</x:v>
      </x:c>
      <x:c r="Q5" s="6">
        <x:v>5</x:v>
      </x:c>
      <x:c r="R5" s="6">
        <x:v>93.5</x:v>
      </x:c>
      <x:c r="S5" s="6">
        <x:v>93.15</x:v>
      </x:c>
      <x:c r="T5" s="6">
        <x:v>93.325</x:v>
      </x:c>
      <x:c r="U5" s="7" t="s">
        <x:v>33</x:v>
      </x:c>
      <x:c r="V5" s="7" t="s">
        <x:v>756</x:v>
      </x:c>
      <x:c r="W5" s="7" t="s">
        <x:v>35</x:v>
      </x:c>
      <x:c r="X5" s="7" t="s">
        <x:v>757</x:v>
      </x:c>
      <x:c r="Y5" s="7" t="s">
        <x:v>758</x:v>
      </x:c>
    </x:row>
    <x:row r="6" ht="38" customHeight="1">
      <x:c r="A6" s="7" t="s">
        <x:v>782</x:v>
      </x:c>
      <x:c r="B6" s="7" t="s">
        <x:v>750</x:v>
      </x:c>
      <x:c r="C6" s="7" t="s">
        <x:v>27</x:v>
      </x:c>
      <x:c r="D6" s="7" t="s">
        <x:v>783</x:v>
      </x:c>
      <x:c r="E6" s="7" t="s">
        <x:v>784</x:v>
      </x:c>
      <x:c r="F6" s="7" t="s">
        <x:v>126</x:v>
      </x:c>
      <x:c r="G6" s="7">
        <x:v>110</x:v>
      </x:c>
      <x:c r="H6" s="7" t="s">
        <x:v>785</x:v>
      </x:c>
      <x:c r="I6" s="7" t="s">
        <x:v>786</x:v>
      </x:c>
      <x:c r="J6" s="6">
        <x:v>95</x:v>
      </x:c>
      <x:c r="K6" s="6">
        <x:v>93</x:v>
      </x:c>
      <x:c r="L6" s="6">
        <x:v>96</x:v>
      </x:c>
      <x:c r="M6" s="6">
        <x:v>92</x:v>
      </x:c>
      <x:c r="N6" s="6">
        <x:v>96</x:v>
      </x:c>
      <x:c r="O6" s="6">
        <x:v>86</x:v>
      </x:c>
      <x:c r="P6" s="6">
        <x:v>9</x:v>
      </x:c>
      <x:c r="Q6" s="6">
        <x:v>5</x:v>
      </x:c>
      <x:c r="R6" s="6">
        <x:v>93.5</x:v>
      </x:c>
      <x:c r="S6" s="6">
        <x:v>93.15</x:v>
      </x:c>
      <x:c r="T6" s="6">
        <x:v>93.325</x:v>
      </x:c>
      <x:c r="U6" s="7" t="s">
        <x:v>33</x:v>
      </x:c>
      <x:c r="V6" s="7" t="s">
        <x:v>756</x:v>
      </x:c>
      <x:c r="W6" s="7" t="s">
        <x:v>35</x:v>
      </x:c>
      <x:c r="X6" s="7" t="s">
        <x:v>757</x:v>
      </x:c>
      <x:c r="Y6" s="7" t="s">
        <x:v>758</x:v>
      </x:c>
    </x:row>
    <x:row r="7" ht="38" customHeight="1">
      <x:c r="A7" s="7" t="s">
        <x:v>787</x:v>
      </x:c>
      <x:c r="B7" s="7" t="s">
        <x:v>750</x:v>
      </x:c>
      <x:c r="C7" s="7" t="s">
        <x:v>79</x:v>
      </x:c>
      <x:c r="D7" s="7" t="s">
        <x:v>788</x:v>
      </x:c>
      <x:c r="E7" s="7" t="s">
        <x:v>789</x:v>
      </x:c>
      <x:c r="F7" s="7" t="s">
        <x:v>790</x:v>
      </x:c>
      <x:c r="G7" s="7">
        <x:v>78</x:v>
      </x:c>
      <x:c r="H7" s="7" t="s">
        <x:v>791</x:v>
      </x:c>
      <x:c r="I7" s="7" t="s">
        <x:v>792</x:v>
      </x:c>
      <x:c r="J7" s="6">
        <x:v>95</x:v>
      </x:c>
      <x:c r="K7" s="6">
        <x:v>93</x:v>
      </x:c>
      <x:c r="L7" s="6">
        <x:v>96</x:v>
      </x:c>
      <x:c r="M7" s="6">
        <x:v>92</x:v>
      </x:c>
      <x:c r="N7" s="6">
        <x:v>96</x:v>
      </x:c>
      <x:c r="O7" s="6">
        <x:v>86</x:v>
      </x:c>
      <x:c r="P7" s="6">
        <x:v>9</x:v>
      </x:c>
      <x:c r="Q7" s="6">
        <x:v>5</x:v>
      </x:c>
      <x:c r="R7" s="6">
        <x:v>93.5</x:v>
      </x:c>
      <x:c r="S7" s="6">
        <x:v>93.15</x:v>
      </x:c>
      <x:c r="T7" s="6">
        <x:v>93.325</x:v>
      </x:c>
      <x:c r="U7" s="7" t="s">
        <x:v>33</x:v>
      </x:c>
      <x:c r="V7" s="7" t="s">
        <x:v>756</x:v>
      </x:c>
      <x:c r="W7" s="7" t="s">
        <x:v>35</x:v>
      </x:c>
      <x:c r="X7" s="7" t="s">
        <x:v>757</x:v>
      </x:c>
      <x:c r="Y7" s="7" t="s">
        <x:v>758</x:v>
      </x:c>
    </x:row>
    <x:row r="8" ht="38" customHeight="1">
      <x:c r="A8" s="7" t="s">
        <x:v>793</x:v>
      </x:c>
      <x:c r="B8" s="7" t="s">
        <x:v>750</x:v>
      </x:c>
      <x:c r="C8" s="7" t="s">
        <x:v>27</x:v>
      </x:c>
      <x:c r="D8" s="7" t="s">
        <x:v>794</x:v>
      </x:c>
      <x:c r="E8" s="7" t="s">
        <x:v>795</x:v>
      </x:c>
      <x:c r="F8" s="7" t="s">
        <x:v>796</x:v>
      </x:c>
      <x:c r="G8" s="7" t="s">
        <x:v>75</x:v>
      </x:c>
      <x:c r="H8" s="7" t="s">
        <x:v>797</x:v>
      </x:c>
      <x:c r="I8" s="7" t="s">
        <x:v>798</x:v>
      </x:c>
      <x:c r="J8" s="6">
        <x:v>94</x:v>
      </x:c>
      <x:c r="K8" s="6">
        <x:v>92</x:v>
      </x:c>
      <x:c r="L8" s="6">
        <x:v>95</x:v>
      </x:c>
      <x:c r="M8" s="6">
        <x:v>91</x:v>
      </x:c>
      <x:c r="N8" s="6">
        <x:v>95</x:v>
      </x:c>
      <x:c r="O8" s="6">
        <x:v>86</x:v>
      </x:c>
      <x:c r="P8" s="6">
        <x:v>10</x:v>
      </x:c>
      <x:c r="Q8" s="6">
        <x:v>5</x:v>
      </x:c>
      <x:c r="R8" s="6">
        <x:v>92.6</x:v>
      </x:c>
      <x:c r="S8" s="6">
        <x:v>92.3</x:v>
      </x:c>
      <x:c r="T8" s="6">
        <x:v>92.45</x:v>
      </x:c>
      <x:c r="U8" s="7" t="s">
        <x:v>33</x:v>
      </x:c>
      <x:c r="V8" s="7" t="s">
        <x:v>756</x:v>
      </x:c>
      <x:c r="W8" s="7" t="s">
        <x:v>35</x:v>
      </x:c>
      <x:c r="X8" s="7" t="s">
        <x:v>757</x:v>
      </x:c>
      <x:c r="Y8" s="7" t="s">
        <x:v>758</x:v>
      </x:c>
    </x:row>
    <x:row r="9" ht="38" customHeight="1">
      <x:c r="A9" s="7" t="s">
        <x:v>799</x:v>
      </x:c>
      <x:c r="B9" s="7" t="s">
        <x:v>750</x:v>
      </x:c>
      <x:c r="C9" s="7" t="s">
        <x:v>27</x:v>
      </x:c>
      <x:c r="D9" s="7" t="s">
        <x:v>800</x:v>
      </x:c>
      <x:c r="E9" s="7" t="s">
        <x:v>801</x:v>
      </x:c>
      <x:c r="F9" s="7" t="s">
        <x:v>802</x:v>
      </x:c>
      <x:c r="G9" s="7">
        <x:v>60</x:v>
      </x:c>
      <x:c r="H9" s="7" t="s">
        <x:v>803</x:v>
      </x:c>
      <x:c r="I9" s="7" t="s">
        <x:v>804</x:v>
      </x:c>
      <x:c r="J9" s="6">
        <x:v>94</x:v>
      </x:c>
      <x:c r="K9" s="6">
        <x:v>92</x:v>
      </x:c>
      <x:c r="L9" s="6">
        <x:v>95</x:v>
      </x:c>
      <x:c r="M9" s="6">
        <x:v>91</x:v>
      </x:c>
      <x:c r="N9" s="6">
        <x:v>95</x:v>
      </x:c>
      <x:c r="O9" s="6">
        <x:v>86</x:v>
      </x:c>
      <x:c r="P9" s="6">
        <x:v>10</x:v>
      </x:c>
      <x:c r="Q9" s="6">
        <x:v>5</x:v>
      </x:c>
      <x:c r="R9" s="6">
        <x:v>92.6</x:v>
      </x:c>
      <x:c r="S9" s="6">
        <x:v>92.3</x:v>
      </x:c>
      <x:c r="T9" s="6">
        <x:v>92.45</x:v>
      </x:c>
      <x:c r="U9" s="7" t="s">
        <x:v>33</x:v>
      </x:c>
      <x:c r="V9" s="7" t="s">
        <x:v>756</x:v>
      </x:c>
      <x:c r="W9" s="7" t="s">
        <x:v>35</x:v>
      </x:c>
      <x:c r="X9" s="7" t="s">
        <x:v>757</x:v>
      </x:c>
      <x:c r="Y9" s="7" t="s">
        <x:v>758</x:v>
      </x:c>
    </x:row>
    <x:row r="10" ht="38" customHeight="1">
      <x:c r="A10" s="7" t="s">
        <x:v>805</x:v>
      </x:c>
      <x:c r="B10" s="7" t="s">
        <x:v>750</x:v>
      </x:c>
      <x:c r="C10" s="7" t="s">
        <x:v>806</x:v>
      </x:c>
      <x:c r="D10" s="7" t="s">
        <x:v>807</x:v>
      </x:c>
      <x:c r="E10" s="7" t="s">
        <x:v>808</x:v>
      </x:c>
      <x:c r="F10" s="7" t="s">
        <x:v>809</x:v>
      </x:c>
      <x:c r="G10" s="7" t="s">
        <x:v>75</x:v>
      </x:c>
      <x:c r="H10" s="7" t="s">
        <x:v>810</x:v>
      </x:c>
      <x:c r="I10" s="7" t="s">
        <x:v>811</x:v>
      </x:c>
      <x:c r="J10" s="6">
        <x:v>94</x:v>
      </x:c>
      <x:c r="K10" s="6">
        <x:v>92</x:v>
      </x:c>
      <x:c r="L10" s="6">
        <x:v>95</x:v>
      </x:c>
      <x:c r="M10" s="6">
        <x:v>91</x:v>
      </x:c>
      <x:c r="N10" s="6">
        <x:v>95</x:v>
      </x:c>
      <x:c r="O10" s="6">
        <x:v>86</x:v>
      </x:c>
      <x:c r="P10" s="6">
        <x:v>10</x:v>
      </x:c>
      <x:c r="Q10" s="6">
        <x:v>5</x:v>
      </x:c>
      <x:c r="R10" s="6">
        <x:v>92.6</x:v>
      </x:c>
      <x:c r="S10" s="6">
        <x:v>92.3</x:v>
      </x:c>
      <x:c r="T10" s="6">
        <x:v>92.45</x:v>
      </x:c>
      <x:c r="U10" s="7" t="s">
        <x:v>33</x:v>
      </x:c>
      <x:c r="V10" s="7" t="s">
        <x:v>756</x:v>
      </x:c>
      <x:c r="W10" s="7" t="s">
        <x:v>35</x:v>
      </x:c>
      <x:c r="X10" s="7" t="s">
        <x:v>757</x:v>
      </x:c>
      <x:c r="Y10" s="7" t="s">
        <x:v>758</x:v>
      </x:c>
    </x:row>
    <x:row r="11" ht="38" customHeight="1">
      <x:c r="A11" s="7" t="s">
        <x:v>812</x:v>
      </x:c>
      <x:c r="B11" s="7" t="s">
        <x:v>750</x:v>
      </x:c>
      <x:c r="C11" s="7" t="s">
        <x:v>79</x:v>
      </x:c>
      <x:c r="D11" s="7" t="s">
        <x:v>813</x:v>
      </x:c>
      <x:c r="E11" s="7" t="s">
        <x:v>814</x:v>
      </x:c>
      <x:c r="F11" s="7" t="s">
        <x:v>815</x:v>
      </x:c>
      <x:c r="G11" s="7">
        <x:v>62</x:v>
      </x:c>
      <x:c r="H11" s="7" t="s">
        <x:v>816</x:v>
      </x:c>
      <x:c r="I11" s="7" t="s">
        <x:v>817</x:v>
      </x:c>
      <x:c r="J11" s="6">
        <x:v>94</x:v>
      </x:c>
      <x:c r="K11" s="6">
        <x:v>92</x:v>
      </x:c>
      <x:c r="L11" s="6">
        <x:v>95</x:v>
      </x:c>
      <x:c r="M11" s="6">
        <x:v>91</x:v>
      </x:c>
      <x:c r="N11" s="6">
        <x:v>95</x:v>
      </x:c>
      <x:c r="O11" s="6">
        <x:v>86</x:v>
      </x:c>
      <x:c r="P11" s="6">
        <x:v>10</x:v>
      </x:c>
      <x:c r="Q11" s="6">
        <x:v>5</x:v>
      </x:c>
      <x:c r="R11" s="6">
        <x:v>92.6</x:v>
      </x:c>
      <x:c r="S11" s="6">
        <x:v>92.3</x:v>
      </x:c>
      <x:c r="T11" s="6">
        <x:v>92.45</x:v>
      </x:c>
      <x:c r="U11" s="7" t="s">
        <x:v>33</x:v>
      </x:c>
      <x:c r="V11" s="7" t="s">
        <x:v>756</x:v>
      </x:c>
      <x:c r="W11" s="7" t="s">
        <x:v>35</x:v>
      </x:c>
      <x:c r="X11" s="7" t="s">
        <x:v>757</x:v>
      </x:c>
      <x:c r="Y11" s="7" t="s">
        <x:v>758</x:v>
      </x:c>
    </x:row>
    <x:row r="12" ht="38" customHeight="1">
      <x:c r="A12" s="7" t="s">
        <x:v>818</x:v>
      </x:c>
      <x:c r="B12" s="7" t="s">
        <x:v>750</x:v>
      </x:c>
      <x:c r="C12" s="7" t="s">
        <x:v>719</x:v>
      </x:c>
      <x:c r="D12" s="7" t="s">
        <x:v>819</x:v>
      </x:c>
      <x:c r="E12" s="7" t="s">
        <x:v>820</x:v>
      </x:c>
      <x:c r="F12" s="7" t="s">
        <x:v>821</x:v>
      </x:c>
      <x:c r="G12" s="7" t="s">
        <x:v>75</x:v>
      </x:c>
      <x:c r="H12" s="7" t="s">
        <x:v>822</x:v>
      </x:c>
      <x:c r="I12" s="7" t="s">
        <x:v>823</x:v>
      </x:c>
      <x:c r="J12" s="6">
        <x:v>94</x:v>
      </x:c>
      <x:c r="K12" s="6">
        <x:v>92</x:v>
      </x:c>
      <x:c r="L12" s="6">
        <x:v>95</x:v>
      </x:c>
      <x:c r="M12" s="6">
        <x:v>91</x:v>
      </x:c>
      <x:c r="N12" s="6">
        <x:v>95</x:v>
      </x:c>
      <x:c r="O12" s="6">
        <x:v>86</x:v>
      </x:c>
      <x:c r="P12" s="6">
        <x:v>10</x:v>
      </x:c>
      <x:c r="Q12" s="6">
        <x:v>5</x:v>
      </x:c>
      <x:c r="R12" s="6">
        <x:v>92.6</x:v>
      </x:c>
      <x:c r="S12" s="6">
        <x:v>92.3</x:v>
      </x:c>
      <x:c r="T12" s="6">
        <x:v>92.45</x:v>
      </x:c>
      <x:c r="U12" s="7" t="s">
        <x:v>33</x:v>
      </x:c>
      <x:c r="V12" s="7" t="s">
        <x:v>756</x:v>
      </x:c>
      <x:c r="W12" s="7" t="s">
        <x:v>35</x:v>
      </x:c>
      <x:c r="X12" s="7" t="s">
        <x:v>757</x:v>
      </x:c>
      <x:c r="Y12" s="7" t="s">
        <x:v>758</x:v>
      </x:c>
    </x:row>
    <x:row r="13" ht="38" customHeight="1">
      <x:c r="A13" s="7" t="s">
        <x:v>824</x:v>
      </x:c>
      <x:c r="B13" s="7" t="s">
        <x:v>750</x:v>
      </x:c>
      <x:c r="C13" s="7" t="s">
        <x:v>27</x:v>
      </x:c>
      <x:c r="D13" s="7" t="s">
        <x:v>825</x:v>
      </x:c>
      <x:c r="E13" s="7" t="s">
        <x:v>826</x:v>
      </x:c>
      <x:c r="F13" s="7" t="s">
        <x:v>827</x:v>
      </x:c>
      <x:c r="G13" s="7">
        <x:v>40</x:v>
      </x:c>
      <x:c r="H13" s="7" t="s">
        <x:v>828</x:v>
      </x:c>
      <x:c r="I13" s="7" t="s">
        <x:v>829</x:v>
      </x:c>
      <x:c r="J13" s="6">
        <x:v>94</x:v>
      </x:c>
      <x:c r="K13" s="6">
        <x:v>92</x:v>
      </x:c>
      <x:c r="L13" s="6">
        <x:v>95</x:v>
      </x:c>
      <x:c r="M13" s="6">
        <x:v>91</x:v>
      </x:c>
      <x:c r="N13" s="6">
        <x:v>95</x:v>
      </x:c>
      <x:c r="O13" s="6">
        <x:v>86</x:v>
      </x:c>
      <x:c r="P13" s="6">
        <x:v>10</x:v>
      </x:c>
      <x:c r="Q13" s="6">
        <x:v>5</x:v>
      </x:c>
      <x:c r="R13" s="6">
        <x:v>92.6</x:v>
      </x:c>
      <x:c r="S13" s="6">
        <x:v>92.3</x:v>
      </x:c>
      <x:c r="T13" s="6">
        <x:v>92.45</x:v>
      </x:c>
      <x:c r="U13" s="7" t="s">
        <x:v>33</x:v>
      </x:c>
      <x:c r="V13" s="7" t="s">
        <x:v>756</x:v>
      </x:c>
      <x:c r="W13" s="7" t="s">
        <x:v>35</x:v>
      </x:c>
      <x:c r="X13" s="7" t="s">
        <x:v>757</x:v>
      </x:c>
      <x:c r="Y13" s="7" t="s">
        <x:v>758</x:v>
      </x:c>
    </x:row>
    <x:row r="14" ht="38" customHeight="1">
      <x:c r="A14" s="7" t="s">
        <x:v>830</x:v>
      </x:c>
      <x:c r="B14" s="7" t="s">
        <x:v>750</x:v>
      </x:c>
      <x:c r="C14" s="7" t="s">
        <x:v>670</x:v>
      </x:c>
      <x:c r="D14" s="7" t="s">
        <x:v>831</x:v>
      </x:c>
      <x:c r="E14" s="7" t="s">
        <x:v>832</x:v>
      </x:c>
      <x:c r="F14" s="7" t="s">
        <x:v>833</x:v>
      </x:c>
      <x:c r="G14" s="7" t="s">
        <x:v>75</x:v>
      </x:c>
      <x:c r="H14" s="7" t="s">
        <x:v>834</x:v>
      </x:c>
      <x:c r="I14" s="7" t="s">
        <x:v>835</x:v>
      </x:c>
      <x:c r="J14" s="6">
        <x:v>94</x:v>
      </x:c>
      <x:c r="K14" s="6">
        <x:v>92</x:v>
      </x:c>
      <x:c r="L14" s="6">
        <x:v>95</x:v>
      </x:c>
      <x:c r="M14" s="6">
        <x:v>91</x:v>
      </x:c>
      <x:c r="N14" s="6">
        <x:v>95</x:v>
      </x:c>
      <x:c r="O14" s="6">
        <x:v>86</x:v>
      </x:c>
      <x:c r="P14" s="6">
        <x:v>10</x:v>
      </x:c>
      <x:c r="Q14" s="6">
        <x:v>5</x:v>
      </x:c>
      <x:c r="R14" s="6">
        <x:v>92.6</x:v>
      </x:c>
      <x:c r="S14" s="6">
        <x:v>92.3</x:v>
      </x:c>
      <x:c r="T14" s="6">
        <x:v>92.45</x:v>
      </x:c>
      <x:c r="U14" s="7" t="s">
        <x:v>33</x:v>
      </x:c>
      <x:c r="V14" s="7" t="s">
        <x:v>756</x:v>
      </x:c>
      <x:c r="W14" s="7" t="s">
        <x:v>35</x:v>
      </x:c>
      <x:c r="X14" s="7" t="s">
        <x:v>757</x:v>
      </x:c>
      <x:c r="Y14" s="7" t="s">
        <x:v>758</x:v>
      </x:c>
    </x:row>
    <x:row r="15" ht="38" customHeight="1">
      <x:c r="A15" s="7" t="s">
        <x:v>836</x:v>
      </x:c>
      <x:c r="B15" s="7" t="s">
        <x:v>750</x:v>
      </x:c>
      <x:c r="C15" s="7" t="s">
        <x:v>767</x:v>
      </x:c>
      <x:c r="D15" s="7" t="s">
        <x:v>837</x:v>
      </x:c>
      <x:c r="E15" s="7" t="s">
        <x:v>838</x:v>
      </x:c>
      <x:c r="F15" s="7" t="s">
        <x:v>839</x:v>
      </x:c>
      <x:c r="G15" s="7">
        <x:v>23</x:v>
      </x:c>
      <x:c r="H15" s="7" t="s">
        <x:v>840</x:v>
      </x:c>
      <x:c r="I15" s="7" t="s">
        <x:v>841</x:v>
      </x:c>
      <x:c r="J15" s="6">
        <x:v>93</x:v>
      </x:c>
      <x:c r="K15" s="6">
        <x:v>92</x:v>
      </x:c>
      <x:c r="L15" s="6">
        <x:v>94</x:v>
      </x:c>
      <x:c r="M15" s="6">
        <x:v>92</x:v>
      </x:c>
      <x:c r="N15" s="6">
        <x:v>94</x:v>
      </x:c>
      <x:c r="O15" s="6">
        <x:v>85</x:v>
      </x:c>
      <x:c r="P15" s="6">
        <x:v>10</x:v>
      </x:c>
      <x:c r="Q15" s="6">
        <x:v>6</x:v>
      </x:c>
      <x:c r="R15" s="6">
        <x:v>92.1</x:v>
      </x:c>
      <x:c r="S15" s="6">
        <x:v>91.65</x:v>
      </x:c>
      <x:c r="T15" s="6">
        <x:v>91.875</x:v>
      </x:c>
      <x:c r="U15" s="7" t="s">
        <x:v>33</x:v>
      </x:c>
      <x:c r="V15" s="7" t="s">
        <x:v>773</x:v>
      </x:c>
      <x:c r="W15" s="7" t="s">
        <x:v>35</x:v>
      </x:c>
      <x:c r="X15" s="7" t="s">
        <x:v>774</x:v>
      </x:c>
      <x:c r="Y15" s="7" t="s">
        <x:v>775</x:v>
      </x:c>
    </x:row>
    <x:row r="16" ht="38" customHeight="1">
      <x:c r="A16" s="7" t="s">
        <x:v>842</x:v>
      </x:c>
      <x:c r="B16" s="7" t="s">
        <x:v>750</x:v>
      </x:c>
      <x:c r="C16" s="7" t="s">
        <x:v>719</x:v>
      </x:c>
      <x:c r="D16" s="7" t="s">
        <x:v>843</x:v>
      </x:c>
      <x:c r="E16" s="7" t="s">
        <x:v>844</x:v>
      </x:c>
      <x:c r="F16" s="7" t="s">
        <x:v>845</x:v>
      </x:c>
      <x:c r="G16" s="7">
        <x:v>88</x:v>
      </x:c>
      <x:c r="H16" s="7" t="s">
        <x:v>846</x:v>
      </x:c>
      <x:c r="I16" s="7" t="s">
        <x:v>847</x:v>
      </x:c>
      <x:c r="J16" s="6">
        <x:v>92</x:v>
      </x:c>
      <x:c r="K16" s="6">
        <x:v>91</x:v>
      </x:c>
      <x:c r="L16" s="6">
        <x:v>93</x:v>
      </x:c>
      <x:c r="M16" s="6">
        <x:v>90</x:v>
      </x:c>
      <x:c r="N16" s="6">
        <x:v>93</x:v>
      </x:c>
      <x:c r="O16" s="6">
        <x:v>86</x:v>
      </x:c>
      <x:c r="P16" s="6">
        <x:v>11</x:v>
      </x:c>
      <x:c r="Q16" s="6">
        <x:v>5</x:v>
      </x:c>
      <x:c r="R16" s="6">
        <x:v>91.15</x:v>
      </x:c>
      <x:c r="S16" s="6">
        <x:v>90.95</x:v>
      </x:c>
      <x:c r="T16" s="6">
        <x:v>91.05</x:v>
      </x:c>
      <x:c r="U16" s="7" t="s">
        <x:v>33</x:v>
      </x:c>
      <x:c r="V16" s="7" t="s">
        <x:v>756</x:v>
      </x:c>
      <x:c r="W16" s="7" t="s">
        <x:v>35</x:v>
      </x:c>
      <x:c r="X16" s="7" t="s">
        <x:v>757</x:v>
      </x:c>
      <x:c r="Y16" s="7" t="s">
        <x:v>758</x:v>
      </x:c>
    </x:row>
    <x:row r="17" ht="38" customHeight="1">
      <x:c r="A17" s="7" t="s">
        <x:v>848</x:v>
      </x:c>
      <x:c r="B17" s="7" t="s">
        <x:v>750</x:v>
      </x:c>
      <x:c r="C17" s="7" t="s">
        <x:v>849</x:v>
      </x:c>
      <x:c r="D17" s="7" t="s">
        <x:v>850</x:v>
      </x:c>
      <x:c r="E17" s="7" t="s">
        <x:v>851</x:v>
      </x:c>
      <x:c r="F17" s="7" t="s">
        <x:v>852</x:v>
      </x:c>
      <x:c r="G17" s="7" t="s">
        <x:v>75</x:v>
      </x:c>
      <x:c r="H17" s="7" t="s">
        <x:v>853</x:v>
      </x:c>
      <x:c r="I17" s="7" t="s">
        <x:v>854</x:v>
      </x:c>
      <x:c r="J17" s="6">
        <x:v>92</x:v>
      </x:c>
      <x:c r="K17" s="6">
        <x:v>91</x:v>
      </x:c>
      <x:c r="L17" s="6">
        <x:v>93</x:v>
      </x:c>
      <x:c r="M17" s="6">
        <x:v>90</x:v>
      </x:c>
      <x:c r="N17" s="6">
        <x:v>93</x:v>
      </x:c>
      <x:c r="O17" s="6">
        <x:v>86</x:v>
      </x:c>
      <x:c r="P17" s="6">
        <x:v>11</x:v>
      </x:c>
      <x:c r="Q17" s="6">
        <x:v>5</x:v>
      </x:c>
      <x:c r="R17" s="6">
        <x:v>91.15</x:v>
      </x:c>
      <x:c r="S17" s="6">
        <x:v>90.95</x:v>
      </x:c>
      <x:c r="T17" s="6">
        <x:v>91.05</x:v>
      </x:c>
      <x:c r="U17" s="7" t="s">
        <x:v>33</x:v>
      </x:c>
      <x:c r="V17" s="7" t="s">
        <x:v>756</x:v>
      </x:c>
      <x:c r="W17" s="7" t="s">
        <x:v>35</x:v>
      </x:c>
      <x:c r="X17" s="7" t="s">
        <x:v>757</x:v>
      </x:c>
      <x:c r="Y17" s="7" t="s">
        <x:v>758</x:v>
      </x:c>
    </x:row>
    <x:row r="18" ht="38" customHeight="1">
      <x:c r="A18" s="7" t="s">
        <x:v>855</x:v>
      </x:c>
      <x:c r="B18" s="7" t="s">
        <x:v>750</x:v>
      </x:c>
      <x:c r="C18" s="7" t="s">
        <x:v>79</x:v>
      </x:c>
      <x:c r="D18" s="7" t="s">
        <x:v>856</x:v>
      </x:c>
      <x:c r="E18" s="7" t="s">
        <x:v>857</x:v>
      </x:c>
      <x:c r="F18" s="7" t="s">
        <x:v>858</x:v>
      </x:c>
      <x:c r="G18" s="7">
        <x:v>36</x:v>
      </x:c>
      <x:c r="H18" s="7" t="s">
        <x:v>859</x:v>
      </x:c>
      <x:c r="I18" s="7" t="s">
        <x:v>860</x:v>
      </x:c>
      <x:c r="J18" s="6">
        <x:v>92</x:v>
      </x:c>
      <x:c r="K18" s="6">
        <x:v>91</x:v>
      </x:c>
      <x:c r="L18" s="6">
        <x:v>93</x:v>
      </x:c>
      <x:c r="M18" s="6">
        <x:v>90</x:v>
      </x:c>
      <x:c r="N18" s="6">
        <x:v>93</x:v>
      </x:c>
      <x:c r="O18" s="6">
        <x:v>86</x:v>
      </x:c>
      <x:c r="P18" s="6">
        <x:v>11</x:v>
      </x:c>
      <x:c r="Q18" s="6">
        <x:v>5</x:v>
      </x:c>
      <x:c r="R18" s="6">
        <x:v>91.15</x:v>
      </x:c>
      <x:c r="S18" s="6">
        <x:v>90.95</x:v>
      </x:c>
      <x:c r="T18" s="6">
        <x:v>91.05</x:v>
      </x:c>
      <x:c r="U18" s="7" t="s">
        <x:v>33</x:v>
      </x:c>
      <x:c r="V18" s="7" t="s">
        <x:v>756</x:v>
      </x:c>
      <x:c r="W18" s="7" t="s">
        <x:v>35</x:v>
      </x:c>
      <x:c r="X18" s="7" t="s">
        <x:v>757</x:v>
      </x:c>
      <x:c r="Y18" s="7" t="s">
        <x:v>758</x:v>
      </x:c>
    </x:row>
    <x:row r="19" ht="38" customHeight="1">
      <x:c r="A19" s="7" t="s">
        <x:v>861</x:v>
      </x:c>
      <x:c r="B19" s="7" t="s">
        <x:v>750</x:v>
      </x:c>
      <x:c r="C19" s="7" t="s">
        <x:v>79</x:v>
      </x:c>
      <x:c r="D19" s="7" t="s">
        <x:v>862</x:v>
      </x:c>
      <x:c r="E19" s="7" t="s">
        <x:v>863</x:v>
      </x:c>
      <x:c r="F19" s="7" t="s">
        <x:v>864</x:v>
      </x:c>
      <x:c r="G19" s="7">
        <x:v>29</x:v>
      </x:c>
      <x:c r="H19" s="7" t="s">
        <x:v>865</x:v>
      </x:c>
      <x:c r="I19" s="7" t="s">
        <x:v>866</x:v>
      </x:c>
      <x:c r="J19" s="6">
        <x:v>92</x:v>
      </x:c>
      <x:c r="K19" s="6">
        <x:v>91</x:v>
      </x:c>
      <x:c r="L19" s="6">
        <x:v>93</x:v>
      </x:c>
      <x:c r="M19" s="6">
        <x:v>90</x:v>
      </x:c>
      <x:c r="N19" s="6">
        <x:v>93</x:v>
      </x:c>
      <x:c r="O19" s="6">
        <x:v>86</x:v>
      </x:c>
      <x:c r="P19" s="6">
        <x:v>11</x:v>
      </x:c>
      <x:c r="Q19" s="6">
        <x:v>5</x:v>
      </x:c>
      <x:c r="R19" s="6">
        <x:v>91.15</x:v>
      </x:c>
      <x:c r="S19" s="6">
        <x:v>90.95</x:v>
      </x:c>
      <x:c r="T19" s="6">
        <x:v>91.05</x:v>
      </x:c>
      <x:c r="U19" s="7" t="s">
        <x:v>33</x:v>
      </x:c>
      <x:c r="V19" s="7" t="s">
        <x:v>756</x:v>
      </x:c>
      <x:c r="W19" s="7" t="s">
        <x:v>35</x:v>
      </x:c>
      <x:c r="X19" s="7" t="s">
        <x:v>757</x:v>
      </x:c>
      <x:c r="Y19" s="7" t="s">
        <x:v>758</x:v>
      </x:c>
    </x:row>
    <x:row r="20" ht="38" customHeight="1">
      <x:c r="A20" s="7" t="s">
        <x:v>867</x:v>
      </x:c>
      <x:c r="B20" s="7" t="s">
        <x:v>750</x:v>
      </x:c>
      <x:c r="C20" s="7" t="s">
        <x:v>86</x:v>
      </x:c>
      <x:c r="D20" s="7" t="s">
        <x:v>868</x:v>
      </x:c>
      <x:c r="E20" s="7" t="s">
        <x:v>869</x:v>
      </x:c>
      <x:c r="F20" s="7" t="s">
        <x:v>870</x:v>
      </x:c>
      <x:c r="G20" s="7">
        <x:v>30</x:v>
      </x:c>
      <x:c r="H20" s="7" t="s">
        <x:v>871</x:v>
      </x:c>
      <x:c r="I20" s="7" t="s">
        <x:v>872</x:v>
      </x:c>
      <x:c r="J20" s="6">
        <x:v>92</x:v>
      </x:c>
      <x:c r="K20" s="6">
        <x:v>91</x:v>
      </x:c>
      <x:c r="L20" s="6">
        <x:v>93</x:v>
      </x:c>
      <x:c r="M20" s="6">
        <x:v>90</x:v>
      </x:c>
      <x:c r="N20" s="6">
        <x:v>93</x:v>
      </x:c>
      <x:c r="O20" s="6">
        <x:v>86</x:v>
      </x:c>
      <x:c r="P20" s="6">
        <x:v>11</x:v>
      </x:c>
      <x:c r="Q20" s="6">
        <x:v>5</x:v>
      </x:c>
      <x:c r="R20" s="6">
        <x:v>91.15</x:v>
      </x:c>
      <x:c r="S20" s="6">
        <x:v>90.95</x:v>
      </x:c>
      <x:c r="T20" s="6">
        <x:v>91.05</x:v>
      </x:c>
      <x:c r="U20" s="7" t="s">
        <x:v>33</x:v>
      </x:c>
      <x:c r="V20" s="7" t="s">
        <x:v>756</x:v>
      </x:c>
      <x:c r="W20" s="7" t="s">
        <x:v>35</x:v>
      </x:c>
      <x:c r="X20" s="7" t="s">
        <x:v>757</x:v>
      </x:c>
      <x:c r="Y20" s="7" t="s">
        <x:v>758</x:v>
      </x:c>
    </x:row>
    <x:row r="21" ht="38" customHeight="1">
      <x:c r="A21" s="7" t="s">
        <x:v>873</x:v>
      </x:c>
      <x:c r="B21" s="7" t="s">
        <x:v>750</x:v>
      </x:c>
      <x:c r="C21" s="7" t="s">
        <x:v>39</x:v>
      </x:c>
      <x:c r="D21" s="7" t="s">
        <x:v>874</x:v>
      </x:c>
      <x:c r="E21" s="7" t="s">
        <x:v>875</x:v>
      </x:c>
      <x:c r="F21" s="7" t="s">
        <x:v>876</x:v>
      </x:c>
      <x:c r="G21" s="7">
        <x:v>32</x:v>
      </x:c>
      <x:c r="H21" s="7" t="s">
        <x:v>877</x:v>
      </x:c>
      <x:c r="I21" s="7" t="s">
        <x:v>878</x:v>
      </x:c>
      <x:c r="J21" s="6">
        <x:v>92</x:v>
      </x:c>
      <x:c r="K21" s="6">
        <x:v>91</x:v>
      </x:c>
      <x:c r="L21" s="6">
        <x:v>93</x:v>
      </x:c>
      <x:c r="M21" s="6">
        <x:v>90</x:v>
      </x:c>
      <x:c r="N21" s="6">
        <x:v>93</x:v>
      </x:c>
      <x:c r="O21" s="6">
        <x:v>86</x:v>
      </x:c>
      <x:c r="P21" s="6">
        <x:v>11</x:v>
      </x:c>
      <x:c r="Q21" s="6">
        <x:v>5</x:v>
      </x:c>
      <x:c r="R21" s="6">
        <x:v>91.15</x:v>
      </x:c>
      <x:c r="S21" s="6">
        <x:v>90.95</x:v>
      </x:c>
      <x:c r="T21" s="6">
        <x:v>91.05</x:v>
      </x:c>
      <x:c r="U21" s="7" t="s">
        <x:v>33</x:v>
      </x:c>
      <x:c r="V21" s="7" t="s">
        <x:v>756</x:v>
      </x:c>
      <x:c r="W21" s="7" t="s">
        <x:v>35</x:v>
      </x:c>
      <x:c r="X21" s="7" t="s">
        <x:v>757</x:v>
      </x:c>
      <x:c r="Y21" s="7" t="s">
        <x:v>758</x:v>
      </x:c>
    </x:row>
    <x:row r="22" ht="38" customHeight="1">
      <x:c r="A22" s="7" t="s">
        <x:v>879</x:v>
      </x:c>
      <x:c r="B22" s="7" t="s">
        <x:v>750</x:v>
      </x:c>
      <x:c r="C22" s="7" t="s">
        <x:v>79</x:v>
      </x:c>
      <x:c r="D22" s="7" t="s">
        <x:v>880</x:v>
      </x:c>
      <x:c r="E22" s="7" t="s">
        <x:v>881</x:v>
      </x:c>
      <x:c r="F22" s="7" t="s">
        <x:v>882</x:v>
      </x:c>
      <x:c r="G22" s="7">
        <x:v>64</x:v>
      </x:c>
      <x:c r="H22" s="7" t="s">
        <x:v>883</x:v>
      </x:c>
      <x:c r="I22" s="7" t="s">
        <x:v>884</x:v>
      </x:c>
      <x:c r="J22" s="6">
        <x:v>92</x:v>
      </x:c>
      <x:c r="K22" s="6">
        <x:v>91</x:v>
      </x:c>
      <x:c r="L22" s="6">
        <x:v>93</x:v>
      </x:c>
      <x:c r="M22" s="6">
        <x:v>90</x:v>
      </x:c>
      <x:c r="N22" s="6">
        <x:v>93</x:v>
      </x:c>
      <x:c r="O22" s="6">
        <x:v>86</x:v>
      </x:c>
      <x:c r="P22" s="6">
        <x:v>11</x:v>
      </x:c>
      <x:c r="Q22" s="6">
        <x:v>5</x:v>
      </x:c>
      <x:c r="R22" s="6">
        <x:v>91.15</x:v>
      </x:c>
      <x:c r="S22" s="6">
        <x:v>90.95</x:v>
      </x:c>
      <x:c r="T22" s="6">
        <x:v>91.05</x:v>
      </x:c>
      <x:c r="U22" s="7" t="s">
        <x:v>33</x:v>
      </x:c>
      <x:c r="V22" s="7" t="s">
        <x:v>756</x:v>
      </x:c>
      <x:c r="W22" s="7" t="s">
        <x:v>35</x:v>
      </x:c>
      <x:c r="X22" s="7" t="s">
        <x:v>757</x:v>
      </x:c>
      <x:c r="Y22" s="7" t="s">
        <x:v>758</x:v>
      </x:c>
    </x:row>
    <x:row r="23" ht="38" customHeight="1">
      <x:c r="A23" s="7" t="s">
        <x:v>885</x:v>
      </x:c>
      <x:c r="B23" s="7" t="s">
        <x:v>750</x:v>
      </x:c>
      <x:c r="C23" s="7" t="s">
        <x:v>806</x:v>
      </x:c>
      <x:c r="D23" s="7" t="s">
        <x:v>886</x:v>
      </x:c>
      <x:c r="E23" s="7" t="s">
        <x:v>887</x:v>
      </x:c>
      <x:c r="F23" s="7" t="s">
        <x:v>888</x:v>
      </x:c>
      <x:c r="G23" s="7">
        <x:v>151</x:v>
      </x:c>
      <x:c r="H23" s="7" t="s">
        <x:v>889</x:v>
      </x:c>
      <x:c r="I23" s="7" t="s">
        <x:v>890</x:v>
      </x:c>
      <x:c r="J23" s="6">
        <x:v>92</x:v>
      </x:c>
      <x:c r="K23" s="6">
        <x:v>91</x:v>
      </x:c>
      <x:c r="L23" s="6">
        <x:v>93</x:v>
      </x:c>
      <x:c r="M23" s="6">
        <x:v>90</x:v>
      </x:c>
      <x:c r="N23" s="6">
        <x:v>93</x:v>
      </x:c>
      <x:c r="O23" s="6">
        <x:v>86</x:v>
      </x:c>
      <x:c r="P23" s="6">
        <x:v>11</x:v>
      </x:c>
      <x:c r="Q23" s="6">
        <x:v>5</x:v>
      </x:c>
      <x:c r="R23" s="6">
        <x:v>91.15</x:v>
      </x:c>
      <x:c r="S23" s="6">
        <x:v>90.95</x:v>
      </x:c>
      <x:c r="T23" s="6">
        <x:v>91.05</x:v>
      </x:c>
      <x:c r="U23" s="7" t="s">
        <x:v>33</x:v>
      </x:c>
      <x:c r="V23" s="7" t="s">
        <x:v>756</x:v>
      </x:c>
      <x:c r="W23" s="7" t="s">
        <x:v>35</x:v>
      </x:c>
      <x:c r="X23" s="7" t="s">
        <x:v>757</x:v>
      </x:c>
      <x:c r="Y23" s="7" t="s">
        <x:v>758</x:v>
      </x:c>
    </x:row>
    <x:row r="24" ht="38" customHeight="1">
      <x:c r="A24" s="7" t="s">
        <x:v>891</x:v>
      </x:c>
      <x:c r="B24" s="7" t="s">
        <x:v>750</x:v>
      </x:c>
      <x:c r="C24" s="7" t="s">
        <x:v>806</x:v>
      </x:c>
      <x:c r="D24" s="7" t="s">
        <x:v>892</x:v>
      </x:c>
      <x:c r="E24" s="7" t="s">
        <x:v>893</x:v>
      </x:c>
      <x:c r="F24" s="7" t="s">
        <x:v>894</x:v>
      </x:c>
      <x:c r="G24" s="7" t="s">
        <x:v>75</x:v>
      </x:c>
      <x:c r="H24" s="7" t="s">
        <x:v>895</x:v>
      </x:c>
      <x:c r="I24" s="7" t="s">
        <x:v>896</x:v>
      </x:c>
      <x:c r="J24" s="6">
        <x:v>92</x:v>
      </x:c>
      <x:c r="K24" s="6">
        <x:v>91</x:v>
      </x:c>
      <x:c r="L24" s="6">
        <x:v>93</x:v>
      </x:c>
      <x:c r="M24" s="6">
        <x:v>90</x:v>
      </x:c>
      <x:c r="N24" s="6">
        <x:v>93</x:v>
      </x:c>
      <x:c r="O24" s="6">
        <x:v>86</x:v>
      </x:c>
      <x:c r="P24" s="6">
        <x:v>11</x:v>
      </x:c>
      <x:c r="Q24" s="6">
        <x:v>5</x:v>
      </x:c>
      <x:c r="R24" s="6">
        <x:v>91.15</x:v>
      </x:c>
      <x:c r="S24" s="6">
        <x:v>90.95</x:v>
      </x:c>
      <x:c r="T24" s="6">
        <x:v>91.05</x:v>
      </x:c>
      <x:c r="U24" s="7" t="s">
        <x:v>33</x:v>
      </x:c>
      <x:c r="V24" s="7" t="s">
        <x:v>756</x:v>
      </x:c>
      <x:c r="W24" s="7" t="s">
        <x:v>35</x:v>
      </x:c>
      <x:c r="X24" s="7" t="s">
        <x:v>757</x:v>
      </x:c>
      <x:c r="Y24" s="7" t="s">
        <x:v>758</x:v>
      </x:c>
    </x:row>
    <x:row r="25" ht="38" customHeight="1">
      <x:c r="A25" s="7" t="s">
        <x:v>897</x:v>
      </x:c>
      <x:c r="B25" s="7" t="s">
        <x:v>750</x:v>
      </x:c>
      <x:c r="C25" s="7" t="s">
        <x:v>79</x:v>
      </x:c>
      <x:c r="D25" s="7" t="s">
        <x:v>898</x:v>
      </x:c>
      <x:c r="E25" s="7" t="s">
        <x:v>899</x:v>
      </x:c>
      <x:c r="F25" s="7" t="s">
        <x:v>900</x:v>
      </x:c>
      <x:c r="G25" s="7">
        <x:v>31</x:v>
      </x:c>
      <x:c r="H25" s="7" t="s">
        <x:v>901</x:v>
      </x:c>
      <x:c r="I25" s="7" t="s">
        <x:v>902</x:v>
      </x:c>
      <x:c r="J25" s="6">
        <x:v>92</x:v>
      </x:c>
      <x:c r="K25" s="6">
        <x:v>91</x:v>
      </x:c>
      <x:c r="L25" s="6">
        <x:v>93</x:v>
      </x:c>
      <x:c r="M25" s="6">
        <x:v>90</x:v>
      </x:c>
      <x:c r="N25" s="6">
        <x:v>93</x:v>
      </x:c>
      <x:c r="O25" s="6">
        <x:v>86</x:v>
      </x:c>
      <x:c r="P25" s="6">
        <x:v>11</x:v>
      </x:c>
      <x:c r="Q25" s="6">
        <x:v>5</x:v>
      </x:c>
      <x:c r="R25" s="6">
        <x:v>91.15</x:v>
      </x:c>
      <x:c r="S25" s="6">
        <x:v>90.95</x:v>
      </x:c>
      <x:c r="T25" s="6">
        <x:v>91.05</x:v>
      </x:c>
      <x:c r="U25" s="7" t="s">
        <x:v>33</x:v>
      </x:c>
      <x:c r="V25" s="7" t="s">
        <x:v>756</x:v>
      </x:c>
      <x:c r="W25" s="7" t="s">
        <x:v>35</x:v>
      </x:c>
      <x:c r="X25" s="7" t="s">
        <x:v>757</x:v>
      </x:c>
      <x:c r="Y25" s="7" t="s">
        <x:v>758</x:v>
      </x:c>
    </x:row>
    <x:row r="26" ht="38" customHeight="1">
      <x:c r="A26" s="7" t="s">
        <x:v>903</x:v>
      </x:c>
      <x:c r="B26" s="7" t="s">
        <x:v>750</x:v>
      </x:c>
      <x:c r="C26" s="7" t="s">
        <x:v>386</x:v>
      </x:c>
      <x:c r="D26" s="7" t="s">
        <x:v>904</x:v>
      </x:c>
      <x:c r="E26" s="7" t="s">
        <x:v>905</x:v>
      </x:c>
      <x:c r="F26" s="7" t="s">
        <x:v>906</x:v>
      </x:c>
      <x:c r="G26" s="7">
        <x:v>45</x:v>
      </x:c>
      <x:c r="H26" s="7" t="s">
        <x:v>907</x:v>
      </x:c>
      <x:c r="I26" s="7" t="s">
        <x:v>908</x:v>
      </x:c>
      <x:c r="J26" s="6">
        <x:v>92</x:v>
      </x:c>
      <x:c r="K26" s="6">
        <x:v>91</x:v>
      </x:c>
      <x:c r="L26" s="6">
        <x:v>93</x:v>
      </x:c>
      <x:c r="M26" s="6">
        <x:v>90</x:v>
      </x:c>
      <x:c r="N26" s="6">
        <x:v>93</x:v>
      </x:c>
      <x:c r="O26" s="6">
        <x:v>86</x:v>
      </x:c>
      <x:c r="P26" s="6">
        <x:v>11</x:v>
      </x:c>
      <x:c r="Q26" s="6">
        <x:v>5</x:v>
      </x:c>
      <x:c r="R26" s="6">
        <x:v>91.15</x:v>
      </x:c>
      <x:c r="S26" s="6">
        <x:v>90.95</x:v>
      </x:c>
      <x:c r="T26" s="6">
        <x:v>91.05</x:v>
      </x:c>
      <x:c r="U26" s="7" t="s">
        <x:v>33</x:v>
      </x:c>
      <x:c r="V26" s="7" t="s">
        <x:v>756</x:v>
      </x:c>
      <x:c r="W26" s="7" t="s">
        <x:v>35</x:v>
      </x:c>
      <x:c r="X26" s="7" t="s">
        <x:v>757</x:v>
      </x:c>
      <x:c r="Y26" s="7" t="s">
        <x:v>758</x:v>
      </x:c>
    </x:row>
    <x:row r="27" ht="38" customHeight="1">
      <x:c r="A27" s="7" t="s">
        <x:v>909</x:v>
      </x:c>
      <x:c r="B27" s="7" t="s">
        <x:v>750</x:v>
      </x:c>
      <x:c r="C27" s="7" t="s">
        <x:v>27</x:v>
      </x:c>
      <x:c r="D27" s="7" t="s">
        <x:v>910</x:v>
      </x:c>
      <x:c r="E27" s="7" t="s">
        <x:v>911</x:v>
      </x:c>
      <x:c r="F27" s="7" t="s">
        <x:v>912</x:v>
      </x:c>
      <x:c r="G27" s="7">
        <x:v>35</x:v>
      </x:c>
      <x:c r="H27" s="7" t="s">
        <x:v>913</x:v>
      </x:c>
      <x:c r="I27" s="7" t="s">
        <x:v>914</x:v>
      </x:c>
      <x:c r="J27" s="6">
        <x:v>92</x:v>
      </x:c>
      <x:c r="K27" s="6">
        <x:v>91</x:v>
      </x:c>
      <x:c r="L27" s="6">
        <x:v>93</x:v>
      </x:c>
      <x:c r="M27" s="6">
        <x:v>90</x:v>
      </x:c>
      <x:c r="N27" s="6">
        <x:v>93</x:v>
      </x:c>
      <x:c r="O27" s="6">
        <x:v>86</x:v>
      </x:c>
      <x:c r="P27" s="6">
        <x:v>11</x:v>
      </x:c>
      <x:c r="Q27" s="6">
        <x:v>5</x:v>
      </x:c>
      <x:c r="R27" s="6">
        <x:v>91.15</x:v>
      </x:c>
      <x:c r="S27" s="6">
        <x:v>90.95</x:v>
      </x:c>
      <x:c r="T27" s="6">
        <x:v>91.05</x:v>
      </x:c>
      <x:c r="U27" s="7" t="s">
        <x:v>33</x:v>
      </x:c>
      <x:c r="V27" s="7" t="s">
        <x:v>756</x:v>
      </x:c>
      <x:c r="W27" s="7" t="s">
        <x:v>35</x:v>
      </x:c>
      <x:c r="X27" s="7" t="s">
        <x:v>757</x:v>
      </x:c>
      <x:c r="Y27" s="7" t="s">
        <x:v>758</x:v>
      </x:c>
    </x:row>
    <x:row r="28" ht="38" customHeight="1">
      <x:c r="A28" s="7" t="s">
        <x:v>915</x:v>
      </x:c>
      <x:c r="B28" s="7" t="s">
        <x:v>750</x:v>
      </x:c>
      <x:c r="C28" s="7" t="s">
        <x:v>916</x:v>
      </x:c>
      <x:c r="D28" s="7" t="s">
        <x:v>917</x:v>
      </x:c>
      <x:c r="E28" s="7" t="s">
        <x:v>918</x:v>
      </x:c>
      <x:c r="F28" s="7" t="s">
        <x:v>919</x:v>
      </x:c>
      <x:c r="G28" s="7">
        <x:v>103</x:v>
      </x:c>
      <x:c r="H28" s="7" t="s">
        <x:v>920</x:v>
      </x:c>
      <x:c r="I28" s="7" t="s">
        <x:v>921</x:v>
      </x:c>
      <x:c r="J28" s="6">
        <x:v>92</x:v>
      </x:c>
      <x:c r="K28" s="6">
        <x:v>91</x:v>
      </x:c>
      <x:c r="L28" s="6">
        <x:v>93</x:v>
      </x:c>
      <x:c r="M28" s="6">
        <x:v>90</x:v>
      </x:c>
      <x:c r="N28" s="6">
        <x:v>93</x:v>
      </x:c>
      <x:c r="O28" s="6">
        <x:v>86</x:v>
      </x:c>
      <x:c r="P28" s="6">
        <x:v>11</x:v>
      </x:c>
      <x:c r="Q28" s="6">
        <x:v>5</x:v>
      </x:c>
      <x:c r="R28" s="6">
        <x:v>91.15</x:v>
      </x:c>
      <x:c r="S28" s="6">
        <x:v>90.95</x:v>
      </x:c>
      <x:c r="T28" s="6">
        <x:v>91.05</x:v>
      </x:c>
      <x:c r="U28" s="7" t="s">
        <x:v>33</x:v>
      </x:c>
      <x:c r="V28" s="7" t="s">
        <x:v>756</x:v>
      </x:c>
      <x:c r="W28" s="7" t="s">
        <x:v>35</x:v>
      </x:c>
      <x:c r="X28" s="7" t="s">
        <x:v>757</x:v>
      </x:c>
      <x:c r="Y28" s="7" t="s">
        <x:v>758</x:v>
      </x:c>
    </x:row>
    <x:row r="29" ht="38" customHeight="1">
      <x:c r="A29" s="7" t="s">
        <x:v>922</x:v>
      </x:c>
      <x:c r="B29" s="7" t="s">
        <x:v>750</x:v>
      </x:c>
      <x:c r="C29" s="7" t="s">
        <x:v>123</x:v>
      </x:c>
      <x:c r="D29" s="7" t="s">
        <x:v>923</x:v>
      </x:c>
      <x:c r="E29" s="7" t="s">
        <x:v>924</x:v>
      </x:c>
      <x:c r="F29" s="7" t="s">
        <x:v>925</x:v>
      </x:c>
      <x:c r="G29" s="7">
        <x:v>32</x:v>
      </x:c>
      <x:c r="H29" s="7" t="s">
        <x:v>926</x:v>
      </x:c>
      <x:c r="I29" s="7" t="s">
        <x:v>927</x:v>
      </x:c>
      <x:c r="J29" s="6">
        <x:v>92</x:v>
      </x:c>
      <x:c r="K29" s="6">
        <x:v>91</x:v>
      </x:c>
      <x:c r="L29" s="6">
        <x:v>93</x:v>
      </x:c>
      <x:c r="M29" s="6">
        <x:v>90</x:v>
      </x:c>
      <x:c r="N29" s="6">
        <x:v>93</x:v>
      </x:c>
      <x:c r="O29" s="6">
        <x:v>86</x:v>
      </x:c>
      <x:c r="P29" s="6">
        <x:v>11</x:v>
      </x:c>
      <x:c r="Q29" s="6">
        <x:v>5</x:v>
      </x:c>
      <x:c r="R29" s="6">
        <x:v>91.15</x:v>
      </x:c>
      <x:c r="S29" s="6">
        <x:v>90.95</x:v>
      </x:c>
      <x:c r="T29" s="6">
        <x:v>91.05</x:v>
      </x:c>
      <x:c r="U29" s="7" t="s">
        <x:v>33</x:v>
      </x:c>
      <x:c r="V29" s="7" t="s">
        <x:v>756</x:v>
      </x:c>
      <x:c r="W29" s="7" t="s">
        <x:v>35</x:v>
      </x:c>
      <x:c r="X29" s="7" t="s">
        <x:v>757</x:v>
      </x:c>
      <x:c r="Y29" s="7" t="s">
        <x:v>758</x:v>
      </x:c>
    </x:row>
    <x:row r="30" ht="38" customHeight="1">
      <x:c r="A30" s="7" t="s">
        <x:v>928</x:v>
      </x:c>
      <x:c r="B30" s="7" t="s">
        <x:v>750</x:v>
      </x:c>
      <x:c r="C30" s="7" t="s">
        <x:v>670</x:v>
      </x:c>
      <x:c r="D30" s="7" t="s">
        <x:v>929</x:v>
      </x:c>
      <x:c r="E30" s="7" t="s">
        <x:v>930</x:v>
      </x:c>
      <x:c r="F30" s="7" t="s">
        <x:v>931</x:v>
      </x:c>
      <x:c r="G30" s="7" t="s">
        <x:v>75</x:v>
      </x:c>
      <x:c r="H30" s="7" t="s">
        <x:v>932</x:v>
      </x:c>
      <x:c r="I30" s="7" t="s">
        <x:v>933</x:v>
      </x:c>
      <x:c r="J30" s="6">
        <x:v>92</x:v>
      </x:c>
      <x:c r="K30" s="6">
        <x:v>91</x:v>
      </x:c>
      <x:c r="L30" s="6">
        <x:v>93</x:v>
      </x:c>
      <x:c r="M30" s="6">
        <x:v>90</x:v>
      </x:c>
      <x:c r="N30" s="6">
        <x:v>93</x:v>
      </x:c>
      <x:c r="O30" s="6">
        <x:v>86</x:v>
      </x:c>
      <x:c r="P30" s="6">
        <x:v>11</x:v>
      </x:c>
      <x:c r="Q30" s="6">
        <x:v>5</x:v>
      </x:c>
      <x:c r="R30" s="6">
        <x:v>91.15</x:v>
      </x:c>
      <x:c r="S30" s="6">
        <x:v>90.95</x:v>
      </x:c>
      <x:c r="T30" s="6">
        <x:v>91.05</x:v>
      </x:c>
      <x:c r="U30" s="7" t="s">
        <x:v>33</x:v>
      </x:c>
      <x:c r="V30" s="7" t="s">
        <x:v>756</x:v>
      </x:c>
      <x:c r="W30" s="7" t="s">
        <x:v>35</x:v>
      </x:c>
      <x:c r="X30" s="7" t="s">
        <x:v>757</x:v>
      </x:c>
      <x:c r="Y30" s="7" t="s">
        <x:v>758</x:v>
      </x:c>
    </x:row>
    <x:row r="31" ht="38" customHeight="1">
      <x:c r="A31" s="7" t="s">
        <x:v>934</x:v>
      </x:c>
      <x:c r="B31" s="7" t="s">
        <x:v>750</x:v>
      </x:c>
      <x:c r="C31" s="7" t="s">
        <x:v>79</x:v>
      </x:c>
      <x:c r="D31" s="7" t="s">
        <x:v>935</x:v>
      </x:c>
      <x:c r="E31" s="7" t="s">
        <x:v>936</x:v>
      </x:c>
      <x:c r="F31" s="7" t="s">
        <x:v>937</x:v>
      </x:c>
      <x:c r="G31" s="7" t="s">
        <x:v>75</x:v>
      </x:c>
      <x:c r="H31" s="7" t="s">
        <x:v>938</x:v>
      </x:c>
      <x:c r="I31" s="7" t="s">
        <x:v>939</x:v>
      </x:c>
      <x:c r="J31" s="6">
        <x:v>92</x:v>
      </x:c>
      <x:c r="K31" s="6">
        <x:v>91</x:v>
      </x:c>
      <x:c r="L31" s="6">
        <x:v>93</x:v>
      </x:c>
      <x:c r="M31" s="6">
        <x:v>90</x:v>
      </x:c>
      <x:c r="N31" s="6">
        <x:v>93</x:v>
      </x:c>
      <x:c r="O31" s="6">
        <x:v>86</x:v>
      </x:c>
      <x:c r="P31" s="6">
        <x:v>11</x:v>
      </x:c>
      <x:c r="Q31" s="6">
        <x:v>5</x:v>
      </x:c>
      <x:c r="R31" s="6">
        <x:v>91.15</x:v>
      </x:c>
      <x:c r="S31" s="6">
        <x:v>90.95</x:v>
      </x:c>
      <x:c r="T31" s="6">
        <x:v>91.05</x:v>
      </x:c>
      <x:c r="U31" s="7" t="s">
        <x:v>33</x:v>
      </x:c>
      <x:c r="V31" s="7" t="s">
        <x:v>756</x:v>
      </x:c>
      <x:c r="W31" s="7" t="s">
        <x:v>35</x:v>
      </x:c>
      <x:c r="X31" s="7" t="s">
        <x:v>757</x:v>
      </x:c>
      <x:c r="Y31" s="7" t="s">
        <x:v>758</x:v>
      </x:c>
    </x:row>
    <x:row r="32" ht="38" customHeight="1">
      <x:c r="A32" s="7" t="s">
        <x:v>940</x:v>
      </x:c>
      <x:c r="B32" s="7" t="s">
        <x:v>750</x:v>
      </x:c>
      <x:c r="C32" s="7" t="s">
        <x:v>941</x:v>
      </x:c>
      <x:c r="D32" s="7" t="s">
        <x:v>942</x:v>
      </x:c>
      <x:c r="E32" s="7" t="s">
        <x:v>943</x:v>
      </x:c>
      <x:c r="F32" s="7" t="s">
        <x:v>944</x:v>
      </x:c>
      <x:c r="G32" s="7">
        <x:v>90</x:v>
      </x:c>
      <x:c r="H32" s="7" t="s">
        <x:v>945</x:v>
      </x:c>
      <x:c r="I32" s="7" t="s">
        <x:v>946</x:v>
      </x:c>
      <x:c r="J32" s="6">
        <x:v>92</x:v>
      </x:c>
      <x:c r="K32" s="6">
        <x:v>91</x:v>
      </x:c>
      <x:c r="L32" s="6">
        <x:v>93</x:v>
      </x:c>
      <x:c r="M32" s="6">
        <x:v>90</x:v>
      </x:c>
      <x:c r="N32" s="6">
        <x:v>93</x:v>
      </x:c>
      <x:c r="O32" s="6">
        <x:v>86</x:v>
      </x:c>
      <x:c r="P32" s="6">
        <x:v>11</x:v>
      </x:c>
      <x:c r="Q32" s="6">
        <x:v>5</x:v>
      </x:c>
      <x:c r="R32" s="6">
        <x:v>91.15</x:v>
      </x:c>
      <x:c r="S32" s="6">
        <x:v>90.95</x:v>
      </x:c>
      <x:c r="T32" s="6">
        <x:v>91.05</x:v>
      </x:c>
      <x:c r="U32" s="7" t="s">
        <x:v>33</x:v>
      </x:c>
      <x:c r="V32" s="7" t="s">
        <x:v>756</x:v>
      </x:c>
      <x:c r="W32" s="7" t="s">
        <x:v>35</x:v>
      </x:c>
      <x:c r="X32" s="7" t="s">
        <x:v>757</x:v>
      </x:c>
      <x:c r="Y32" s="7" t="s">
        <x:v>758</x:v>
      </x:c>
    </x:row>
    <x:row r="33" ht="38" customHeight="1">
      <x:c r="A33" s="7" t="s">
        <x:v>947</x:v>
      </x:c>
      <x:c r="B33" s="7" t="s">
        <x:v>750</x:v>
      </x:c>
      <x:c r="C33" s="7" t="s">
        <x:v>386</x:v>
      </x:c>
      <x:c r="D33" s="7" t="s">
        <x:v>948</x:v>
      </x:c>
      <x:c r="E33" s="7" t="s">
        <x:v>949</x:v>
      </x:c>
      <x:c r="F33" s="7" t="s">
        <x:v>950</x:v>
      </x:c>
      <x:c r="G33" s="7" t="s">
        <x:v>75</x:v>
      </x:c>
      <x:c r="H33" s="7" t="s">
        <x:v>951</x:v>
      </x:c>
      <x:c r="I33" s="7" t="s">
        <x:v>952</x:v>
      </x:c>
      <x:c r="J33" s="6">
        <x:v>92</x:v>
      </x:c>
      <x:c r="K33" s="6">
        <x:v>91</x:v>
      </x:c>
      <x:c r="L33" s="6">
        <x:v>93</x:v>
      </x:c>
      <x:c r="M33" s="6">
        <x:v>90</x:v>
      </x:c>
      <x:c r="N33" s="6">
        <x:v>93</x:v>
      </x:c>
      <x:c r="O33" s="6">
        <x:v>86</x:v>
      </x:c>
      <x:c r="P33" s="6">
        <x:v>11</x:v>
      </x:c>
      <x:c r="Q33" s="6">
        <x:v>5</x:v>
      </x:c>
      <x:c r="R33" s="6">
        <x:v>91.15</x:v>
      </x:c>
      <x:c r="S33" s="6">
        <x:v>90.95</x:v>
      </x:c>
      <x:c r="T33" s="6">
        <x:v>91.05</x:v>
      </x:c>
      <x:c r="U33" s="7" t="s">
        <x:v>33</x:v>
      </x:c>
      <x:c r="V33" s="7" t="s">
        <x:v>756</x:v>
      </x:c>
      <x:c r="W33" s="7" t="s">
        <x:v>35</x:v>
      </x:c>
      <x:c r="X33" s="7" t="s">
        <x:v>757</x:v>
      </x:c>
      <x:c r="Y33" s="7" t="s">
        <x:v>758</x:v>
      </x:c>
    </x:row>
    <x:row r="34" ht="38" customHeight="1">
      <x:c r="A34" s="7" t="s">
        <x:v>953</x:v>
      </x:c>
      <x:c r="B34" s="7" t="s">
        <x:v>750</x:v>
      </x:c>
      <x:c r="C34" s="7" t="s">
        <x:v>670</x:v>
      </x:c>
      <x:c r="D34" s="7" t="s">
        <x:v>954</x:v>
      </x:c>
      <x:c r="E34" s="7" t="s">
        <x:v>955</x:v>
      </x:c>
      <x:c r="F34" s="7" t="s">
        <x:v>956</x:v>
      </x:c>
      <x:c r="G34" s="7" t="s">
        <x:v>75</x:v>
      </x:c>
      <x:c r="H34" s="7" t="s">
        <x:v>957</x:v>
      </x:c>
      <x:c r="I34" s="7" t="s">
        <x:v>958</x:v>
      </x:c>
      <x:c r="J34" s="6">
        <x:v>92</x:v>
      </x:c>
      <x:c r="K34" s="6">
        <x:v>91</x:v>
      </x:c>
      <x:c r="L34" s="6">
        <x:v>93</x:v>
      </x:c>
      <x:c r="M34" s="6">
        <x:v>90</x:v>
      </x:c>
      <x:c r="N34" s="6">
        <x:v>93</x:v>
      </x:c>
      <x:c r="O34" s="6">
        <x:v>86</x:v>
      </x:c>
      <x:c r="P34" s="6">
        <x:v>11</x:v>
      </x:c>
      <x:c r="Q34" s="6">
        <x:v>5</x:v>
      </x:c>
      <x:c r="R34" s="6">
        <x:v>91.15</x:v>
      </x:c>
      <x:c r="S34" s="6">
        <x:v>90.95</x:v>
      </x:c>
      <x:c r="T34" s="6">
        <x:v>91.05</x:v>
      </x:c>
      <x:c r="U34" s="7" t="s">
        <x:v>33</x:v>
      </x:c>
      <x:c r="V34" s="7" t="s">
        <x:v>756</x:v>
      </x:c>
      <x:c r="W34" s="7" t="s">
        <x:v>35</x:v>
      </x:c>
      <x:c r="X34" s="7" t="s">
        <x:v>757</x:v>
      </x:c>
      <x:c r="Y34" s="7" t="s">
        <x:v>758</x:v>
      </x:c>
    </x:row>
    <x:row r="35" ht="38" customHeight="1">
      <x:c r="A35" s="7" t="s">
        <x:v>959</x:v>
      </x:c>
      <x:c r="B35" s="7" t="s">
        <x:v>750</x:v>
      </x:c>
      <x:c r="C35" s="7" t="s">
        <x:v>960</x:v>
      </x:c>
      <x:c r="D35" s="7" t="s">
        <x:v>961</x:v>
      </x:c>
      <x:c r="E35" s="7" t="s">
        <x:v>962</x:v>
      </x:c>
      <x:c r="F35" s="7" t="s">
        <x:v>963</x:v>
      </x:c>
      <x:c r="G35" s="7">
        <x:v>23</x:v>
      </x:c>
      <x:c r="H35" s="7" t="s">
        <x:v>964</x:v>
      </x:c>
      <x:c r="I35" s="7" t="s">
        <x:v>965</x:v>
      </x:c>
      <x:c r="J35" s="6">
        <x:v>91</x:v>
      </x:c>
      <x:c r="K35" s="6">
        <x:v>93</x:v>
      </x:c>
      <x:c r="L35" s="6">
        <x:v>91</x:v>
      </x:c>
      <x:c r="M35" s="6">
        <x:v>92</x:v>
      </x:c>
      <x:c r="N35" s="6">
        <x:v>91</x:v>
      </x:c>
      <x:c r="O35" s="6">
        <x:v>85</x:v>
      </x:c>
      <x:c r="P35" s="6">
        <x:v>12</x:v>
      </x:c>
      <x:c r="Q35" s="6">
        <x:v>7</x:v>
      </x:c>
      <x:c r="R35" s="6">
        <x:v>90.95</x:v>
      </x:c>
      <x:c r="S35" s="6">
        <x:v>90.05</x:v>
      </x:c>
      <x:c r="T35" s="6">
        <x:v>90.5</x:v>
      </x:c>
      <x:c r="U35" s="7" t="s">
        <x:v>33</x:v>
      </x:c>
      <x:c r="V35" s="7" t="s">
        <x:v>773</x:v>
      </x:c>
      <x:c r="W35" s="7" t="s">
        <x:v>35</x:v>
      </x:c>
      <x:c r="X35" s="7" t="s">
        <x:v>774</x:v>
      </x:c>
      <x:c r="Y35" s="7" t="s">
        <x:v>775</x:v>
      </x:c>
    </x:row>
    <x:row r="36" ht="38" customHeight="1">
      <x:c r="A36" s="7" t="s">
        <x:v>966</x:v>
      </x:c>
      <x:c r="B36" s="7" t="s">
        <x:v>750</x:v>
      </x:c>
      <x:c r="C36" s="7" t="s">
        <x:v>967</x:v>
      </x:c>
      <x:c r="D36" s="7" t="s">
        <x:v>968</x:v>
      </x:c>
      <x:c r="E36" s="7" t="s">
        <x:v>969</x:v>
      </x:c>
      <x:c r="F36" s="7" t="s">
        <x:v>970</x:v>
      </x:c>
      <x:c r="G36" s="7">
        <x:v>45</x:v>
      </x:c>
      <x:c r="H36" s="7" t="s">
        <x:v>971</x:v>
      </x:c>
      <x:c r="I36" s="7" t="s">
        <x:v>972</x:v>
      </x:c>
      <x:c r="J36" s="6">
        <x:v>90</x:v>
      </x:c>
      <x:c r="K36" s="6">
        <x:v>93</x:v>
      </x:c>
      <x:c r="L36" s="6">
        <x:v>91</x:v>
      </x:c>
      <x:c r="M36" s="6">
        <x:v>90</x:v>
      </x:c>
      <x:c r="N36" s="6">
        <x:v>91</x:v>
      </x:c>
      <x:c r="O36" s="6">
        <x:v>86</x:v>
      </x:c>
      <x:c r="P36" s="6">
        <x:v>11</x:v>
      </x:c>
      <x:c r="Q36" s="6">
        <x:v>6</x:v>
      </x:c>
      <x:c r="R36" s="6">
        <x:v>90.45</x:v>
      </x:c>
      <x:c r="S36" s="6">
        <x:v>90.35</x:v>
      </x:c>
      <x:c r="T36" s="6">
        <x:v>90.4</x:v>
      </x:c>
      <x:c r="U36" s="7" t="s">
        <x:v>33</x:v>
      </x:c>
      <x:c r="V36" s="7" t="s">
        <x:v>773</x:v>
      </x:c>
      <x:c r="W36" s="7" t="s">
        <x:v>35</x:v>
      </x:c>
      <x:c r="X36" s="7" t="s">
        <x:v>774</x:v>
      </x:c>
      <x:c r="Y36" s="7" t="s">
        <x:v>775</x:v>
      </x:c>
    </x:row>
    <x:row r="37" ht="38" customHeight="1">
      <x:c r="A37" s="7" t="s">
        <x:v>973</x:v>
      </x:c>
      <x:c r="B37" s="7" t="s">
        <x:v>750</x:v>
      </x:c>
      <x:c r="C37" s="7" t="s">
        <x:v>27</x:v>
      </x:c>
      <x:c r="D37" s="7" t="s">
        <x:v>974</x:v>
      </x:c>
      <x:c r="E37" s="7" t="s">
        <x:v>975</x:v>
      </x:c>
      <x:c r="F37" s="7" t="s">
        <x:v>976</x:v>
      </x:c>
      <x:c r="G37" s="7">
        <x:v>38</x:v>
      </x:c>
      <x:c r="H37" s="7" t="s">
        <x:v>977</x:v>
      </x:c>
      <x:c r="I37" s="7" t="s">
        <x:v>978</x:v>
      </x:c>
      <x:c r="J37" s="6">
        <x:v>91</x:v>
      </x:c>
      <x:c r="K37" s="6">
        <x:v>90</x:v>
      </x:c>
      <x:c r="L37" s="6">
        <x:v>92</x:v>
      </x:c>
      <x:c r="M37" s="6">
        <x:v>89</x:v>
      </x:c>
      <x:c r="N37" s="6">
        <x:v>92</x:v>
      </x:c>
      <x:c r="O37" s="6">
        <x:v>86</x:v>
      </x:c>
      <x:c r="P37" s="6">
        <x:v>12</x:v>
      </x:c>
      <x:c r="Q37" s="6">
        <x:v>5</x:v>
      </x:c>
      <x:c r="R37" s="6">
        <x:v>90.25</x:v>
      </x:c>
      <x:c r="S37" s="6">
        <x:v>90.1</x:v>
      </x:c>
      <x:c r="T37" s="6">
        <x:v>90.175</x:v>
      </x:c>
      <x:c r="U37" s="7" t="s">
        <x:v>33</x:v>
      </x:c>
      <x:c r="V37" s="7" t="s">
        <x:v>756</x:v>
      </x:c>
      <x:c r="W37" s="7" t="s">
        <x:v>35</x:v>
      </x:c>
      <x:c r="X37" s="7" t="s">
        <x:v>757</x:v>
      </x:c>
      <x:c r="Y37" s="7" t="s">
        <x:v>758</x:v>
      </x:c>
    </x:row>
    <x:row r="38" ht="38" customHeight="1">
      <x:c r="A38" s="7" t="s">
        <x:v>979</x:v>
      </x:c>
      <x:c r="B38" s="7" t="s">
        <x:v>750</x:v>
      </x:c>
      <x:c r="C38" s="7" t="s">
        <x:v>273</x:v>
      </x:c>
      <x:c r="D38" s="7" t="s">
        <x:v>980</x:v>
      </x:c>
      <x:c r="E38" s="7" t="s">
        <x:v>981</x:v>
      </x:c>
      <x:c r="F38" s="7" t="s">
        <x:v>982</x:v>
      </x:c>
      <x:c r="G38" s="7">
        <x:v>39</x:v>
      </x:c>
      <x:c r="H38" s="7" t="s">
        <x:v>983</x:v>
      </x:c>
      <x:c r="I38" s="7" t="s">
        <x:v>984</x:v>
      </x:c>
      <x:c r="J38" s="6">
        <x:v>91</x:v>
      </x:c>
      <x:c r="K38" s="6">
        <x:v>90</x:v>
      </x:c>
      <x:c r="L38" s="6">
        <x:v>92</x:v>
      </x:c>
      <x:c r="M38" s="6">
        <x:v>89</x:v>
      </x:c>
      <x:c r="N38" s="6">
        <x:v>92</x:v>
      </x:c>
      <x:c r="O38" s="6">
        <x:v>86</x:v>
      </x:c>
      <x:c r="P38" s="6">
        <x:v>12</x:v>
      </x:c>
      <x:c r="Q38" s="6">
        <x:v>5</x:v>
      </x:c>
      <x:c r="R38" s="6">
        <x:v>90.25</x:v>
      </x:c>
      <x:c r="S38" s="6">
        <x:v>90.1</x:v>
      </x:c>
      <x:c r="T38" s="6">
        <x:v>90.175</x:v>
      </x:c>
      <x:c r="U38" s="7" t="s">
        <x:v>33</x:v>
      </x:c>
      <x:c r="V38" s="7" t="s">
        <x:v>756</x:v>
      </x:c>
      <x:c r="W38" s="7" t="s">
        <x:v>35</x:v>
      </x:c>
      <x:c r="X38" s="7" t="s">
        <x:v>757</x:v>
      </x:c>
      <x:c r="Y38" s="7" t="s">
        <x:v>758</x:v>
      </x:c>
    </x:row>
    <x:row r="39" ht="38" customHeight="1">
      <x:c r="A39" s="7" t="s">
        <x:v>985</x:v>
      </x:c>
      <x:c r="B39" s="7" t="s">
        <x:v>750</x:v>
      </x:c>
      <x:c r="C39" s="7" t="s">
        <x:v>27</x:v>
      </x:c>
      <x:c r="D39" s="7" t="s">
        <x:v>986</x:v>
      </x:c>
      <x:c r="E39" s="7" t="s">
        <x:v>987</x:v>
      </x:c>
      <x:c r="F39" s="7" t="s">
        <x:v>988</x:v>
      </x:c>
      <x:c r="G39" s="7">
        <x:v>42</x:v>
      </x:c>
      <x:c r="H39" s="7" t="s">
        <x:v>989</x:v>
      </x:c>
      <x:c r="I39" s="7" t="s">
        <x:v>990</x:v>
      </x:c>
      <x:c r="J39" s="6">
        <x:v>91</x:v>
      </x:c>
      <x:c r="K39" s="6">
        <x:v>90</x:v>
      </x:c>
      <x:c r="L39" s="6">
        <x:v>92</x:v>
      </x:c>
      <x:c r="M39" s="6">
        <x:v>89</x:v>
      </x:c>
      <x:c r="N39" s="6">
        <x:v>92</x:v>
      </x:c>
      <x:c r="O39" s="6">
        <x:v>86</x:v>
      </x:c>
      <x:c r="P39" s="6">
        <x:v>12</x:v>
      </x:c>
      <x:c r="Q39" s="6">
        <x:v>5</x:v>
      </x:c>
      <x:c r="R39" s="6">
        <x:v>90.25</x:v>
      </x:c>
      <x:c r="S39" s="6">
        <x:v>90.1</x:v>
      </x:c>
      <x:c r="T39" s="6">
        <x:v>90.175</x:v>
      </x:c>
      <x:c r="U39" s="7" t="s">
        <x:v>33</x:v>
      </x:c>
      <x:c r="V39" s="7" t="s">
        <x:v>756</x:v>
      </x:c>
      <x:c r="W39" s="7" t="s">
        <x:v>35</x:v>
      </x:c>
      <x:c r="X39" s="7" t="s">
        <x:v>757</x:v>
      </x:c>
      <x:c r="Y39" s="7" t="s">
        <x:v>758</x:v>
      </x:c>
    </x:row>
    <x:row r="40" ht="38" customHeight="1">
      <x:c r="A40" s="7" t="s">
        <x:v>991</x:v>
      </x:c>
      <x:c r="B40" s="7" t="s">
        <x:v>750</x:v>
      </x:c>
      <x:c r="C40" s="7" t="s">
        <x:v>79</x:v>
      </x:c>
      <x:c r="D40" s="7" t="s">
        <x:v>992</x:v>
      </x:c>
      <x:c r="E40" s="7" t="s">
        <x:v>993</x:v>
      </x:c>
      <x:c r="F40" s="7" t="s">
        <x:v>994</x:v>
      </x:c>
      <x:c r="G40" s="7" t="s">
        <x:v>75</x:v>
      </x:c>
      <x:c r="H40" s="7" t="s">
        <x:v>995</x:v>
      </x:c>
      <x:c r="I40" s="7" t="s">
        <x:v>996</x:v>
      </x:c>
      <x:c r="J40" s="6">
        <x:v>91</x:v>
      </x:c>
      <x:c r="K40" s="6">
        <x:v>90</x:v>
      </x:c>
      <x:c r="L40" s="6">
        <x:v>92</x:v>
      </x:c>
      <x:c r="M40" s="6">
        <x:v>89</x:v>
      </x:c>
      <x:c r="N40" s="6">
        <x:v>92</x:v>
      </x:c>
      <x:c r="O40" s="6">
        <x:v>86</x:v>
      </x:c>
      <x:c r="P40" s="6">
        <x:v>12</x:v>
      </x:c>
      <x:c r="Q40" s="6">
        <x:v>5</x:v>
      </x:c>
      <x:c r="R40" s="6">
        <x:v>90.25</x:v>
      </x:c>
      <x:c r="S40" s="6">
        <x:v>90.1</x:v>
      </x:c>
      <x:c r="T40" s="6">
        <x:v>90.175</x:v>
      </x:c>
      <x:c r="U40" s="7" t="s">
        <x:v>33</x:v>
      </x:c>
      <x:c r="V40" s="7" t="s">
        <x:v>756</x:v>
      </x:c>
      <x:c r="W40" s="7" t="s">
        <x:v>35</x:v>
      </x:c>
      <x:c r="X40" s="7" t="s">
        <x:v>757</x:v>
      </x:c>
      <x:c r="Y40" s="7" t="s">
        <x:v>758</x:v>
      </x:c>
    </x:row>
    <x:row r="41" ht="38" customHeight="1">
      <x:c r="A41" s="7" t="s">
        <x:v>997</x:v>
      </x:c>
      <x:c r="B41" s="7" t="s">
        <x:v>750</x:v>
      </x:c>
      <x:c r="C41" s="7" t="s">
        <x:v>419</x:v>
      </x:c>
      <x:c r="D41" s="7" t="s">
        <x:v>998</x:v>
      </x:c>
      <x:c r="E41" s="7" t="s">
        <x:v>999</x:v>
      </x:c>
      <x:c r="F41" s="7" t="s">
        <x:v>925</x:v>
      </x:c>
      <x:c r="G41" s="7" t="s">
        <x:v>75</x:v>
      </x:c>
      <x:c r="H41" s="7" t="s">
        <x:v>1000</x:v>
      </x:c>
      <x:c r="I41" s="7" t="s">
        <x:v>1001</x:v>
      </x:c>
      <x:c r="J41" s="6">
        <x:v>91</x:v>
      </x:c>
      <x:c r="K41" s="6">
        <x:v>90</x:v>
      </x:c>
      <x:c r="L41" s="6">
        <x:v>92</x:v>
      </x:c>
      <x:c r="M41" s="6">
        <x:v>89</x:v>
      </x:c>
      <x:c r="N41" s="6">
        <x:v>92</x:v>
      </x:c>
      <x:c r="O41" s="6">
        <x:v>86</x:v>
      </x:c>
      <x:c r="P41" s="6">
        <x:v>12</x:v>
      </x:c>
      <x:c r="Q41" s="6">
        <x:v>5</x:v>
      </x:c>
      <x:c r="R41" s="6">
        <x:v>90.25</x:v>
      </x:c>
      <x:c r="S41" s="6">
        <x:v>90.1</x:v>
      </x:c>
      <x:c r="T41" s="6">
        <x:v>90.175</x:v>
      </x:c>
      <x:c r="U41" s="7" t="s">
        <x:v>33</x:v>
      </x:c>
      <x:c r="V41" s="7" t="s">
        <x:v>756</x:v>
      </x:c>
      <x:c r="W41" s="7" t="s">
        <x:v>35</x:v>
      </x:c>
      <x:c r="X41" s="7" t="s">
        <x:v>757</x:v>
      </x:c>
      <x:c r="Y41" s="7" t="s">
        <x:v>758</x:v>
      </x:c>
    </x:row>
    <x:row r="42" ht="38" customHeight="1">
      <x:c r="A42" s="7" t="s">
        <x:v>1002</x:v>
      </x:c>
      <x:c r="B42" s="7" t="s">
        <x:v>750</x:v>
      </x:c>
      <x:c r="C42" s="7" t="s">
        <x:v>27</x:v>
      </x:c>
      <x:c r="D42" s="7" t="s">
        <x:v>1003</x:v>
      </x:c>
      <x:c r="E42" s="7" t="s">
        <x:v>1004</x:v>
      </x:c>
      <x:c r="F42" s="7" t="s">
        <x:v>1005</x:v>
      </x:c>
      <x:c r="G42" s="7">
        <x:v>34</x:v>
      </x:c>
      <x:c r="H42" s="7" t="s">
        <x:v>1006</x:v>
      </x:c>
      <x:c r="I42" s="7" t="s">
        <x:v>1007</x:v>
      </x:c>
      <x:c r="J42" s="6">
        <x:v>91</x:v>
      </x:c>
      <x:c r="K42" s="6">
        <x:v>90</x:v>
      </x:c>
      <x:c r="L42" s="6">
        <x:v>92</x:v>
      </x:c>
      <x:c r="M42" s="6">
        <x:v>89</x:v>
      </x:c>
      <x:c r="N42" s="6">
        <x:v>92</x:v>
      </x:c>
      <x:c r="O42" s="6">
        <x:v>86</x:v>
      </x:c>
      <x:c r="P42" s="6">
        <x:v>12</x:v>
      </x:c>
      <x:c r="Q42" s="6">
        <x:v>5</x:v>
      </x:c>
      <x:c r="R42" s="6">
        <x:v>90.25</x:v>
      </x:c>
      <x:c r="S42" s="6">
        <x:v>90.1</x:v>
      </x:c>
      <x:c r="T42" s="6">
        <x:v>90.175</x:v>
      </x:c>
      <x:c r="U42" s="7" t="s">
        <x:v>33</x:v>
      </x:c>
      <x:c r="V42" s="7" t="s">
        <x:v>756</x:v>
      </x:c>
      <x:c r="W42" s="7" t="s">
        <x:v>35</x:v>
      </x:c>
      <x:c r="X42" s="7" t="s">
        <x:v>757</x:v>
      </x:c>
      <x:c r="Y42" s="7" t="s">
        <x:v>758</x:v>
      </x:c>
    </x:row>
    <x:row r="43" ht="38" customHeight="1">
      <x:c r="A43" s="7" t="s">
        <x:v>1008</x:v>
      </x:c>
      <x:c r="B43" s="7" t="s">
        <x:v>750</x:v>
      </x:c>
      <x:c r="C43" s="7" t="s">
        <x:v>27</x:v>
      </x:c>
      <x:c r="D43" s="7" t="s">
        <x:v>1009</x:v>
      </x:c>
      <x:c r="E43" s="7" t="s">
        <x:v>1010</x:v>
      </x:c>
      <x:c r="F43" s="7" t="s">
        <x:v>1011</x:v>
      </x:c>
      <x:c r="G43" s="7">
        <x:v>20</x:v>
      </x:c>
      <x:c r="H43" s="7" t="s">
        <x:v>1012</x:v>
      </x:c>
      <x:c r="I43" s="7" t="s">
        <x:v>1013</x:v>
      </x:c>
      <x:c r="J43" s="6">
        <x:v>91</x:v>
      </x:c>
      <x:c r="K43" s="6">
        <x:v>90</x:v>
      </x:c>
      <x:c r="L43" s="6">
        <x:v>92</x:v>
      </x:c>
      <x:c r="M43" s="6">
        <x:v>89</x:v>
      </x:c>
      <x:c r="N43" s="6">
        <x:v>92</x:v>
      </x:c>
      <x:c r="O43" s="6">
        <x:v>86</x:v>
      </x:c>
      <x:c r="P43" s="6">
        <x:v>12</x:v>
      </x:c>
      <x:c r="Q43" s="6">
        <x:v>5</x:v>
      </x:c>
      <x:c r="R43" s="6">
        <x:v>90.25</x:v>
      </x:c>
      <x:c r="S43" s="6">
        <x:v>90.1</x:v>
      </x:c>
      <x:c r="T43" s="6">
        <x:v>90.175</x:v>
      </x:c>
      <x:c r="U43" s="7" t="s">
        <x:v>33</x:v>
      </x:c>
      <x:c r="V43" s="7" t="s">
        <x:v>756</x:v>
      </x:c>
      <x:c r="W43" s="7" t="s">
        <x:v>35</x:v>
      </x:c>
      <x:c r="X43" s="7" t="s">
        <x:v>757</x:v>
      </x:c>
      <x:c r="Y43" s="7" t="s">
        <x:v>758</x:v>
      </x:c>
    </x:row>
    <x:row r="44" ht="38" customHeight="1">
      <x:c r="A44" s="7" t="s">
        <x:v>1014</x:v>
      </x:c>
      <x:c r="B44" s="7" t="s">
        <x:v>750</x:v>
      </x:c>
      <x:c r="C44" s="7" t="s">
        <x:v>1015</x:v>
      </x:c>
      <x:c r="D44" s="7" t="s">
        <x:v>1016</x:v>
      </x:c>
      <x:c r="E44" s="7" t="s">
        <x:v>1017</x:v>
      </x:c>
      <x:c r="F44" s="7" t="s">
        <x:v>1018</x:v>
      </x:c>
      <x:c r="G44" s="7">
        <x:v>84</x:v>
      </x:c>
      <x:c r="H44" s="7" t="s">
        <x:v>1019</x:v>
      </x:c>
      <x:c r="I44" s="7" t="s">
        <x:v>1020</x:v>
      </x:c>
      <x:c r="J44" s="6">
        <x:v>91</x:v>
      </x:c>
      <x:c r="K44" s="6">
        <x:v>90</x:v>
      </x:c>
      <x:c r="L44" s="6">
        <x:v>92</x:v>
      </x:c>
      <x:c r="M44" s="6">
        <x:v>89</x:v>
      </x:c>
      <x:c r="N44" s="6">
        <x:v>92</x:v>
      </x:c>
      <x:c r="O44" s="6">
        <x:v>86</x:v>
      </x:c>
      <x:c r="P44" s="6">
        <x:v>12</x:v>
      </x:c>
      <x:c r="Q44" s="6">
        <x:v>5</x:v>
      </x:c>
      <x:c r="R44" s="6">
        <x:v>90.25</x:v>
      </x:c>
      <x:c r="S44" s="6">
        <x:v>90.1</x:v>
      </x:c>
      <x:c r="T44" s="6">
        <x:v>90.175</x:v>
      </x:c>
      <x:c r="U44" s="7" t="s">
        <x:v>33</x:v>
      </x:c>
      <x:c r="V44" s="7" t="s">
        <x:v>756</x:v>
      </x:c>
      <x:c r="W44" s="7" t="s">
        <x:v>346</x:v>
      </x:c>
      <x:c r="X44" s="7" t="s">
        <x:v>757</x:v>
      </x:c>
      <x:c r="Y44" s="7" t="s">
        <x:v>758</x:v>
      </x:c>
    </x:row>
    <x:row r="45" ht="38" customHeight="1">
      <x:c r="A45" s="7" t="s">
        <x:v>1021</x:v>
      </x:c>
      <x:c r="B45" s="7" t="s">
        <x:v>750</x:v>
      </x:c>
      <x:c r="C45" s="7" t="s">
        <x:v>273</x:v>
      </x:c>
      <x:c r="D45" s="7" t="s">
        <x:v>1022</x:v>
      </x:c>
      <x:c r="E45" s="7" t="s">
        <x:v>1023</x:v>
      </x:c>
      <x:c r="F45" s="7" t="s">
        <x:v>1024</x:v>
      </x:c>
      <x:c r="G45" s="7">
        <x:v>26</x:v>
      </x:c>
      <x:c r="H45" s="7" t="s">
        <x:v>1025</x:v>
      </x:c>
      <x:c r="I45" s="7" t="s">
        <x:v>1026</x:v>
      </x:c>
      <x:c r="J45" s="6">
        <x:v>91</x:v>
      </x:c>
      <x:c r="K45" s="6">
        <x:v>90</x:v>
      </x:c>
      <x:c r="L45" s="6">
        <x:v>92</x:v>
      </x:c>
      <x:c r="M45" s="6">
        <x:v>89</x:v>
      </x:c>
      <x:c r="N45" s="6">
        <x:v>92</x:v>
      </x:c>
      <x:c r="O45" s="6">
        <x:v>86</x:v>
      </x:c>
      <x:c r="P45" s="6">
        <x:v>12</x:v>
      </x:c>
      <x:c r="Q45" s="6">
        <x:v>5</x:v>
      </x:c>
      <x:c r="R45" s="6">
        <x:v>90.25</x:v>
      </x:c>
      <x:c r="S45" s="6">
        <x:v>90.1</x:v>
      </x:c>
      <x:c r="T45" s="6">
        <x:v>90.175</x:v>
      </x:c>
      <x:c r="U45" s="7" t="s">
        <x:v>33</x:v>
      </x:c>
      <x:c r="V45" s="7" t="s">
        <x:v>756</x:v>
      </x:c>
      <x:c r="W45" s="7" t="s">
        <x:v>346</x:v>
      </x:c>
      <x:c r="X45" s="7" t="s">
        <x:v>757</x:v>
      </x:c>
      <x:c r="Y45" s="7" t="s">
        <x:v>758</x:v>
      </x:c>
    </x:row>
    <x:row r="46" ht="38" customHeight="1">
      <x:c r="A46" s="7" t="s">
        <x:v>1027</x:v>
      </x:c>
      <x:c r="B46" s="7" t="s">
        <x:v>750</x:v>
      </x:c>
      <x:c r="C46" s="7" t="s">
        <x:v>27</x:v>
      </x:c>
      <x:c r="D46" s="7" t="s">
        <x:v>1028</x:v>
      </x:c>
      <x:c r="E46" s="7" t="s">
        <x:v>1029</x:v>
      </x:c>
      <x:c r="F46" s="7" t="s">
        <x:v>1030</x:v>
      </x:c>
      <x:c r="G46" s="7">
        <x:v>30</x:v>
      </x:c>
      <x:c r="H46" s="7" t="s">
        <x:v>1031</x:v>
      </x:c>
      <x:c r="I46" s="7" t="s">
        <x:v>1032</x:v>
      </x:c>
      <x:c r="J46" s="6">
        <x:v>91</x:v>
      </x:c>
      <x:c r="K46" s="6">
        <x:v>90</x:v>
      </x:c>
      <x:c r="L46" s="6">
        <x:v>92</x:v>
      </x:c>
      <x:c r="M46" s="6">
        <x:v>89</x:v>
      </x:c>
      <x:c r="N46" s="6">
        <x:v>92</x:v>
      </x:c>
      <x:c r="O46" s="6">
        <x:v>86</x:v>
      </x:c>
      <x:c r="P46" s="6">
        <x:v>12</x:v>
      </x:c>
      <x:c r="Q46" s="6">
        <x:v>5</x:v>
      </x:c>
      <x:c r="R46" s="6">
        <x:v>90.25</x:v>
      </x:c>
      <x:c r="S46" s="6">
        <x:v>90.1</x:v>
      </x:c>
      <x:c r="T46" s="6">
        <x:v>90.175</x:v>
      </x:c>
      <x:c r="U46" s="7" t="s">
        <x:v>33</x:v>
      </x:c>
      <x:c r="V46" s="7" t="s">
        <x:v>756</x:v>
      </x:c>
      <x:c r="W46" s="7" t="s">
        <x:v>346</x:v>
      </x:c>
      <x:c r="X46" s="7" t="s">
        <x:v>757</x:v>
      </x:c>
      <x:c r="Y46" s="7" t="s">
        <x:v>758</x:v>
      </x:c>
    </x:row>
    <x:row r="47" ht="38" customHeight="1">
      <x:c r="A47" s="7" t="s">
        <x:v>1033</x:v>
      </x:c>
      <x:c r="B47" s="7" t="s">
        <x:v>750</x:v>
      </x:c>
      <x:c r="C47" s="7" t="s">
        <x:v>1034</x:v>
      </x:c>
      <x:c r="D47" s="7" t="s">
        <x:v>1035</x:v>
      </x:c>
      <x:c r="E47" s="7" t="s">
        <x:v>1036</x:v>
      </x:c>
      <x:c r="F47" s="7" t="s">
        <x:v>1037</x:v>
      </x:c>
      <x:c r="G47" s="7">
        <x:v>31</x:v>
      </x:c>
      <x:c r="H47" s="7" t="s">
        <x:v>1038</x:v>
      </x:c>
      <x:c r="I47" s="7" t="s">
        <x:v>1039</x:v>
      </x:c>
      <x:c r="J47" s="6">
        <x:v>91</x:v>
      </x:c>
      <x:c r="K47" s="6">
        <x:v>90</x:v>
      </x:c>
      <x:c r="L47" s="6">
        <x:v>92</x:v>
      </x:c>
      <x:c r="M47" s="6">
        <x:v>89</x:v>
      </x:c>
      <x:c r="N47" s="6">
        <x:v>92</x:v>
      </x:c>
      <x:c r="O47" s="6">
        <x:v>86</x:v>
      </x:c>
      <x:c r="P47" s="6">
        <x:v>12</x:v>
      </x:c>
      <x:c r="Q47" s="6">
        <x:v>5</x:v>
      </x:c>
      <x:c r="R47" s="6">
        <x:v>90.25</x:v>
      </x:c>
      <x:c r="S47" s="6">
        <x:v>90.1</x:v>
      </x:c>
      <x:c r="T47" s="6">
        <x:v>90.175</x:v>
      </x:c>
      <x:c r="U47" s="7" t="s">
        <x:v>33</x:v>
      </x:c>
      <x:c r="V47" s="7" t="s">
        <x:v>756</x:v>
      </x:c>
      <x:c r="W47" s="7" t="s">
        <x:v>346</x:v>
      </x:c>
      <x:c r="X47" s="7" t="s">
        <x:v>757</x:v>
      </x:c>
      <x:c r="Y47" s="7" t="s">
        <x:v>758</x:v>
      </x:c>
    </x:row>
    <x:row r="48" ht="38" customHeight="1">
      <x:c r="A48" s="7" t="s">
        <x:v>1040</x:v>
      </x:c>
      <x:c r="B48" s="7" t="s">
        <x:v>750</x:v>
      </x:c>
      <x:c r="C48" s="7" t="s">
        <x:v>79</x:v>
      </x:c>
      <x:c r="D48" s="7" t="s">
        <x:v>1041</x:v>
      </x:c>
      <x:c r="E48" s="7" t="s">
        <x:v>1042</x:v>
      </x:c>
      <x:c r="F48" s="7" t="s">
        <x:v>1043</x:v>
      </x:c>
      <x:c r="G48" s="7">
        <x:v>11</x:v>
      </x:c>
      <x:c r="H48" s="7" t="s">
        <x:v>1044</x:v>
      </x:c>
      <x:c r="I48" s="7" t="s">
        <x:v>1045</x:v>
      </x:c>
      <x:c r="J48" s="6">
        <x:v>91</x:v>
      </x:c>
      <x:c r="K48" s="6">
        <x:v>90</x:v>
      </x:c>
      <x:c r="L48" s="6">
        <x:v>92</x:v>
      </x:c>
      <x:c r="M48" s="6">
        <x:v>89</x:v>
      </x:c>
      <x:c r="N48" s="6">
        <x:v>92</x:v>
      </x:c>
      <x:c r="O48" s="6">
        <x:v>86</x:v>
      </x:c>
      <x:c r="P48" s="6">
        <x:v>12</x:v>
      </x:c>
      <x:c r="Q48" s="6">
        <x:v>5</x:v>
      </x:c>
      <x:c r="R48" s="6">
        <x:v>90.25</x:v>
      </x:c>
      <x:c r="S48" s="6">
        <x:v>90.1</x:v>
      </x:c>
      <x:c r="T48" s="6">
        <x:v>90.175</x:v>
      </x:c>
      <x:c r="U48" s="7" t="s">
        <x:v>33</x:v>
      </x:c>
      <x:c r="V48" s="7" t="s">
        <x:v>756</x:v>
      </x:c>
      <x:c r="W48" s="7" t="s">
        <x:v>346</x:v>
      </x:c>
      <x:c r="X48" s="7" t="s">
        <x:v>757</x:v>
      </x:c>
      <x:c r="Y48" s="7" t="s">
        <x:v>758</x:v>
      </x:c>
    </x:row>
    <x:row r="49" ht="38" customHeight="1">
      <x:c r="A49" s="7" t="s">
        <x:v>1046</x:v>
      </x:c>
      <x:c r="B49" s="7" t="s">
        <x:v>750</x:v>
      </x:c>
      <x:c r="C49" s="7" t="s">
        <x:v>27</x:v>
      </x:c>
      <x:c r="D49" s="7" t="s">
        <x:v>1047</x:v>
      </x:c>
      <x:c r="E49" s="7" t="s">
        <x:v>1048</x:v>
      </x:c>
      <x:c r="F49" s="7" t="s">
        <x:v>1049</x:v>
      </x:c>
      <x:c r="G49" s="7" t="s">
        <x:v>75</x:v>
      </x:c>
      <x:c r="H49" s="7" t="s">
        <x:v>1050</x:v>
      </x:c>
      <x:c r="I49" s="7" t="s">
        <x:v>1051</x:v>
      </x:c>
      <x:c r="J49" s="6">
        <x:v>91</x:v>
      </x:c>
      <x:c r="K49" s="6">
        <x:v>90</x:v>
      </x:c>
      <x:c r="L49" s="6">
        <x:v>92</x:v>
      </x:c>
      <x:c r="M49" s="6">
        <x:v>89</x:v>
      </x:c>
      <x:c r="N49" s="6">
        <x:v>92</x:v>
      </x:c>
      <x:c r="O49" s="6">
        <x:v>86</x:v>
      </x:c>
      <x:c r="P49" s="6">
        <x:v>12</x:v>
      </x:c>
      <x:c r="Q49" s="6">
        <x:v>5</x:v>
      </x:c>
      <x:c r="R49" s="6">
        <x:v>90.25</x:v>
      </x:c>
      <x:c r="S49" s="6">
        <x:v>90.1</x:v>
      </x:c>
      <x:c r="T49" s="6">
        <x:v>90.175</x:v>
      </x:c>
      <x:c r="U49" s="7" t="s">
        <x:v>33</x:v>
      </x:c>
      <x:c r="V49" s="7" t="s">
        <x:v>756</x:v>
      </x:c>
      <x:c r="W49" s="7" t="s">
        <x:v>346</x:v>
      </x:c>
      <x:c r="X49" s="7" t="s">
        <x:v>757</x:v>
      </x:c>
      <x:c r="Y49" s="7" t="s">
        <x:v>758</x:v>
      </x:c>
    </x:row>
    <x:row r="50" ht="38" customHeight="1">
      <x:c r="A50" s="7" t="s">
        <x:v>1052</x:v>
      </x:c>
      <x:c r="B50" s="7" t="s">
        <x:v>750</x:v>
      </x:c>
      <x:c r="C50" s="7" t="s">
        <x:v>1053</x:v>
      </x:c>
      <x:c r="D50" s="7" t="s">
        <x:v>1054</x:v>
      </x:c>
      <x:c r="E50" s="7" t="s">
        <x:v>1055</x:v>
      </x:c>
      <x:c r="F50" s="7" t="s">
        <x:v>1056</x:v>
      </x:c>
      <x:c r="G50" s="7">
        <x:v>161</x:v>
      </x:c>
      <x:c r="H50" s="7" t="s">
        <x:v>1057</x:v>
      </x:c>
      <x:c r="I50" s="7" t="s">
        <x:v>1058</x:v>
      </x:c>
      <x:c r="J50" s="6">
        <x:v>91</x:v>
      </x:c>
      <x:c r="K50" s="6">
        <x:v>90</x:v>
      </x:c>
      <x:c r="L50" s="6">
        <x:v>92</x:v>
      </x:c>
      <x:c r="M50" s="6">
        <x:v>89</x:v>
      </x:c>
      <x:c r="N50" s="6">
        <x:v>92</x:v>
      </x:c>
      <x:c r="O50" s="6">
        <x:v>86</x:v>
      </x:c>
      <x:c r="P50" s="6">
        <x:v>12</x:v>
      </x:c>
      <x:c r="Q50" s="6">
        <x:v>5</x:v>
      </x:c>
      <x:c r="R50" s="6">
        <x:v>90.25</x:v>
      </x:c>
      <x:c r="S50" s="6">
        <x:v>90.1</x:v>
      </x:c>
      <x:c r="T50" s="6">
        <x:v>90.175</x:v>
      </x:c>
      <x:c r="U50" s="7" t="s">
        <x:v>33</x:v>
      </x:c>
      <x:c r="V50" s="7" t="s">
        <x:v>756</x:v>
      </x:c>
      <x:c r="W50" s="7" t="s">
        <x:v>346</x:v>
      </x:c>
      <x:c r="X50" s="7" t="s">
        <x:v>757</x:v>
      </x:c>
      <x:c r="Y50" s="7" t="s">
        <x:v>758</x:v>
      </x:c>
    </x:row>
    <x:row r="51" ht="38" customHeight="1">
      <x:c r="A51" s="7" t="s">
        <x:v>1059</x:v>
      </x:c>
      <x:c r="B51" s="7" t="s">
        <x:v>750</x:v>
      </x:c>
      <x:c r="C51" s="7" t="s">
        <x:v>79</x:v>
      </x:c>
      <x:c r="D51" s="7" t="s">
        <x:v>1060</x:v>
      </x:c>
      <x:c r="E51" s="7" t="s">
        <x:v>1061</x:v>
      </x:c>
      <x:c r="F51" s="7" t="s">
        <x:v>1062</x:v>
      </x:c>
      <x:c r="G51" s="7">
        <x:v>31</x:v>
      </x:c>
      <x:c r="H51" s="7" t="s">
        <x:v>1063</x:v>
      </x:c>
      <x:c r="I51" s="7" t="s">
        <x:v>1064</x:v>
      </x:c>
      <x:c r="J51" s="6">
        <x:v>91</x:v>
      </x:c>
      <x:c r="K51" s="6">
        <x:v>90</x:v>
      </x:c>
      <x:c r="L51" s="6">
        <x:v>92</x:v>
      </x:c>
      <x:c r="M51" s="6">
        <x:v>89</x:v>
      </x:c>
      <x:c r="N51" s="6">
        <x:v>92</x:v>
      </x:c>
      <x:c r="O51" s="6">
        <x:v>86</x:v>
      </x:c>
      <x:c r="P51" s="6">
        <x:v>12</x:v>
      </x:c>
      <x:c r="Q51" s="6">
        <x:v>5</x:v>
      </x:c>
      <x:c r="R51" s="6">
        <x:v>90.25</x:v>
      </x:c>
      <x:c r="S51" s="6">
        <x:v>90.1</x:v>
      </x:c>
      <x:c r="T51" s="6">
        <x:v>90.175</x:v>
      </x:c>
      <x:c r="U51" s="7" t="s">
        <x:v>33</x:v>
      </x:c>
      <x:c r="V51" s="7" t="s">
        <x:v>756</x:v>
      </x:c>
      <x:c r="W51" s="7" t="s">
        <x:v>346</x:v>
      </x:c>
      <x:c r="X51" s="7" t="s">
        <x:v>757</x:v>
      </x:c>
      <x:c r="Y51" s="7" t="s">
        <x:v>758</x:v>
      </x:c>
    </x:row>
    <x:row r="52" ht="38" customHeight="1">
      <x:c r="A52" s="7" t="s">
        <x:v>1065</x:v>
      </x:c>
      <x:c r="B52" s="7" t="s">
        <x:v>750</x:v>
      </x:c>
      <x:c r="C52" s="7" t="s">
        <x:v>719</x:v>
      </x:c>
      <x:c r="D52" s="7" t="s">
        <x:v>1066</x:v>
      </x:c>
      <x:c r="E52" s="7" t="s">
        <x:v>1067</x:v>
      </x:c>
      <x:c r="F52" s="7" t="s">
        <x:v>1068</x:v>
      </x:c>
      <x:c r="G52" s="7">
        <x:v>63</x:v>
      </x:c>
      <x:c r="H52" s="7" t="s">
        <x:v>1069</x:v>
      </x:c>
      <x:c r="I52" s="7" t="s">
        <x:v>1070</x:v>
      </x:c>
      <x:c r="J52" s="6">
        <x:v>91</x:v>
      </x:c>
      <x:c r="K52" s="6">
        <x:v>90</x:v>
      </x:c>
      <x:c r="L52" s="6">
        <x:v>92</x:v>
      </x:c>
      <x:c r="M52" s="6">
        <x:v>89</x:v>
      </x:c>
      <x:c r="N52" s="6">
        <x:v>92</x:v>
      </x:c>
      <x:c r="O52" s="6">
        <x:v>86</x:v>
      </x:c>
      <x:c r="P52" s="6">
        <x:v>12</x:v>
      </x:c>
      <x:c r="Q52" s="6">
        <x:v>5</x:v>
      </x:c>
      <x:c r="R52" s="6">
        <x:v>90.25</x:v>
      </x:c>
      <x:c r="S52" s="6">
        <x:v>90.1</x:v>
      </x:c>
      <x:c r="T52" s="6">
        <x:v>90.175</x:v>
      </x:c>
      <x:c r="U52" s="7" t="s">
        <x:v>33</x:v>
      </x:c>
      <x:c r="V52" s="7" t="s">
        <x:v>756</x:v>
      </x:c>
      <x:c r="W52" s="7" t="s">
        <x:v>346</x:v>
      </x:c>
      <x:c r="X52" s="7" t="s">
        <x:v>757</x:v>
      </x:c>
      <x:c r="Y52" s="7" t="s">
        <x:v>758</x:v>
      </x:c>
    </x:row>
    <x:row r="53" ht="38" customHeight="1">
      <x:c r="A53" s="7" t="s">
        <x:v>1071</x:v>
      </x:c>
      <x:c r="B53" s="7" t="s">
        <x:v>750</x:v>
      </x:c>
      <x:c r="C53" s="7" t="s">
        <x:v>79</x:v>
      </x:c>
      <x:c r="D53" s="7" t="s">
        <x:v>1072</x:v>
      </x:c>
      <x:c r="E53" s="7" t="s">
        <x:v>1073</x:v>
      </x:c>
      <x:c r="F53" s="7" t="s">
        <x:v>1074</x:v>
      </x:c>
      <x:c r="G53" s="7">
        <x:v>43</x:v>
      </x:c>
      <x:c r="H53" s="7" t="s">
        <x:v>1075</x:v>
      </x:c>
      <x:c r="I53" s="7" t="s">
        <x:v>1076</x:v>
      </x:c>
      <x:c r="J53" s="6">
        <x:v>91</x:v>
      </x:c>
      <x:c r="K53" s="6">
        <x:v>90</x:v>
      </x:c>
      <x:c r="L53" s="6">
        <x:v>92</x:v>
      </x:c>
      <x:c r="M53" s="6">
        <x:v>89</x:v>
      </x:c>
      <x:c r="N53" s="6">
        <x:v>92</x:v>
      </x:c>
      <x:c r="O53" s="6">
        <x:v>86</x:v>
      </x:c>
      <x:c r="P53" s="6">
        <x:v>12</x:v>
      </x:c>
      <x:c r="Q53" s="6">
        <x:v>5</x:v>
      </x:c>
      <x:c r="R53" s="6">
        <x:v>90.25</x:v>
      </x:c>
      <x:c r="S53" s="6">
        <x:v>90.1</x:v>
      </x:c>
      <x:c r="T53" s="6">
        <x:v>90.175</x:v>
      </x:c>
      <x:c r="U53" s="7" t="s">
        <x:v>33</x:v>
      </x:c>
      <x:c r="V53" s="7" t="s">
        <x:v>756</x:v>
      </x:c>
      <x:c r="W53" s="7" t="s">
        <x:v>346</x:v>
      </x:c>
      <x:c r="X53" s="7" t="s">
        <x:v>757</x:v>
      </x:c>
      <x:c r="Y53" s="7" t="s">
        <x:v>758</x:v>
      </x:c>
    </x:row>
    <x:row r="54" ht="38" customHeight="1">
      <x:c r="A54" s="7" t="s">
        <x:v>1077</x:v>
      </x:c>
      <x:c r="B54" s="7" t="s">
        <x:v>750</x:v>
      </x:c>
      <x:c r="C54" s="7" t="s">
        <x:v>27</x:v>
      </x:c>
      <x:c r="D54" s="7" t="s">
        <x:v>1078</x:v>
      </x:c>
      <x:c r="E54" s="7" t="s">
        <x:v>1079</x:v>
      </x:c>
      <x:c r="F54" s="7" t="s">
        <x:v>1080</x:v>
      </x:c>
      <x:c r="G54" s="7" t="s">
        <x:v>75</x:v>
      </x:c>
      <x:c r="H54" s="7" t="s">
        <x:v>1081</x:v>
      </x:c>
      <x:c r="I54" s="7" t="s">
        <x:v>1082</x:v>
      </x:c>
      <x:c r="J54" s="6">
        <x:v>91</x:v>
      </x:c>
      <x:c r="K54" s="6">
        <x:v>90</x:v>
      </x:c>
      <x:c r="L54" s="6">
        <x:v>92</x:v>
      </x:c>
      <x:c r="M54" s="6">
        <x:v>89</x:v>
      </x:c>
      <x:c r="N54" s="6">
        <x:v>92</x:v>
      </x:c>
      <x:c r="O54" s="6">
        <x:v>86</x:v>
      </x:c>
      <x:c r="P54" s="6">
        <x:v>12</x:v>
      </x:c>
      <x:c r="Q54" s="6">
        <x:v>5</x:v>
      </x:c>
      <x:c r="R54" s="6">
        <x:v>90.25</x:v>
      </x:c>
      <x:c r="S54" s="6">
        <x:v>90.1</x:v>
      </x:c>
      <x:c r="T54" s="6">
        <x:v>90.175</x:v>
      </x:c>
      <x:c r="U54" s="7" t="s">
        <x:v>33</x:v>
      </x:c>
      <x:c r="V54" s="7" t="s">
        <x:v>756</x:v>
      </x:c>
      <x:c r="W54" s="7" t="s">
        <x:v>346</x:v>
      </x:c>
      <x:c r="X54" s="7" t="s">
        <x:v>757</x:v>
      </x:c>
      <x:c r="Y54" s="7" t="s">
        <x:v>758</x:v>
      </x:c>
    </x:row>
    <x:row r="55" ht="38" customHeight="1">
      <x:c r="A55" s="7" t="s">
        <x:v>1083</x:v>
      </x:c>
      <x:c r="B55" s="7" t="s">
        <x:v>750</x:v>
      </x:c>
      <x:c r="C55" s="7" t="s">
        <x:v>79</x:v>
      </x:c>
      <x:c r="D55" s="7" t="s">
        <x:v>1084</x:v>
      </x:c>
      <x:c r="E55" s="7" t="s">
        <x:v>1085</x:v>
      </x:c>
      <x:c r="F55" s="7" t="s">
        <x:v>1086</x:v>
      </x:c>
      <x:c r="G55" s="7">
        <x:v>48</x:v>
      </x:c>
      <x:c r="H55" s="7" t="s">
        <x:v>1087</x:v>
      </x:c>
      <x:c r="I55" s="7" t="s">
        <x:v>1088</x:v>
      </x:c>
      <x:c r="J55" s="6">
        <x:v>91</x:v>
      </x:c>
      <x:c r="K55" s="6">
        <x:v>90</x:v>
      </x:c>
      <x:c r="L55" s="6">
        <x:v>92</x:v>
      </x:c>
      <x:c r="M55" s="6">
        <x:v>89</x:v>
      </x:c>
      <x:c r="N55" s="6">
        <x:v>92</x:v>
      </x:c>
      <x:c r="O55" s="6">
        <x:v>86</x:v>
      </x:c>
      <x:c r="P55" s="6">
        <x:v>12</x:v>
      </x:c>
      <x:c r="Q55" s="6">
        <x:v>5</x:v>
      </x:c>
      <x:c r="R55" s="6">
        <x:v>90.25</x:v>
      </x:c>
      <x:c r="S55" s="6">
        <x:v>90.1</x:v>
      </x:c>
      <x:c r="T55" s="6">
        <x:v>90.175</x:v>
      </x:c>
      <x:c r="U55" s="7" t="s">
        <x:v>33</x:v>
      </x:c>
      <x:c r="V55" s="7" t="s">
        <x:v>756</x:v>
      </x:c>
      <x:c r="W55" s="7" t="s">
        <x:v>346</x:v>
      </x:c>
      <x:c r="X55" s="7" t="s">
        <x:v>757</x:v>
      </x:c>
      <x:c r="Y55" s="7" t="s">
        <x:v>758</x:v>
      </x:c>
    </x:row>
    <x:row r="56" ht="38" customHeight="1">
      <x:c r="A56" s="7" t="s">
        <x:v>1089</x:v>
      </x:c>
      <x:c r="B56" s="7" t="s">
        <x:v>750</x:v>
      </x:c>
      <x:c r="C56" s="7" t="s">
        <x:v>79</x:v>
      </x:c>
      <x:c r="D56" s="7" t="s">
        <x:v>1090</x:v>
      </x:c>
      <x:c r="E56" s="7" t="s">
        <x:v>1091</x:v>
      </x:c>
      <x:c r="F56" s="7" t="s">
        <x:v>1092</x:v>
      </x:c>
      <x:c r="G56" s="7">
        <x:v>29</x:v>
      </x:c>
      <x:c r="H56" s="7" t="s">
        <x:v>1093</x:v>
      </x:c>
      <x:c r="I56" s="7" t="s">
        <x:v>1094</x:v>
      </x:c>
      <x:c r="J56" s="6">
        <x:v>91</x:v>
      </x:c>
      <x:c r="K56" s="6">
        <x:v>90</x:v>
      </x:c>
      <x:c r="L56" s="6">
        <x:v>92</x:v>
      </x:c>
      <x:c r="M56" s="6">
        <x:v>89</x:v>
      </x:c>
      <x:c r="N56" s="6">
        <x:v>92</x:v>
      </x:c>
      <x:c r="O56" s="6">
        <x:v>86</x:v>
      </x:c>
      <x:c r="P56" s="6">
        <x:v>12</x:v>
      </x:c>
      <x:c r="Q56" s="6">
        <x:v>5</x:v>
      </x:c>
      <x:c r="R56" s="6">
        <x:v>90.25</x:v>
      </x:c>
      <x:c r="S56" s="6">
        <x:v>90.1</x:v>
      </x:c>
      <x:c r="T56" s="6">
        <x:v>90.175</x:v>
      </x:c>
      <x:c r="U56" s="7" t="s">
        <x:v>33</x:v>
      </x:c>
      <x:c r="V56" s="7" t="s">
        <x:v>756</x:v>
      </x:c>
      <x:c r="W56" s="7" t="s">
        <x:v>346</x:v>
      </x:c>
      <x:c r="X56" s="7" t="s">
        <x:v>757</x:v>
      </x:c>
      <x:c r="Y56" s="7" t="s">
        <x:v>758</x:v>
      </x:c>
    </x:row>
    <x:row r="57" ht="38" customHeight="1">
      <x:c r="A57" s="7" t="s">
        <x:v>1095</x:v>
      </x:c>
      <x:c r="B57" s="7" t="s">
        <x:v>750</x:v>
      </x:c>
      <x:c r="C57" s="7" t="s">
        <x:v>670</x:v>
      </x:c>
      <x:c r="D57" s="7" t="s">
        <x:v>1096</x:v>
      </x:c>
      <x:c r="E57" s="7" t="s">
        <x:v>1097</x:v>
      </x:c>
      <x:c r="F57" s="7" t="s">
        <x:v>1098</x:v>
      </x:c>
      <x:c r="G57" s="7">
        <x:v>32</x:v>
      </x:c>
      <x:c r="H57" s="7" t="s">
        <x:v>1099</x:v>
      </x:c>
      <x:c r="I57" s="7" t="s">
        <x:v>1100</x:v>
      </x:c>
      <x:c r="J57" s="6">
        <x:v>91</x:v>
      </x:c>
      <x:c r="K57" s="6">
        <x:v>90</x:v>
      </x:c>
      <x:c r="L57" s="6">
        <x:v>92</x:v>
      </x:c>
      <x:c r="M57" s="6">
        <x:v>89</x:v>
      </x:c>
      <x:c r="N57" s="6">
        <x:v>92</x:v>
      </x:c>
      <x:c r="O57" s="6">
        <x:v>86</x:v>
      </x:c>
      <x:c r="P57" s="6">
        <x:v>12</x:v>
      </x:c>
      <x:c r="Q57" s="6">
        <x:v>5</x:v>
      </x:c>
      <x:c r="R57" s="6">
        <x:v>90.25</x:v>
      </x:c>
      <x:c r="S57" s="6">
        <x:v>90.1</x:v>
      </x:c>
      <x:c r="T57" s="6">
        <x:v>90.175</x:v>
      </x:c>
      <x:c r="U57" s="7" t="s">
        <x:v>33</x:v>
      </x:c>
      <x:c r="V57" s="7" t="s">
        <x:v>756</x:v>
      </x:c>
      <x:c r="W57" s="7" t="s">
        <x:v>346</x:v>
      </x:c>
      <x:c r="X57" s="7" t="s">
        <x:v>757</x:v>
      </x:c>
      <x:c r="Y57" s="7" t="s">
        <x:v>758</x:v>
      </x:c>
    </x:row>
    <x:row r="58" ht="38" customHeight="1">
      <x:c r="A58" s="7" t="s">
        <x:v>1101</x:v>
      </x:c>
      <x:c r="B58" s="7" t="s">
        <x:v>750</x:v>
      </x:c>
      <x:c r="C58" s="7" t="s">
        <x:v>27</x:v>
      </x:c>
      <x:c r="D58" s="7" t="s">
        <x:v>1102</x:v>
      </x:c>
      <x:c r="E58" s="7" t="s">
        <x:v>1103</x:v>
      </x:c>
      <x:c r="F58" s="7" t="s">
        <x:v>1104</x:v>
      </x:c>
      <x:c r="G58" s="7">
        <x:v>33</x:v>
      </x:c>
      <x:c r="H58" s="7" t="s">
        <x:v>1105</x:v>
      </x:c>
      <x:c r="I58" s="7" t="s">
        <x:v>1106</x:v>
      </x:c>
      <x:c r="J58" s="6">
        <x:v>91</x:v>
      </x:c>
      <x:c r="K58" s="6">
        <x:v>90</x:v>
      </x:c>
      <x:c r="L58" s="6">
        <x:v>92</x:v>
      </x:c>
      <x:c r="M58" s="6">
        <x:v>89</x:v>
      </x:c>
      <x:c r="N58" s="6">
        <x:v>92</x:v>
      </x:c>
      <x:c r="O58" s="6">
        <x:v>86</x:v>
      </x:c>
      <x:c r="P58" s="6">
        <x:v>12</x:v>
      </x:c>
      <x:c r="Q58" s="6">
        <x:v>5</x:v>
      </x:c>
      <x:c r="R58" s="6">
        <x:v>90.25</x:v>
      </x:c>
      <x:c r="S58" s="6">
        <x:v>90.1</x:v>
      </x:c>
      <x:c r="T58" s="6">
        <x:v>90.175</x:v>
      </x:c>
      <x:c r="U58" s="7" t="s">
        <x:v>33</x:v>
      </x:c>
      <x:c r="V58" s="7" t="s">
        <x:v>756</x:v>
      </x:c>
      <x:c r="W58" s="7" t="s">
        <x:v>346</x:v>
      </x:c>
      <x:c r="X58" s="7" t="s">
        <x:v>757</x:v>
      </x:c>
      <x:c r="Y58" s="7" t="s">
        <x:v>758</x:v>
      </x:c>
    </x:row>
    <x:row r="59" ht="38" customHeight="1">
      <x:c r="A59" s="7" t="s">
        <x:v>1107</x:v>
      </x:c>
      <x:c r="B59" s="7" t="s">
        <x:v>750</x:v>
      </x:c>
      <x:c r="C59" s="7" t="s">
        <x:v>79</x:v>
      </x:c>
      <x:c r="D59" s="7" t="s">
        <x:v>1108</x:v>
      </x:c>
      <x:c r="E59" s="7" t="s">
        <x:v>1109</x:v>
      </x:c>
      <x:c r="F59" s="7" t="s">
        <x:v>1110</x:v>
      </x:c>
      <x:c r="G59" s="7">
        <x:v>42</x:v>
      </x:c>
      <x:c r="H59" s="7" t="s">
        <x:v>1111</x:v>
      </x:c>
      <x:c r="I59" s="7" t="s">
        <x:v>1112</x:v>
      </x:c>
      <x:c r="J59" s="6">
        <x:v>91</x:v>
      </x:c>
      <x:c r="K59" s="6">
        <x:v>90</x:v>
      </x:c>
      <x:c r="L59" s="6">
        <x:v>92</x:v>
      </x:c>
      <x:c r="M59" s="6">
        <x:v>89</x:v>
      </x:c>
      <x:c r="N59" s="6">
        <x:v>92</x:v>
      </x:c>
      <x:c r="O59" s="6">
        <x:v>86</x:v>
      </x:c>
      <x:c r="P59" s="6">
        <x:v>12</x:v>
      </x:c>
      <x:c r="Q59" s="6">
        <x:v>5</x:v>
      </x:c>
      <x:c r="R59" s="6">
        <x:v>90.25</x:v>
      </x:c>
      <x:c r="S59" s="6">
        <x:v>90.1</x:v>
      </x:c>
      <x:c r="T59" s="6">
        <x:v>90.175</x:v>
      </x:c>
      <x:c r="U59" s="7" t="s">
        <x:v>33</x:v>
      </x:c>
      <x:c r="V59" s="7" t="s">
        <x:v>756</x:v>
      </x:c>
      <x:c r="W59" s="7" t="s">
        <x:v>346</x:v>
      </x:c>
      <x:c r="X59" s="7" t="s">
        <x:v>757</x:v>
      </x:c>
      <x:c r="Y59" s="7" t="s">
        <x:v>758</x:v>
      </x:c>
    </x:row>
    <x:row r="60" ht="38" customHeight="1">
      <x:c r="A60" s="7" t="s">
        <x:v>1113</x:v>
      </x:c>
      <x:c r="B60" s="7" t="s">
        <x:v>750</x:v>
      </x:c>
      <x:c r="C60" s="7" t="s">
        <x:v>27</x:v>
      </x:c>
      <x:c r="D60" s="7" t="s">
        <x:v>1114</x:v>
      </x:c>
      <x:c r="E60" s="7" t="s">
        <x:v>1115</x:v>
      </x:c>
      <x:c r="F60" s="7" t="s">
        <x:v>1116</x:v>
      </x:c>
      <x:c r="G60" s="7" t="s">
        <x:v>75</x:v>
      </x:c>
      <x:c r="H60" s="7" t="s">
        <x:v>1117</x:v>
      </x:c>
      <x:c r="I60" s="7" t="s">
        <x:v>1118</x:v>
      </x:c>
      <x:c r="J60" s="6">
        <x:v>91</x:v>
      </x:c>
      <x:c r="K60" s="6">
        <x:v>90</x:v>
      </x:c>
      <x:c r="L60" s="6">
        <x:v>92</x:v>
      </x:c>
      <x:c r="M60" s="6">
        <x:v>89</x:v>
      </x:c>
      <x:c r="N60" s="6">
        <x:v>92</x:v>
      </x:c>
      <x:c r="O60" s="6">
        <x:v>86</x:v>
      </x:c>
      <x:c r="P60" s="6">
        <x:v>12</x:v>
      </x:c>
      <x:c r="Q60" s="6">
        <x:v>5</x:v>
      </x:c>
      <x:c r="R60" s="6">
        <x:v>90.25</x:v>
      </x:c>
      <x:c r="S60" s="6">
        <x:v>90.1</x:v>
      </x:c>
      <x:c r="T60" s="6">
        <x:v>90.175</x:v>
      </x:c>
      <x:c r="U60" s="7" t="s">
        <x:v>33</x:v>
      </x:c>
      <x:c r="V60" s="7" t="s">
        <x:v>756</x:v>
      </x:c>
      <x:c r="W60" s="7" t="s">
        <x:v>346</x:v>
      </x:c>
      <x:c r="X60" s="7" t="s">
        <x:v>757</x:v>
      </x:c>
      <x:c r="Y60" s="7" t="s">
        <x:v>758</x:v>
      </x:c>
    </x:row>
    <x:row r="61" ht="38" customHeight="1">
      <x:c r="A61" s="7" t="s">
        <x:v>1119</x:v>
      </x:c>
      <x:c r="B61" s="7" t="s">
        <x:v>750</x:v>
      </x:c>
      <x:c r="C61" s="7" t="s">
        <x:v>79</x:v>
      </x:c>
      <x:c r="D61" s="7" t="s">
        <x:v>1120</x:v>
      </x:c>
      <x:c r="E61" s="7" t="s">
        <x:v>1121</x:v>
      </x:c>
      <x:c r="F61" s="7" t="s">
        <x:v>1122</x:v>
      </x:c>
      <x:c r="G61" s="7">
        <x:v>32</x:v>
      </x:c>
      <x:c r="H61" s="7" t="s">
        <x:v>1123</x:v>
      </x:c>
      <x:c r="I61" s="7" t="s">
        <x:v>1124</x:v>
      </x:c>
      <x:c r="J61" s="6">
        <x:v>91</x:v>
      </x:c>
      <x:c r="K61" s="6">
        <x:v>90</x:v>
      </x:c>
      <x:c r="L61" s="6">
        <x:v>92</x:v>
      </x:c>
      <x:c r="M61" s="6">
        <x:v>89</x:v>
      </x:c>
      <x:c r="N61" s="6">
        <x:v>92</x:v>
      </x:c>
      <x:c r="O61" s="6">
        <x:v>86</x:v>
      </x:c>
      <x:c r="P61" s="6">
        <x:v>12</x:v>
      </x:c>
      <x:c r="Q61" s="6">
        <x:v>5</x:v>
      </x:c>
      <x:c r="R61" s="6">
        <x:v>90.25</x:v>
      </x:c>
      <x:c r="S61" s="6">
        <x:v>90.1</x:v>
      </x:c>
      <x:c r="T61" s="6">
        <x:v>90.175</x:v>
      </x:c>
      <x:c r="U61" s="7" t="s">
        <x:v>33</x:v>
      </x:c>
      <x:c r="V61" s="7" t="s">
        <x:v>756</x:v>
      </x:c>
      <x:c r="W61" s="7" t="s">
        <x:v>346</x:v>
      </x:c>
      <x:c r="X61" s="7" t="s">
        <x:v>757</x:v>
      </x:c>
      <x:c r="Y61" s="7" t="s">
        <x:v>758</x:v>
      </x:c>
    </x:row>
    <x:row r="62" ht="38" customHeight="1">
      <x:c r="A62" s="7" t="s">
        <x:v>1125</x:v>
      </x:c>
      <x:c r="B62" s="7" t="s">
        <x:v>750</x:v>
      </x:c>
      <x:c r="C62" s="7" t="s">
        <x:v>1126</x:v>
      </x:c>
      <x:c r="D62" s="7" t="s">
        <x:v>1127</x:v>
      </x:c>
      <x:c r="E62" s="7" t="s">
        <x:v>1128</x:v>
      </x:c>
      <x:c r="F62" s="7" t="s">
        <x:v>1129</x:v>
      </x:c>
      <x:c r="G62" s="7" t="s">
        <x:v>75</x:v>
      </x:c>
      <x:c r="H62" s="7" t="s">
        <x:v>1130</x:v>
      </x:c>
      <x:c r="I62" s="7" t="s">
        <x:v>1131</x:v>
      </x:c>
      <x:c r="J62" s="6">
        <x:v>91</x:v>
      </x:c>
      <x:c r="K62" s="6">
        <x:v>90</x:v>
      </x:c>
      <x:c r="L62" s="6">
        <x:v>92</x:v>
      </x:c>
      <x:c r="M62" s="6">
        <x:v>89</x:v>
      </x:c>
      <x:c r="N62" s="6">
        <x:v>92</x:v>
      </x:c>
      <x:c r="O62" s="6">
        <x:v>86</x:v>
      </x:c>
      <x:c r="P62" s="6">
        <x:v>12</x:v>
      </x:c>
      <x:c r="Q62" s="6">
        <x:v>5</x:v>
      </x:c>
      <x:c r="R62" s="6">
        <x:v>90.25</x:v>
      </x:c>
      <x:c r="S62" s="6">
        <x:v>90.1</x:v>
      </x:c>
      <x:c r="T62" s="6">
        <x:v>90.175</x:v>
      </x:c>
      <x:c r="U62" s="7" t="s">
        <x:v>33</x:v>
      </x:c>
      <x:c r="V62" s="7" t="s">
        <x:v>756</x:v>
      </x:c>
      <x:c r="W62" s="7" t="s">
        <x:v>346</x:v>
      </x:c>
      <x:c r="X62" s="7" t="s">
        <x:v>757</x:v>
      </x:c>
      <x:c r="Y62" s="7" t="s">
        <x:v>758</x:v>
      </x:c>
    </x:row>
    <x:row r="63" ht="38" customHeight="1">
      <x:c r="A63" s="7" t="s">
        <x:v>1132</x:v>
      </x:c>
      <x:c r="B63" s="7" t="s">
        <x:v>750</x:v>
      </x:c>
      <x:c r="C63" s="7" t="s">
        <x:v>79</x:v>
      </x:c>
      <x:c r="D63" s="7" t="s">
        <x:v>1133</x:v>
      </x:c>
      <x:c r="E63" s="7" t="s">
        <x:v>1134</x:v>
      </x:c>
      <x:c r="F63" s="7" t="s">
        <x:v>1135</x:v>
      </x:c>
      <x:c r="G63" s="7" t="s">
        <x:v>75</x:v>
      </x:c>
      <x:c r="H63" s="7" t="s">
        <x:v>1136</x:v>
      </x:c>
      <x:c r="I63" s="7" t="s">
        <x:v>1137</x:v>
      </x:c>
      <x:c r="J63" s="6">
        <x:v>91</x:v>
      </x:c>
      <x:c r="K63" s="6">
        <x:v>90</x:v>
      </x:c>
      <x:c r="L63" s="6">
        <x:v>92</x:v>
      </x:c>
      <x:c r="M63" s="6">
        <x:v>89</x:v>
      </x:c>
      <x:c r="N63" s="6">
        <x:v>92</x:v>
      </x:c>
      <x:c r="O63" s="6">
        <x:v>86</x:v>
      </x:c>
      <x:c r="P63" s="6">
        <x:v>12</x:v>
      </x:c>
      <x:c r="Q63" s="6">
        <x:v>5</x:v>
      </x:c>
      <x:c r="R63" s="6">
        <x:v>90.25</x:v>
      </x:c>
      <x:c r="S63" s="6">
        <x:v>90.1</x:v>
      </x:c>
      <x:c r="T63" s="6">
        <x:v>90.175</x:v>
      </x:c>
      <x:c r="U63" s="7" t="s">
        <x:v>33</x:v>
      </x:c>
      <x:c r="V63" s="7" t="s">
        <x:v>756</x:v>
      </x:c>
      <x:c r="W63" s="7" t="s">
        <x:v>346</x:v>
      </x:c>
      <x:c r="X63" s="7" t="s">
        <x:v>757</x:v>
      </x:c>
      <x:c r="Y63" s="7" t="s">
        <x:v>758</x:v>
      </x:c>
    </x:row>
    <x:row r="64" ht="38" customHeight="1">
      <x:c r="A64" s="7" t="s">
        <x:v>1138</x:v>
      </x:c>
      <x:c r="B64" s="7" t="s">
        <x:v>750</x:v>
      </x:c>
      <x:c r="C64" s="7" t="s">
        <x:v>1139</x:v>
      </x:c>
      <x:c r="D64" s="7" t="s">
        <x:v>1140</x:v>
      </x:c>
      <x:c r="E64" s="7" t="s">
        <x:v>1141</x:v>
      </x:c>
      <x:c r="F64" s="7" t="s">
        <x:v>1142</x:v>
      </x:c>
      <x:c r="G64" s="7">
        <x:v>31</x:v>
      </x:c>
      <x:c r="H64" s="7" t="s">
        <x:v>1143</x:v>
      </x:c>
      <x:c r="I64" s="7" t="s">
        <x:v>1144</x:v>
      </x:c>
      <x:c r="J64" s="6">
        <x:v>90</x:v>
      </x:c>
      <x:c r="K64" s="6">
        <x:v>92</x:v>
      </x:c>
      <x:c r="L64" s="6">
        <x:v>90</x:v>
      </x:c>
      <x:c r="M64" s="6">
        <x:v>93</x:v>
      </x:c>
      <x:c r="N64" s="6">
        <x:v>90</x:v>
      </x:c>
      <x:c r="O64" s="6">
        <x:v>82</x:v>
      </x:c>
      <x:c r="P64" s="6">
        <x:v>12</x:v>
      </x:c>
      <x:c r="Q64" s="6">
        <x:v>8</x:v>
      </x:c>
      <x:c r="R64" s="6">
        <x:v>90.05</x:v>
      </x:c>
      <x:c r="S64" s="6">
        <x:v>88.9</x:v>
      </x:c>
      <x:c r="T64" s="6">
        <x:v>89.475</x:v>
      </x:c>
      <x:c r="U64" s="7" t="s">
        <x:v>33</x:v>
      </x:c>
      <x:c r="V64" s="7" t="s">
        <x:v>773</x:v>
      </x:c>
      <x:c r="W64" s="7" t="s">
        <x:v>346</x:v>
      </x:c>
      <x:c r="X64" s="7" t="s">
        <x:v>774</x:v>
      </x:c>
      <x:c r="Y64" s="7" t="s">
        <x:v>775</x:v>
      </x:c>
    </x:row>
    <x:row r="65" ht="38" customHeight="1">
      <x:c r="A65" s="7" t="s">
        <x:v>1145</x:v>
      </x:c>
      <x:c r="B65" s="7" t="s">
        <x:v>750</x:v>
      </x:c>
      <x:c r="C65" s="7" t="s">
        <x:v>1146</x:v>
      </x:c>
      <x:c r="D65" s="7" t="s">
        <x:v>1147</x:v>
      </x:c>
      <x:c r="E65" s="7" t="s">
        <x:v>1148</x:v>
      </x:c>
      <x:c r="F65" s="7" t="s">
        <x:v>1149</x:v>
      </x:c>
      <x:c r="G65" s="7">
        <x:v>52</x:v>
      </x:c>
      <x:c r="H65" s="7" t="s">
        <x:v>1150</x:v>
      </x:c>
      <x:c r="I65" s="7" t="s">
        <x:v>1151</x:v>
      </x:c>
      <x:c r="J65" s="6">
        <x:v>89</x:v>
      </x:c>
      <x:c r="K65" s="6">
        <x:v>91</x:v>
      </x:c>
      <x:c r="L65" s="6">
        <x:v>91</x:v>
      </x:c>
      <x:c r="M65" s="6">
        <x:v>89</x:v>
      </x:c>
      <x:c r="N65" s="6">
        <x:v>91</x:v>
      </x:c>
      <x:c r="O65" s="6">
        <x:v>84</x:v>
      </x:c>
      <x:c r="P65" s="6">
        <x:v>12</x:v>
      </x:c>
      <x:c r="Q65" s="6">
        <x:v>7</x:v>
      </x:c>
      <x:c r="R65" s="6">
        <x:v>89.4</x:v>
      </x:c>
      <x:c r="S65" s="6">
        <x:v>89.5</x:v>
      </x:c>
      <x:c r="T65" s="6">
        <x:v>89.45</x:v>
      </x:c>
      <x:c r="U65" s="7" t="s">
        <x:v>33</x:v>
      </x:c>
      <x:c r="V65" s="7" t="s">
        <x:v>773</x:v>
      </x:c>
      <x:c r="W65" s="7" t="s">
        <x:v>346</x:v>
      </x:c>
      <x:c r="X65" s="7" t="s">
        <x:v>774</x:v>
      </x:c>
      <x:c r="Y65" s="7" t="s">
        <x:v>775</x:v>
      </x:c>
    </x:row>
    <x:row r="66" ht="38" customHeight="1">
      <x:c r="A66" s="7" t="s">
        <x:v>1152</x:v>
      </x:c>
      <x:c r="B66" s="7" t="s">
        <x:v>750</x:v>
      </x:c>
      <x:c r="C66" s="7" t="s">
        <x:v>27</x:v>
      </x:c>
      <x:c r="D66" s="7" t="s">
        <x:v>1153</x:v>
      </x:c>
      <x:c r="E66" s="7" t="s">
        <x:v>1154</x:v>
      </x:c>
      <x:c r="F66" s="7" t="s">
        <x:v>1155</x:v>
      </x:c>
      <x:c r="G66" s="7" t="s">
        <x:v>75</x:v>
      </x:c>
      <x:c r="H66" s="7" t="s">
        <x:v>1156</x:v>
      </x:c>
      <x:c r="I66" s="7" t="s">
        <x:v>1157</x:v>
      </x:c>
      <x:c r="J66" s="6">
        <x:v>90</x:v>
      </x:c>
      <x:c r="K66" s="6">
        <x:v>89</x:v>
      </x:c>
      <x:c r="L66" s="6">
        <x:v>91</x:v>
      </x:c>
      <x:c r="M66" s="6">
        <x:v>88</x:v>
      </x:c>
      <x:c r="N66" s="6">
        <x:v>91</x:v>
      </x:c>
      <x:c r="O66" s="6">
        <x:v>85</x:v>
      </x:c>
      <x:c r="P66" s="6">
        <x:v>13</x:v>
      </x:c>
      <x:c r="Q66" s="6">
        <x:v>6</x:v>
      </x:c>
      <x:c r="R66" s="6">
        <x:v>89.25</x:v>
      </x:c>
      <x:c r="S66" s="6">
        <x:v>89.1</x:v>
      </x:c>
      <x:c r="T66" s="6">
        <x:v>89.175</x:v>
      </x:c>
      <x:c r="U66" s="7" t="s">
        <x:v>33</x:v>
      </x:c>
      <x:c r="V66" s="7" t="s">
        <x:v>756</x:v>
      </x:c>
      <x:c r="W66" s="7" t="s">
        <x:v>346</x:v>
      </x:c>
      <x:c r="X66" s="7" t="s">
        <x:v>757</x:v>
      </x:c>
      <x:c r="Y66" s="7" t="s">
        <x:v>758</x:v>
      </x:c>
    </x:row>
    <x:row r="67" ht="38" customHeight="1">
      <x:c r="A67" s="7" t="s">
        <x:v>1158</x:v>
      </x:c>
      <x:c r="B67" s="7" t="s">
        <x:v>750</x:v>
      </x:c>
      <x:c r="C67" s="7" t="s">
        <x:v>79</x:v>
      </x:c>
      <x:c r="D67" s="7" t="s">
        <x:v>1159</x:v>
      </x:c>
      <x:c r="E67" s="7" t="s">
        <x:v>1160</x:v>
      </x:c>
      <x:c r="F67" s="7" t="s">
        <x:v>1161</x:v>
      </x:c>
      <x:c r="G67" s="7" t="s">
        <x:v>75</x:v>
      </x:c>
      <x:c r="H67" s="7" t="s">
        <x:v>1162</x:v>
      </x:c>
      <x:c r="I67" s="7" t="s">
        <x:v>1163</x:v>
      </x:c>
      <x:c r="J67" s="6">
        <x:v>90</x:v>
      </x:c>
      <x:c r="K67" s="6">
        <x:v>89</x:v>
      </x:c>
      <x:c r="L67" s="6">
        <x:v>91</x:v>
      </x:c>
      <x:c r="M67" s="6">
        <x:v>88</x:v>
      </x:c>
      <x:c r="N67" s="6">
        <x:v>91</x:v>
      </x:c>
      <x:c r="O67" s="6">
        <x:v>85</x:v>
      </x:c>
      <x:c r="P67" s="6">
        <x:v>13</x:v>
      </x:c>
      <x:c r="Q67" s="6">
        <x:v>6</x:v>
      </x:c>
      <x:c r="R67" s="6">
        <x:v>89.25</x:v>
      </x:c>
      <x:c r="S67" s="6">
        <x:v>89.1</x:v>
      </x:c>
      <x:c r="T67" s="6">
        <x:v>89.175</x:v>
      </x:c>
      <x:c r="U67" s="7" t="s">
        <x:v>33</x:v>
      </x:c>
      <x:c r="V67" s="7" t="s">
        <x:v>756</x:v>
      </x:c>
      <x:c r="W67" s="7" t="s">
        <x:v>346</x:v>
      </x:c>
      <x:c r="X67" s="7" t="s">
        <x:v>757</x:v>
      </x:c>
      <x:c r="Y67" s="7" t="s">
        <x:v>758</x:v>
      </x:c>
    </x:row>
    <x:row r="68" ht="38" customHeight="1">
      <x:c r="A68" s="7" t="s">
        <x:v>1164</x:v>
      </x:c>
      <x:c r="B68" s="7" t="s">
        <x:v>750</x:v>
      </x:c>
      <x:c r="C68" s="7" t="s">
        <x:v>79</x:v>
      </x:c>
      <x:c r="D68" s="7" t="s">
        <x:v>1165</x:v>
      </x:c>
      <x:c r="E68" s="7" t="s">
        <x:v>1166</x:v>
      </x:c>
      <x:c r="F68" s="7" t="s">
        <x:v>1167</x:v>
      </x:c>
      <x:c r="G68" s="7" t="s">
        <x:v>75</x:v>
      </x:c>
      <x:c r="H68" s="7" t="s">
        <x:v>1168</x:v>
      </x:c>
      <x:c r="I68" s="7" t="s">
        <x:v>1169</x:v>
      </x:c>
      <x:c r="J68" s="6">
        <x:v>90</x:v>
      </x:c>
      <x:c r="K68" s="6">
        <x:v>89</x:v>
      </x:c>
      <x:c r="L68" s="6">
        <x:v>91</x:v>
      </x:c>
      <x:c r="M68" s="6">
        <x:v>88</x:v>
      </x:c>
      <x:c r="N68" s="6">
        <x:v>91</x:v>
      </x:c>
      <x:c r="O68" s="6">
        <x:v>85</x:v>
      </x:c>
      <x:c r="P68" s="6">
        <x:v>13</x:v>
      </x:c>
      <x:c r="Q68" s="6">
        <x:v>6</x:v>
      </x:c>
      <x:c r="R68" s="6">
        <x:v>89.25</x:v>
      </x:c>
      <x:c r="S68" s="6">
        <x:v>89.1</x:v>
      </x:c>
      <x:c r="T68" s="6">
        <x:v>89.175</x:v>
      </x:c>
      <x:c r="U68" s="7" t="s">
        <x:v>33</x:v>
      </x:c>
      <x:c r="V68" s="7" t="s">
        <x:v>756</x:v>
      </x:c>
      <x:c r="W68" s="7" t="s">
        <x:v>346</x:v>
      </x:c>
      <x:c r="X68" s="7" t="s">
        <x:v>757</x:v>
      </x:c>
      <x:c r="Y68" s="7" t="s">
        <x:v>758</x:v>
      </x:c>
    </x:row>
    <x:row r="69" ht="38" customHeight="1">
      <x:c r="A69" s="7" t="s">
        <x:v>1170</x:v>
      </x:c>
      <x:c r="B69" s="7" t="s">
        <x:v>750</x:v>
      </x:c>
      <x:c r="C69" s="7" t="s">
        <x:v>79</x:v>
      </x:c>
      <x:c r="D69" s="7" t="s">
        <x:v>1171</x:v>
      </x:c>
      <x:c r="E69" s="7" t="s">
        <x:v>1172</x:v>
      </x:c>
      <x:c r="F69" s="7" t="s">
        <x:v>1173</x:v>
      </x:c>
      <x:c r="G69" s="7">
        <x:v>32</x:v>
      </x:c>
      <x:c r="H69" s="7" t="s">
        <x:v>1174</x:v>
      </x:c>
      <x:c r="I69" s="7" t="s">
        <x:v>1175</x:v>
      </x:c>
      <x:c r="J69" s="6">
        <x:v>90</x:v>
      </x:c>
      <x:c r="K69" s="6">
        <x:v>89</x:v>
      </x:c>
      <x:c r="L69" s="6">
        <x:v>91</x:v>
      </x:c>
      <x:c r="M69" s="6">
        <x:v>88</x:v>
      </x:c>
      <x:c r="N69" s="6">
        <x:v>91</x:v>
      </x:c>
      <x:c r="O69" s="6">
        <x:v>85</x:v>
      </x:c>
      <x:c r="P69" s="6">
        <x:v>13</x:v>
      </x:c>
      <x:c r="Q69" s="6">
        <x:v>6</x:v>
      </x:c>
      <x:c r="R69" s="6">
        <x:v>89.25</x:v>
      </x:c>
      <x:c r="S69" s="6">
        <x:v>89.1</x:v>
      </x:c>
      <x:c r="T69" s="6">
        <x:v>89.175</x:v>
      </x:c>
      <x:c r="U69" s="7" t="s">
        <x:v>33</x:v>
      </x:c>
      <x:c r="V69" s="7" t="s">
        <x:v>756</x:v>
      </x:c>
      <x:c r="W69" s="7" t="s">
        <x:v>346</x:v>
      </x:c>
      <x:c r="X69" s="7" t="s">
        <x:v>757</x:v>
      </x:c>
      <x:c r="Y69" s="7" t="s">
        <x:v>758</x:v>
      </x:c>
    </x:row>
    <x:row r="70" ht="38" customHeight="1">
      <x:c r="A70" s="7" t="s">
        <x:v>1176</x:v>
      </x:c>
      <x:c r="B70" s="7" t="s">
        <x:v>750</x:v>
      </x:c>
      <x:c r="C70" s="7" t="s">
        <x:v>1177</x:v>
      </x:c>
      <x:c r="D70" s="7" t="s">
        <x:v>1178</x:v>
      </x:c>
      <x:c r="E70" s="7" t="s">
        <x:v>1179</x:v>
      </x:c>
      <x:c r="F70" s="7" t="s">
        <x:v>1180</x:v>
      </x:c>
      <x:c r="G70" s="7">
        <x:v>34</x:v>
      </x:c>
      <x:c r="H70" s="7" t="s">
        <x:v>1181</x:v>
      </x:c>
      <x:c r="I70" s="7" t="s">
        <x:v>1182</x:v>
      </x:c>
      <x:c r="J70" s="6">
        <x:v>90</x:v>
      </x:c>
      <x:c r="K70" s="6">
        <x:v>89</x:v>
      </x:c>
      <x:c r="L70" s="6">
        <x:v>91</x:v>
      </x:c>
      <x:c r="M70" s="6">
        <x:v>88</x:v>
      </x:c>
      <x:c r="N70" s="6">
        <x:v>91</x:v>
      </x:c>
      <x:c r="O70" s="6">
        <x:v>85</x:v>
      </x:c>
      <x:c r="P70" s="6">
        <x:v>13</x:v>
      </x:c>
      <x:c r="Q70" s="6">
        <x:v>6</x:v>
      </x:c>
      <x:c r="R70" s="6">
        <x:v>89.25</x:v>
      </x:c>
      <x:c r="S70" s="6">
        <x:v>89.1</x:v>
      </x:c>
      <x:c r="T70" s="6">
        <x:v>89.175</x:v>
      </x:c>
      <x:c r="U70" s="7" t="s">
        <x:v>33</x:v>
      </x:c>
      <x:c r="V70" s="7" t="s">
        <x:v>756</x:v>
      </x:c>
      <x:c r="W70" s="7" t="s">
        <x:v>346</x:v>
      </x:c>
      <x:c r="X70" s="7" t="s">
        <x:v>757</x:v>
      </x:c>
      <x:c r="Y70" s="7" t="s">
        <x:v>758</x:v>
      </x:c>
    </x:row>
    <x:row r="71" ht="38" customHeight="1">
      <x:c r="A71" s="7" t="s">
        <x:v>1183</x:v>
      </x:c>
      <x:c r="B71" s="7" t="s">
        <x:v>750</x:v>
      </x:c>
      <x:c r="C71" s="7" t="s">
        <x:v>79</x:v>
      </x:c>
      <x:c r="D71" s="7" t="s">
        <x:v>1184</x:v>
      </x:c>
      <x:c r="E71" s="7" t="s">
        <x:v>1185</x:v>
      </x:c>
      <x:c r="F71" s="7" t="s">
        <x:v>1186</x:v>
      </x:c>
      <x:c r="G71" s="7">
        <x:v>33</x:v>
      </x:c>
      <x:c r="H71" s="7" t="s">
        <x:v>1187</x:v>
      </x:c>
      <x:c r="I71" s="7" t="s">
        <x:v>1188</x:v>
      </x:c>
      <x:c r="J71" s="6">
        <x:v>90</x:v>
      </x:c>
      <x:c r="K71" s="6">
        <x:v>89</x:v>
      </x:c>
      <x:c r="L71" s="6">
        <x:v>91</x:v>
      </x:c>
      <x:c r="M71" s="6">
        <x:v>88</x:v>
      </x:c>
      <x:c r="N71" s="6">
        <x:v>91</x:v>
      </x:c>
      <x:c r="O71" s="6">
        <x:v>85</x:v>
      </x:c>
      <x:c r="P71" s="6">
        <x:v>13</x:v>
      </x:c>
      <x:c r="Q71" s="6">
        <x:v>6</x:v>
      </x:c>
      <x:c r="R71" s="6">
        <x:v>89.25</x:v>
      </x:c>
      <x:c r="S71" s="6">
        <x:v>89.1</x:v>
      </x:c>
      <x:c r="T71" s="6">
        <x:v>89.175</x:v>
      </x:c>
      <x:c r="U71" s="7" t="s">
        <x:v>33</x:v>
      </x:c>
      <x:c r="V71" s="7" t="s">
        <x:v>756</x:v>
      </x:c>
      <x:c r="W71" s="7" t="s">
        <x:v>346</x:v>
      </x:c>
      <x:c r="X71" s="7" t="s">
        <x:v>757</x:v>
      </x:c>
      <x:c r="Y71" s="7" t="s">
        <x:v>758</x:v>
      </x:c>
    </x:row>
    <x:row r="72" ht="38" customHeight="1">
      <x:c r="A72" s="7" t="s">
        <x:v>1189</x:v>
      </x:c>
      <x:c r="B72" s="7" t="s">
        <x:v>750</x:v>
      </x:c>
      <x:c r="C72" s="7" t="s">
        <x:v>27</x:v>
      </x:c>
      <x:c r="D72" s="7" t="s">
        <x:v>355</x:v>
      </x:c>
      <x:c r="E72" s="7" t="s">
        <x:v>1190</x:v>
      </x:c>
      <x:c r="F72" s="7" t="s">
        <x:v>1191</x:v>
      </x:c>
      <x:c r="G72" s="7">
        <x:v>40</x:v>
      </x:c>
      <x:c r="H72" s="7" t="s">
        <x:v>1192</x:v>
      </x:c>
      <x:c r="I72" s="7" t="s">
        <x:v>1193</x:v>
      </x:c>
      <x:c r="J72" s="6">
        <x:v>90</x:v>
      </x:c>
      <x:c r="K72" s="6">
        <x:v>89</x:v>
      </x:c>
      <x:c r="L72" s="6">
        <x:v>91</x:v>
      </x:c>
      <x:c r="M72" s="6">
        <x:v>88</x:v>
      </x:c>
      <x:c r="N72" s="6">
        <x:v>91</x:v>
      </x:c>
      <x:c r="O72" s="6">
        <x:v>85</x:v>
      </x:c>
      <x:c r="P72" s="6">
        <x:v>13</x:v>
      </x:c>
      <x:c r="Q72" s="6">
        <x:v>6</x:v>
      </x:c>
      <x:c r="R72" s="6">
        <x:v>89.25</x:v>
      </x:c>
      <x:c r="S72" s="6">
        <x:v>89.1</x:v>
      </x:c>
      <x:c r="T72" s="6">
        <x:v>89.175</x:v>
      </x:c>
      <x:c r="U72" s="7" t="s">
        <x:v>33</x:v>
      </x:c>
      <x:c r="V72" s="7" t="s">
        <x:v>756</x:v>
      </x:c>
      <x:c r="W72" s="7" t="s">
        <x:v>346</x:v>
      </x:c>
      <x:c r="X72" s="7" t="s">
        <x:v>757</x:v>
      </x:c>
      <x:c r="Y72" s="7" t="s">
        <x:v>758</x:v>
      </x:c>
    </x:row>
    <x:row r="73" ht="38" customHeight="1">
      <x:c r="A73" s="7" t="s">
        <x:v>1194</x:v>
      </x:c>
      <x:c r="B73" s="7" t="s">
        <x:v>750</x:v>
      </x:c>
      <x:c r="C73" s="7" t="s">
        <x:v>27</x:v>
      </x:c>
      <x:c r="D73" s="7" t="s">
        <x:v>1195</x:v>
      </x:c>
      <x:c r="E73" s="7" t="s">
        <x:v>1196</x:v>
      </x:c>
      <x:c r="F73" s="7" t="s">
        <x:v>1197</x:v>
      </x:c>
      <x:c r="G73" s="7">
        <x:v>23</x:v>
      </x:c>
      <x:c r="H73" s="7" t="s">
        <x:v>1198</x:v>
      </x:c>
      <x:c r="I73" s="7" t="s">
        <x:v>1199</x:v>
      </x:c>
      <x:c r="J73" s="6">
        <x:v>90</x:v>
      </x:c>
      <x:c r="K73" s="6">
        <x:v>89</x:v>
      </x:c>
      <x:c r="L73" s="6">
        <x:v>91</x:v>
      </x:c>
      <x:c r="M73" s="6">
        <x:v>88</x:v>
      </x:c>
      <x:c r="N73" s="6">
        <x:v>91</x:v>
      </x:c>
      <x:c r="O73" s="6">
        <x:v>85</x:v>
      </x:c>
      <x:c r="P73" s="6">
        <x:v>13</x:v>
      </x:c>
      <x:c r="Q73" s="6">
        <x:v>6</x:v>
      </x:c>
      <x:c r="R73" s="6">
        <x:v>89.25</x:v>
      </x:c>
      <x:c r="S73" s="6">
        <x:v>89.1</x:v>
      </x:c>
      <x:c r="T73" s="6">
        <x:v>89.175</x:v>
      </x:c>
      <x:c r="U73" s="7" t="s">
        <x:v>33</x:v>
      </x:c>
      <x:c r="V73" s="7" t="s">
        <x:v>756</x:v>
      </x:c>
      <x:c r="W73" s="7" t="s">
        <x:v>346</x:v>
      </x:c>
      <x:c r="X73" s="7" t="s">
        <x:v>757</x:v>
      </x:c>
      <x:c r="Y73" s="7" t="s">
        <x:v>758</x:v>
      </x:c>
    </x:row>
    <x:row r="74" ht="38" customHeight="1">
      <x:c r="A74" s="7" t="s">
        <x:v>1200</x:v>
      </x:c>
      <x:c r="B74" s="7" t="s">
        <x:v>750</x:v>
      </x:c>
      <x:c r="C74" s="7" t="s">
        <x:v>27</x:v>
      </x:c>
      <x:c r="D74" s="7" t="s">
        <x:v>1201</x:v>
      </x:c>
      <x:c r="E74" s="7" t="s">
        <x:v>1202</x:v>
      </x:c>
      <x:c r="F74" s="7" t="s">
        <x:v>1203</x:v>
      </x:c>
      <x:c r="G74" s="7">
        <x:v>52</x:v>
      </x:c>
      <x:c r="H74" s="7" t="s">
        <x:v>1204</x:v>
      </x:c>
      <x:c r="I74" s="7" t="s">
        <x:v>1205</x:v>
      </x:c>
      <x:c r="J74" s="6">
        <x:v>90</x:v>
      </x:c>
      <x:c r="K74" s="6">
        <x:v>89</x:v>
      </x:c>
      <x:c r="L74" s="6">
        <x:v>91</x:v>
      </x:c>
      <x:c r="M74" s="6">
        <x:v>88</x:v>
      </x:c>
      <x:c r="N74" s="6">
        <x:v>91</x:v>
      </x:c>
      <x:c r="O74" s="6">
        <x:v>85</x:v>
      </x:c>
      <x:c r="P74" s="6">
        <x:v>13</x:v>
      </x:c>
      <x:c r="Q74" s="6">
        <x:v>6</x:v>
      </x:c>
      <x:c r="R74" s="6">
        <x:v>89.25</x:v>
      </x:c>
      <x:c r="S74" s="6">
        <x:v>89.1</x:v>
      </x:c>
      <x:c r="T74" s="6">
        <x:v>89.175</x:v>
      </x:c>
      <x:c r="U74" s="7" t="s">
        <x:v>33</x:v>
      </x:c>
      <x:c r="V74" s="7" t="s">
        <x:v>756</x:v>
      </x:c>
      <x:c r="W74" s="7" t="s">
        <x:v>346</x:v>
      </x:c>
      <x:c r="X74" s="7" t="s">
        <x:v>757</x:v>
      </x:c>
      <x:c r="Y74" s="7" t="s">
        <x:v>758</x:v>
      </x:c>
    </x:row>
    <x:row r="75" ht="38" customHeight="1">
      <x:c r="A75" s="7" t="s">
        <x:v>1206</x:v>
      </x:c>
      <x:c r="B75" s="7" t="s">
        <x:v>750</x:v>
      </x:c>
      <x:c r="C75" s="7" t="s">
        <x:v>79</x:v>
      </x:c>
      <x:c r="D75" s="7" t="s">
        <x:v>1207</x:v>
      </x:c>
      <x:c r="E75" s="7" t="s">
        <x:v>1208</x:v>
      </x:c>
      <x:c r="F75" s="7" t="s">
        <x:v>1209</x:v>
      </x:c>
      <x:c r="G75" s="7">
        <x:v>13</x:v>
      </x:c>
      <x:c r="H75" s="7" t="s">
        <x:v>1210</x:v>
      </x:c>
      <x:c r="I75" s="7" t="s">
        <x:v>1211</x:v>
      </x:c>
      <x:c r="J75" s="6">
        <x:v>90</x:v>
      </x:c>
      <x:c r="K75" s="6">
        <x:v>89</x:v>
      </x:c>
      <x:c r="L75" s="6">
        <x:v>91</x:v>
      </x:c>
      <x:c r="M75" s="6">
        <x:v>88</x:v>
      </x:c>
      <x:c r="N75" s="6">
        <x:v>91</x:v>
      </x:c>
      <x:c r="O75" s="6">
        <x:v>85</x:v>
      </x:c>
      <x:c r="P75" s="6">
        <x:v>13</x:v>
      </x:c>
      <x:c r="Q75" s="6">
        <x:v>6</x:v>
      </x:c>
      <x:c r="R75" s="6">
        <x:v>89.25</x:v>
      </x:c>
      <x:c r="S75" s="6">
        <x:v>89.1</x:v>
      </x:c>
      <x:c r="T75" s="6">
        <x:v>89.175</x:v>
      </x:c>
      <x:c r="U75" s="7" t="s">
        <x:v>33</x:v>
      </x:c>
      <x:c r="V75" s="7" t="s">
        <x:v>756</x:v>
      </x:c>
      <x:c r="W75" s="7" t="s">
        <x:v>346</x:v>
      </x:c>
      <x:c r="X75" s="7" t="s">
        <x:v>757</x:v>
      </x:c>
      <x:c r="Y75" s="7" t="s">
        <x:v>758</x:v>
      </x:c>
    </x:row>
    <x:row r="76" ht="38" customHeight="1">
      <x:c r="A76" s="7" t="s">
        <x:v>1212</x:v>
      </x:c>
      <x:c r="B76" s="7" t="s">
        <x:v>750</x:v>
      </x:c>
      <x:c r="C76" s="7" t="s">
        <x:v>849</x:v>
      </x:c>
      <x:c r="D76" s="7" t="s">
        <x:v>1213</x:v>
      </x:c>
      <x:c r="E76" s="7" t="s">
        <x:v>1214</x:v>
      </x:c>
      <x:c r="F76" s="7" t="s">
        <x:v>1215</x:v>
      </x:c>
      <x:c r="G76" s="7">
        <x:v>18</x:v>
      </x:c>
      <x:c r="H76" s="7" t="s">
        <x:v>1216</x:v>
      </x:c>
      <x:c r="I76" s="7" t="s">
        <x:v>1217</x:v>
      </x:c>
      <x:c r="J76" s="6">
        <x:v>90</x:v>
      </x:c>
      <x:c r="K76" s="6">
        <x:v>89</x:v>
      </x:c>
      <x:c r="L76" s="6">
        <x:v>91</x:v>
      </x:c>
      <x:c r="M76" s="6">
        <x:v>88</x:v>
      </x:c>
      <x:c r="N76" s="6">
        <x:v>91</x:v>
      </x:c>
      <x:c r="O76" s="6">
        <x:v>85</x:v>
      </x:c>
      <x:c r="P76" s="6">
        <x:v>13</x:v>
      </x:c>
      <x:c r="Q76" s="6">
        <x:v>6</x:v>
      </x:c>
      <x:c r="R76" s="6">
        <x:v>89.25</x:v>
      </x:c>
      <x:c r="S76" s="6">
        <x:v>89.1</x:v>
      </x:c>
      <x:c r="T76" s="6">
        <x:v>89.175</x:v>
      </x:c>
      <x:c r="U76" s="7" t="s">
        <x:v>33</x:v>
      </x:c>
      <x:c r="V76" s="7" t="s">
        <x:v>756</x:v>
      </x:c>
      <x:c r="W76" s="7" t="s">
        <x:v>346</x:v>
      </x:c>
      <x:c r="X76" s="7" t="s">
        <x:v>757</x:v>
      </x:c>
      <x:c r="Y76" s="7" t="s">
        <x:v>758</x:v>
      </x:c>
    </x:row>
    <x:row r="77" ht="38" customHeight="1">
      <x:c r="A77" s="7" t="s">
        <x:v>1218</x:v>
      </x:c>
      <x:c r="B77" s="7" t="s">
        <x:v>750</x:v>
      </x:c>
      <x:c r="C77" s="7" t="s">
        <x:v>386</x:v>
      </x:c>
      <x:c r="D77" s="7" t="s">
        <x:v>1219</x:v>
      </x:c>
      <x:c r="E77" s="7" t="s">
        <x:v>1220</x:v>
      </x:c>
      <x:c r="F77" s="7" t="s">
        <x:v>1221</x:v>
      </x:c>
      <x:c r="G77" s="7">
        <x:v>26</x:v>
      </x:c>
      <x:c r="H77" s="7" t="s">
        <x:v>1222</x:v>
      </x:c>
      <x:c r="I77" s="7" t="s">
        <x:v>1223</x:v>
      </x:c>
      <x:c r="J77" s="6">
        <x:v>89</x:v>
      </x:c>
      <x:c r="K77" s="6">
        <x:v>90</x:v>
      </x:c>
      <x:c r="L77" s="6">
        <x:v>91</x:v>
      </x:c>
      <x:c r="M77" s="6">
        <x:v>89</x:v>
      </x:c>
      <x:c r="N77" s="6">
        <x:v>91</x:v>
      </x:c>
      <x:c r="O77" s="6">
        <x:v>83</x:v>
      </x:c>
      <x:c r="P77" s="6">
        <x:v>12</x:v>
      </x:c>
      <x:c r="Q77" s="6">
        <x:v>7</x:v>
      </x:c>
      <x:c r="R77" s="6">
        <x:v>89.1</x:v>
      </x:c>
      <x:c r="S77" s="6">
        <x:v>89.15</x:v>
      </x:c>
      <x:c r="T77" s="6">
        <x:v>89.125</x:v>
      </x:c>
      <x:c r="U77" s="7" t="s">
        <x:v>33</x:v>
      </x:c>
      <x:c r="V77" s="7" t="s">
        <x:v>773</x:v>
      </x:c>
      <x:c r="W77" s="7" t="s">
        <x:v>346</x:v>
      </x:c>
      <x:c r="X77" s="7" t="s">
        <x:v>774</x:v>
      </x:c>
      <x:c r="Y77" s="7" t="s">
        <x:v>775</x:v>
      </x:c>
    </x:row>
    <x:row r="78" ht="38" customHeight="1">
      <x:c r="A78" s="7" t="s">
        <x:v>1224</x:v>
      </x:c>
      <x:c r="B78" s="7" t="s">
        <x:v>750</x:v>
      </x:c>
      <x:c r="C78" s="7" t="s">
        <x:v>1225</x:v>
      </x:c>
      <x:c r="D78" s="7" t="s">
        <x:v>1226</x:v>
      </x:c>
      <x:c r="E78" s="7" t="s">
        <x:v>1227</x:v>
      </x:c>
      <x:c r="F78" s="7" t="s">
        <x:v>1228</x:v>
      </x:c>
      <x:c r="G78" s="7">
        <x:v>37</x:v>
      </x:c>
      <x:c r="H78" s="7" t="s">
        <x:v>1229</x:v>
      </x:c>
      <x:c r="I78" s="7" t="s">
        <x:v>1230</x:v>
      </x:c>
      <x:c r="J78" s="6">
        <x:v>89</x:v>
      </x:c>
      <x:c r="K78" s="6">
        <x:v>92</x:v>
      </x:c>
      <x:c r="L78" s="6">
        <x:v>90</x:v>
      </x:c>
      <x:c r="M78" s="6">
        <x:v>91</x:v>
      </x:c>
      <x:c r="N78" s="6">
        <x:v>89</x:v>
      </x:c>
      <x:c r="O78" s="6">
        <x:v>85</x:v>
      </x:c>
      <x:c r="P78" s="6">
        <x:v>17</x:v>
      </x:c>
      <x:c r="Q78" s="6">
        <x:v>8</x:v>
      </x:c>
      <x:c r="R78" s="6">
        <x:v>89.75</x:v>
      </x:c>
      <x:c r="S78" s="6">
        <x:v>88.3</x:v>
      </x:c>
      <x:c r="T78" s="6">
        <x:v>89.025</x:v>
      </x:c>
      <x:c r="U78" s="7" t="s">
        <x:v>33</x:v>
      </x:c>
      <x:c r="V78" s="7" t="s">
        <x:v>773</x:v>
      </x:c>
      <x:c r="W78" s="7" t="s">
        <x:v>346</x:v>
      </x:c>
      <x:c r="X78" s="7" t="s">
        <x:v>774</x:v>
      </x:c>
      <x:c r="Y78" s="7" t="s">
        <x:v>775</x:v>
      </x:c>
    </x:row>
    <x:row r="79" ht="38" customHeight="1">
      <x:c r="A79" s="7" t="s">
        <x:v>1231</x:v>
      </x:c>
      <x:c r="B79" s="7" t="s">
        <x:v>750</x:v>
      </x:c>
      <x:c r="C79" s="7" t="s">
        <x:v>386</x:v>
      </x:c>
      <x:c r="D79" s="7" t="s">
        <x:v>1232</x:v>
      </x:c>
      <x:c r="E79" s="7" t="s">
        <x:v>1233</x:v>
      </x:c>
      <x:c r="F79" s="7" t="s">
        <x:v>1234</x:v>
      </x:c>
      <x:c r="G79" s="7">
        <x:v>24</x:v>
      </x:c>
      <x:c r="H79" s="7" t="s">
        <x:v>1235</x:v>
      </x:c>
      <x:c r="I79" s="7" t="s">
        <x:v>1236</x:v>
      </x:c>
      <x:c r="J79" s="6">
        <x:v>89</x:v>
      </x:c>
      <x:c r="K79" s="6">
        <x:v>89</x:v>
      </x:c>
      <x:c r="L79" s="6">
        <x:v>90</x:v>
      </x:c>
      <x:c r="M79" s="6">
        <x:v>88</x:v>
      </x:c>
      <x:c r="N79" s="6">
        <x:v>90</x:v>
      </x:c>
      <x:c r="O79" s="6">
        <x:v>83</x:v>
      </x:c>
      <x:c r="P79" s="6">
        <x:v>12</x:v>
      </x:c>
      <x:c r="Q79" s="6">
        <x:v>7</x:v>
      </x:c>
      <x:c r="R79" s="6">
        <x:v>88.5</x:v>
      </x:c>
      <x:c r="S79" s="6">
        <x:v>88.45</x:v>
      </x:c>
      <x:c r="T79" s="6">
        <x:v>88.475</x:v>
      </x:c>
      <x:c r="U79" s="7" t="s">
        <x:v>33</x:v>
      </x:c>
      <x:c r="V79" s="7" t="s">
        <x:v>773</x:v>
      </x:c>
      <x:c r="W79" s="7" t="s">
        <x:v>346</x:v>
      </x:c>
      <x:c r="X79" s="7" t="s">
        <x:v>774</x:v>
      </x:c>
      <x:c r="Y79" s="7" t="s">
        <x:v>775</x:v>
      </x:c>
    </x:row>
    <x:row r="80" ht="38" customHeight="1">
      <x:c r="A80" s="7" t="s">
        <x:v>1237</x:v>
      </x:c>
      <x:c r="B80" s="7" t="s">
        <x:v>750</x:v>
      </x:c>
      <x:c r="C80" s="7" t="s">
        <x:v>1238</x:v>
      </x:c>
      <x:c r="D80" s="7" t="s">
        <x:v>1239</x:v>
      </x:c>
      <x:c r="E80" s="7" t="s">
        <x:v>1240</x:v>
      </x:c>
      <x:c r="F80" s="7" t="s">
        <x:v>1241</x:v>
      </x:c>
      <x:c r="G80" s="7">
        <x:v>19</x:v>
      </x:c>
      <x:c r="H80" s="7" t="s">
        <x:v>1242</x:v>
      </x:c>
      <x:c r="I80" s="7" t="s">
        <x:v>1243</x:v>
      </x:c>
      <x:c r="J80" s="6">
        <x:v>88</x:v>
      </x:c>
      <x:c r="K80" s="6">
        <x:v>91</x:v>
      </x:c>
      <x:c r="L80" s="6">
        <x:v>88</x:v>
      </x:c>
      <x:c r="M80" s="6">
        <x:v>88</x:v>
      </x:c>
      <x:c r="N80" s="6">
        <x:v>88</x:v>
      </x:c>
      <x:c r="O80" s="6">
        <x:v>84</x:v>
      </x:c>
      <x:c r="P80" s="6">
        <x:v>11</x:v>
      </x:c>
      <x:c r="Q80" s="6">
        <x:v>7</x:v>
      </x:c>
      <x:c r="R80" s="6">
        <x:v>88.2</x:v>
      </x:c>
      <x:c r="S80" s="6">
        <x:v>88.15</x:v>
      </x:c>
      <x:c r="T80" s="6">
        <x:v>88.175</x:v>
      </x:c>
      <x:c r="U80" s="7" t="s">
        <x:v>33</x:v>
      </x:c>
      <x:c r="V80" s="7" t="s">
        <x:v>773</x:v>
      </x:c>
      <x:c r="W80" s="7" t="s">
        <x:v>346</x:v>
      </x:c>
      <x:c r="X80" s="7" t="s">
        <x:v>774</x:v>
      </x:c>
      <x:c r="Y80" s="7" t="s">
        <x:v>775</x:v>
      </x:c>
    </x:row>
    <x:row r="81" ht="38" customHeight="1">
      <x:c r="A81" s="7" t="s">
        <x:v>1244</x:v>
      </x:c>
      <x:c r="B81" s="7" t="s">
        <x:v>750</x:v>
      </x:c>
      <x:c r="C81" s="7" t="s">
        <x:v>1245</x:v>
      </x:c>
      <x:c r="D81" s="7" t="s">
        <x:v>1246</x:v>
      </x:c>
      <x:c r="E81" s="7" t="s">
        <x:v>1247</x:v>
      </x:c>
      <x:c r="F81" s="7" t="s">
        <x:v>1248</x:v>
      </x:c>
      <x:c r="G81" s="7">
        <x:v>27</x:v>
      </x:c>
      <x:c r="H81" s="7" t="s">
        <x:v>1249</x:v>
      </x:c>
      <x:c r="I81" s="7" t="s">
        <x:v>1250</x:v>
      </x:c>
      <x:c r="J81" s="6">
        <x:v>88</x:v>
      </x:c>
      <x:c r="K81" s="6">
        <x:v>88</x:v>
      </x:c>
      <x:c r="L81" s="6">
        <x:v>90</x:v>
      </x:c>
      <x:c r="M81" s="6">
        <x:v>86</x:v>
      </x:c>
      <x:c r="N81" s="6">
        <x:v>90</x:v>
      </x:c>
      <x:c r="O81" s="6">
        <x:v>85</x:v>
      </x:c>
      <x:c r="P81" s="6">
        <x:v>14</x:v>
      </x:c>
      <x:c r="Q81" s="6">
        <x:v>6</x:v>
      </x:c>
      <x:c r="R81" s="6">
        <x:v>87.9</x:v>
      </x:c>
      <x:c r="S81" s="6">
        <x:v>88.25</x:v>
      </x:c>
      <x:c r="T81" s="6">
        <x:v>88.075</x:v>
      </x:c>
      <x:c r="U81" s="7" t="s">
        <x:v>33</x:v>
      </x:c>
      <x:c r="V81" s="7" t="s">
        <x:v>756</x:v>
      </x:c>
      <x:c r="W81" s="7" t="s">
        <x:v>346</x:v>
      </x:c>
      <x:c r="X81" s="7" t="s">
        <x:v>757</x:v>
      </x:c>
      <x:c r="Y81" s="7" t="s">
        <x:v>758</x:v>
      </x:c>
    </x:row>
    <x:row r="82" ht="38" customHeight="1">
      <x:c r="A82" s="7" t="s">
        <x:v>1251</x:v>
      </x:c>
      <x:c r="B82" s="7" t="s">
        <x:v>750</x:v>
      </x:c>
      <x:c r="C82" s="7" t="s">
        <x:v>79</x:v>
      </x:c>
      <x:c r="D82" s="7" t="s">
        <x:v>1252</x:v>
      </x:c>
      <x:c r="E82" s="7" t="s">
        <x:v>1253</x:v>
      </x:c>
      <x:c r="F82" s="7" t="s">
        <x:v>1254</x:v>
      </x:c>
      <x:c r="G82" s="7">
        <x:v>39</x:v>
      </x:c>
      <x:c r="H82" s="7" t="s">
        <x:v>1255</x:v>
      </x:c>
      <x:c r="I82" s="7" t="s">
        <x:v>1256</x:v>
      </x:c>
      <x:c r="J82" s="6">
        <x:v>88</x:v>
      </x:c>
      <x:c r="K82" s="6">
        <x:v>88</x:v>
      </x:c>
      <x:c r="L82" s="6">
        <x:v>90</x:v>
      </x:c>
      <x:c r="M82" s="6">
        <x:v>86</x:v>
      </x:c>
      <x:c r="N82" s="6">
        <x:v>90</x:v>
      </x:c>
      <x:c r="O82" s="6">
        <x:v>85</x:v>
      </x:c>
      <x:c r="P82" s="6">
        <x:v>14</x:v>
      </x:c>
      <x:c r="Q82" s="6">
        <x:v>6</x:v>
      </x:c>
      <x:c r="R82" s="6">
        <x:v>87.9</x:v>
      </x:c>
      <x:c r="S82" s="6">
        <x:v>88.25</x:v>
      </x:c>
      <x:c r="T82" s="6">
        <x:v>88.075</x:v>
      </x:c>
      <x:c r="U82" s="7" t="s">
        <x:v>33</x:v>
      </x:c>
      <x:c r="V82" s="7" t="s">
        <x:v>756</x:v>
      </x:c>
      <x:c r="W82" s="7" t="s">
        <x:v>346</x:v>
      </x:c>
      <x:c r="X82" s="7" t="s">
        <x:v>757</x:v>
      </x:c>
      <x:c r="Y82" s="7" t="s">
        <x:v>758</x:v>
      </x:c>
    </x:row>
    <x:row r="83" ht="38" customHeight="1">
      <x:c r="A83" s="7" t="s">
        <x:v>1257</x:v>
      </x:c>
      <x:c r="B83" s="7" t="s">
        <x:v>750</x:v>
      </x:c>
      <x:c r="C83" s="7" t="s">
        <x:v>1258</x:v>
      </x:c>
      <x:c r="D83" s="7" t="s">
        <x:v>1259</x:v>
      </x:c>
      <x:c r="E83" s="7" t="s">
        <x:v>1260</x:v>
      </x:c>
      <x:c r="F83" s="7" t="s">
        <x:v>1261</x:v>
      </x:c>
      <x:c r="G83" s="7">
        <x:v>126</x:v>
      </x:c>
      <x:c r="H83" s="7" t="s">
        <x:v>1262</x:v>
      </x:c>
      <x:c r="I83" s="7" t="s">
        <x:v>1263</x:v>
      </x:c>
      <x:c r="J83" s="6">
        <x:v>88</x:v>
      </x:c>
      <x:c r="K83" s="6">
        <x:v>88</x:v>
      </x:c>
      <x:c r="L83" s="6">
        <x:v>90</x:v>
      </x:c>
      <x:c r="M83" s="6">
        <x:v>86</x:v>
      </x:c>
      <x:c r="N83" s="6">
        <x:v>90</x:v>
      </x:c>
      <x:c r="O83" s="6">
        <x:v>85</x:v>
      </x:c>
      <x:c r="P83" s="6">
        <x:v>14</x:v>
      </x:c>
      <x:c r="Q83" s="6">
        <x:v>6</x:v>
      </x:c>
      <x:c r="R83" s="6">
        <x:v>87.9</x:v>
      </x:c>
      <x:c r="S83" s="6">
        <x:v>88.25</x:v>
      </x:c>
      <x:c r="T83" s="6">
        <x:v>88.075</x:v>
      </x:c>
      <x:c r="U83" s="7" t="s">
        <x:v>33</x:v>
      </x:c>
      <x:c r="V83" s="7" t="s">
        <x:v>756</x:v>
      </x:c>
      <x:c r="W83" s="7" t="s">
        <x:v>346</x:v>
      </x:c>
      <x:c r="X83" s="7" t="s">
        <x:v>757</x:v>
      </x:c>
      <x:c r="Y83" s="7" t="s">
        <x:v>758</x:v>
      </x:c>
    </x:row>
    <x:row r="84" ht="38" customHeight="1">
      <x:c r="A84" s="7" t="s">
        <x:v>1264</x:v>
      </x:c>
      <x:c r="B84" s="7" t="s">
        <x:v>750</x:v>
      </x:c>
      <x:c r="C84" s="7" t="s">
        <x:v>79</x:v>
      </x:c>
      <x:c r="D84" s="7" t="s">
        <x:v>1265</x:v>
      </x:c>
      <x:c r="E84" s="7" t="s">
        <x:v>1266</x:v>
      </x:c>
      <x:c r="F84" s="7" t="s">
        <x:v>1267</x:v>
      </x:c>
      <x:c r="G84" s="7">
        <x:v>15</x:v>
      </x:c>
      <x:c r="H84" s="7" t="s">
        <x:v>1268</x:v>
      </x:c>
      <x:c r="I84" s="7" t="s">
        <x:v>1269</x:v>
      </x:c>
      <x:c r="J84" s="6">
        <x:v>88</x:v>
      </x:c>
      <x:c r="K84" s="6">
        <x:v>88</x:v>
      </x:c>
      <x:c r="L84" s="6">
        <x:v>90</x:v>
      </x:c>
      <x:c r="M84" s="6">
        <x:v>86</x:v>
      </x:c>
      <x:c r="N84" s="6">
        <x:v>90</x:v>
      </x:c>
      <x:c r="O84" s="6">
        <x:v>85</x:v>
      </x:c>
      <x:c r="P84" s="6">
        <x:v>14</x:v>
      </x:c>
      <x:c r="Q84" s="6">
        <x:v>6</x:v>
      </x:c>
      <x:c r="R84" s="6">
        <x:v>87.9</x:v>
      </x:c>
      <x:c r="S84" s="6">
        <x:v>88.25</x:v>
      </x:c>
      <x:c r="T84" s="6">
        <x:v>88.075</x:v>
      </x:c>
      <x:c r="U84" s="7" t="s">
        <x:v>33</x:v>
      </x:c>
      <x:c r="V84" s="7" t="s">
        <x:v>756</x:v>
      </x:c>
      <x:c r="W84" s="7" t="s">
        <x:v>346</x:v>
      </x:c>
      <x:c r="X84" s="7" t="s">
        <x:v>757</x:v>
      </x:c>
      <x:c r="Y84" s="7" t="s">
        <x:v>758</x:v>
      </x:c>
    </x:row>
    <x:row r="85" ht="38" customHeight="1">
      <x:c r="A85" s="7" t="s">
        <x:v>1270</x:v>
      </x:c>
      <x:c r="B85" s="7" t="s">
        <x:v>750</x:v>
      </x:c>
      <x:c r="C85" s="7" t="s">
        <x:v>79</x:v>
      </x:c>
      <x:c r="D85" s="7" t="s">
        <x:v>1271</x:v>
      </x:c>
      <x:c r="E85" s="7" t="s">
        <x:v>1272</x:v>
      </x:c>
      <x:c r="F85" s="7" t="s">
        <x:v>746</x:v>
      </x:c>
      <x:c r="G85" s="7">
        <x:v>19</x:v>
      </x:c>
      <x:c r="H85" s="7" t="s">
        <x:v>1273</x:v>
      </x:c>
      <x:c r="I85" s="7" t="s">
        <x:v>1274</x:v>
      </x:c>
      <x:c r="J85" s="6">
        <x:v>88</x:v>
      </x:c>
      <x:c r="K85" s="6">
        <x:v>88</x:v>
      </x:c>
      <x:c r="L85" s="6">
        <x:v>90</x:v>
      </x:c>
      <x:c r="M85" s="6">
        <x:v>86</x:v>
      </x:c>
      <x:c r="N85" s="6">
        <x:v>90</x:v>
      </x:c>
      <x:c r="O85" s="6">
        <x:v>85</x:v>
      </x:c>
      <x:c r="P85" s="6">
        <x:v>14</x:v>
      </x:c>
      <x:c r="Q85" s="6">
        <x:v>6</x:v>
      </x:c>
      <x:c r="R85" s="6">
        <x:v>87.9</x:v>
      </x:c>
      <x:c r="S85" s="6">
        <x:v>88.25</x:v>
      </x:c>
      <x:c r="T85" s="6">
        <x:v>88.075</x:v>
      </x:c>
      <x:c r="U85" s="7" t="s">
        <x:v>33</x:v>
      </x:c>
      <x:c r="V85" s="7" t="s">
        <x:v>756</x:v>
      </x:c>
      <x:c r="W85" s="7" t="s">
        <x:v>346</x:v>
      </x:c>
      <x:c r="X85" s="7" t="s">
        <x:v>757</x:v>
      </x:c>
      <x:c r="Y85" s="7" t="s">
        <x:v>758</x:v>
      </x:c>
    </x:row>
    <x:row r="86" ht="38" customHeight="1">
      <x:c r="A86" s="7" t="s">
        <x:v>1275</x:v>
      </x:c>
      <x:c r="B86" s="7" t="s">
        <x:v>750</x:v>
      </x:c>
      <x:c r="C86" s="7" t="s">
        <x:v>79</x:v>
      </x:c>
      <x:c r="D86" s="7" t="s">
        <x:v>1276</x:v>
      </x:c>
      <x:c r="E86" s="7" t="s">
        <x:v>1277</x:v>
      </x:c>
      <x:c r="F86" s="7" t="s">
        <x:v>1278</x:v>
      </x:c>
      <x:c r="G86" s="7">
        <x:v>18</x:v>
      </x:c>
      <x:c r="H86" s="7" t="s">
        <x:v>1279</x:v>
      </x:c>
      <x:c r="I86" s="7" t="s">
        <x:v>1280</x:v>
      </x:c>
      <x:c r="J86" s="6">
        <x:v>88</x:v>
      </x:c>
      <x:c r="K86" s="6">
        <x:v>88</x:v>
      </x:c>
      <x:c r="L86" s="6">
        <x:v>90</x:v>
      </x:c>
      <x:c r="M86" s="6">
        <x:v>86</x:v>
      </x:c>
      <x:c r="N86" s="6">
        <x:v>90</x:v>
      </x:c>
      <x:c r="O86" s="6">
        <x:v>85</x:v>
      </x:c>
      <x:c r="P86" s="6">
        <x:v>14</x:v>
      </x:c>
      <x:c r="Q86" s="6">
        <x:v>6</x:v>
      </x:c>
      <x:c r="R86" s="6">
        <x:v>87.9</x:v>
      </x:c>
      <x:c r="S86" s="6">
        <x:v>88.25</x:v>
      </x:c>
      <x:c r="T86" s="6">
        <x:v>88.075</x:v>
      </x:c>
      <x:c r="U86" s="7" t="s">
        <x:v>33</x:v>
      </x:c>
      <x:c r="V86" s="7" t="s">
        <x:v>756</x:v>
      </x:c>
      <x:c r="W86" s="7" t="s">
        <x:v>346</x:v>
      </x:c>
      <x:c r="X86" s="7" t="s">
        <x:v>757</x:v>
      </x:c>
      <x:c r="Y86" s="7" t="s">
        <x:v>758</x:v>
      </x:c>
    </x:row>
    <x:row r="87" ht="38" customHeight="1">
      <x:c r="A87" s="7" t="s">
        <x:v>1281</x:v>
      </x:c>
      <x:c r="B87" s="7" t="s">
        <x:v>750</x:v>
      </x:c>
      <x:c r="C87" s="7" t="s">
        <x:v>1282</x:v>
      </x:c>
      <x:c r="D87" s="7" t="s">
        <x:v>1283</x:v>
      </x:c>
      <x:c r="E87" s="7" t="s">
        <x:v>1284</x:v>
      </x:c>
      <x:c r="F87" s="7" t="s">
        <x:v>1285</x:v>
      </x:c>
      <x:c r="G87" s="7">
        <x:v>28</x:v>
      </x:c>
      <x:c r="H87" s="7" t="s">
        <x:v>1286</x:v>
      </x:c>
      <x:c r="I87" s="7" t="s">
        <x:v>1287</x:v>
      </x:c>
      <x:c r="J87" s="6">
        <x:v>88</x:v>
      </x:c>
      <x:c r="K87" s="6">
        <x:v>88</x:v>
      </x:c>
      <x:c r="L87" s="6">
        <x:v>90</x:v>
      </x:c>
      <x:c r="M87" s="6">
        <x:v>86</x:v>
      </x:c>
      <x:c r="N87" s="6">
        <x:v>90</x:v>
      </x:c>
      <x:c r="O87" s="6">
        <x:v>85</x:v>
      </x:c>
      <x:c r="P87" s="6">
        <x:v>14</x:v>
      </x:c>
      <x:c r="Q87" s="6">
        <x:v>6</x:v>
      </x:c>
      <x:c r="R87" s="6">
        <x:v>87.9</x:v>
      </x:c>
      <x:c r="S87" s="6">
        <x:v>88.25</x:v>
      </x:c>
      <x:c r="T87" s="6">
        <x:v>88.075</x:v>
      </x:c>
      <x:c r="U87" s="7" t="s">
        <x:v>33</x:v>
      </x:c>
      <x:c r="V87" s="7" t="s">
        <x:v>756</x:v>
      </x:c>
      <x:c r="W87" s="7" t="s">
        <x:v>346</x:v>
      </x:c>
      <x:c r="X87" s="7" t="s">
        <x:v>757</x:v>
      </x:c>
      <x:c r="Y87" s="7" t="s">
        <x:v>758</x:v>
      </x:c>
    </x:row>
    <x:row r="88" ht="38" customHeight="1">
      <x:c r="A88" s="7" t="s">
        <x:v>1288</x:v>
      </x:c>
      <x:c r="B88" s="7" t="s">
        <x:v>750</x:v>
      </x:c>
      <x:c r="C88" s="7" t="s">
        <x:v>79</x:v>
      </x:c>
      <x:c r="D88" s="7" t="s">
        <x:v>1289</x:v>
      </x:c>
      <x:c r="E88" s="7" t="s">
        <x:v>1290</x:v>
      </x:c>
      <x:c r="F88" s="7" t="s">
        <x:v>1291</x:v>
      </x:c>
      <x:c r="G88" s="7">
        <x:v>43</x:v>
      </x:c>
      <x:c r="H88" s="7" t="s">
        <x:v>1292</x:v>
      </x:c>
      <x:c r="I88" s="7" t="s">
        <x:v>1293</x:v>
      </x:c>
      <x:c r="J88" s="6">
        <x:v>88</x:v>
      </x:c>
      <x:c r="K88" s="6">
        <x:v>88</x:v>
      </x:c>
      <x:c r="L88" s="6">
        <x:v>90</x:v>
      </x:c>
      <x:c r="M88" s="6">
        <x:v>86</x:v>
      </x:c>
      <x:c r="N88" s="6">
        <x:v>90</x:v>
      </x:c>
      <x:c r="O88" s="6">
        <x:v>85</x:v>
      </x:c>
      <x:c r="P88" s="6">
        <x:v>14</x:v>
      </x:c>
      <x:c r="Q88" s="6">
        <x:v>6</x:v>
      </x:c>
      <x:c r="R88" s="6">
        <x:v>87.9</x:v>
      </x:c>
      <x:c r="S88" s="6">
        <x:v>88.25</x:v>
      </x:c>
      <x:c r="T88" s="6">
        <x:v>88.075</x:v>
      </x:c>
      <x:c r="U88" s="7" t="s">
        <x:v>33</x:v>
      </x:c>
      <x:c r="V88" s="7" t="s">
        <x:v>756</x:v>
      </x:c>
      <x:c r="W88" s="7" t="s">
        <x:v>346</x:v>
      </x:c>
      <x:c r="X88" s="7" t="s">
        <x:v>757</x:v>
      </x:c>
      <x:c r="Y88" s="7" t="s">
        <x:v>758</x:v>
      </x:c>
    </x:row>
    <x:row r="89" ht="38" customHeight="1">
      <x:c r="A89" s="7" t="s">
        <x:v>1294</x:v>
      </x:c>
      <x:c r="B89" s="7" t="s">
        <x:v>750</x:v>
      </x:c>
      <x:c r="C89" s="7" t="s">
        <x:v>79</x:v>
      </x:c>
      <x:c r="D89" s="7" t="s">
        <x:v>1295</x:v>
      </x:c>
      <x:c r="E89" s="7" t="s">
        <x:v>1296</x:v>
      </x:c>
      <x:c r="F89" s="7" t="s">
        <x:v>1297</x:v>
      </x:c>
      <x:c r="G89" s="7">
        <x:v>25</x:v>
      </x:c>
      <x:c r="H89" s="7" t="s">
        <x:v>1298</x:v>
      </x:c>
      <x:c r="I89" s="7" t="s">
        <x:v>1299</x:v>
      </x:c>
      <x:c r="J89" s="6">
        <x:v>88</x:v>
      </x:c>
      <x:c r="K89" s="6">
        <x:v>88</x:v>
      </x:c>
      <x:c r="L89" s="6">
        <x:v>90</x:v>
      </x:c>
      <x:c r="M89" s="6">
        <x:v>86</x:v>
      </x:c>
      <x:c r="N89" s="6">
        <x:v>90</x:v>
      </x:c>
      <x:c r="O89" s="6">
        <x:v>85</x:v>
      </x:c>
      <x:c r="P89" s="6">
        <x:v>14</x:v>
      </x:c>
      <x:c r="Q89" s="6">
        <x:v>6</x:v>
      </x:c>
      <x:c r="R89" s="6">
        <x:v>87.9</x:v>
      </x:c>
      <x:c r="S89" s="6">
        <x:v>88.25</x:v>
      </x:c>
      <x:c r="T89" s="6">
        <x:v>88.075</x:v>
      </x:c>
      <x:c r="U89" s="7" t="s">
        <x:v>33</x:v>
      </x:c>
      <x:c r="V89" s="7" t="s">
        <x:v>756</x:v>
      </x:c>
      <x:c r="W89" s="7" t="s">
        <x:v>346</x:v>
      </x:c>
      <x:c r="X89" s="7" t="s">
        <x:v>757</x:v>
      </x:c>
      <x:c r="Y89" s="7" t="s">
        <x:v>758</x:v>
      </x:c>
    </x:row>
    <x:row r="90" ht="38" customHeight="1">
      <x:c r="A90" s="7" t="s">
        <x:v>1300</x:v>
      </x:c>
      <x:c r="B90" s="7" t="s">
        <x:v>750</x:v>
      </x:c>
      <x:c r="C90" s="7" t="s">
        <x:v>79</x:v>
      </x:c>
      <x:c r="D90" s="7" t="s">
        <x:v>1301</x:v>
      </x:c>
      <x:c r="E90" s="7" t="s">
        <x:v>1302</x:v>
      </x:c>
      <x:c r="F90" s="7" t="s">
        <x:v>1303</x:v>
      </x:c>
      <x:c r="G90" s="7">
        <x:v>14</x:v>
      </x:c>
      <x:c r="H90" s="7" t="s">
        <x:v>1304</x:v>
      </x:c>
      <x:c r="I90" s="7" t="s">
        <x:v>1305</x:v>
      </x:c>
      <x:c r="J90" s="6">
        <x:v>88</x:v>
      </x:c>
      <x:c r="K90" s="6">
        <x:v>88</x:v>
      </x:c>
      <x:c r="L90" s="6">
        <x:v>90</x:v>
      </x:c>
      <x:c r="M90" s="6">
        <x:v>86</x:v>
      </x:c>
      <x:c r="N90" s="6">
        <x:v>90</x:v>
      </x:c>
      <x:c r="O90" s="6">
        <x:v>85</x:v>
      </x:c>
      <x:c r="P90" s="6">
        <x:v>14</x:v>
      </x:c>
      <x:c r="Q90" s="6">
        <x:v>6</x:v>
      </x:c>
      <x:c r="R90" s="6">
        <x:v>87.9</x:v>
      </x:c>
      <x:c r="S90" s="6">
        <x:v>88.25</x:v>
      </x:c>
      <x:c r="T90" s="6">
        <x:v>88.075</x:v>
      </x:c>
      <x:c r="U90" s="7" t="s">
        <x:v>33</x:v>
      </x:c>
      <x:c r="V90" s="7" t="s">
        <x:v>756</x:v>
      </x:c>
      <x:c r="W90" s="7" t="s">
        <x:v>346</x:v>
      </x:c>
      <x:c r="X90" s="7" t="s">
        <x:v>757</x:v>
      </x:c>
      <x:c r="Y90" s="7" t="s">
        <x:v>758</x:v>
      </x:c>
    </x:row>
    <x:row r="91" ht="38" customHeight="1">
      <x:c r="A91" s="7" t="s">
        <x:v>1306</x:v>
      </x:c>
      <x:c r="B91" s="7" t="s">
        <x:v>750</x:v>
      </x:c>
      <x:c r="C91" s="7" t="s">
        <x:v>79</x:v>
      </x:c>
      <x:c r="D91" s="7" t="s">
        <x:v>1307</x:v>
      </x:c>
      <x:c r="E91" s="7" t="s">
        <x:v>1308</x:v>
      </x:c>
      <x:c r="F91" s="7" t="s">
        <x:v>1309</x:v>
      </x:c>
      <x:c r="G91" s="7" t="s">
        <x:v>75</x:v>
      </x:c>
      <x:c r="H91" s="7" t="s">
        <x:v>1310</x:v>
      </x:c>
      <x:c r="I91" s="7" t="s">
        <x:v>1311</x:v>
      </x:c>
      <x:c r="J91" s="6">
        <x:v>88</x:v>
      </x:c>
      <x:c r="K91" s="6">
        <x:v>88</x:v>
      </x:c>
      <x:c r="L91" s="6">
        <x:v>90</x:v>
      </x:c>
      <x:c r="M91" s="6">
        <x:v>86</x:v>
      </x:c>
      <x:c r="N91" s="6">
        <x:v>90</x:v>
      </x:c>
      <x:c r="O91" s="6">
        <x:v>85</x:v>
      </x:c>
      <x:c r="P91" s="6">
        <x:v>14</x:v>
      </x:c>
      <x:c r="Q91" s="6">
        <x:v>6</x:v>
      </x:c>
      <x:c r="R91" s="6">
        <x:v>87.9</x:v>
      </x:c>
      <x:c r="S91" s="6">
        <x:v>88.25</x:v>
      </x:c>
      <x:c r="T91" s="6">
        <x:v>88.075</x:v>
      </x:c>
      <x:c r="U91" s="7" t="s">
        <x:v>33</x:v>
      </x:c>
      <x:c r="V91" s="7" t="s">
        <x:v>756</x:v>
      </x:c>
      <x:c r="W91" s="7" t="s">
        <x:v>346</x:v>
      </x:c>
      <x:c r="X91" s="7" t="s">
        <x:v>757</x:v>
      </x:c>
      <x:c r="Y91" s="7" t="s">
        <x:v>758</x:v>
      </x:c>
    </x:row>
    <x:row r="92" ht="38" customHeight="1">
      <x:c r="A92" s="7" t="s">
        <x:v>1312</x:v>
      </x:c>
      <x:c r="B92" s="7" t="s">
        <x:v>750</x:v>
      </x:c>
      <x:c r="C92" s="7" t="s">
        <x:v>106</x:v>
      </x:c>
      <x:c r="D92" s="7" t="s">
        <x:v>1313</x:v>
      </x:c>
      <x:c r="E92" s="7" t="s">
        <x:v>1314</x:v>
      </x:c>
      <x:c r="F92" s="7" t="s">
        <x:v>1315</x:v>
      </x:c>
      <x:c r="G92" s="7">
        <x:v>34</x:v>
      </x:c>
      <x:c r="H92" s="7" t="s">
        <x:v>1316</x:v>
      </x:c>
      <x:c r="I92" s="7" t="s">
        <x:v>1317</x:v>
      </x:c>
      <x:c r="J92" s="6">
        <x:v>88</x:v>
      </x:c>
      <x:c r="K92" s="6">
        <x:v>88</x:v>
      </x:c>
      <x:c r="L92" s="6">
        <x:v>90</x:v>
      </x:c>
      <x:c r="M92" s="6">
        <x:v>86</x:v>
      </x:c>
      <x:c r="N92" s="6">
        <x:v>90</x:v>
      </x:c>
      <x:c r="O92" s="6">
        <x:v>85</x:v>
      </x:c>
      <x:c r="P92" s="6">
        <x:v>14</x:v>
      </x:c>
      <x:c r="Q92" s="6">
        <x:v>6</x:v>
      </x:c>
      <x:c r="R92" s="6">
        <x:v>87.9</x:v>
      </x:c>
      <x:c r="S92" s="6">
        <x:v>88.25</x:v>
      </x:c>
      <x:c r="T92" s="6">
        <x:v>88.075</x:v>
      </x:c>
      <x:c r="U92" s="7" t="s">
        <x:v>33</x:v>
      </x:c>
      <x:c r="V92" s="7" t="s">
        <x:v>756</x:v>
      </x:c>
      <x:c r="W92" s="7" t="s">
        <x:v>346</x:v>
      </x:c>
      <x:c r="X92" s="7" t="s">
        <x:v>757</x:v>
      </x:c>
      <x:c r="Y92" s="7" t="s">
        <x:v>758</x:v>
      </x:c>
    </x:row>
    <x:row r="93" ht="38" customHeight="1">
      <x:c r="A93" s="7" t="s">
        <x:v>1318</x:v>
      </x:c>
      <x:c r="B93" s="7" t="s">
        <x:v>750</x:v>
      </x:c>
      <x:c r="C93" s="7" t="s">
        <x:v>79</x:v>
      </x:c>
      <x:c r="D93" s="7" t="s">
        <x:v>1319</x:v>
      </x:c>
      <x:c r="E93" s="7" t="s">
        <x:v>1320</x:v>
      </x:c>
      <x:c r="F93" s="7" t="s">
        <x:v>216</x:v>
      </x:c>
      <x:c r="G93" s="7">
        <x:v>27</x:v>
      </x:c>
      <x:c r="H93" s="7" t="s">
        <x:v>1321</x:v>
      </x:c>
      <x:c r="I93" s="7" t="s">
        <x:v>1322</x:v>
      </x:c>
      <x:c r="J93" s="6">
        <x:v>88</x:v>
      </x:c>
      <x:c r="K93" s="6">
        <x:v>88</x:v>
      </x:c>
      <x:c r="L93" s="6">
        <x:v>90</x:v>
      </x:c>
      <x:c r="M93" s="6">
        <x:v>86</x:v>
      </x:c>
      <x:c r="N93" s="6">
        <x:v>90</x:v>
      </x:c>
      <x:c r="O93" s="6">
        <x:v>85</x:v>
      </x:c>
      <x:c r="P93" s="6">
        <x:v>14</x:v>
      </x:c>
      <x:c r="Q93" s="6">
        <x:v>6</x:v>
      </x:c>
      <x:c r="R93" s="6">
        <x:v>87.9</x:v>
      </x:c>
      <x:c r="S93" s="6">
        <x:v>88.25</x:v>
      </x:c>
      <x:c r="T93" s="6">
        <x:v>88.075</x:v>
      </x:c>
      <x:c r="U93" s="7" t="s">
        <x:v>33</x:v>
      </x:c>
      <x:c r="V93" s="7" t="s">
        <x:v>756</x:v>
      </x:c>
      <x:c r="W93" s="7" t="s">
        <x:v>346</x:v>
      </x:c>
      <x:c r="X93" s="7" t="s">
        <x:v>757</x:v>
      </x:c>
      <x:c r="Y93" s="7" t="s">
        <x:v>758</x:v>
      </x:c>
    </x:row>
    <x:row r="94" ht="38" customHeight="1">
      <x:c r="A94" s="7" t="s">
        <x:v>1323</x:v>
      </x:c>
      <x:c r="B94" s="7" t="s">
        <x:v>750</x:v>
      </x:c>
      <x:c r="C94" s="7" t="s">
        <x:v>79</x:v>
      </x:c>
      <x:c r="D94" s="7" t="s">
        <x:v>1324</x:v>
      </x:c>
      <x:c r="E94" s="7" t="s">
        <x:v>1325</x:v>
      </x:c>
      <x:c r="F94" s="7" t="s">
        <x:v>1326</x:v>
      </x:c>
      <x:c r="G94" s="7">
        <x:v>41</x:v>
      </x:c>
      <x:c r="H94" s="7" t="s">
        <x:v>1327</x:v>
      </x:c>
      <x:c r="I94" s="7" t="s">
        <x:v>1328</x:v>
      </x:c>
      <x:c r="J94" s="6">
        <x:v>88</x:v>
      </x:c>
      <x:c r="K94" s="6">
        <x:v>88</x:v>
      </x:c>
      <x:c r="L94" s="6">
        <x:v>90</x:v>
      </x:c>
      <x:c r="M94" s="6">
        <x:v>86</x:v>
      </x:c>
      <x:c r="N94" s="6">
        <x:v>90</x:v>
      </x:c>
      <x:c r="O94" s="6">
        <x:v>85</x:v>
      </x:c>
      <x:c r="P94" s="6">
        <x:v>14</x:v>
      </x:c>
      <x:c r="Q94" s="6">
        <x:v>6</x:v>
      </x:c>
      <x:c r="R94" s="6">
        <x:v>87.9</x:v>
      </x:c>
      <x:c r="S94" s="6">
        <x:v>88.25</x:v>
      </x:c>
      <x:c r="T94" s="6">
        <x:v>88.075</x:v>
      </x:c>
      <x:c r="U94" s="7" t="s">
        <x:v>33</x:v>
      </x:c>
      <x:c r="V94" s="7" t="s">
        <x:v>756</x:v>
      </x:c>
      <x:c r="W94" s="7" t="s">
        <x:v>346</x:v>
      </x:c>
      <x:c r="X94" s="7" t="s">
        <x:v>757</x:v>
      </x:c>
      <x:c r="Y94" s="7" t="s">
        <x:v>758</x:v>
      </x:c>
    </x:row>
    <x:row r="95" ht="38" customHeight="1">
      <x:c r="A95" s="7" t="s">
        <x:v>1329</x:v>
      </x:c>
      <x:c r="B95" s="7" t="s">
        <x:v>750</x:v>
      </x:c>
      <x:c r="C95" s="7" t="s">
        <x:v>1330</x:v>
      </x:c>
      <x:c r="D95" s="7" t="s">
        <x:v>1331</x:v>
      </x:c>
      <x:c r="E95" s="7" t="s">
        <x:v>1332</x:v>
      </x:c>
      <x:c r="F95" s="7" t="s">
        <x:v>1333</x:v>
      </x:c>
      <x:c r="G95" s="7">
        <x:v>32</x:v>
      </x:c>
      <x:c r="H95" s="7" t="s">
        <x:v>1334</x:v>
      </x:c>
      <x:c r="I95" s="7" t="s">
        <x:v>1335</x:v>
      </x:c>
      <x:c r="J95" s="6">
        <x:v>88</x:v>
      </x:c>
      <x:c r="K95" s="6">
        <x:v>88</x:v>
      </x:c>
      <x:c r="L95" s="6">
        <x:v>90</x:v>
      </x:c>
      <x:c r="M95" s="6">
        <x:v>86</x:v>
      </x:c>
      <x:c r="N95" s="6">
        <x:v>90</x:v>
      </x:c>
      <x:c r="O95" s="6">
        <x:v>85</x:v>
      </x:c>
      <x:c r="P95" s="6">
        <x:v>14</x:v>
      </x:c>
      <x:c r="Q95" s="6">
        <x:v>6</x:v>
      </x:c>
      <x:c r="R95" s="6">
        <x:v>87.9</x:v>
      </x:c>
      <x:c r="S95" s="6">
        <x:v>88.25</x:v>
      </x:c>
      <x:c r="T95" s="6">
        <x:v>88.075</x:v>
      </x:c>
      <x:c r="U95" s="7" t="s">
        <x:v>33</x:v>
      </x:c>
      <x:c r="V95" s="7" t="s">
        <x:v>756</x:v>
      </x:c>
      <x:c r="W95" s="7" t="s">
        <x:v>346</x:v>
      </x:c>
      <x:c r="X95" s="7" t="s">
        <x:v>757</x:v>
      </x:c>
      <x:c r="Y95" s="7" t="s">
        <x:v>758</x:v>
      </x:c>
    </x:row>
    <x:row r="96" ht="38" customHeight="1">
      <x:c r="A96" s="7" t="s">
        <x:v>1336</x:v>
      </x:c>
      <x:c r="B96" s="7" t="s">
        <x:v>750</x:v>
      </x:c>
      <x:c r="C96" s="7" t="s">
        <x:v>27</x:v>
      </x:c>
      <x:c r="D96" s="7" t="s">
        <x:v>1337</x:v>
      </x:c>
      <x:c r="E96" s="7" t="s">
        <x:v>1338</x:v>
      </x:c>
      <x:c r="F96" s="7" t="s">
        <x:v>1339</x:v>
      </x:c>
      <x:c r="G96" s="7">
        <x:v>41</x:v>
      </x:c>
      <x:c r="H96" s="7" t="s">
        <x:v>1340</x:v>
      </x:c>
      <x:c r="I96" s="7" t="s">
        <x:v>1341</x:v>
      </x:c>
      <x:c r="J96" s="6">
        <x:v>88</x:v>
      </x:c>
      <x:c r="K96" s="6">
        <x:v>88</x:v>
      </x:c>
      <x:c r="L96" s="6">
        <x:v>90</x:v>
      </x:c>
      <x:c r="M96" s="6">
        <x:v>86</x:v>
      </x:c>
      <x:c r="N96" s="6">
        <x:v>90</x:v>
      </x:c>
      <x:c r="O96" s="6">
        <x:v>85</x:v>
      </x:c>
      <x:c r="P96" s="6">
        <x:v>14</x:v>
      </x:c>
      <x:c r="Q96" s="6">
        <x:v>6</x:v>
      </x:c>
      <x:c r="R96" s="6">
        <x:v>87.9</x:v>
      </x:c>
      <x:c r="S96" s="6">
        <x:v>88.25</x:v>
      </x:c>
      <x:c r="T96" s="6">
        <x:v>88.075</x:v>
      </x:c>
      <x:c r="U96" s="7" t="s">
        <x:v>33</x:v>
      </x:c>
      <x:c r="V96" s="7" t="s">
        <x:v>756</x:v>
      </x:c>
      <x:c r="W96" s="7" t="s">
        <x:v>346</x:v>
      </x:c>
      <x:c r="X96" s="7" t="s">
        <x:v>757</x:v>
      </x:c>
      <x:c r="Y96" s="7" t="s">
        <x:v>758</x:v>
      </x:c>
    </x:row>
    <x:row r="97" ht="38" customHeight="1">
      <x:c r="A97" s="7" t="s">
        <x:v>1342</x:v>
      </x:c>
      <x:c r="B97" s="7" t="s">
        <x:v>750</x:v>
      </x:c>
      <x:c r="C97" s="7" t="s">
        <x:v>79</x:v>
      </x:c>
      <x:c r="D97" s="7" t="s">
        <x:v>1343</x:v>
      </x:c>
      <x:c r="E97" s="7" t="s">
        <x:v>1344</x:v>
      </x:c>
      <x:c r="F97" s="7" t="s">
        <x:v>1345</x:v>
      </x:c>
      <x:c r="G97" s="7">
        <x:v>30</x:v>
      </x:c>
      <x:c r="H97" s="7" t="s">
        <x:v>1346</x:v>
      </x:c>
      <x:c r="I97" s="7" t="s">
        <x:v>1347</x:v>
      </x:c>
      <x:c r="J97" s="6">
        <x:v>88</x:v>
      </x:c>
      <x:c r="K97" s="6">
        <x:v>88</x:v>
      </x:c>
      <x:c r="L97" s="6">
        <x:v>90</x:v>
      </x:c>
      <x:c r="M97" s="6">
        <x:v>86</x:v>
      </x:c>
      <x:c r="N97" s="6">
        <x:v>90</x:v>
      </x:c>
      <x:c r="O97" s="6">
        <x:v>85</x:v>
      </x:c>
      <x:c r="P97" s="6">
        <x:v>14</x:v>
      </x:c>
      <x:c r="Q97" s="6">
        <x:v>6</x:v>
      </x:c>
      <x:c r="R97" s="6">
        <x:v>87.9</x:v>
      </x:c>
      <x:c r="S97" s="6">
        <x:v>88.25</x:v>
      </x:c>
      <x:c r="T97" s="6">
        <x:v>88.075</x:v>
      </x:c>
      <x:c r="U97" s="7" t="s">
        <x:v>33</x:v>
      </x:c>
      <x:c r="V97" s="7" t="s">
        <x:v>756</x:v>
      </x:c>
      <x:c r="W97" s="7" t="s">
        <x:v>346</x:v>
      </x:c>
      <x:c r="X97" s="7" t="s">
        <x:v>757</x:v>
      </x:c>
      <x:c r="Y97" s="7" t="s">
        <x:v>758</x:v>
      </x:c>
    </x:row>
    <x:row r="98" ht="38" customHeight="1">
      <x:c r="A98" s="7" t="s">
        <x:v>1348</x:v>
      </x:c>
      <x:c r="B98" s="7" t="s">
        <x:v>750</x:v>
      </x:c>
      <x:c r="C98" s="7" t="s">
        <x:v>79</x:v>
      </x:c>
      <x:c r="D98" s="7" t="s">
        <x:v>1349</x:v>
      </x:c>
      <x:c r="E98" s="7" t="s">
        <x:v>1350</x:v>
      </x:c>
      <x:c r="F98" s="7" t="s">
        <x:v>1351</x:v>
      </x:c>
      <x:c r="G98" s="7" t="s">
        <x:v>75</x:v>
      </x:c>
      <x:c r="H98" s="7" t="s">
        <x:v>1352</x:v>
      </x:c>
      <x:c r="I98" s="7" t="s">
        <x:v>1353</x:v>
      </x:c>
      <x:c r="J98" s="6">
        <x:v>88</x:v>
      </x:c>
      <x:c r="K98" s="6">
        <x:v>88</x:v>
      </x:c>
      <x:c r="L98" s="6">
        <x:v>90</x:v>
      </x:c>
      <x:c r="M98" s="6">
        <x:v>86</x:v>
      </x:c>
      <x:c r="N98" s="6">
        <x:v>90</x:v>
      </x:c>
      <x:c r="O98" s="6">
        <x:v>85</x:v>
      </x:c>
      <x:c r="P98" s="6">
        <x:v>14</x:v>
      </x:c>
      <x:c r="Q98" s="6">
        <x:v>6</x:v>
      </x:c>
      <x:c r="R98" s="6">
        <x:v>87.9</x:v>
      </x:c>
      <x:c r="S98" s="6">
        <x:v>88.25</x:v>
      </x:c>
      <x:c r="T98" s="6">
        <x:v>88.075</x:v>
      </x:c>
      <x:c r="U98" s="7" t="s">
        <x:v>33</x:v>
      </x:c>
      <x:c r="V98" s="7" t="s">
        <x:v>756</x:v>
      </x:c>
      <x:c r="W98" s="7" t="s">
        <x:v>346</x:v>
      </x:c>
      <x:c r="X98" s="7" t="s">
        <x:v>757</x:v>
      </x:c>
      <x:c r="Y98" s="7" t="s">
        <x:v>758</x:v>
      </x:c>
    </x:row>
    <x:row r="99" ht="38" customHeight="1">
      <x:c r="A99" s="7" t="s">
        <x:v>1354</x:v>
      </x:c>
      <x:c r="B99" s="7" t="s">
        <x:v>750</x:v>
      </x:c>
      <x:c r="C99" s="7" t="s">
        <x:v>1355</x:v>
      </x:c>
      <x:c r="D99" s="7" t="s">
        <x:v>1356</x:v>
      </x:c>
      <x:c r="E99" s="7" t="s">
        <x:v>1357</x:v>
      </x:c>
      <x:c r="F99" s="7" t="s">
        <x:v>1358</x:v>
      </x:c>
      <x:c r="G99" s="7">
        <x:v>20</x:v>
      </x:c>
      <x:c r="H99" s="7" t="s">
        <x:v>1359</x:v>
      </x:c>
      <x:c r="I99" s="7" t="s">
        <x:v>1360</x:v>
      </x:c>
      <x:c r="J99" s="6">
        <x:v>88</x:v>
      </x:c>
      <x:c r="K99" s="6">
        <x:v>88</x:v>
      </x:c>
      <x:c r="L99" s="6">
        <x:v>90</x:v>
      </x:c>
      <x:c r="M99" s="6">
        <x:v>86</x:v>
      </x:c>
      <x:c r="N99" s="6">
        <x:v>90</x:v>
      </x:c>
      <x:c r="O99" s="6">
        <x:v>85</x:v>
      </x:c>
      <x:c r="P99" s="6">
        <x:v>14</x:v>
      </x:c>
      <x:c r="Q99" s="6">
        <x:v>6</x:v>
      </x:c>
      <x:c r="R99" s="6">
        <x:v>87.9</x:v>
      </x:c>
      <x:c r="S99" s="6">
        <x:v>88.25</x:v>
      </x:c>
      <x:c r="T99" s="6">
        <x:v>88.075</x:v>
      </x:c>
      <x:c r="U99" s="7" t="s">
        <x:v>33</x:v>
      </x:c>
      <x:c r="V99" s="7" t="s">
        <x:v>756</x:v>
      </x:c>
      <x:c r="W99" s="7" t="s">
        <x:v>346</x:v>
      </x:c>
      <x:c r="X99" s="7" t="s">
        <x:v>757</x:v>
      </x:c>
      <x:c r="Y99" s="7" t="s">
        <x:v>758</x:v>
      </x:c>
    </x:row>
    <x:row r="100" ht="38" customHeight="1">
      <x:c r="A100" s="7" t="s">
        <x:v>1361</x:v>
      </x:c>
      <x:c r="B100" s="7" t="s">
        <x:v>750</x:v>
      </x:c>
      <x:c r="C100" s="7" t="s">
        <x:v>79</x:v>
      </x:c>
      <x:c r="D100" s="7" t="s">
        <x:v>1362</x:v>
      </x:c>
      <x:c r="E100" s="7" t="s">
        <x:v>1363</x:v>
      </x:c>
      <x:c r="F100" s="7" t="s">
        <x:v>389</x:v>
      </x:c>
      <x:c r="G100" s="7" t="s">
        <x:v>75</x:v>
      </x:c>
      <x:c r="H100" s="7" t="s">
        <x:v>1364</x:v>
      </x:c>
      <x:c r="I100" s="7" t="s">
        <x:v>1365</x:v>
      </x:c>
      <x:c r="J100" s="6">
        <x:v>88</x:v>
      </x:c>
      <x:c r="K100" s="6">
        <x:v>88</x:v>
      </x:c>
      <x:c r="L100" s="6">
        <x:v>90</x:v>
      </x:c>
      <x:c r="M100" s="6">
        <x:v>86</x:v>
      </x:c>
      <x:c r="N100" s="6">
        <x:v>90</x:v>
      </x:c>
      <x:c r="O100" s="6">
        <x:v>85</x:v>
      </x:c>
      <x:c r="P100" s="6">
        <x:v>14</x:v>
      </x:c>
      <x:c r="Q100" s="6">
        <x:v>6</x:v>
      </x:c>
      <x:c r="R100" s="6">
        <x:v>87.9</x:v>
      </x:c>
      <x:c r="S100" s="6">
        <x:v>88.25</x:v>
      </x:c>
      <x:c r="T100" s="6">
        <x:v>88.075</x:v>
      </x:c>
      <x:c r="U100" s="7" t="s">
        <x:v>33</x:v>
      </x:c>
      <x:c r="V100" s="7" t="s">
        <x:v>756</x:v>
      </x:c>
      <x:c r="W100" s="7" t="s">
        <x:v>346</x:v>
      </x:c>
      <x:c r="X100" s="7" t="s">
        <x:v>757</x:v>
      </x:c>
      <x:c r="Y100" s="7" t="s">
        <x:v>758</x:v>
      </x:c>
    </x:row>
    <x:row r="101" ht="38" customHeight="1">
      <x:c r="A101" s="7" t="s">
        <x:v>1366</x:v>
      </x:c>
      <x:c r="B101" s="7" t="s">
        <x:v>750</x:v>
      </x:c>
      <x:c r="C101" s="7" t="s">
        <x:v>1146</x:v>
      </x:c>
      <x:c r="D101" s="7" t="s">
        <x:v>1367</x:v>
      </x:c>
      <x:c r="E101" s="7" t="s">
        <x:v>1368</x:v>
      </x:c>
      <x:c r="F101" s="7" t="s">
        <x:v>1369</x:v>
      </x:c>
      <x:c r="G101" s="7">
        <x:v>15</x:v>
      </x:c>
      <x:c r="H101" s="7" t="s">
        <x:v>1370</x:v>
      </x:c>
      <x:c r="I101" s="7" t="s">
        <x:v>1371</x:v>
      </x:c>
      <x:c r="J101" s="6">
        <x:v>88</x:v>
      </x:c>
      <x:c r="K101" s="6">
        <x:v>90</x:v>
      </x:c>
      <x:c r="L101" s="6">
        <x:v>89</x:v>
      </x:c>
      <x:c r="M101" s="6">
        <x:v>87</x:v>
      </x:c>
      <x:c r="N101" s="6">
        <x:v>89</x:v>
      </x:c>
      <x:c r="O101" s="6">
        <x:v>83</x:v>
      </x:c>
      <x:c r="P101" s="6">
        <x:v>12</x:v>
      </x:c>
      <x:c r="Q101" s="6">
        <x:v>7</x:v>
      </x:c>
      <x:c r="R101" s="6">
        <x:v>88</x:v>
      </x:c>
      <x:c r="S101" s="6">
        <x:v>88.15</x:v>
      </x:c>
      <x:c r="T101" s="6">
        <x:v>88.075</x:v>
      </x:c>
      <x:c r="U101" s="7" t="s">
        <x:v>33</x:v>
      </x:c>
      <x:c r="V101" s="7" t="s">
        <x:v>773</x:v>
      </x:c>
      <x:c r="W101" s="7" t="s">
        <x:v>346</x:v>
      </x:c>
      <x:c r="X101" s="7" t="s">
        <x:v>774</x:v>
      </x:c>
      <x:c r="Y101" s="7" t="s">
        <x:v>775</x:v>
      </x:c>
    </x:row>
  </x:sheetData>
  <x:pageMargins left="0.7" right="0.7" top="0.75" bottom="0.75" header="0.3" footer="0.3"/>
  <x:tableParts count="1">
    <x:tablePart xmlns:r="http://schemas.openxmlformats.org/officeDocument/2006/relationships" r:id="R9e3b34d6b25d437f"/>
  </x:tableParts>
</x:worksheet>
</file>

<file path=xl/worksheets/sheet6.xml><?xml version="1.0" encoding="utf-8"?>
<x:worksheet xmlns:x="http://schemas.openxmlformats.org/spreadsheetml/2006/main">
  <x:sheetFormatPr defaultColWidth="9" defaultRowHeight="13.5"/>
  <x:cols>
    <x:col min="1" max="1" width="12" customWidth="1"/>
    <x:col min="2" max="2" width="10" customWidth="1"/>
    <x:col min="3" max="3" width="18" customWidth="1"/>
    <x:col min="4" max="4" width="24" customWidth="1"/>
    <x:col min="5" max="5" width="42" customWidth="1"/>
    <x:col min="6" max="6" width="34" customWidth="1"/>
    <x:col min="7" max="7" width="12" customWidth="1"/>
    <x:col min="8" max="8" width="30" customWidth="1"/>
    <x:col min="9" max="9" width="32" customWidth="1"/>
    <x:col min="10" max="20" width="8" customWidth="1"/>
    <x:col min="21" max="21" width="36" customWidth="1"/>
    <x:col min="22" max="22" width="28" customWidth="1"/>
    <x:col min="23" max="23" width="12" customWidth="1"/>
    <x:col min="24" max="24" width="36" customWidth="1"/>
    <x:col min="25" max="25" width="48" customWidth="1"/>
  </x:cols>
  <x:sheetData>
    <x:row r="1" ht="28" customHeight="1">
      <x:c r="A1" s="5" t="str">
        <x:v>arXiv</x:v>
      </x:c>
      <x:c r="B1" s="5" t="str">
        <x:v>month</x:v>
      </x:c>
      <x:c r="C1" s="5" t="str">
        <x:v>DG_status</x:v>
      </x:c>
      <x:c r="D1" s="5" t="str">
        <x:v>theme</x:v>
      </x:c>
      <x:c r="E1" s="5" t="str">
        <x:v>title</x:v>
      </x:c>
      <x:c r="F1" s="5" t="str">
        <x:v>authors</x:v>
      </x:c>
      <x:c r="G1" s="5" t="str">
        <x:v>pages</x:v>
      </x:c>
      <x:c r="H1" s="5" t="str">
        <x:v>source_url</x:v>
      </x:c>
      <x:c r="I1" s="5" t="str">
        <x:v>screening_note</x:v>
      </x:c>
      <x:c r="J1" s="5" t="str">
        <x:v>I</x:v>
      </x:c>
      <x:c r="K1" s="5" t="str">
        <x:v>O</x:v>
      </x:c>
      <x:c r="L1" s="5" t="str">
        <x:v>T</x:v>
      </x:c>
      <x:c r="M1" s="5" t="str">
        <x:v>B</x:v>
      </x:c>
      <x:c r="N1" s="5" t="str">
        <x:v>H</x:v>
      </x:c>
      <x:c r="O1" s="5" t="str">
        <x:v>R</x:v>
      </x:c>
      <x:c r="P1" s="5" t="str">
        <x:v>AI_pct</x:v>
      </x:c>
      <x:c r="Q1" s="5" t="str">
        <x:v>AI_unc</x:v>
      </x:c>
      <x:c r="R1" s="5" t="str">
        <x:v>V</x:v>
      </x:c>
      <x:c r="S1" s="5" t="str">
        <x:v>S_H</x:v>
      </x:c>
      <x:c r="T1" s="5" t="str">
        <x:v>S_eq</x:v>
      </x:c>
      <x:c r="U1" s="5" t="str">
        <x:v>rank_formula</x:v>
      </x:c>
      <x:c r="V1" s="5" t="str">
        <x:v>exact_bibliography</x:v>
      </x:c>
      <x:c r="W1" s="5" t="str">
        <x:v>Top50_flag</x:v>
      </x:c>
      <x:c r="X1" s="5" t="str">
        <x:v>source_batch</x:v>
      </x:c>
      <x:c r="Y1" s="5" t="str">
        <x:v>score_comments</x:v>
      </x:c>
    </x:row>
    <x:row r="2" ht="38" customHeight="1">
      <x:c r="A2" s="7" t="str">
        <x:v>2608.07240</x:v>
      </x:c>
      <x:c r="B2" s="7" t="str">
        <x:v>2026-08</x:v>
      </x:c>
      <x:c r="C2" s="7" t="str">
        <x:v>math.AP/math.DG/math.FA</x:v>
      </x:c>
      <x:c r="D2" s="7" t="str">
        <x:v>critical Geller equations / complex hyperbolic geometry</x:v>
      </x:c>
      <x:c r="E2" s="7" t="str">
        <x:v>Critical Geller Equations on Complex Hyperbolic Space: Nondegeneracy, Geodesic Symmetry, and Global Compactness</x:v>
      </x:c>
      <x:c r="F2" s="7" t="str">
        <x:v>Jungang Li</x:v>
      </x:c>
      <x:c r="G2" s="7" t="n">
        <x:v>59</x:v>
      </x:c>
      <x:c r="H2" s="7" t="str">
        <x:v>https://arxiv.org/abs/2608.07240</x:v>
      </x:c>
      <x:c r="I2" s="7" t="str">
        <x:v>Builds a broad critical Geller/Brezis-Nirenberg theory: sharp constants and classification, invariant-sector profiles and stability, nondegeneracy, compactness, symmetry, asymptotics, and perturbative existence.</x:v>
      </x:c>
      <x:c r="J2" s="32" t="n">
        <x:v>95</x:v>
      </x:c>
      <x:c r="K2" s="32" t="n">
        <x:v>94</x:v>
      </x:c>
      <x:c r="L2" s="32" t="n">
        <x:v>96</x:v>
      </x:c>
      <x:c r="M2" s="32" t="n">
        <x:v>94</x:v>
      </x:c>
      <x:c r="N2" s="32" t="n">
        <x:v>95</x:v>
      </x:c>
      <x:c r="O2" s="32" t="n">
        <x:v>86</x:v>
      </x:c>
      <x:c r="P2" s="32" t="n">
        <x:v>10</x:v>
      </x:c>
      <x:c r="Q2" s="32" t="n">
        <x:v>5</x:v>
      </x:c>
      <x:c r="R2" s="28" t="n">
        <x:f>0.30*J2+0.20*K2+0.25*L2+0.15*M2+0.10*O2</x:f>
        <x:v>93.99999999999999</x:v>
      </x:c>
      <x:c r="S2" s="28" t="n">
        <x:f>0.30*N2+0.20*L2+0.20*K2+0.15*O2+0.15*(100-P2)</x:f>
        <x:v>92.9</x:v>
      </x:c>
      <x:c r="T2" s="28" t="n">
        <x:f>(R2+S2)/2</x:f>
        <x:v>93.44999999999999</x:v>
      </x:c>
      <x:c r="U2" s="7" t="str">
        <x:v>S_eq=(V+S_H)/2; V and S_H equal-weighted</x:v>
      </x:c>
      <x:c r="V2" s="7" t="str">
        <x:v>Official arXiv abstract and PDF metadata; announced 2026-08-10</x:v>
      </x:c>
      <x:c r="W2" s="7" t="str">
        <x:v>Selected30pct</x:v>
      </x:c>
      <x:c r="X2" s="7" t="str">
        <x:v>August official math.DG list through 2026-08-10; 70 total; scored pool = ceil(30%)=21; replacements excluded</x:v>
      </x:c>
      <x:c r="Y2" s="7" t="str">
        <x:v>默认主要结论正确；未逐篇逐行 correctness check。按 SARE 原则评估，V 与 S_H 等权，并扣除当前 AI 可替代部分。</x:v>
      </x:c>
    </x:row>
    <x:row r="3" ht="38" customHeight="1">
      <x:c r="A3" s="7" t="str">
        <x:v>2608.05128</x:v>
      </x:c>
      <x:c r="B3" s="7" t="str">
        <x:v>2026-08</x:v>
      </x:c>
      <x:c r="C3" s="7" t="str">
        <x:v>math.DG</x:v>
      </x:c>
      <x:c r="D3" s="7" t="str">
        <x:v>G2/CY monopoles / calibrated geometry</x:v>
      </x:c>
      <x:c r="E3" s="7" t="str">
        <x:v>Large mass limits of G_2 and Calabi-Yau monopoles: calibrated concentration, Higgs zeros, and abelianization</x:v>
      </x:c>
      <x:c r="F3" s="7" t="str">
        <x:v>Daniel Fadel; Gonçalo Oliveira</x:v>
      </x:c>
      <x:c r="G3" s="7" t="n">
        <x:v>148</x:v>
      </x:c>
      <x:c r="H3" s="7" t="str">
        <x:v>https://arxiv.org/abs/2608.05128</x:v>
      </x:c>
      <x:c r="I3" s="7" t="str">
        <x:v>Very large gauge/calibrated-geometry work; high human proof burden and structural value.</x:v>
      </x:c>
      <x:c r="J3" s="32" t="n">
        <x:v>95</x:v>
      </x:c>
      <x:c r="K3" s="32" t="n">
        <x:v>93</x:v>
      </x:c>
      <x:c r="L3" s="32" t="n">
        <x:v>96</x:v>
      </x:c>
      <x:c r="M3" s="32" t="n">
        <x:v>92</x:v>
      </x:c>
      <x:c r="N3" s="32" t="n">
        <x:v>96</x:v>
      </x:c>
      <x:c r="O3" s="32" t="n">
        <x:v>86</x:v>
      </x:c>
      <x:c r="P3" s="32" t="n">
        <x:v>9</x:v>
      </x:c>
      <x:c r="Q3" s="32" t="n">
        <x:v>5</x:v>
      </x:c>
      <x:c r="R3" s="28" t="n">
        <x:f>0.30*J3+0.20*K3+0.25*L3+0.15*M3+0.10*O3</x:f>
        <x:v>93.49999999999999</x:v>
      </x:c>
      <x:c r="S3" s="28" t="n">
        <x:f>0.30*N3+0.20*L3+0.20*K3+0.15*O3+0.15*(100-P3)</x:f>
        <x:v>93.15</x:v>
      </x:c>
      <x:c r="T3" s="28" t="n">
        <x:f>(R3+S3)/2</x:f>
        <x:v>93.32499999999999</x:v>
      </x:c>
      <x:c r="U3" s="7" t="str">
        <x:v>S_eq=(V+S_H)/2; V and S_H equal-weighted</x:v>
      </x:c>
      <x:c r="V3" s="7" t="str">
        <x:v>arXiv official list metadata</x:v>
      </x:c>
      <x:c r="W3" s="7" t="str">
        <x:v>Selected30pct</x:v>
      </x:c>
      <x:c r="X3" s="7" t="str">
        <x:v>August official math.DG list through 2026-08-10; 70 total; scored pool = ceil(30%)=21; replacements excluded</x:v>
      </x:c>
      <x:c r="Y3" s="7" t="str">
        <x:v>默认主要结论正确；未逐篇逐行 correctness check。</x:v>
      </x:c>
    </x:row>
    <x:row r="4" ht="38" customHeight="1">
      <x:c r="A4" s="7" t="str">
        <x:v>2608.06320</x:v>
      </x:c>
      <x:c r="B4" s="7" t="str">
        <x:v>2026-08</x:v>
      </x:c>
      <x:c r="C4" s="7" t="str">
        <x:v>math.DG</x:v>
      </x:c>
      <x:c r="D4" s="7" t="str">
        <x:v>polytope dihedral rigidity</x:v>
      </x:c>
      <x:c r="E4" s="7" t="str">
        <x:v>Dihedral Rigidity for Convex Polytopes by Smooth Approximation</x:v>
      </x:c>
      <x:c r="F4" s="7" t="str">
        <x:v>Yuchen Bi</x:v>
      </x:c>
      <x:c r="G4" s="7" t="n">
        <x:v>18</x:v>
      </x:c>
      <x:c r="H4" s="7" t="str">
        <x:v>https://arxiv.org/abs/2608.06320</x:v>
      </x:c>
      <x:c r="I4" s="7" t="str">
        <x:v>Smooth-approximation proof of Gromov's dihedral rigidity conjecture for convex polytopes.</x:v>
      </x:c>
      <x:c r="J4" s="32" t="n">
        <x:v>96</x:v>
      </x:c>
      <x:c r="K4" s="32" t="n">
        <x:v>93</x:v>
      </x:c>
      <x:c r="L4" s="32" t="n">
        <x:v>94</x:v>
      </x:c>
      <x:c r="M4" s="32" t="n">
        <x:v>93</x:v>
      </x:c>
      <x:c r="N4" s="32" t="n">
        <x:v>94</x:v>
      </x:c>
      <x:c r="O4" s="32" t="n">
        <x:v>87</x:v>
      </x:c>
      <x:c r="P4" s="32" t="n">
        <x:v>8</x:v>
      </x:c>
      <x:c r="Q4" s="32" t="n">
        <x:v>5</x:v>
      </x:c>
      <x:c r="R4" s="28" t="n">
        <x:f>0.30*J4+0.20*K4+0.25*L4+0.15*M4+0.10*O4</x:f>
        <x:v>93.55000000000001</x:v>
      </x:c>
      <x:c r="S4" s="28" t="n">
        <x:f>0.30*N4+0.20*L4+0.20*K4+0.15*O4+0.15*(100-P4)</x:f>
        <x:v>92.44999999999999</x:v>
      </x:c>
      <x:c r="T4" s="28" t="n">
        <x:f>(R4+S4)/2</x:f>
        <x:v>93</x:v>
      </x:c>
      <x:c r="U4" s="7" t="str">
        <x:v>S_eq=(V+S_H)/2; V and S_H equal-weighted</x:v>
      </x:c>
      <x:c r="V4" s="7" t="str">
        <x:v>Official arXiv abstract/list metadata; discrete-DG rescan checked 2026-08-09</x:v>
      </x:c>
      <x:c r="W4" s="7" t="str">
        <x:v>Selected30pct</x:v>
      </x:c>
      <x:c r="X4" s="7" t="str">
        <x:v>August official math.DG list through 2026-08-10; 70 total; scored pool = ceil(30%)=21; replacements excluded</x:v>
      </x:c>
      <x:c r="Y4" s="7" t="str">
        <x:v>默认主要结论正确；未逐篇逐行 correctness check。离散微分几何补检后评分。</x:v>
      </x:c>
    </x:row>
    <x:row r="5" ht="38" customHeight="1">
      <x:c r="A5" s="7" t="str">
        <x:v>2608.07231</x:v>
      </x:c>
      <x:c r="B5" s="7" t="str">
        <x:v>2026-08</x:v>
      </x:c>
      <x:c r="C5" s="7" t="str">
        <x:v>math.AP/math.DG</x:v>
      </x:c>
      <x:c r="D5" s="7" t="str">
        <x:v>Lorentzian prescribed mean curvature / Liouville rigidity</x:v>
      </x:c>
      <x:c r="E5" s="7" t="str">
        <x:v>Liouville Rigidity for Entire Strictly Spacelike Solutions of a Lorentzian Prescribed Mean Curvature Equation</x:v>
      </x:c>
      <x:c r="F5" s="7" t="str">
        <x:v>Xi-Nan Ma; Tian Wu; Wangzhe Wu; Bao Yu</x:v>
      </x:c>
      <x:c r="G5" s="7" t="n">
        <x:v>25</x:v>
      </x:c>
      <x:c r="H5" s="7" t="str">
        <x:v>https://arxiv.org/abs/2608.07231</x:v>
      </x:c>
      <x:c r="I5" s="7" t="str">
        <x:v>Removes radial, decay, integrability, and uniform-gap assumptions in a subcritical Lorentzian prescribed-mean-curvature Liouville problem, using global Lorentz-factor bounds and new weighted tensor identities.</x:v>
      </x:c>
      <x:c r="J5" s="32" t="n">
        <x:v>94</x:v>
      </x:c>
      <x:c r="K5" s="32" t="n">
        <x:v>93</x:v>
      </x:c>
      <x:c r="L5" s="32" t="n">
        <x:v>95</x:v>
      </x:c>
      <x:c r="M5" s="32" t="n">
        <x:v>92</x:v>
      </x:c>
      <x:c r="N5" s="32" t="n">
        <x:v>95</x:v>
      </x:c>
      <x:c r="O5" s="32" t="n">
        <x:v>86</x:v>
      </x:c>
      <x:c r="P5" s="32" t="n">
        <x:v>10</x:v>
      </x:c>
      <x:c r="Q5" s="32" t="n">
        <x:v>5</x:v>
      </x:c>
      <x:c r="R5" s="28" t="n">
        <x:f>0.30*J5+0.20*K5+0.25*L5+0.15*M5+0.10*O5</x:f>
        <x:v>92.94999999999999</x:v>
      </x:c>
      <x:c r="S5" s="28" t="n">
        <x:f>0.30*N5+0.20*L5+0.20*K5+0.15*O5+0.15*(100-P5)</x:f>
        <x:v>92.5</x:v>
      </x:c>
      <x:c r="T5" s="28" t="n">
        <x:f>(R5+S5)/2</x:f>
        <x:v>92.725</x:v>
      </x:c>
      <x:c r="U5" s="7" t="str">
        <x:v>S_eq=(V+S_H)/2; V and S_H equal-weighted</x:v>
      </x:c>
      <x:c r="V5" s="7" t="str">
        <x:v>Official arXiv abstract and PDF metadata; announced 2026-08-10</x:v>
      </x:c>
      <x:c r="W5" s="7" t="str">
        <x:v>Selected30pct</x:v>
      </x:c>
      <x:c r="X5" s="7" t="str">
        <x:v>August official math.DG list through 2026-08-10; 70 total; scored pool = ceil(30%)=21; replacements excluded</x:v>
      </x:c>
      <x:c r="Y5" s="7" t="str">
        <x:v>默认主要结论正确；未逐篇逐行 correctness check。按 SARE 原则评估，V 与 S_H 等权，并扣除当前 AI 可替代部分。</x:v>
      </x:c>
    </x:row>
    <x:row r="6" ht="38" customHeight="1">
      <x:c r="A6" s="7" t="str">
        <x:v>2608.03575</x:v>
      </x:c>
      <x:c r="B6" s="7" t="str">
        <x:v>2026-08</x:v>
      </x:c>
      <x:c r="C6" s="7" t="str">
        <x:v>math.PR/math.DG/math.GT</x:v>
      </x:c>
      <x:c r="D6" s="7" t="str">
        <x:v>random hyperbolic polyhedra / circle patterns</x:v>
      </x:c>
      <x:c r="E6" s="7" t="str">
        <x:v>A Gauss-Bonnet-Type Dichotomy for Unimodular Random Infinite Trivalent Hyperbolic Polyhedra</x:v>
      </x:c>
      <x:c r="F6" s="7" t="str">
        <x:v>Huabin Ge; Yangxiang Lu; Chuwen Wang; Tian Zhou</x:v>
      </x:c>
      <x:c r="G6" s="7" t="n">
        <x:v>39</x:v>
      </x:c>
      <x:c r="H6" s="7" t="str">
        <x:v>https://arxiv.org/abs/2608.03575</x:v>
      </x:c>
      <x:c r="I6" s="7" t="str">
        <x:v>Unimodular Gauss-Bonnet dichotomy, finite-limit obstruction, a refined ring lemma, Poisson-boundary identification, and positive hyperbolic speed.</x:v>
      </x:c>
      <x:c r="J6" s="32" t="n">
        <x:v>93</x:v>
      </x:c>
      <x:c r="K6" s="32" t="n">
        <x:v>95</x:v>
      </x:c>
      <x:c r="L6" s="32" t="n">
        <x:v>94</x:v>
      </x:c>
      <x:c r="M6" s="32" t="n">
        <x:v>94</x:v>
      </x:c>
      <x:c r="N6" s="32" t="n">
        <x:v>94</x:v>
      </x:c>
      <x:c r="O6" s="32" t="n">
        <x:v>84</x:v>
      </x:c>
      <x:c r="P6" s="32" t="n">
        <x:v>10</x:v>
      </x:c>
      <x:c r="Q6" s="32" t="n">
        <x:v>6</x:v>
      </x:c>
      <x:c r="R6" s="28" t="n">
        <x:f>0.30*J6+0.20*K6+0.25*L6+0.15*M6+0.10*O6</x:f>
        <x:v>92.9</x:v>
      </x:c>
      <x:c r="S6" s="28" t="n">
        <x:f>0.30*N6+0.20*L6+0.20*K6+0.15*O6+0.15*(100-P6)</x:f>
        <x:v>92.1</x:v>
      </x:c>
      <x:c r="T6" s="28" t="n">
        <x:f>(R6+S6)/2</x:f>
        <x:v>92.5</x:v>
      </x:c>
      <x:c r="U6" s="7" t="str">
        <x:v>S_eq=(V+S_H)/2; V and S_H equal-weighted</x:v>
      </x:c>
      <x:c r="V6" s="7" t="str">
        <x:v>Official arXiv abstract/list metadata; discrete-DG rescan checked 2026-08-09</x:v>
      </x:c>
      <x:c r="W6" s="7" t="str">
        <x:v>Selected30pct</x:v>
      </x:c>
      <x:c r="X6" s="7" t="str">
        <x:v>August official math.DG list through 2026-08-10; 70 total; scored pool = ceil(30%)=21; replacements excluded</x:v>
      </x:c>
      <x:c r="Y6" s="7" t="str">
        <x:v>默认主要结论正确；未逐篇逐行 correctness check。离散微分几何补检后评分。</x:v>
      </x:c>
    </x:row>
    <x:row r="7" ht="38" customHeight="1">
      <x:c r="A7" s="7" t="str">
        <x:v>2608.01682</x:v>
      </x:c>
      <x:c r="B7" s="7" t="str">
        <x:v>2026-08</x:v>
      </x:c>
      <x:c r="C7" s="7" t="str">
        <x:v>math.DG</x:v>
      </x:c>
      <x:c r="D7" s="7" t="str">
        <x:v>positive mass theorem / singular AH manifolds</x:v>
      </x:c>
      <x:c r="E7" s="7" t="str">
        <x:v>Positive mass theorems for singular asymptotically hyperbolic manifolds</x:v>
      </x:c>
      <x:c r="F7" s="7" t="str">
        <x:v>Yuguang Shi; Chengzhang Sun; Zijun Wang</x:v>
      </x:c>
      <x:c r="G7" s="7" t="n">
        <x:v>42</x:v>
      </x:c>
      <x:c r="H7" s="7" t="str">
        <x:v>https://arxiv.org/abs/2608.01682</x:v>
      </x:c>
      <x:c r="I7" s="7" t="str">
        <x:v>Positive mass theorem in singular asymptotically hyperbolic setting; strong geometric analysis.</x:v>
      </x:c>
      <x:c r="J7" s="32" t="n">
        <x:v>94</x:v>
      </x:c>
      <x:c r="K7" s="32" t="n">
        <x:v>92</x:v>
      </x:c>
      <x:c r="L7" s="32" t="n">
        <x:v>95</x:v>
      </x:c>
      <x:c r="M7" s="32" t="n">
        <x:v>91</x:v>
      </x:c>
      <x:c r="N7" s="32" t="n">
        <x:v>95</x:v>
      </x:c>
      <x:c r="O7" s="32" t="n">
        <x:v>86</x:v>
      </x:c>
      <x:c r="P7" s="32" t="n">
        <x:v>10</x:v>
      </x:c>
      <x:c r="Q7" s="32" t="n">
        <x:v>5</x:v>
      </x:c>
      <x:c r="R7" s="28" t="n">
        <x:f>0.30*J7+0.20*K7+0.25*L7+0.15*M7+0.10*O7</x:f>
        <x:v>92.6</x:v>
      </x:c>
      <x:c r="S7" s="28" t="n">
        <x:f>0.30*N7+0.20*L7+0.20*K7+0.15*O7+0.15*(100-P7)</x:f>
        <x:v>92.30000000000001</x:v>
      </x:c>
      <x:c r="T7" s="28" t="n">
        <x:f>(R7+S7)/2</x:f>
        <x:v>92.45</x:v>
      </x:c>
      <x:c r="U7" s="7" t="str">
        <x:v>S_eq=(V+S_H)/2; V and S_H equal-weighted</x:v>
      </x:c>
      <x:c r="V7" s="7" t="str">
        <x:v>arXiv official list metadata</x:v>
      </x:c>
      <x:c r="W7" s="7" t="str">
        <x:v>Selected30pct</x:v>
      </x:c>
      <x:c r="X7" s="7" t="str">
        <x:v>August official math.DG list through 2026-08-10; 70 total; scored pool = ceil(30%)=21; replacements excluded</x:v>
      </x:c>
      <x:c r="Y7" s="7" t="str">
        <x:v>默认主要结论正确；未逐篇逐行 correctness check。</x:v>
      </x:c>
    </x:row>
    <x:row r="8" ht="38" customHeight="1">
      <x:c r="A8" s="7" t="str">
        <x:v>2608.07263</x:v>
      </x:c>
      <x:c r="B8" s="7" t="str">
        <x:v>2026-08</x:v>
      </x:c>
      <x:c r="C8" s="7" t="str">
        <x:v>math.DG</x:v>
      </x:c>
      <x:c r="D8" s="7" t="str">
        <x:v>Toda flow / isospectral manifolds</x:v>
      </x:c>
      <x:c r="E8" s="7" t="str">
        <x:v>Diagonalization of the Toda flow for arbitrary isospectral symmetric matrices</x:v>
      </x:c>
      <x:c r="F8" s="7" t="str">
        <x:v>David Martínez Torres; Carlos Tomei</x:v>
      </x:c>
      <x:c r="G8" s="7" t="n">
        <x:v>16</x:v>
      </x:c>
      <x:c r="H8" s="7" t="str">
        <x:v>https://arxiv.org/abs/2608.07263</x:v>
      </x:c>
      <x:c r="I8" s="7" t="str">
        <x:v>Constructs a dense covering atlas that linearizes the Toda flow on arbitrary symmetric isospectral manifolds, based on a new constrained QLU factorization of independent interest.</x:v>
      </x:c>
      <x:c r="J8" s="32" t="n">
        <x:v>92</x:v>
      </x:c>
      <x:c r="K8" s="32" t="n">
        <x:v>94</x:v>
      </x:c>
      <x:c r="L8" s="32" t="n">
        <x:v>92</x:v>
      </x:c>
      <x:c r="M8" s="32" t="n">
        <x:v>92</x:v>
      </x:c>
      <x:c r="N8" s="32" t="n">
        <x:v>93</x:v>
      </x:c>
      <x:c r="O8" s="32" t="n">
        <x:v>86</x:v>
      </x:c>
      <x:c r="P8" s="32" t="n">
        <x:v>12</x:v>
      </x:c>
      <x:c r="Q8" s="32" t="n">
        <x:v>6</x:v>
      </x:c>
      <x:c r="R8" s="28" t="n">
        <x:f>0.30*J8+0.20*K8+0.25*L8+0.15*M8+0.10*O8</x:f>
        <x:v>91.8</x:v>
      </x:c>
      <x:c r="S8" s="28" t="n">
        <x:f>0.30*N8+0.20*L8+0.20*K8+0.15*O8+0.15*(100-P8)</x:f>
        <x:v>91.2</x:v>
      </x:c>
      <x:c r="T8" s="28" t="n">
        <x:f>(R8+S8)/2</x:f>
        <x:v>91.5</x:v>
      </x:c>
      <x:c r="U8" s="7" t="str">
        <x:v>S_eq=(V+S_H)/2; V and S_H equal-weighted</x:v>
      </x:c>
      <x:c r="V8" s="7" t="str">
        <x:v>Official arXiv abstract and PDF metadata; announced 2026-08-10</x:v>
      </x:c>
      <x:c r="W8" s="7" t="str">
        <x:v>Selected30pct</x:v>
      </x:c>
      <x:c r="X8" s="7" t="str">
        <x:v>August official math.DG list through 2026-08-10; 70 total; scored pool = ceil(30%)=21; replacements excluded</x:v>
      </x:c>
      <x:c r="Y8" s="7" t="str">
        <x:v>默认主要结论正确；未逐篇逐行 correctness check。按 SARE 原则评估，V 与 S_H 等权，并扣除当前 AI 可替代部分。</x:v>
      </x:c>
    </x:row>
    <x:row r="9" ht="38" customHeight="1">
      <x:c r="A9" s="7" t="str">
        <x:v>2608.00944</x:v>
      </x:c>
      <x:c r="B9" s="7" t="str">
        <x:v>2026-08</x:v>
      </x:c>
      <x:c r="C9" s="7" t="str">
        <x:v>math.DG</x:v>
      </x:c>
      <x:c r="D9" s="7" t="str">
        <x:v>McKean rigidity / p-Laplacian</x:v>
      </x:c>
      <x:c r="E9" s="7" t="str">
        <x:v>McKean Rigidity for Cocompact Negatively Curved Manifolds and the p-Laplacian</x:v>
      </x:c>
      <x:c r="F9" s="7" t="str">
        <x:v>Kuntao Jin; Bo Zhu</x:v>
      </x:c>
      <x:c r="G9" s="7" t="n">
        <x:v>56</x:v>
      </x:c>
      <x:c r="H9" s="7" t="str">
        <x:v>https://arxiv.org/abs/2608.00944</x:v>
      </x:c>
      <x:c r="I9" s="7" t="str">
        <x:v>Rigidity theorem for negatively curved manifolds and p-Laplacian; high spectral-geometric value.</x:v>
      </x:c>
      <x:c r="J9" s="32" t="n">
        <x:v>92</x:v>
      </x:c>
      <x:c r="K9" s="32" t="n">
        <x:v>91</x:v>
      </x:c>
      <x:c r="L9" s="32" t="n">
        <x:v>93</x:v>
      </x:c>
      <x:c r="M9" s="32" t="n">
        <x:v>90</x:v>
      </x:c>
      <x:c r="N9" s="32" t="n">
        <x:v>93</x:v>
      </x:c>
      <x:c r="O9" s="32" t="n">
        <x:v>86</x:v>
      </x:c>
      <x:c r="P9" s="32" t="n">
        <x:v>11</x:v>
      </x:c>
      <x:c r="Q9" s="32" t="n">
        <x:v>5</x:v>
      </x:c>
      <x:c r="R9" s="28" t="n">
        <x:f>0.30*J9+0.20*K9+0.25*L9+0.15*M9+0.10*O9</x:f>
        <x:v>91.14999999999999</x:v>
      </x:c>
      <x:c r="S9" s="28" t="n">
        <x:f>0.30*N9+0.20*L9+0.20*K9+0.15*O9+0.15*(100-P9)</x:f>
        <x:v>90.95</x:v>
      </x:c>
      <x:c r="T9" s="28" t="n">
        <x:f>(R9+S9)/2</x:f>
        <x:v>91.05</x:v>
      </x:c>
      <x:c r="U9" s="7" t="str">
        <x:v>S_eq=(V+S_H)/2; V and S_H equal-weighted</x:v>
      </x:c>
      <x:c r="V9" s="7" t="str">
        <x:v>arXiv official list metadata</x:v>
      </x:c>
      <x:c r="W9" s="7" t="str">
        <x:v>Selected30pct</x:v>
      </x:c>
      <x:c r="X9" s="7" t="str">
        <x:v>August official math.DG list through 2026-08-10; 70 total; scored pool = ceil(30%)=21; replacements excluded</x:v>
      </x:c>
      <x:c r="Y9" s="7" t="str">
        <x:v>默认主要结论正确；未逐篇逐行 correctness check。</x:v>
      </x:c>
    </x:row>
    <x:row r="10" ht="38" customHeight="1">
      <x:c r="A10" s="7" t="str">
        <x:v>2608.03405</x:v>
      </x:c>
      <x:c r="B10" s="7" t="str">
        <x:v>2026-08</x:v>
      </x:c>
      <x:c r="C10" s="7" t="str">
        <x:v>math.DG</x:v>
      </x:c>
      <x:c r="D10" s="7" t="str">
        <x:v>weighted intermediate Ricci / entropy convexity</x:v>
      </x:c>
      <x:c r="E10" s="7" t="str">
        <x:v>Lower Bound for Weighted Intermediate Ricci Curvature and Tensorial Entropy Convexity</x:v>
      </x:c>
      <x:c r="F10" s="7" t="str">
        <x:v>Chao-Ming Lin; Kai-Hsiang Wang</x:v>
      </x:c>
      <x:c r="G10" s="7" t="n">
        <x:v>60</x:v>
      </x:c>
      <x:c r="H10" s="7" t="str">
        <x:v>https://arxiv.org/abs/2608.03405</x:v>
      </x:c>
      <x:c r="I10" s="7" t="str">
        <x:v>Weighted curvature lower bounds and entropy convexity; strong synthetic/geometric analysis link.</x:v>
      </x:c>
      <x:c r="J10" s="32" t="n">
        <x:v>92</x:v>
      </x:c>
      <x:c r="K10" s="32" t="n">
        <x:v>91</x:v>
      </x:c>
      <x:c r="L10" s="32" t="n">
        <x:v>93</x:v>
      </x:c>
      <x:c r="M10" s="32" t="n">
        <x:v>90</x:v>
      </x:c>
      <x:c r="N10" s="32" t="n">
        <x:v>93</x:v>
      </x:c>
      <x:c r="O10" s="32" t="n">
        <x:v>86</x:v>
      </x:c>
      <x:c r="P10" s="32" t="n">
        <x:v>11</x:v>
      </x:c>
      <x:c r="Q10" s="32" t="n">
        <x:v>5</x:v>
      </x:c>
      <x:c r="R10" s="28" t="n">
        <x:f>0.30*J10+0.20*K10+0.25*L10+0.15*M10+0.10*O10</x:f>
        <x:v>91.14999999999999</x:v>
      </x:c>
      <x:c r="S10" s="28" t="n">
        <x:f>0.30*N10+0.20*L10+0.20*K10+0.15*O10+0.15*(100-P10)</x:f>
        <x:v>90.95</x:v>
      </x:c>
      <x:c r="T10" s="28" t="n">
        <x:f>(R10+S10)/2</x:f>
        <x:v>91.05</x:v>
      </x:c>
      <x:c r="U10" s="7" t="str">
        <x:v>S_eq=(V+S_H)/2; V and S_H equal-weighted</x:v>
      </x:c>
      <x:c r="V10" s="7" t="str">
        <x:v>arXiv official list metadata</x:v>
      </x:c>
      <x:c r="W10" s="7" t="str">
        <x:v>Selected30pct</x:v>
      </x:c>
      <x:c r="X10" s="7" t="str">
        <x:v>August official math.DG list through 2026-08-10; 70 total; scored pool = ceil(30%)=21; replacements excluded</x:v>
      </x:c>
      <x:c r="Y10" s="7" t="str">
        <x:v>默认主要结论正确；未逐篇逐行 correctness check。</x:v>
      </x:c>
    </x:row>
    <x:row r="11" ht="38" customHeight="1">
      <x:c r="A11" s="7" t="str">
        <x:v>2608.04364</x:v>
      </x:c>
      <x:c r="B11" s="7" t="str">
        <x:v>2026-08</x:v>
      </x:c>
      <x:c r="C11" s="7" t="str">
        <x:v>math.DG</x:v>
      </x:c>
      <x:c r="D11" s="7" t="str">
        <x:v>minimal hypersurfaces / Calabi-Yau conjecture</x:v>
      </x:c>
      <x:c r="E11" s="7" t="str">
        <x:v>Calabi-Yau Conjecture for Minimal Hypersurfaces in R^4 with bounded geometry</x:v>
      </x:c>
      <x:c r="F11" s="7" t="str">
        <x:v>Shrey Aryan; Alexander D. McWeeney; Giuseppe Tinaglia</x:v>
      </x:c>
      <x:c r="G11" s="7" t="n">
        <x:v>9</x:v>
      </x:c>
      <x:c r="H11" s="7" t="str">
        <x:v>https://arxiv.org/abs/2608.04364</x:v>
      </x:c>
      <x:c r="I11" s="7" t="str">
        <x:v>Concise theorem around Calabi-Yau conjecture for minimal hypersurfaces.</x:v>
      </x:c>
      <x:c r="J11" s="32" t="n">
        <x:v>92</x:v>
      </x:c>
      <x:c r="K11" s="32" t="n">
        <x:v>91</x:v>
      </x:c>
      <x:c r="L11" s="32" t="n">
        <x:v>93</x:v>
      </x:c>
      <x:c r="M11" s="32" t="n">
        <x:v>90</x:v>
      </x:c>
      <x:c r="N11" s="32" t="n">
        <x:v>93</x:v>
      </x:c>
      <x:c r="O11" s="32" t="n">
        <x:v>86</x:v>
      </x:c>
      <x:c r="P11" s="32" t="n">
        <x:v>11</x:v>
      </x:c>
      <x:c r="Q11" s="32" t="n">
        <x:v>5</x:v>
      </x:c>
      <x:c r="R11" s="28" t="n">
        <x:f>0.30*J11+0.20*K11+0.25*L11+0.15*M11+0.10*O11</x:f>
        <x:v>91.14999999999999</x:v>
      </x:c>
      <x:c r="S11" s="28" t="n">
        <x:f>0.30*N11+0.20*L11+0.20*K11+0.15*O11+0.15*(100-P11)</x:f>
        <x:v>90.95</x:v>
      </x:c>
      <x:c r="T11" s="28" t="n">
        <x:f>(R11+S11)/2</x:f>
        <x:v>91.05</x:v>
      </x:c>
      <x:c r="U11" s="7" t="str">
        <x:v>S_eq=(V+S_H)/2; V and S_H equal-weighted</x:v>
      </x:c>
      <x:c r="V11" s="7" t="str">
        <x:v>arXiv official list metadata</x:v>
      </x:c>
      <x:c r="W11" s="7" t="str">
        <x:v>Selected30pct</x:v>
      </x:c>
      <x:c r="X11" s="7" t="str">
        <x:v>August official math.DG list through 2026-08-10; 70 total; scored pool = ceil(30%)=21; replacements excluded</x:v>
      </x:c>
      <x:c r="Y11" s="7" t="str">
        <x:v>默认主要结论正确；未逐篇逐行 correctness check。</x:v>
      </x:c>
    </x:row>
    <x:row r="12" ht="38" customHeight="1">
      <x:c r="A12" s="7" t="str">
        <x:v>2608.02405</x:v>
      </x:c>
      <x:c r="B12" s="7" t="str">
        <x:v>2026-08</x:v>
      </x:c>
      <x:c r="C12" s="7" t="str">
        <x:v>math.SP/math.DG</x:v>
      </x:c>
      <x:c r="D12" s="7" t="str">
        <x:v>weighted graph discretization / Ricci lower bounds</x:v>
      </x:c>
      <x:c r="E12" s="7" t="str">
        <x:v>A Weighted Discretization of Riemannian Manifolds with Lower Ricci Bounds</x:v>
      </x:c>
      <x:c r="F12" s="7" t="str">
        <x:v>Aditya Tiwari</x:v>
      </x:c>
      <x:c r="G12" s="7" t="n">
        <x:v>16</x:v>
      </x:c>
      <x:c r="H12" s="7" t="str">
        <x:v>https://arxiv.org/abs/2608.02405</x:v>
      </x:c>
      <x:c r="I12" s="7" t="str">
        <x:v>Weighted combinatorial Laplacian with spectral comparison independent of injectivity radius and stability under measured Gromov-Hausdorff convergence.</x:v>
      </x:c>
      <x:c r="J12" s="32" t="n">
        <x:v>92</x:v>
      </x:c>
      <x:c r="K12" s="32" t="n">
        <x:v>92</x:v>
      </x:c>
      <x:c r="L12" s="32" t="n">
        <x:v>92</x:v>
      </x:c>
      <x:c r="M12" s="32" t="n">
        <x:v>92</x:v>
      </x:c>
      <x:c r="N12" s="32" t="n">
        <x:v>92</x:v>
      </x:c>
      <x:c r="O12" s="32" t="n">
        <x:v>84</x:v>
      </x:c>
      <x:c r="P12" s="32" t="n">
        <x:v>11</x:v>
      </x:c>
      <x:c r="Q12" s="32" t="n">
        <x:v>7</x:v>
      </x:c>
      <x:c r="R12" s="28" t="n">
        <x:f>0.30*J12+0.20*K12+0.25*L12+0.15*M12+0.10*O12</x:f>
        <x:v>91.2</x:v>
      </x:c>
      <x:c r="S12" s="28" t="n">
        <x:f>0.30*N12+0.20*L12+0.20*K12+0.15*O12+0.15*(100-P12)</x:f>
        <x:v>90.35</x:v>
      </x:c>
      <x:c r="T12" s="28" t="n">
        <x:f>(R12+S12)/2</x:f>
        <x:v>90.775</x:v>
      </x:c>
      <x:c r="U12" s="7" t="str">
        <x:v>S_eq=(V+S_H)/2; V and S_H equal-weighted</x:v>
      </x:c>
      <x:c r="V12" s="7" t="str">
        <x:v>Official arXiv abstract/list metadata; discrete-DG rescan checked 2026-08-09</x:v>
      </x:c>
      <x:c r="W12" s="7" t="str">
        <x:v>Selected30pct</x:v>
      </x:c>
      <x:c r="X12" s="7" t="str">
        <x:v>August official math.DG list through 2026-08-10; 70 total; scored pool = ceil(30%)=21; replacements excluded</x:v>
      </x:c>
      <x:c r="Y12" s="7" t="str">
        <x:v>默认主要结论正确；未逐篇逐行 correctness check。离散微分几何补检后评分。</x:v>
      </x:c>
    </x:row>
    <x:row r="13" ht="38" customHeight="1">
      <x:c r="A13" s="7" t="str">
        <x:v>2608.06974</x:v>
      </x:c>
      <x:c r="B13" s="7" t="str">
        <x:v>2026-08</x:v>
      </x:c>
      <x:c r="C13" s="7" t="str">
        <x:v>math.DG</x:v>
      </x:c>
      <x:c r="D13" s="7" t="str">
        <x:v>Carnot groups / uniform doubling</x:v>
      </x:c>
      <x:c r="E13" s="7" t="str">
        <x:v>Left-invariant metrics on step-two Carnot groups are uniformly doubling</x:v>
      </x:c>
      <x:c r="F13" s="7" t="str">
        <x:v>Cheng Bi; Ye Zhang</x:v>
      </x:c>
      <x:c r="G13" s="7" t="n">
        <x:v>7</x:v>
      </x:c>
      <x:c r="H13" s="7" t="str">
        <x:v>https://arxiv.org/abs/2608.06974</x:v>
      </x:c>
      <x:c r="I13" s="7" t="str">
        <x:v>Proves the sharp uniform doubling constant 2^Q for all left-invariant Riemannian metrics on every step-two Carnot group, together with a Bishop-Gromov-type estimate.</x:v>
      </x:c>
      <x:c r="J13" s="32" t="n">
        <x:v>92</x:v>
      </x:c>
      <x:c r="K13" s="32" t="n">
        <x:v>92</x:v>
      </x:c>
      <x:c r="L13" s="32" t="n">
        <x:v>91</x:v>
      </x:c>
      <x:c r="M13" s="32" t="n">
        <x:v>92</x:v>
      </x:c>
      <x:c r="N13" s="32" t="n">
        <x:v>92</x:v>
      </x:c>
      <x:c r="O13" s="32" t="n">
        <x:v>86</x:v>
      </x:c>
      <x:c r="P13" s="32" t="n">
        <x:v>12</x:v>
      </x:c>
      <x:c r="Q13" s="32" t="n">
        <x:v>6</x:v>
      </x:c>
      <x:c r="R13" s="28" t="n">
        <x:f>0.30*J13+0.20*K13+0.25*L13+0.15*M13+0.10*O13</x:f>
        <x:v>91.14999999999999</x:v>
      </x:c>
      <x:c r="S13" s="28" t="n">
        <x:f>0.30*N13+0.20*L13+0.20*K13+0.15*O13+0.15*(100-P13)</x:f>
        <x:v>90.30000000000001</x:v>
      </x:c>
      <x:c r="T13" s="28" t="n">
        <x:f>(R13+S13)/2</x:f>
        <x:v>90.725</x:v>
      </x:c>
      <x:c r="U13" s="7" t="str">
        <x:v>S_eq=(V+S_H)/2; V and S_H equal-weighted</x:v>
      </x:c>
      <x:c r="V13" s="7" t="str">
        <x:v>Official arXiv abstract and PDF metadata; announced 2026-08-10</x:v>
      </x:c>
      <x:c r="W13" s="7" t="str">
        <x:v>Selected30pct</x:v>
      </x:c>
      <x:c r="X13" s="7" t="str">
        <x:v>August official math.DG list through 2026-08-10; 70 total; scored pool = ceil(30%)=21; replacements excluded</x:v>
      </x:c>
      <x:c r="Y13" s="7" t="str">
        <x:v>默认主要结论正确；未逐篇逐行 correctness check。按 SARE 原则评估，V 与 S_H 等权，并扣除当前 AI 可替代部分。</x:v>
      </x:c>
    </x:row>
    <x:row r="14" ht="38" customHeight="1">
      <x:c r="A14" s="7" t="str">
        <x:v>2608.07351</x:v>
      </x:c>
      <x:c r="B14" s="7" t="str">
        <x:v>2026-08</x:v>
      </x:c>
      <x:c r="C14" s="7" t="str">
        <x:v>math.DG/math.SG</x:v>
      </x:c>
      <x:c r="D14" s="7" t="str">
        <x:v>singular foliations / Lie algebroids</x:v>
      </x:c>
      <x:c r="E14" s="7" t="str">
        <x:v>Finite-Rank Lie Algebroids for Singular Foliations of Prescribed Vanishing Order</x:v>
      </x:c>
      <x:c r="F14" s="7" t="str">
        <x:v>Austin Davis; Cheng-Yi Hung; Sangjun Ko; Kaichuan Qi</x:v>
      </x:c>
      <x:c r="G14" s="7" t="n">
        <x:v>11</x:v>
      </x:c>
      <x:c r="H14" s="7" t="str">
        <x:v>https://arxiv.org/abs/2608.07351</x:v>
      </x:c>
      <x:c r="I14" s="7" t="str">
        <x:v>Solves a finite-rank realizability problem for prescribed-order vanishing singular foliations via a new construction from left-symmetric and sub-adjacent Lie algebroids.</x:v>
      </x:c>
      <x:c r="J14" s="32" t="n">
        <x:v>91</x:v>
      </x:c>
      <x:c r="K14" s="32" t="n">
        <x:v>94</x:v>
      </x:c>
      <x:c r="L14" s="32" t="n">
        <x:v>89</x:v>
      </x:c>
      <x:c r="M14" s="32" t="n">
        <x:v>91</x:v>
      </x:c>
      <x:c r="N14" s="32" t="n">
        <x:v>92</x:v>
      </x:c>
      <x:c r="O14" s="32" t="n">
        <x:v>85</x:v>
      </x:c>
      <x:c r="P14" s="32" t="n">
        <x:v>14</x:v>
      </x:c>
      <x:c r="Q14" s="32" t="n">
        <x:v>6</x:v>
      </x:c>
      <x:c r="R14" s="28" t="n">
        <x:f>0.30*J14+0.20*K14+0.25*L14+0.15*M14+0.10*O14</x:f>
        <x:v>90.5</x:v>
      </x:c>
      <x:c r="S14" s="28" t="n">
        <x:f>0.30*N14+0.20*L14+0.20*K14+0.15*O14+0.15*(100-P14)</x:f>
        <x:v>89.85000000000001</x:v>
      </x:c>
      <x:c r="T14" s="28" t="n">
        <x:f>(R14+S14)/2</x:f>
        <x:v>90.17500000000001</x:v>
      </x:c>
      <x:c r="U14" s="7" t="str">
        <x:v>S_eq=(V+S_H)/2; V and S_H equal-weighted</x:v>
      </x:c>
      <x:c r="V14" s="7" t="str">
        <x:v>Official arXiv abstract and PDF metadata; announced 2026-08-10</x:v>
      </x:c>
      <x:c r="W14" s="7" t="str">
        <x:v>Selected30pct</x:v>
      </x:c>
      <x:c r="X14" s="7" t="str">
        <x:v>August official math.DG list through 2026-08-10; 70 total; scored pool = ceil(30%)=21; replacements excluded</x:v>
      </x:c>
      <x:c r="Y14" s="7" t="str">
        <x:v>默认主要结论正确；未逐篇逐行 correctness check。按 SARE 原则评估，V 与 S_H 等权，并扣除当前 AI 可替代部分。</x:v>
      </x:c>
    </x:row>
    <x:row r="15" ht="38" customHeight="1">
      <x:c r="A15" s="7" t="str">
        <x:v>2608.03442</x:v>
      </x:c>
      <x:c r="B15" s="7" t="str">
        <x:v>2026-08</x:v>
      </x:c>
      <x:c r="C15" s="7" t="str">
        <x:v>math.MG/math.AP/math.DG</x:v>
      </x:c>
      <x:c r="D15" s="7" t="str">
        <x:v>RCD spaces / harmonic map heat flow</x:v>
      </x:c>
      <x:c r="E15" s="7" t="str">
        <x:v>Lipschitz regularity of harmonic map heat flows from RCD spaces into CAT(0) spaces</x:v>
      </x:c>
      <x:c r="F15" s="7" t="str">
        <x:v>Bang-Xian Han; Hui-Chun Zhang; Xi-Ping Zhu</x:v>
      </x:c>
      <x:c r="G15" s="7" t="str">
        <x:v>-</x:v>
      </x:c>
      <x:c r="H15" s="7" t="str">
        <x:v>https://arxiv.org/abs/2608.03442</x:v>
      </x:c>
      <x:c r="I15" s="7" t="str">
        <x:v>Regularity of harmonic map heat flows in nonsmooth target/source geometry.</x:v>
      </x:c>
      <x:c r="J15" s="32" t="n">
        <x:v>91</x:v>
      </x:c>
      <x:c r="K15" s="32" t="n">
        <x:v>90</x:v>
      </x:c>
      <x:c r="L15" s="32" t="n">
        <x:v>92</x:v>
      </x:c>
      <x:c r="M15" s="32" t="n">
        <x:v>89</x:v>
      </x:c>
      <x:c r="N15" s="32" t="n">
        <x:v>92</x:v>
      </x:c>
      <x:c r="O15" s="32" t="n">
        <x:v>86</x:v>
      </x:c>
      <x:c r="P15" s="32" t="n">
        <x:v>12</x:v>
      </x:c>
      <x:c r="Q15" s="32" t="n">
        <x:v>5</x:v>
      </x:c>
      <x:c r="R15" s="28" t="n">
        <x:f>0.30*J15+0.20*K15+0.25*L15+0.15*M15+0.10*O15</x:f>
        <x:v>90.24999999999999</x:v>
      </x:c>
      <x:c r="S15" s="28" t="n">
        <x:f>0.30*N15+0.20*L15+0.20*K15+0.15*O15+0.15*(100-P15)</x:f>
        <x:v>90.10000000000001</x:v>
      </x:c>
      <x:c r="T15" s="28" t="n">
        <x:f>(R15+S15)/2</x:f>
        <x:v>90.175</x:v>
      </x:c>
      <x:c r="U15" s="7" t="str">
        <x:v>S_eq=(V+S_H)/2; V and S_H equal-weighted</x:v>
      </x:c>
      <x:c r="V15" s="7" t="str">
        <x:v>arXiv official list metadata</x:v>
      </x:c>
      <x:c r="W15" s="7" t="str">
        <x:v>Selected30pct</x:v>
      </x:c>
      <x:c r="X15" s="7" t="str">
        <x:v>August official math.DG list through 2026-08-10; 70 total; scored pool = ceil(30%)=21; replacements excluded</x:v>
      </x:c>
      <x:c r="Y15" s="7" t="str">
        <x:v>默认主要结论正确；未逐篇逐行 correctness check。</x:v>
      </x:c>
    </x:row>
    <x:row r="16" ht="38" customHeight="1">
      <x:c r="A16" s="7" t="str">
        <x:v>2608.03572</x:v>
      </x:c>
      <x:c r="B16" s="7" t="str">
        <x:v>2026-08</x:v>
      </x:c>
      <x:c r="C16" s="7" t="str">
        <x:v>math.DG</x:v>
      </x:c>
      <x:c r="D16" s="7" t="str">
        <x:v>cscK metrics / birational geometry</x:v>
      </x:c>
      <x:c r="E16" s="7" t="str">
        <x:v>CscK metrics on birational models of projective varieties</x:v>
      </x:c>
      <x:c r="F16" s="7" t="str">
        <x:v>Zakarias Sjöström Dyrefelt</x:v>
      </x:c>
      <x:c r="G16" s="7" t="n">
        <x:v>30</x:v>
      </x:c>
      <x:c r="H16" s="7" t="str">
        <x:v>https://arxiv.org/abs/2608.03572</x:v>
      </x:c>
      <x:c r="I16" s="7" t="str">
        <x:v>cscK existence on birational models; central Kähler geometry theme.</x:v>
      </x:c>
      <x:c r="J16" s="32" t="n">
        <x:v>91</x:v>
      </x:c>
      <x:c r="K16" s="32" t="n">
        <x:v>90</x:v>
      </x:c>
      <x:c r="L16" s="32" t="n">
        <x:v>92</x:v>
      </x:c>
      <x:c r="M16" s="32" t="n">
        <x:v>89</x:v>
      </x:c>
      <x:c r="N16" s="32" t="n">
        <x:v>92</x:v>
      </x:c>
      <x:c r="O16" s="32" t="n">
        <x:v>86</x:v>
      </x:c>
      <x:c r="P16" s="32" t="n">
        <x:v>12</x:v>
      </x:c>
      <x:c r="Q16" s="32" t="n">
        <x:v>5</x:v>
      </x:c>
      <x:c r="R16" s="28" t="n">
        <x:f>0.30*J16+0.20*K16+0.25*L16+0.15*M16+0.10*O16</x:f>
        <x:v>90.24999999999999</x:v>
      </x:c>
      <x:c r="S16" s="28" t="n">
        <x:f>0.30*N16+0.20*L16+0.20*K16+0.15*O16+0.15*(100-P16)</x:f>
        <x:v>90.10000000000001</x:v>
      </x:c>
      <x:c r="T16" s="28" t="n">
        <x:f>(R16+S16)/2</x:f>
        <x:v>90.175</x:v>
      </x:c>
      <x:c r="U16" s="7" t="str">
        <x:v>S_eq=(V+S_H)/2; V and S_H equal-weighted</x:v>
      </x:c>
      <x:c r="V16" s="7" t="str">
        <x:v>arXiv official list metadata</x:v>
      </x:c>
      <x:c r="W16" s="7" t="str">
        <x:v>Selected30pct</x:v>
      </x:c>
      <x:c r="X16" s="7" t="str">
        <x:v>August official math.DG list through 2026-08-10; 70 total; scored pool = ceil(30%)=21; replacements excluded</x:v>
      </x:c>
      <x:c r="Y16" s="7" t="str">
        <x:v>默认主要结论正确；未逐篇逐行 correctness check。</x:v>
      </x:c>
    </x:row>
    <x:row r="17" ht="38" customHeight="1">
      <x:c r="A17" s="7" t="str">
        <x:v>2608.04718</x:v>
      </x:c>
      <x:c r="B17" s="7" t="str">
        <x:v>2026-08</x:v>
      </x:c>
      <x:c r="C17" s="7" t="str">
        <x:v>math.DG</x:v>
      </x:c>
      <x:c r="D17" s="7" t="str">
        <x:v>Lorentzian geometry / Schwarzschild</x:v>
      </x:c>
      <x:c r="E17" s="7" t="str">
        <x:v>Ideal points, directed completion and the case of the maximally extended Schwarzschild spacetime</x:v>
      </x:c>
      <x:c r="F17" s="7" t="str">
        <x:v>Nicola Gigli; Argam Ohanyan; Marco Picerni; Zhe-Feng Xu; Matteo Zanardini</x:v>
      </x:c>
      <x:c r="G17" s="7" t="n">
        <x:v>26</x:v>
      </x:c>
      <x:c r="H17" s="7" t="str">
        <x:v>https://arxiv.org/abs/2608.04718</x:v>
      </x:c>
      <x:c r="I17" s="7" t="str">
        <x:v>Metric completion viewpoint on Schwarzschild spacetime; good Lorentzian-geometry contribution.</x:v>
      </x:c>
      <x:c r="J17" s="32" t="n">
        <x:v>91</x:v>
      </x:c>
      <x:c r="K17" s="32" t="n">
        <x:v>90</x:v>
      </x:c>
      <x:c r="L17" s="32" t="n">
        <x:v>92</x:v>
      </x:c>
      <x:c r="M17" s="32" t="n">
        <x:v>89</x:v>
      </x:c>
      <x:c r="N17" s="32" t="n">
        <x:v>92</x:v>
      </x:c>
      <x:c r="O17" s="32" t="n">
        <x:v>86</x:v>
      </x:c>
      <x:c r="P17" s="32" t="n">
        <x:v>12</x:v>
      </x:c>
      <x:c r="Q17" s="32" t="n">
        <x:v>5</x:v>
      </x:c>
      <x:c r="R17" s="28" t="n">
        <x:f>0.30*J17+0.20*K17+0.25*L17+0.15*M17+0.10*O17</x:f>
        <x:v>90.24999999999999</x:v>
      </x:c>
      <x:c r="S17" s="28" t="n">
        <x:f>0.30*N17+0.20*L17+0.20*K17+0.15*O17+0.15*(100-P17)</x:f>
        <x:v>90.10000000000001</x:v>
      </x:c>
      <x:c r="T17" s="28" t="n">
        <x:f>(R17+S17)/2</x:f>
        <x:v>90.175</x:v>
      </x:c>
      <x:c r="U17" s="7" t="str">
        <x:v>S_eq=(V+S_H)/2; V and S_H equal-weighted</x:v>
      </x:c>
      <x:c r="V17" s="7" t="str">
        <x:v>arXiv official list metadata</x:v>
      </x:c>
      <x:c r="W17" s="7" t="str">
        <x:v>Selected30pct</x:v>
      </x:c>
      <x:c r="X17" s="7" t="str">
        <x:v>August official math.DG list through 2026-08-10; 70 total; scored pool = ceil(30%)=21; replacements excluded</x:v>
      </x:c>
      <x:c r="Y17" s="7" t="str">
        <x:v>默认主要结论正确；未逐篇逐行 correctness check。</x:v>
      </x:c>
    </x:row>
    <x:row r="18" ht="38" customHeight="1">
      <x:c r="A18" s="7" t="str">
        <x:v>2608.07021</x:v>
      </x:c>
      <x:c r="B18" s="7" t="str">
        <x:v>2026-08</x:v>
      </x:c>
      <x:c r="C18" s="7" t="str">
        <x:v>math.DG/math-ph/math.NA/math.PR</x:v>
      </x:c>
      <x:c r="D18" s="7" t="str">
        <x:v>symplectic geometry / determinantal Monte Carlo</x:v>
      </x:c>
      <x:c r="E18" s="7" t="str">
        <x:v>Monte Carlo methods on compact symplectic manifolds</x:v>
      </x:c>
      <x:c r="F18" s="7" t="str">
        <x:v>Yuri A. Kordyukov</x:v>
      </x:c>
      <x:c r="G18" s="7" t="n">
        <x:v>16</x:v>
      </x:c>
      <x:c r="H18" s="7" t="str">
        <x:v>https://arxiv.org/abs/2608.07021</x:v>
      </x:c>
      <x:c r="I18" s="7" t="str">
        <x:v>Transfers determinantal-point-process quadrature to prequantized compact symplectic manifolds and proves a central limit theorem with optimal worst-case mean-square-error decay.</x:v>
      </x:c>
      <x:c r="J18" s="32" t="n">
        <x:v>90</x:v>
      </x:c>
      <x:c r="K18" s="32" t="n">
        <x:v>91</x:v>
      </x:c>
      <x:c r="L18" s="32" t="n">
        <x:v>90</x:v>
      </x:c>
      <x:c r="M18" s="32" t="n">
        <x:v>92</x:v>
      </x:c>
      <x:c r="N18" s="32" t="n">
        <x:v>90</x:v>
      </x:c>
      <x:c r="O18" s="32" t="n">
        <x:v>86</x:v>
      </x:c>
      <x:c r="P18" s="32" t="n">
        <x:v>14</x:v>
      </x:c>
      <x:c r="Q18" s="32" t="n">
        <x:v>7</x:v>
      </x:c>
      <x:c r="R18" s="28" t="n">
        <x:f>0.30*J18+0.20*K18+0.25*L18+0.15*M18+0.10*O18</x:f>
        <x:v>90.1</x:v>
      </x:c>
      <x:c r="S18" s="28" t="n">
        <x:f>0.30*N18+0.20*L18+0.20*K18+0.15*O18+0.15*(100-P18)</x:f>
        <x:v>89.00000000000001</x:v>
      </x:c>
      <x:c r="T18" s="28" t="n">
        <x:f>(R18+S18)/2</x:f>
        <x:v>89.55000000000001</x:v>
      </x:c>
      <x:c r="U18" s="7" t="str">
        <x:v>S_eq=(V+S_H)/2; V and S_H equal-weighted</x:v>
      </x:c>
      <x:c r="V18" s="7" t="str">
        <x:v>Official arXiv abstract and PDF metadata; announced 2026-08-10</x:v>
      </x:c>
      <x:c r="W18" s="7" t="str">
        <x:v>Selected30pct</x:v>
      </x:c>
      <x:c r="X18" s="7" t="str">
        <x:v>August official math.DG list through 2026-08-10; 70 total; scored pool = ceil(30%)=21; replacements excluded</x:v>
      </x:c>
      <x:c r="Y18" s="7" t="str">
        <x:v>默认主要结论正确；未逐篇逐行 correctness check。按 SARE 原则评估，V 与 S_H 等权，并扣除当前 AI 可替代部分。</x:v>
      </x:c>
    </x:row>
    <x:row r="19" ht="38" customHeight="1">
      <x:c r="A19" s="7" t="str">
        <x:v>2608.06678</x:v>
      </x:c>
      <x:c r="B19" s="7" t="str">
        <x:v>2026-08</x:v>
      </x:c>
      <x:c r="C19" s="7" t="str">
        <x:v>math.DG</x:v>
      </x:c>
      <x:c r="D19" s="7" t="str">
        <x:v>Lorentzian foliations / transverse causality</x:v>
      </x:c>
      <x:c r="E19" s="7" t="str">
        <x:v>Transverse stable causality in Lorentzian foliations</x:v>
      </x:c>
      <x:c r="F19" s="7" t="str">
        <x:v>Henrique Amador Puel Martins; Ivan Pontual Costa e Silva; Victor Luis Espinoza</x:v>
      </x:c>
      <x:c r="G19" s="7" t="n">
        <x:v>37</x:v>
      </x:c>
      <x:c r="H19" s="7" t="str">
        <x:v>https://arxiv.org/abs/2608.06678</x:v>
      </x:c>
      <x:c r="I19" s="7" t="str">
        <x:v>Introduces transverse stable causality for Lorentzian foliations, proves several structural implications and near-equivalence for simple foliations; the full general equivalence remains open.</x:v>
      </x:c>
      <x:c r="J19" s="32" t="n">
        <x:v>89</x:v>
      </x:c>
      <x:c r="K19" s="32" t="n">
        <x:v>92</x:v>
      </x:c>
      <x:c r="L19" s="32" t="n">
        <x:v>90</x:v>
      </x:c>
      <x:c r="M19" s="32" t="n">
        <x:v>89</x:v>
      </x:c>
      <x:c r="N19" s="32" t="n">
        <x:v>91</x:v>
      </x:c>
      <x:c r="O19" s="32" t="n">
        <x:v>84</x:v>
      </x:c>
      <x:c r="P19" s="32" t="n">
        <x:v>15</x:v>
      </x:c>
      <x:c r="Q19" s="32" t="n">
        <x:v>7</x:v>
      </x:c>
      <x:c r="R19" s="28" t="n">
        <x:f>0.30*J19+0.20*K19+0.25*L19+0.15*M19+0.10*O19</x:f>
        <x:v>89.35</x:v>
      </x:c>
      <x:c r="S19" s="28" t="n">
        <x:f>0.30*N19+0.20*L19+0.20*K19+0.15*O19+0.15*(100-P19)</x:f>
        <x:v>89.05</x:v>
      </x:c>
      <x:c r="T19" s="28" t="n">
        <x:f>(R19+S19)/2</x:f>
        <x:v>89.19999999999999</x:v>
      </x:c>
      <x:c r="U19" s="7" t="str">
        <x:v>S_eq=(V+S_H)/2; V and S_H equal-weighted</x:v>
      </x:c>
      <x:c r="V19" s="7" t="str">
        <x:v>Official arXiv abstract and PDF metadata; announced 2026-08-10</x:v>
      </x:c>
      <x:c r="W19" s="7" t="str">
        <x:v>Selected30pct</x:v>
      </x:c>
      <x:c r="X19" s="7" t="str">
        <x:v>August official math.DG list through 2026-08-10; 70 total; scored pool = ceil(30%)=21; replacements excluded</x:v>
      </x:c>
      <x:c r="Y19" s="7" t="str">
        <x:v>默认主要结论正确；未逐篇逐行 correctness check。按 SARE 原则评估，V 与 S_H 等权，并扣除当前 AI 可替代部分。</x:v>
      </x:c>
    </x:row>
    <x:row r="20">
      <x:c r="A20" t="str">
        <x:v>2608.02370</x:v>
      </x:c>
      <x:c r="B20" t="str">
        <x:v>2026-08</x:v>
      </x:c>
      <x:c r="C20" t="str">
        <x:v>math.DG</x:v>
      </x:c>
      <x:c r="D20" t="str">
        <x:v>minimal products / dynamics</x:v>
      </x:c>
      <x:c r="E20" t="str">
        <x:v>The Geometry and Dynamics of Spiral Minimal Products</x:v>
      </x:c>
      <x:c r="F20" t="str">
        <x:v>Haizhong Li; Yongsheng Zhang</x:v>
      </x:c>
      <x:c r="G20" t="n">
        <x:v>54</x:v>
      </x:c>
      <x:c r="H20" t="str">
        <x:v>https://arxiv.org/abs/2608.02370</x:v>
      </x:c>
      <x:c r="I20" t="str">
        <x:v>Spiral minimal products; strengthens earlier results with geometric dynamics.</x:v>
      </x:c>
      <x:c r="J20" s="33" t="n">
        <x:v>90</x:v>
      </x:c>
      <x:c r="K20" s="33" t="n">
        <x:v>89</x:v>
      </x:c>
      <x:c r="L20" s="33" t="n">
        <x:v>91</x:v>
      </x:c>
      <x:c r="M20" s="33" t="n">
        <x:v>88</x:v>
      </x:c>
      <x:c r="N20" s="33" t="n">
        <x:v>91</x:v>
      </x:c>
      <x:c r="O20" s="33" t="n">
        <x:v>85</x:v>
      </x:c>
      <x:c r="P20" s="33" t="n">
        <x:v>13</x:v>
      </x:c>
      <x:c r="Q20" s="33" t="n">
        <x:v>6</x:v>
      </x:c>
      <x:c r="R20" s="29" t="n">
        <x:f>0.30*J20+0.20*K20+0.25*L20+0.15*M20+0.10*O20</x:f>
        <x:v>89.25</x:v>
      </x:c>
      <x:c r="S20" s="29" t="n">
        <x:f>0.30*N20+0.20*L20+0.20*K20+0.15*O20+0.15*(100-P20)</x:f>
        <x:v>89.1</x:v>
      </x:c>
      <x:c r="T20" s="29" t="n">
        <x:f>(R20+S20)/2</x:f>
        <x:v>89.175</x:v>
      </x:c>
      <x:c r="U20" t="str">
        <x:v>S_eq=(V+S_H)/2; V and S_H equal-weighted</x:v>
      </x:c>
      <x:c r="V20" t="str">
        <x:v>arXiv official list metadata</x:v>
      </x:c>
      <x:c r="W20" t="str">
        <x:v>Selected30pct</x:v>
      </x:c>
      <x:c r="X20" t="str">
        <x:v>August official math.DG list through 2026-08-10; 70 total; scored pool = ceil(30%)=21; replacements excluded</x:v>
      </x:c>
      <x:c r="Y20" t="str">
        <x:v>默认主要结论正确；未逐篇逐行 correctness check。</x:v>
      </x:c>
    </x:row>
    <x:row r="21">
      <x:c r="A21" t="str">
        <x:v>2608.02840</x:v>
      </x:c>
      <x:c r="B21" t="str">
        <x:v>2026-08</x:v>
      </x:c>
      <x:c r="C21" t="str">
        <x:v>math.DG</x:v>
      </x:c>
      <x:c r="D21" t="str">
        <x:v>Ricci flow / homogeneous spaces</x:v>
      </x:c>
      <x:c r="E21" t="str">
        <x:v>Homogeneous spaces with two equivalent isotropy summands develop positive Ricci curvature under Ricci flow</x:v>
      </x:c>
      <x:c r="F21" t="str">
        <x:v>Eric Cochran; Arseny Mingajev; Lawrence Mouillé; Nazia Valiyakath</x:v>
      </x:c>
      <x:c r="G21" t="str">
        <x:v>-</x:v>
      </x:c>
      <x:c r="H21" t="str">
        <x:v>https://arxiv.org/abs/2608.02840</x:v>
      </x:c>
      <x:c r="I21" t="str">
        <x:v>Ricci-flow positivity result for homogeneous spaces.</x:v>
      </x:c>
      <x:c r="J21" s="33" t="n">
        <x:v>90</x:v>
      </x:c>
      <x:c r="K21" s="33" t="n">
        <x:v>89</x:v>
      </x:c>
      <x:c r="L21" s="33" t="n">
        <x:v>91</x:v>
      </x:c>
      <x:c r="M21" s="33" t="n">
        <x:v>88</x:v>
      </x:c>
      <x:c r="N21" s="33" t="n">
        <x:v>91</x:v>
      </x:c>
      <x:c r="O21" s="33" t="n">
        <x:v>85</x:v>
      </x:c>
      <x:c r="P21" s="33" t="n">
        <x:v>13</x:v>
      </x:c>
      <x:c r="Q21" s="33" t="n">
        <x:v>6</x:v>
      </x:c>
      <x:c r="R21" s="29" t="n">
        <x:f>0.30*J21+0.20*K21+0.25*L21+0.15*M21+0.10*O21</x:f>
        <x:v>89.25</x:v>
      </x:c>
      <x:c r="S21" s="29" t="n">
        <x:f>0.30*N21+0.20*L21+0.20*K21+0.15*O21+0.15*(100-P21)</x:f>
        <x:v>89.1</x:v>
      </x:c>
      <x:c r="T21" s="29" t="n">
        <x:f>(R21+S21)/2</x:f>
        <x:v>89.175</x:v>
      </x:c>
      <x:c r="U21" t="str">
        <x:v>S_eq=(V+S_H)/2; V and S_H equal-weighted</x:v>
      </x:c>
      <x:c r="V21" t="str">
        <x:v>arXiv official list metadata</x:v>
      </x:c>
      <x:c r="W21" t="str">
        <x:v>Selected30pct</x:v>
      </x:c>
      <x:c r="X21" t="str">
        <x:v>August official math.DG list through 2026-08-10; 70 total; scored pool = ceil(30%)=21; replacements excluded</x:v>
      </x:c>
      <x:c r="Y21" t="str">
        <x:v>默认主要结论正确；未逐篇逐行 correctness check。</x:v>
      </x:c>
    </x:row>
    <x:row r="22">
      <x:c r="A22" t="str">
        <x:v>2608.03982</x:v>
      </x:c>
      <x:c r="B22" t="str">
        <x:v>2026-08</x:v>
      </x:c>
      <x:c r="C22" t="str">
        <x:v>math.DG/math.MG</x:v>
      </x:c>
      <x:c r="D22" t="str">
        <x:v>surfaces with bounded integral curvature</x:v>
      </x:c>
      <x:c r="E22" t="str">
        <x:v>Analysis on surfaces with locally bounded integral curvature</x:v>
      </x:c>
      <x:c r="F22" t="str">
        <x:v>Sebastian Boldt; Batu Güneysu; Maxime Marot</x:v>
      </x:c>
      <x:c r="G22" t="str">
        <x:v>-</x:v>
      </x:c>
      <x:c r="H22" t="str">
        <x:v>https://arxiv.org/abs/2608.03982</x:v>
      </x:c>
      <x:c r="I22" t="str">
        <x:v>Analysis framework on surfaces with bounded integral curvature.</x:v>
      </x:c>
      <x:c r="J22" s="33" t="n">
        <x:v>90</x:v>
      </x:c>
      <x:c r="K22" s="33" t="n">
        <x:v>89</x:v>
      </x:c>
      <x:c r="L22" s="33" t="n">
        <x:v>91</x:v>
      </x:c>
      <x:c r="M22" s="33" t="n">
        <x:v>88</x:v>
      </x:c>
      <x:c r="N22" s="33" t="n">
        <x:v>91</x:v>
      </x:c>
      <x:c r="O22" s="33" t="n">
        <x:v>85</x:v>
      </x:c>
      <x:c r="P22" s="33" t="n">
        <x:v>13</x:v>
      </x:c>
      <x:c r="Q22" s="33" t="n">
        <x:v>6</x:v>
      </x:c>
      <x:c r="R22" s="29" t="n">
        <x:f>0.30*J22+0.20*K22+0.25*L22+0.15*M22+0.10*O22</x:f>
        <x:v>89.25</x:v>
      </x:c>
      <x:c r="S22" s="29" t="n">
        <x:f>0.30*N22+0.20*L22+0.20*K22+0.15*O22+0.15*(100-P22)</x:f>
        <x:v>89.1</x:v>
      </x:c>
      <x:c r="T22" s="29" t="n">
        <x:f>(R22+S22)/2</x:f>
        <x:v>89.175</x:v>
      </x:c>
      <x:c r="U22" t="str">
        <x:v>S_eq=(V+S_H)/2; V and S_H equal-weighted</x:v>
      </x:c>
      <x:c r="V22" t="str">
        <x:v>arXiv official list metadata</x:v>
      </x:c>
      <x:c r="W22" t="str">
        <x:v>Selected30pct</x:v>
      </x:c>
      <x:c r="X22" t="str">
        <x:v>August official math.DG list through 2026-08-10; 70 total; scored pool = ceil(30%)=21; replacements excluded</x:v>
      </x:c>
      <x:c r="Y22" t="str">
        <x:v>默认主要结论正确；未逐篇逐行 correctness check。</x:v>
      </x:c>
    </x:row>
  </x:sheetData>
  <x:pageMargins left="0.7" right="0.7" top="0.75" bottom="0.75" header="0.3" footer="0.3"/>
  <x:tableParts count="1">
    <x:tablePart xmlns:r="http://schemas.openxmlformats.org/officeDocument/2006/relationships" r:id="Rde0e5862838346e1"/>
  </x:tableParts>
</x:worksheet>
</file>

<file path=xl/worksheets/sheet7.xml><?xml version="1.0" encoding="utf-8"?>
<x:worksheet xmlns:x="http://schemas.openxmlformats.org/spreadsheetml/2006/main">
  <x:sheetFormatPr defaultColWidth="9" defaultRowHeight="13.5"/>
  <x:cols>
    <x:col min="1" max="1" width="8" customWidth="1"/>
    <x:col min="2" max="3" width="12" customWidth="1"/>
    <x:col min="4" max="4" width="48" customWidth="1"/>
    <x:col min="5" max="5" width="34" customWidth="1"/>
    <x:col min="6" max="6" width="26" customWidth="1"/>
    <x:col min="7" max="17" width="8" customWidth="1"/>
    <x:col min="18" max="18" width="30" customWidth="1"/>
    <x:col min="19" max="19" width="12" customWidth="1"/>
    <x:col min="20" max="20" width="48" customWidth="1"/>
  </x:cols>
  <x:sheetData>
    <x:row r="1" ht="28" customHeight="1">
      <x:c r="A1" s="5" t="str">
        <x:v>Rank</x:v>
      </x:c>
      <x:c r="B1" s="5" t="str">
        <x:v>Month</x:v>
      </x:c>
      <x:c r="C1" s="5" t="str">
        <x:v>arXiv</x:v>
      </x:c>
      <x:c r="D1" s="5" t="str">
        <x:v>Title</x:v>
      </x:c>
      <x:c r="E1" s="5" t="str">
        <x:v>Authors</x:v>
      </x:c>
      <x:c r="F1" s="5" t="str">
        <x:v>Theme</x:v>
      </x:c>
      <x:c r="G1" s="5" t="str">
        <x:v>Pages</x:v>
      </x:c>
      <x:c r="H1" s="5" t="str">
        <x:v>Final_S_eq</x:v>
      </x:c>
      <x:c r="I1" s="5" t="str">
        <x:v>V</x:v>
      </x:c>
      <x:c r="J1" s="5" t="str">
        <x:v>S_H</x:v>
      </x:c>
      <x:c r="K1" s="5" t="str">
        <x:v>I</x:v>
      </x:c>
      <x:c r="L1" s="5" t="str">
        <x:v>O</x:v>
      </x:c>
      <x:c r="M1" s="5" t="str">
        <x:v>T</x:v>
      </x:c>
      <x:c r="N1" s="5" t="str">
        <x:v>B</x:v>
      </x:c>
      <x:c r="O1" s="5" t="str">
        <x:v>H</x:v>
      </x:c>
      <x:c r="P1" s="5" t="str">
        <x:v>R</x:v>
      </x:c>
      <x:c r="Q1" s="5" t="str">
        <x:v>AI_pct</x:v>
      </x:c>
      <x:c r="R1" s="5" t="str">
        <x:v>SourceURL</x:v>
      </x:c>
      <x:c r="S1" s="5" t="str">
        <x:v>Top100_flag</x:v>
      </x:c>
      <x:c r="T1" s="5" t="str">
        <x:v>综合判断</x:v>
      </x:c>
    </x:row>
    <x:row r="2" ht="38" customHeight="1">
      <x:c r="A2" s="6" t="n">
        <x:v>1</x:v>
      </x:c>
      <x:c r="B2" s="7" t="str">
        <x:v>2026-06</x:v>
      </x:c>
      <x:c r="C2" s="7" t="str">
        <x:v>2606.01511</x:v>
      </x:c>
      <x:c r="D2" s="7" t="str">
        <x:v>A Branch Set Stratification for Stationary Varifolds with Epsilon-Regularity</x:v>
      </x:c>
      <x:c r="E2" s="7" t="str">
        <x:v>Brian Krummel; Paul Minter; Neshan Wickramasekera</x:v>
      </x:c>
      <x:c r="F2" s="7" t="str">
        <x:v>GMT / stationary varifolds</x:v>
      </x:c>
      <x:c r="G2" s="6" t="n">
        <x:v>119</x:v>
      </x:c>
      <x:c r="H2" s="28" t="n">
        <x:v>95.3</x:v>
      </x:c>
      <x:c r="I2" s="28" t="n">
        <x:v>95.7</x:v>
      </x:c>
      <x:c r="J2" s="28" t="n">
        <x:v>94.9</x:v>
      </x:c>
      <x:c r="K2" s="6" t="n">
        <x:v>98</x:v>
      </x:c>
      <x:c r="L2" s="6" t="n">
        <x:v>95</x:v>
      </x:c>
      <x:c r="M2" s="6" t="n">
        <x:v>96</x:v>
      </x:c>
      <x:c r="N2" s="6" t="n">
        <x:v>94</x:v>
      </x:c>
      <x:c r="O2" s="6" t="n">
        <x:v>97</x:v>
      </x:c>
      <x:c r="P2" s="6" t="n">
        <x:v>92</x:v>
      </x:c>
      <x:c r="Q2" s="6" t="n">
        <x:v>8</x:v>
      </x:c>
      <x:c r="R2" s="7" t="str">
        <x:v>https://arxiv.org/abs/2606.01511</x:v>
      </x:c>
      <x:c r="S2" s="7" t="str">
        <x:v>Top100</x:v>
      </x:c>
      <x:c r="T2" s="7" t="str">
        <x:v>Long branch-set stratification and epsilon-regularity framework for stationary varifolds.</x:v>
      </x:c>
    </x:row>
    <x:row r="3" ht="38" customHeight="1">
      <x:c r="A3" s="6" t="n">
        <x:v>2</x:v>
      </x:c>
      <x:c r="B3" s="7" t="str">
        <x:v>2026-06</x:v>
      </x:c>
      <x:c r="C3" s="7" t="str">
        <x:v>2606.03583</x:v>
      </x:c>
      <x:c r="D3" s="7" t="str">
        <x:v>Closed minimal surfaces of index one in Riemannian manifolds</x:v>
      </x:c>
      <x:c r="E3" s="7" t="str">
        <x:v>Fernando C. Marques; André Neves</x:v>
      </x:c>
      <x:c r="F3" s="7" t="str">
        <x:v>minimal surfaces / min-max</x:v>
      </x:c>
      <x:c r="G3" s="6" t="n">
        <x:v>58</x:v>
      </x:c>
      <x:c r="H3" s="28" t="n">
        <x:v>95.07</x:v>
      </x:c>
      <x:c r="I3" s="28" t="n">
        <x:v>95.25</x:v>
      </x:c>
      <x:c r="J3" s="28" t="n">
        <x:v>94.9</x:v>
      </x:c>
      <x:c r="K3" s="6" t="n">
        <x:v>97</x:v>
      </x:c>
      <x:c r="L3" s="6" t="n">
        <x:v>95</x:v>
      </x:c>
      <x:c r="M3" s="6" t="n">
        <x:v>96</x:v>
      </x:c>
      <x:c r="N3" s="6" t="n">
        <x:v>93</x:v>
      </x:c>
      <x:c r="O3" s="6" t="n">
        <x:v>97</x:v>
      </x:c>
      <x:c r="P3" s="6" t="n">
        <x:v>92</x:v>
      </x:c>
      <x:c r="Q3" s="6" t="n">
        <x:v>8</x:v>
      </x:c>
      <x:c r="R3" s="7" t="str">
        <x:v>https://arxiv.org/abs/2606.03583</x:v>
      </x:c>
      <x:c r="S3" s="7" t="str">
        <x:v>Top100</x:v>
      </x:c>
      <x:c r="T3" s="7" t="str">
        <x:v>Index-one minimal surface theory by leading min-max authors; high conceptual and technical weight.</x:v>
      </x:c>
    </x:row>
    <x:row r="4" ht="38" customHeight="1">
      <x:c r="A4" s="6" t="n">
        <x:v>3</x:v>
      </x:c>
      <x:c r="B4" s="7" t="str">
        <x:v>2026-06</x:v>
      </x:c>
      <x:c r="C4" s="7" t="str">
        <x:v>2606.12257</x:v>
      </x:c>
      <x:c r="D4" s="7" t="str">
        <x:v>Quantum cohomology and split generation in Lagrangian Floer theory</x:v>
      </x:c>
      <x:c r="E4" s="7" t="str">
        <x:v>Mohammed Abouzaid; Kenji Fukaya; Yong-Geun Oh; Hiroshi Ohta; Kaoru Ono</x:v>
      </x:c>
      <x:c r="F4" s="7" t="str">
        <x:v>Floer theory / symplectic geometry</x:v>
      </x:c>
      <x:c r="G4" s="6" t="n">
        <x:v>333</x:v>
      </x:c>
      <x:c r="H4" s="28" t="n">
        <x:v>94.85</x:v>
      </x:c>
      <x:c r="I4" s="28" t="n">
        <x:v>95</x:v>
      </x:c>
      <x:c r="J4" s="28" t="n">
        <x:v>94.7</x:v>
      </x:c>
      <x:c r="K4" s="6" t="n">
        <x:v>97</x:v>
      </x:c>
      <x:c r="L4" s="6" t="n">
        <x:v>95</x:v>
      </x:c>
      <x:c r="M4" s="6" t="n">
        <x:v>95</x:v>
      </x:c>
      <x:c r="N4" s="6" t="n">
        <x:v>93</x:v>
      </x:c>
      <x:c r="O4" s="6" t="n">
        <x:v>97</x:v>
      </x:c>
      <x:c r="P4" s="6" t="n">
        <x:v>92</x:v>
      </x:c>
      <x:c r="Q4" s="6" t="n">
        <x:v>8</x:v>
      </x:c>
      <x:c r="R4" s="7" t="str">
        <x:v>https://arxiv.org/abs/2606.12257</x:v>
      </x:c>
      <x:c r="S4" s="7" t="str">
        <x:v>Top100</x:v>
      </x:c>
      <x:c r="T4" s="7" t="str">
        <x:v>Massive foundational Floer-theoretic contribution with strong downstream value.</x:v>
      </x:c>
    </x:row>
    <x:row r="5" ht="38" customHeight="1">
      <x:c r="A5" s="6" t="n">
        <x:v>4</x:v>
      </x:c>
      <x:c r="B5" s="7" t="str">
        <x:v>2026-06</x:v>
      </x:c>
      <x:c r="C5" s="7" t="str">
        <x:v>2606.30098</x:v>
      </x:c>
      <x:c r="D5" s="7" t="str">
        <x:v>Min-Max Construction of Anisotropic Minimal Surfaces with Genus Bound</x:v>
      </x:c>
      <x:c r="E5" s="7" t="str">
        <x:v>Antonio De Rosa; Aria Halavati; Ling Wang</x:v>
      </x:c>
      <x:c r="F5" s="7" t="str">
        <x:v>anisotropic minimal surfaces</x:v>
      </x:c>
      <x:c r="G5" s="6" t="n">
        <x:v>77</x:v>
      </x:c>
      <x:c r="H5" s="28" t="n">
        <x:v>94.38</x:v>
      </x:c>
      <x:c r="I5" s="28" t="n">
        <x:v>94.7</x:v>
      </x:c>
      <x:c r="J5" s="28" t="n">
        <x:v>94.05</x:v>
      </x:c>
      <x:c r="K5" s="6" t="n">
        <x:v>97</x:v>
      </x:c>
      <x:c r="L5" s="6" t="n">
        <x:v>94</x:v>
      </x:c>
      <x:c r="M5" s="6" t="n">
        <x:v>95</x:v>
      </x:c>
      <x:c r="N5" s="6" t="n">
        <x:v>93</x:v>
      </x:c>
      <x:c r="O5" s="6" t="n">
        <x:v>96</x:v>
      </x:c>
      <x:c r="P5" s="6" t="n">
        <x:v>91</x:v>
      </x:c>
      <x:c r="Q5" s="6" t="n">
        <x:v>8</x:v>
      </x:c>
      <x:c r="R5" s="7" t="str">
        <x:v>https://arxiv.org/abs/2606.30098</x:v>
      </x:c>
      <x:c r="S5" s="7" t="str">
        <x:v>Top100</x:v>
      </x:c>
      <x:c r="T5" s="7" t="str">
        <x:v>Min-max construction with genus control in anisotropic surface theory.</x:v>
      </x:c>
    </x:row>
    <x:row r="6" ht="38" customHeight="1">
      <x:c r="A6" s="6" t="n">
        <x:v>5</x:v>
      </x:c>
      <x:c r="B6" s="7" t="str">
        <x:v>2026-07</x:v>
      </x:c>
      <x:c r="C6" s="7" t="str">
        <x:v>2607.07134</x:v>
      </x:c>
      <x:c r="D6" s="7" t="str">
        <x:v>Naked Singularities beyond Spherical Symmetry: Singular Inner Cauchy Horizons for the Einstein-Scalar Field System</x:v>
      </x:c>
      <x:c r="E6" s="7" t="str">
        <x:v>Xinliang An; Shengrong Wu</x:v>
      </x:c>
      <x:c r="F6" s="7" t="str">
        <x:v>Einstein equations / singularities</x:v>
      </x:c>
      <x:c r="G6" s="6" t="n">
        <x:v>116</x:v>
      </x:c>
      <x:c r="H6" s="28" t="n">
        <x:v>94.35</x:v>
      </x:c>
      <x:c r="I6" s="28" t="n">
        <x:v>94.7</x:v>
      </x:c>
      <x:c r="J6" s="28" t="n">
        <x:v>94</x:v>
      </x:c>
      <x:c r="K6" s="6" t="n">
        <x:v>97</x:v>
      </x:c>
      <x:c r="L6" s="6" t="n">
        <x:v>94</x:v>
      </x:c>
      <x:c r="M6" s="6" t="n">
        <x:v>97</x:v>
      </x:c>
      <x:c r="N6" s="6" t="n">
        <x:v>93</x:v>
      </x:c>
      <x:c r="O6" s="6" t="n">
        <x:v>97</x:v>
      </x:c>
      <x:c r="P6" s="6" t="n">
        <x:v>86</x:v>
      </x:c>
      <x:c r="Q6" s="6" t="n">
        <x:v>8</x:v>
      </x:c>
      <x:c r="R6" s="7" t="str">
        <x:v>https://arxiv.org/abs/2607.07134</x:v>
      </x:c>
      <x:c r="S6" s="7" t="str">
        <x:v>Top100</x:v>
      </x:c>
      <x:c r="T6" s="7" t="str">
        <x:v>Major GR-PDE construction beyond spherical symmetry; strong geometric analysis relevance.</x:v>
      </x:c>
    </x:row>
    <x:row r="7" ht="38" customHeight="1">
      <x:c r="A7" s="6" t="n">
        <x:v>6</x:v>
      </x:c>
      <x:c r="B7" s="7" t="str">
        <x:v>2026-07</x:v>
      </x:c>
      <x:c r="C7" s="7" t="str">
        <x:v>2607.13356</x:v>
      </x:c>
      <x:c r="D7" s="7" t="str">
        <x:v>Analysis of singularities of area-minimizing currents, Part III: branch points of planar frequency != 2, higher order asymptotics, and the local topology</x:v>
      </x:c>
      <x:c r="E7" s="7" t="str">
        <x:v>Brian Krummel; Neshan Wickramasekera</x:v>
      </x:c>
      <x:c r="F7" s="7" t="str">
        <x:v>minimal currents / singularity theory</x:v>
      </x:c>
      <x:c r="G7" s="6" t="n">
        <x:v>156</x:v>
      </x:c>
      <x:c r="H7" s="28" t="n">
        <x:v>94.35</x:v>
      </x:c>
      <x:c r="I7" s="28" t="n">
        <x:v>94.7</x:v>
      </x:c>
      <x:c r="J7" s="28" t="n">
        <x:v>94</x:v>
      </x:c>
      <x:c r="K7" s="6" t="n">
        <x:v>97</x:v>
      </x:c>
      <x:c r="L7" s="6" t="n">
        <x:v>94</x:v>
      </x:c>
      <x:c r="M7" s="6" t="n">
        <x:v>97</x:v>
      </x:c>
      <x:c r="N7" s="6" t="n">
        <x:v>93</x:v>
      </x:c>
      <x:c r="O7" s="6" t="n">
        <x:v>97</x:v>
      </x:c>
      <x:c r="P7" s="6" t="n">
        <x:v>86</x:v>
      </x:c>
      <x:c r="Q7" s="6" t="n">
        <x:v>8</x:v>
      </x:c>
      <x:c r="R7" s="7" t="str">
        <x:v>https://arxiv.org/abs/2607.13356</x:v>
      </x:c>
      <x:c r="S7" s="7" t="str">
        <x:v>Top100</x:v>
      </x:c>
      <x:c r="T7" s="7" t="str">
        <x:v>Large-scale regularity/singularity analysis for area-minimizing currents; exceptional human proof complexity.</x:v>
      </x:c>
    </x:row>
    <x:row r="8" ht="38" customHeight="1">
      <x:c r="A8" s="6" t="n">
        <x:v>7</x:v>
      </x:c>
      <x:c r="B8" s="7" t="str">
        <x:v>2026-06</x:v>
      </x:c>
      <x:c r="C8" s="7" t="str">
        <x:v>2606.13335</x:v>
      </x:c>
      <x:c r="D8" s="7" t="str">
        <x:v>Sharp stability of Alexandrov's theorem for C^1 domains in the small-excess regime</x:v>
      </x:c>
      <x:c r="E8" s="7" t="str">
        <x:v>Alessio Figalli; Yi Ru-Ya Zhang</x:v>
      </x:c>
      <x:c r="F8" s="7" t="str">
        <x:v>geometric inequalities / stability</x:v>
      </x:c>
      <x:c r="G8" s="6" t="n">
        <x:v>59</x:v>
      </x:c>
      <x:c r="H8" s="28" t="n">
        <x:v>94.07</x:v>
      </x:c>
      <x:c r="I8" s="28" t="n">
        <x:v>94.4</x:v>
      </x:c>
      <x:c r="J8" s="28" t="n">
        <x:v>93.75</x:v>
      </x:c>
      <x:c r="K8" s="6" t="n">
        <x:v>96</x:v>
      </x:c>
      <x:c r="L8" s="6" t="n">
        <x:v>94</x:v>
      </x:c>
      <x:c r="M8" s="6" t="n">
        <x:v>95</x:v>
      </x:c>
      <x:c r="N8" s="6" t="n">
        <x:v>93</x:v>
      </x:c>
      <x:c r="O8" s="6" t="n">
        <x:v>95</x:v>
      </x:c>
      <x:c r="P8" s="6" t="n">
        <x:v>91</x:v>
      </x:c>
      <x:c r="Q8" s="6" t="n">
        <x:v>8</x:v>
      </x:c>
      <x:c r="R8" s="7" t="str">
        <x:v>https://arxiv.org/abs/2606.13335</x:v>
      </x:c>
      <x:c r="S8" s="7" t="str">
        <x:v>Top100</x:v>
      </x:c>
      <x:c r="T8" s="7" t="str">
        <x:v>Sharp quantitative stability for Alexandrov-type rigidity.</x:v>
      </x:c>
    </x:row>
    <x:row r="9" ht="38" customHeight="1">
      <x:c r="A9" s="6" t="n">
        <x:v>8</x:v>
      </x:c>
      <x:c r="B9" s="7" t="str">
        <x:v>2026-06</x:v>
      </x:c>
      <x:c r="C9" s="7" t="str">
        <x:v>2606.15795</x:v>
      </x:c>
      <x:c r="D9" s="7" t="str">
        <x:v>Entire area-minimizing surfaces in R^n of density two are quadratic or planar</x:v>
      </x:c>
      <x:c r="E9" s="7" t="str">
        <x:v>Nick Edelen; Luis Atzin Franco Reyna; Paul Minter</x:v>
      </x:c>
      <x:c r="F9" s="7" t="str">
        <x:v>area-minimizing currents</x:v>
      </x:c>
      <x:c r="G9" s="6" t="n">
        <x:v>44</x:v>
      </x:c>
      <x:c r="H9" s="28" t="n">
        <x:v>94.07</x:v>
      </x:c>
      <x:c r="I9" s="28" t="n">
        <x:v>94.4</x:v>
      </x:c>
      <x:c r="J9" s="28" t="n">
        <x:v>93.75</x:v>
      </x:c>
      <x:c r="K9" s="6" t="n">
        <x:v>96</x:v>
      </x:c>
      <x:c r="L9" s="6" t="n">
        <x:v>94</x:v>
      </x:c>
      <x:c r="M9" s="6" t="n">
        <x:v>95</x:v>
      </x:c>
      <x:c r="N9" s="6" t="n">
        <x:v>93</x:v>
      </x:c>
      <x:c r="O9" s="6" t="n">
        <x:v>95</x:v>
      </x:c>
      <x:c r="P9" s="6" t="n">
        <x:v>91</x:v>
      </x:c>
      <x:c r="Q9" s="6" t="n">
        <x:v>8</x:v>
      </x:c>
      <x:c r="R9" s="7" t="str">
        <x:v>https://arxiv.org/abs/2606.15795</x:v>
      </x:c>
      <x:c r="S9" s="7" t="str">
        <x:v>Top100</x:v>
      </x:c>
      <x:c r="T9" s="7" t="str">
        <x:v>Sharp classification for density-two entire area minimizers.</x:v>
      </x:c>
    </x:row>
    <x:row r="10" ht="38" customHeight="1">
      <x:c r="A10" s="6" t="n">
        <x:v>9</x:v>
      </x:c>
      <x:c r="B10" s="7" t="str">
        <x:v>2026-06</x:v>
      </x:c>
      <x:c r="C10" s="7" t="str">
        <x:v>2606.22355</x:v>
      </x:c>
      <x:c r="D10" s="7" t="str">
        <x:v>Uncountably many non-rotationally symmetric type II ancient Yamabe flows on the sphere</x:v>
      </x:c>
      <x:c r="E10" s="7" t="str">
        <x:v>Haixia Chen; Seunghyeok Kim; Monica Musso</x:v>
      </x:c>
      <x:c r="F10" s="7" t="str">
        <x:v>Yamabe flow / ancient solutions</x:v>
      </x:c>
      <x:c r="G10" s="6" t="str">
        <x:v>-</x:v>
      </x:c>
      <x:c r="H10" s="28" t="n">
        <x:v>94</x:v>
      </x:c>
      <x:c r="I10" s="28" t="n">
        <x:v>94.25</x:v>
      </x:c>
      <x:c r="J10" s="28" t="n">
        <x:v>93.75</x:v>
      </x:c>
      <x:c r="K10" s="6" t="n">
        <x:v>96</x:v>
      </x:c>
      <x:c r="L10" s="6" t="n">
        <x:v>94</x:v>
      </x:c>
      <x:c r="M10" s="6" t="n">
        <x:v>95</x:v>
      </x:c>
      <x:c r="N10" s="6" t="n">
        <x:v>92</x:v>
      </x:c>
      <x:c r="O10" s="6" t="n">
        <x:v>95</x:v>
      </x:c>
      <x:c r="P10" s="6" t="n">
        <x:v>91</x:v>
      </x:c>
      <x:c r="Q10" s="6" t="n">
        <x:v>8</x:v>
      </x:c>
      <x:c r="R10" s="7" t="str">
        <x:v>https://arxiv.org/abs/2606.22355</x:v>
      </x:c>
      <x:c r="S10" s="7" t="str">
        <x:v>Top100</x:v>
      </x:c>
      <x:c r="T10" s="7" t="str">
        <x:v>Constructs large family of type-II ancient Yamabe flows with symmetry breaking.</x:v>
      </x:c>
    </x:row>
    <x:row r="11" ht="38" customHeight="1">
      <x:c r="A11" s="6" t="n">
        <x:v>10</x:v>
      </x:c>
      <x:c r="B11" s="7" t="str">
        <x:v>2026-07</x:v>
      </x:c>
      <x:c r="C11" s="7" t="str">
        <x:v>2607.15522</x:v>
      </x:c>
      <x:c r="D11" s="7" t="str">
        <x:v>Nonnegative Bakry--Émery Curvature on Bounded-Degree Graphs Implies Volume Doubling and Poincaré Inequalities</x:v>
      </x:c>
      <x:c r="E11" s="7" t="str">
        <x:v>Qi Guo; Xueping Huang; Yi C. Huang</x:v>
      </x:c>
      <x:c r="F11" s="7" t="str">
        <x:v>discrete Bakry-Émery curvature / graph heat flow</x:v>
      </x:c>
      <x:c r="G11" s="6" t="n">
        <x:v>34</x:v>
      </x:c>
      <x:c r="H11" s="28" t="n">
        <x:v>93.65</x:v>
      </x:c>
      <x:c r="I11" s="28" t="n">
        <x:v>94.3</x:v>
      </x:c>
      <x:c r="J11" s="28" t="n">
        <x:v>93</x:v>
      </x:c>
      <x:c r="K11" s="6" t="n">
        <x:v>96</x:v>
      </x:c>
      <x:c r="L11" s="6" t="n">
        <x:v>94</x:v>
      </x:c>
      <x:c r="M11" s="6" t="n">
        <x:v>95</x:v>
      </x:c>
      <x:c r="N11" s="6" t="n">
        <x:v>95</x:v>
      </x:c>
      <x:c r="O11" s="6" t="n">
        <x:v>95</x:v>
      </x:c>
      <x:c r="P11" s="6" t="n">
        <x:v>87</x:v>
      </x:c>
      <x:c r="Q11" s="6" t="n">
        <x:v>9</x:v>
      </x:c>
      <x:c r="R11" s="7" t="str">
        <x:v>https://arxiv.org/abs/2607.15522</x:v>
      </x:c>
      <x:c r="S11" s="7" t="str">
        <x:v>Top100</x:v>
      </x:c>
      <x:c r="T11" s="7" t="str">
        <x:v>Bounded-degree CD(0,∞) graphs are uniformly volume doubling and satisfy a scale-invariant L2 Poincaré inequality; settles the Cushing-Liu-Peyerimhoff polynomial-growth conjecture in a stronger form.</x:v>
      </x:c>
    </x:row>
    <x:row r="12" ht="38" customHeight="1">
      <x:c r="A12" s="6" t="n">
        <x:v>11</x:v>
      </x:c>
      <x:c r="B12" s="7" t="str">
        <x:v>2026-06</x:v>
      </x:c>
      <x:c r="C12" s="7" t="str">
        <x:v>2606.00964</x:v>
      </x:c>
      <x:c r="D12" s="7" t="str">
        <x:v>Mean convex flows with surgery</x:v>
      </x:c>
      <x:c r="E12" s="7" t="str">
        <x:v>Gabor Szekelyhidi</x:v>
      </x:c>
      <x:c r="F12" s="7" t="str">
        <x:v>mean curvature flow / surgery</x:v>
      </x:c>
      <x:c r="G12" s="6" t="n">
        <x:v>56</x:v>
      </x:c>
      <x:c r="H12" s="28" t="n">
        <x:v>93.55</x:v>
      </x:c>
      <x:c r="I12" s="28" t="n">
        <x:v>93.7</x:v>
      </x:c>
      <x:c r="J12" s="28" t="n">
        <x:v>93.4</x:v>
      </x:c>
      <x:c r="K12" s="6" t="n">
        <x:v>95</x:v>
      </x:c>
      <x:c r="L12" s="6" t="n">
        <x:v>94</x:v>
      </x:c>
      <x:c r="M12" s="6" t="n">
        <x:v>94</x:v>
      </x:c>
      <x:c r="N12" s="6" t="n">
        <x:v>92</x:v>
      </x:c>
      <x:c r="O12" s="6" t="n">
        <x:v>95</x:v>
      </x:c>
      <x:c r="P12" s="6" t="n">
        <x:v>91</x:v>
      </x:c>
      <x:c r="Q12" s="6" t="n">
        <x:v>9</x:v>
      </x:c>
      <x:c r="R12" s="7" t="str">
        <x:v>https://arxiv.org/abs/2606.00964</x:v>
      </x:c>
      <x:c r="S12" s="7" t="str">
        <x:v>Top100</x:v>
      </x:c>
      <x:c r="T12" s="7" t="str">
        <x:v>Mean-convex MCF with surgery; high technical geometric-flow relevance.</x:v>
      </x:c>
    </x:row>
    <x:row r="13" ht="38" customHeight="1">
      <x:c r="A13" s="6" t="n">
        <x:v>12</x:v>
      </x:c>
      <x:c r="B13" s="7" t="str">
        <x:v>2026-06</x:v>
      </x:c>
      <x:c r="C13" s="7" t="str">
        <x:v>2606.15816</x:v>
      </x:c>
      <x:c r="D13" s="7" t="str">
        <x:v>Kähler-Ricci Flow: from divisors to cusps</x:v>
      </x:c>
      <x:c r="E13" s="7" t="str">
        <x:v>Eleonora Di Nezza; Vincent Guedj; Chinh H. Lu</x:v>
      </x:c>
      <x:c r="F13" s="7" t="str">
        <x:v>Kähler-Ricci flow</x:v>
      </x:c>
      <x:c r="G13" s="6" t="str">
        <x:v>-</x:v>
      </x:c>
      <x:c r="H13" s="28" t="n">
        <x:v>93.55</x:v>
      </x:c>
      <x:c r="I13" s="28" t="n">
        <x:v>93.7</x:v>
      </x:c>
      <x:c r="J13" s="28" t="n">
        <x:v>93.4</x:v>
      </x:c>
      <x:c r="K13" s="6" t="n">
        <x:v>95</x:v>
      </x:c>
      <x:c r="L13" s="6" t="n">
        <x:v>94</x:v>
      </x:c>
      <x:c r="M13" s="6" t="n">
        <x:v>94</x:v>
      </x:c>
      <x:c r="N13" s="6" t="n">
        <x:v>92</x:v>
      </x:c>
      <x:c r="O13" s="6" t="n">
        <x:v>95</x:v>
      </x:c>
      <x:c r="P13" s="6" t="n">
        <x:v>91</x:v>
      </x:c>
      <x:c r="Q13" s="6" t="n">
        <x:v>9</x:v>
      </x:c>
      <x:c r="R13" s="7" t="str">
        <x:v>https://arxiv.org/abs/2606.15816</x:v>
      </x:c>
      <x:c r="S13" s="7" t="str">
        <x:v>Top100</x:v>
      </x:c>
      <x:c r="T13" s="7" t="str">
        <x:v>Kähler-Ricci flow transition from divisorial to cusp singularities.</x:v>
      </x:c>
    </x:row>
    <x:row r="14" ht="38" customHeight="1">
      <x:c r="A14" s="6" t="n">
        <x:v>13</x:v>
      </x:c>
      <x:c r="B14" s="7" t="str">
        <x:v>2026-08</x:v>
      </x:c>
      <x:c r="C14" s="7" t="str">
        <x:v>2608.07240</x:v>
      </x:c>
      <x:c r="D14" s="7" t="str">
        <x:v>Critical Geller Equations on Complex Hyperbolic Space: Nondegeneracy, Geodesic Symmetry, and Global Compactness</x:v>
      </x:c>
      <x:c r="E14" s="7" t="str">
        <x:v>Jungang Li</x:v>
      </x:c>
      <x:c r="F14" s="7" t="str">
        <x:v>critical Geller equations / complex hyperbolic geometry</x:v>
      </x:c>
      <x:c r="G14" s="6" t="n">
        <x:v>59</x:v>
      </x:c>
      <x:c r="H14" s="28" t="n">
        <x:v>93.45</x:v>
      </x:c>
      <x:c r="I14" s="28" t="n">
        <x:v>94</x:v>
      </x:c>
      <x:c r="J14" s="28" t="n">
        <x:v>92.9</x:v>
      </x:c>
      <x:c r="K14" s="6" t="n">
        <x:v>95</x:v>
      </x:c>
      <x:c r="L14" s="6" t="n">
        <x:v>94</x:v>
      </x:c>
      <x:c r="M14" s="6" t="n">
        <x:v>96</x:v>
      </x:c>
      <x:c r="N14" s="6" t="n">
        <x:v>94</x:v>
      </x:c>
      <x:c r="O14" s="6" t="n">
        <x:v>95</x:v>
      </x:c>
      <x:c r="P14" s="6" t="n">
        <x:v>86</x:v>
      </x:c>
      <x:c r="Q14" s="6" t="n">
        <x:v>10</x:v>
      </x:c>
      <x:c r="R14" s="7" t="str">
        <x:v>https://arxiv.org/abs/2608.07240</x:v>
      </x:c>
      <x:c r="S14" s="7" t="str">
        <x:v>Top100</x:v>
      </x:c>
      <x:c r="T14" s="7" t="str">
        <x:v>Builds a broad critical Geller/Brezis-Nirenberg theory: sharp constants and classification, invariant-sector profiles and stability, nondegeneracy, compactness, symmetry, asymptotics, and perturbative existence.</x:v>
      </x:c>
    </x:row>
    <x:row r="15" ht="38" customHeight="1">
      <x:c r="A15" s="6" t="n">
        <x:v>14</x:v>
      </x:c>
      <x:c r="B15" s="7" t="str">
        <x:v>2026-06</x:v>
      </x:c>
      <x:c r="C15" s="7" t="str">
        <x:v>2606.30130</x:v>
      </x:c>
      <x:c r="D15" s="7" t="str">
        <x:v>Gromov's dihedral rigidity conjecture in dimension three</x:v>
      </x:c>
      <x:c r="E15" s="7" t="str">
        <x:v>Jinmin Wang; Zhizhang Xie; Guoliang Yu</x:v>
      </x:c>
      <x:c r="F15" s="7" t="str">
        <x:v>scalar curvature / rigidity</x:v>
      </x:c>
      <x:c r="G15" s="6" t="n">
        <x:v>74</x:v>
      </x:c>
      <x:c r="H15" s="28" t="n">
        <x:v>93.38</x:v>
      </x:c>
      <x:c r="I15" s="28" t="n">
        <x:v>93.7</x:v>
      </x:c>
      <x:c r="J15" s="28" t="n">
        <x:v>93.05</x:v>
      </x:c>
      <x:c r="K15" s="6" t="n">
        <x:v>96</x:v>
      </x:c>
      <x:c r="L15" s="6" t="n">
        <x:v>93</x:v>
      </x:c>
      <x:c r="M15" s="6" t="n">
        <x:v>94</x:v>
      </x:c>
      <x:c r="N15" s="6" t="n">
        <x:v>92</x:v>
      </x:c>
      <x:c r="O15" s="6" t="n">
        <x:v>95</x:v>
      </x:c>
      <x:c r="P15" s="6" t="n">
        <x:v>90</x:v>
      </x:c>
      <x:c r="Q15" s="6" t="n">
        <x:v>9</x:v>
      </x:c>
      <x:c r="R15" s="7" t="str">
        <x:v>https://arxiv.org/abs/2606.30130</x:v>
      </x:c>
      <x:c r="S15" s="7" t="str">
        <x:v>Top100</x:v>
      </x:c>
      <x:c r="T15" s="7" t="str">
        <x:v>Major scalar-curvature rigidity conjecture in dimension three.</x:v>
      </x:c>
    </x:row>
    <x:row r="16" ht="38" customHeight="1">
      <x:c r="A16" s="6" t="n">
        <x:v>15</x:v>
      </x:c>
      <x:c r="B16" s="7" t="str">
        <x:v>2026-07</x:v>
      </x:c>
      <x:c r="C16" s="7" t="str">
        <x:v>2607.03152</x:v>
      </x:c>
      <x:c r="D16" s="7" t="str">
        <x:v>Finite-Time Singularities of Lagrangian Mean Curvature Flow with Quantitatively Precise Dynamics</x:v>
      </x:c>
      <x:c r="E16" s="7" t="str">
        <x:v>Maxwell Stolarski; Wei-Bo Su</x:v>
      </x:c>
      <x:c r="F16" s="7" t="str">
        <x:v>Lagrangian mean curvature flow</x:v>
      </x:c>
      <x:c r="G16" s="6" t="n">
        <x:v>110</x:v>
      </x:c>
      <x:c r="H16" s="28" t="n">
        <x:v>93.325</x:v>
      </x:c>
      <x:c r="I16" s="28" t="n">
        <x:v>93.5</x:v>
      </x:c>
      <x:c r="J16" s="28" t="n">
        <x:v>93.15</x:v>
      </x:c>
      <x:c r="K16" s="6" t="n">
        <x:v>95</x:v>
      </x:c>
      <x:c r="L16" s="6" t="n">
        <x:v>93</x:v>
      </x:c>
      <x:c r="M16" s="6" t="n">
        <x:v>96</x:v>
      </x:c>
      <x:c r="N16" s="6" t="n">
        <x:v>92</x:v>
      </x:c>
      <x:c r="O16" s="6" t="n">
        <x:v>96</x:v>
      </x:c>
      <x:c r="P16" s="6" t="n">
        <x:v>86</x:v>
      </x:c>
      <x:c r="Q16" s="6" t="n">
        <x:v>9</x:v>
      </x:c>
      <x:c r="R16" s="7" t="str">
        <x:v>https://arxiv.org/abs/2607.03152</x:v>
      </x:c>
      <x:c r="S16" s="7" t="str">
        <x:v>Top100</x:v>
      </x:c>
      <x:c r="T16" s="7" t="str">
        <x:v>Quantitative singularity dynamics for Lagrangian MCF; technically deep and reusable.</x:v>
      </x:c>
    </x:row>
    <x:row r="17" ht="38" customHeight="1">
      <x:c r="A17" s="6" t="n">
        <x:v>16</x:v>
      </x:c>
      <x:c r="B17" s="7" t="str">
        <x:v>2026-07</x:v>
      </x:c>
      <x:c r="C17" s="7" t="str">
        <x:v>2607.03383</x:v>
      </x:c>
      <x:c r="D17" s="7" t="str">
        <x:v>Unique asymptotics of SO(k)xSO(n-k+1) symmetric ancient ovals of Ricci flow</x:v>
      </x:c>
      <x:c r="E17" s="7" t="str">
        <x:v>Panagiota Daskalopoulos; Wenkui Du; Natasa Sesum; Ziyi Zhao</x:v>
      </x:c>
      <x:c r="F17" s="7" t="str">
        <x:v>Ricci flow / ancient solutions</x:v>
      </x:c>
      <x:c r="G17" s="6" t="n">
        <x:v>78</x:v>
      </x:c>
      <x:c r="H17" s="28" t="n">
        <x:v>93.325</x:v>
      </x:c>
      <x:c r="I17" s="28" t="n">
        <x:v>93.5</x:v>
      </x:c>
      <x:c r="J17" s="28" t="n">
        <x:v>93.15</x:v>
      </x:c>
      <x:c r="K17" s="6" t="n">
        <x:v>95</x:v>
      </x:c>
      <x:c r="L17" s="6" t="n">
        <x:v>93</x:v>
      </x:c>
      <x:c r="M17" s="6" t="n">
        <x:v>96</x:v>
      </x:c>
      <x:c r="N17" s="6" t="n">
        <x:v>92</x:v>
      </x:c>
      <x:c r="O17" s="6" t="n">
        <x:v>96</x:v>
      </x:c>
      <x:c r="P17" s="6" t="n">
        <x:v>86</x:v>
      </x:c>
      <x:c r="Q17" s="6" t="n">
        <x:v>9</x:v>
      </x:c>
      <x:c r="R17" s="7" t="str">
        <x:v>https://arxiv.org/abs/2607.03383</x:v>
      </x:c>
      <x:c r="S17" s="7" t="str">
        <x:v>Top100</x:v>
      </x:c>
      <x:c r="T17" s="7" t="str">
        <x:v>Ancient Ricci-flow asymptotics by leading flow techniques; high geometric PDE value.</x:v>
      </x:c>
    </x:row>
    <x:row r="18" ht="38" customHeight="1">
      <x:c r="A18" s="6" t="n">
        <x:v>17</x:v>
      </x:c>
      <x:c r="B18" s="7" t="str">
        <x:v>2026-07</x:v>
      </x:c>
      <x:c r="C18" s="7" t="str">
        <x:v>2607.11236</x:v>
      </x:c>
      <x:c r="D18" s="7" t="str">
        <x:v>Formation of Trapped Surfaces from Spacelike Initial Data</x:v>
      </x:c>
      <x:c r="E18" s="7" t="str">
        <x:v>Xuantao Chen; Sergiu Klainerman</x:v>
      </x:c>
      <x:c r="F18" s="7" t="str">
        <x:v>general relativity / trapped surfaces</x:v>
      </x:c>
      <x:c r="G18" s="6" t="str">
        <x:v>-</x:v>
      </x:c>
      <x:c r="H18" s="28" t="n">
        <x:v>93.325</x:v>
      </x:c>
      <x:c r="I18" s="28" t="n">
        <x:v>93.5</x:v>
      </x:c>
      <x:c r="J18" s="28" t="n">
        <x:v>93.15</x:v>
      </x:c>
      <x:c r="K18" s="6" t="n">
        <x:v>95</x:v>
      </x:c>
      <x:c r="L18" s="6" t="n">
        <x:v>93</x:v>
      </x:c>
      <x:c r="M18" s="6" t="n">
        <x:v>96</x:v>
      </x:c>
      <x:c r="N18" s="6" t="n">
        <x:v>92</x:v>
      </x:c>
      <x:c r="O18" s="6" t="n">
        <x:v>96</x:v>
      </x:c>
      <x:c r="P18" s="6" t="n">
        <x:v>86</x:v>
      </x:c>
      <x:c r="Q18" s="6" t="n">
        <x:v>9</x:v>
      </x:c>
      <x:c r="R18" s="7" t="str">
        <x:v>https://arxiv.org/abs/2607.11236</x:v>
      </x:c>
      <x:c r="S18" s="7" t="str">
        <x:v>Top100</x:v>
      </x:c>
      <x:c r="T18" s="7" t="str">
        <x:v>High-value trapped-surface formation result; long nonlinear geometric PDE proof architecture.</x:v>
      </x:c>
    </x:row>
    <x:row r="19" ht="38" customHeight="1">
      <x:c r="A19" s="6" t="n">
        <x:v>18</x:v>
      </x:c>
      <x:c r="B19" s="7" t="str">
        <x:v>2026-08</x:v>
      </x:c>
      <x:c r="C19" s="7" t="str">
        <x:v>2608.05128</x:v>
      </x:c>
      <x:c r="D19" s="7" t="str">
        <x:v>Large mass limits of G_2 and Calabi-Yau monopoles: calibrated concentration, Higgs zeros, and abelianization</x:v>
      </x:c>
      <x:c r="E19" s="7" t="str">
        <x:v>Daniel Fadel; Gonçalo Oliveira</x:v>
      </x:c>
      <x:c r="F19" s="7" t="str">
        <x:v>G2/CY monopoles / calibrated geometry</x:v>
      </x:c>
      <x:c r="G19" s="6" t="n">
        <x:v>148</x:v>
      </x:c>
      <x:c r="H19" s="28" t="n">
        <x:v>93.325</x:v>
      </x:c>
      <x:c r="I19" s="28" t="n">
        <x:v>93.5</x:v>
      </x:c>
      <x:c r="J19" s="28" t="n">
        <x:v>93.15</x:v>
      </x:c>
      <x:c r="K19" s="6" t="n">
        <x:v>95</x:v>
      </x:c>
      <x:c r="L19" s="6" t="n">
        <x:v>93</x:v>
      </x:c>
      <x:c r="M19" s="6" t="n">
        <x:v>96</x:v>
      </x:c>
      <x:c r="N19" s="6" t="n">
        <x:v>92</x:v>
      </x:c>
      <x:c r="O19" s="6" t="n">
        <x:v>96</x:v>
      </x:c>
      <x:c r="P19" s="6" t="n">
        <x:v>86</x:v>
      </x:c>
      <x:c r="Q19" s="6" t="n">
        <x:v>9</x:v>
      </x:c>
      <x:c r="R19" s="7" t="str">
        <x:v>https://arxiv.org/abs/2608.05128</x:v>
      </x:c>
      <x:c r="S19" s="7" t="str">
        <x:v>Top100</x:v>
      </x:c>
      <x:c r="T19" s="7" t="str">
        <x:v>Very large gauge/calibrated-geometry work; high human proof burden and structural value.</x:v>
      </x:c>
    </x:row>
    <x:row r="20" ht="38" customHeight="1">
      <x:c r="A20" s="6" t="n">
        <x:v>19</x:v>
      </x:c>
      <x:c r="B20" s="7" t="str">
        <x:v>2026-06</x:v>
      </x:c>
      <x:c r="C20" s="7" t="str">
        <x:v>2606.29135</x:v>
      </x:c>
      <x:c r="D20" s="7" t="str">
        <x:v>Gromov's Simplicial Volume Vanishing Conjecture for Positive Scalar Curvature and Fundamental Group Decay</x:v>
      </x:c>
      <x:c r="E20" s="7" t="str">
        <x:v>Qiaochu Ma; Guoliang Yu</x:v>
      </x:c>
      <x:c r="F20" s="7" t="str">
        <x:v>positive scalar curvature / K-theory</x:v>
      </x:c>
      <x:c r="G20" s="6" t="n">
        <x:v>27</x:v>
      </x:c>
      <x:c r="H20" s="28" t="n">
        <x:v>93.15</x:v>
      </x:c>
      <x:c r="I20" s="28" t="n">
        <x:v>93.25</x:v>
      </x:c>
      <x:c r="J20" s="28" t="n">
        <x:v>93.05</x:v>
      </x:c>
      <x:c r="K20" s="6" t="n">
        <x:v>95</x:v>
      </x:c>
      <x:c r="L20" s="6" t="n">
        <x:v>93</x:v>
      </x:c>
      <x:c r="M20" s="6" t="n">
        <x:v>94</x:v>
      </x:c>
      <x:c r="N20" s="6" t="n">
        <x:v>91</x:v>
      </x:c>
      <x:c r="O20" s="6" t="n">
        <x:v>95</x:v>
      </x:c>
      <x:c r="P20" s="6" t="n">
        <x:v>90</x:v>
      </x:c>
      <x:c r="Q20" s="6" t="n">
        <x:v>9</x:v>
      </x:c>
      <x:c r="R20" s="7" t="str">
        <x:v>https://arxiv.org/abs/2606.29135</x:v>
      </x:c>
      <x:c r="S20" s="7" t="str">
        <x:v>Top100</x:v>
      </x:c>
      <x:c r="T20" s="7" t="str">
        <x:v>Important PSC-topology result toward Gromov-type vanishing conjectures.</x:v>
      </x:c>
    </x:row>
    <x:row r="21" ht="38" customHeight="1">
      <x:c r="A21" s="6" t="n">
        <x:v>20</x:v>
      </x:c>
      <x:c r="B21" s="7" t="str">
        <x:v>2026-06</x:v>
      </x:c>
      <x:c r="C21" s="7" t="str">
        <x:v>2606.21062</x:v>
      </x:c>
      <x:c r="D21" s="7" t="str">
        <x:v>The prescribed Hermitian-Yang-Mills flow I</x:v>
      </x:c>
      <x:c r="E21" s="7" t="str">
        <x:v>Zhiyao Xiong; Xiaokui Yang; Shing-Tung Yau</x:v>
      </x:c>
      <x:c r="F21" s="7" t="str">
        <x:v>Hermitian-Yang-Mills flow</x:v>
      </x:c>
      <x:c r="G21" s="6" t="str">
        <x:v>-</x:v>
      </x:c>
      <x:c r="H21" s="28" t="n">
        <x:v>93.07</x:v>
      </x:c>
      <x:c r="I21" s="28" t="n">
        <x:v>93.4</x:v>
      </x:c>
      <x:c r="J21" s="28" t="n">
        <x:v>92.75</x:v>
      </x:c>
      <x:c r="K21" s="6" t="n">
        <x:v>95</x:v>
      </x:c>
      <x:c r="L21" s="6" t="n">
        <x:v>93</x:v>
      </x:c>
      <x:c r="M21" s="6" t="n">
        <x:v>94</x:v>
      </x:c>
      <x:c r="N21" s="6" t="n">
        <x:v>92</x:v>
      </x:c>
      <x:c r="O21" s="6" t="n">
        <x:v>94</x:v>
      </x:c>
      <x:c r="P21" s="6" t="n">
        <x:v>90</x:v>
      </x:c>
      <x:c r="Q21" s="6" t="n">
        <x:v>9</x:v>
      </x:c>
      <x:c r="R21" s="7" t="str">
        <x:v>https://arxiv.org/abs/2606.21062</x:v>
      </x:c>
      <x:c r="S21" s="7" t="str">
        <x:v>Top100</x:v>
      </x:c>
      <x:c r="T21" s="7" t="str">
        <x:v>First part of prescribed HYM flow program; strong complex differential geometry content.</x:v>
      </x:c>
    </x:row>
    <x:row r="22" ht="38" customHeight="1">
      <x:c r="A22" s="6" t="n">
        <x:v>21</x:v>
      </x:c>
      <x:c r="B22" s="7" t="str">
        <x:v>2026-06</x:v>
      </x:c>
      <x:c r="C22" s="7" t="str">
        <x:v>2606.21073</x:v>
      </x:c>
      <x:c r="D22" s="7" t="str">
        <x:v>The prescribed Hermitian-Yang-Mills flow II</x:v>
      </x:c>
      <x:c r="E22" s="7" t="str">
        <x:v>Zhiyao Xiong; Xiaokui Yang; Shing-Tung Yau</x:v>
      </x:c>
      <x:c r="F22" s="7" t="str">
        <x:v>Hermitian-Yang-Mills flow</x:v>
      </x:c>
      <x:c r="G22" s="6" t="str">
        <x:v>-</x:v>
      </x:c>
      <x:c r="H22" s="28" t="n">
        <x:v>93.07</x:v>
      </x:c>
      <x:c r="I22" s="28" t="n">
        <x:v>93.4</x:v>
      </x:c>
      <x:c r="J22" s="28" t="n">
        <x:v>92.75</x:v>
      </x:c>
      <x:c r="K22" s="6" t="n">
        <x:v>95</x:v>
      </x:c>
      <x:c r="L22" s="6" t="n">
        <x:v>93</x:v>
      </x:c>
      <x:c r="M22" s="6" t="n">
        <x:v>94</x:v>
      </x:c>
      <x:c r="N22" s="6" t="n">
        <x:v>92</x:v>
      </x:c>
      <x:c r="O22" s="6" t="n">
        <x:v>94</x:v>
      </x:c>
      <x:c r="P22" s="6" t="n">
        <x:v>90</x:v>
      </x:c>
      <x:c r="Q22" s="6" t="n">
        <x:v>9</x:v>
      </x:c>
      <x:c r="R22" s="7" t="str">
        <x:v>https://arxiv.org/abs/2606.21073</x:v>
      </x:c>
      <x:c r="S22" s="7" t="str">
        <x:v>Top100</x:v>
      </x:c>
      <x:c r="T22" s="7" t="str">
        <x:v>Second part of prescribed HYM flow program; complements Part I.</x:v>
      </x:c>
    </x:row>
    <x:row r="23" ht="38" customHeight="1">
      <x:c r="A23" s="6" t="n">
        <x:v>22</x:v>
      </x:c>
      <x:c r="B23" s="7" t="str">
        <x:v>2026-08</x:v>
      </x:c>
      <x:c r="C23" s="7" t="str">
        <x:v>2608.06320</x:v>
      </x:c>
      <x:c r="D23" s="7" t="str">
        <x:v>Dihedral Rigidity for Convex Polytopes by Smooth Approximation</x:v>
      </x:c>
      <x:c r="E23" s="7" t="str">
        <x:v>Yuchen Bi</x:v>
      </x:c>
      <x:c r="F23" s="7" t="str">
        <x:v>polytope dihedral rigidity</x:v>
      </x:c>
      <x:c r="G23" s="6" t="n">
        <x:v>18</x:v>
      </x:c>
      <x:c r="H23" s="28" t="n">
        <x:v>93</x:v>
      </x:c>
      <x:c r="I23" s="28" t="n">
        <x:v>93.55</x:v>
      </x:c>
      <x:c r="J23" s="28" t="n">
        <x:v>92.45</x:v>
      </x:c>
      <x:c r="K23" s="6" t="n">
        <x:v>96</x:v>
      </x:c>
      <x:c r="L23" s="6" t="n">
        <x:v>93</x:v>
      </x:c>
      <x:c r="M23" s="6" t="n">
        <x:v>94</x:v>
      </x:c>
      <x:c r="N23" s="6" t="n">
        <x:v>93</x:v>
      </x:c>
      <x:c r="O23" s="6" t="n">
        <x:v>94</x:v>
      </x:c>
      <x:c r="P23" s="6" t="n">
        <x:v>87</x:v>
      </x:c>
      <x:c r="Q23" s="6" t="n">
        <x:v>8</x:v>
      </x:c>
      <x:c r="R23" s="7" t="str">
        <x:v>https://arxiv.org/abs/2608.06320</x:v>
      </x:c>
      <x:c r="S23" s="7" t="str">
        <x:v>Top100</x:v>
      </x:c>
      <x:c r="T23" s="7" t="str">
        <x:v>Smooth-approximation proof of Gromov's dihedral rigidity conjecture for convex polytopes.</x:v>
      </x:c>
    </x:row>
    <x:row r="24" ht="38" customHeight="1">
      <x:c r="A24" s="6" t="n">
        <x:v>23</x:v>
      </x:c>
      <x:c r="B24" s="7" t="str">
        <x:v>2026-08</x:v>
      </x:c>
      <x:c r="C24" s="7" t="str">
        <x:v>2608.07231</x:v>
      </x:c>
      <x:c r="D24" s="7" t="str">
        <x:v>Liouville Rigidity for Entire Strictly Spacelike Solutions of a Lorentzian Prescribed Mean Curvature Equation</x:v>
      </x:c>
      <x:c r="E24" s="7" t="str">
        <x:v>Xi-Nan Ma; Tian Wu; Wangzhe Wu; Bao Yu</x:v>
      </x:c>
      <x:c r="F24" s="7" t="str">
        <x:v>Lorentzian prescribed mean curvature / Liouville rigidity</x:v>
      </x:c>
      <x:c r="G24" s="6" t="n">
        <x:v>25</x:v>
      </x:c>
      <x:c r="H24" s="28" t="n">
        <x:v>92.725</x:v>
      </x:c>
      <x:c r="I24" s="28" t="n">
        <x:v>92.95</x:v>
      </x:c>
      <x:c r="J24" s="28" t="n">
        <x:v>92.5</x:v>
      </x:c>
      <x:c r="K24" s="6" t="n">
        <x:v>94</x:v>
      </x:c>
      <x:c r="L24" s="6" t="n">
        <x:v>93</x:v>
      </x:c>
      <x:c r="M24" s="6" t="n">
        <x:v>95</x:v>
      </x:c>
      <x:c r="N24" s="6" t="n">
        <x:v>92</x:v>
      </x:c>
      <x:c r="O24" s="6" t="n">
        <x:v>95</x:v>
      </x:c>
      <x:c r="P24" s="6" t="n">
        <x:v>86</x:v>
      </x:c>
      <x:c r="Q24" s="6" t="n">
        <x:v>10</x:v>
      </x:c>
      <x:c r="R24" s="7" t="str">
        <x:v>https://arxiv.org/abs/2608.07231</x:v>
      </x:c>
      <x:c r="S24" s="7" t="str">
        <x:v>Top100</x:v>
      </x:c>
      <x:c r="T24" s="7" t="str">
        <x:v>Removes radial, decay, integrability, and uniform-gap assumptions in a subcritical Lorentzian prescribed-mean-curvature Liouville problem, using global Lorentz-factor bounds and new weighted tensor identities.</x:v>
      </x:c>
    </x:row>
    <x:row r="25" ht="38" customHeight="1">
      <x:c r="A25" s="6" t="n">
        <x:v>24</x:v>
      </x:c>
      <x:c r="B25" s="7" t="str">
        <x:v>2026-06</x:v>
      </x:c>
      <x:c r="C25" s="7" t="str">
        <x:v>2606.13301</x:v>
      </x:c>
      <x:c r="D25" s="7" t="str">
        <x:v>Gromov-Hausdorff convergence of time-slices of singular Ricci flows in dimension three</x:v>
      </x:c>
      <x:c r="E25" s="7" t="str">
        <x:v>Yu Li</x:v>
      </x:c>
      <x:c r="F25" s="7" t="str">
        <x:v>singular Ricci flow</x:v>
      </x:c>
      <x:c r="G25" s="6" t="str">
        <x:v>-</x:v>
      </x:c>
      <x:c r="H25" s="28" t="n">
        <x:v>92.62</x:v>
      </x:c>
      <x:c r="I25" s="28" t="n">
        <x:v>92.7</x:v>
      </x:c>
      <x:c r="J25" s="28" t="n">
        <x:v>92.55</x:v>
      </x:c>
      <x:c r="K25" s="6" t="n">
        <x:v>94</x:v>
      </x:c>
      <x:c r="L25" s="6" t="n">
        <x:v>93</x:v>
      </x:c>
      <x:c r="M25" s="6" t="n">
        <x:v>93</x:v>
      </x:c>
      <x:c r="N25" s="6" t="n">
        <x:v>91</x:v>
      </x:c>
      <x:c r="O25" s="6" t="n">
        <x:v>94</x:v>
      </x:c>
      <x:c r="P25" s="6" t="n">
        <x:v>90</x:v>
      </x:c>
      <x:c r="Q25" s="6" t="n">
        <x:v>9</x:v>
      </x:c>
      <x:c r="R25" s="7" t="str">
        <x:v>https://arxiv.org/abs/2606.13301</x:v>
      </x:c>
      <x:c r="S25" s="7" t="str">
        <x:v>Top100</x:v>
      </x:c>
      <x:c r="T25" s="7" t="str">
        <x:v>GH convergence analysis for singular 3D Ricci flows.</x:v>
      </x:c>
    </x:row>
    <x:row r="26" ht="38" customHeight="1">
      <x:c r="A26" s="6" t="n">
        <x:v>25</x:v>
      </x:c>
      <x:c r="B26" s="7" t="str">
        <x:v>2026-06</x:v>
      </x:c>
      <x:c r="C26" s="7" t="str">
        <x:v>2606.21541</x:v>
      </x:c>
      <x:c r="D26" s="7" t="str">
        <x:v>Spectral Analysis for Finite-Time Singularities of Lagrangian Mean Curvature Flow</x:v>
      </x:c>
      <x:c r="E26" s="7" t="str">
        <x:v>Maxwell Stolarski; Wei-Bo Su</x:v>
      </x:c>
      <x:c r="F26" s="7" t="str">
        <x:v>Lagrangian MCF</x:v>
      </x:c>
      <x:c r="G26" s="6" t="n">
        <x:v>64</x:v>
      </x:c>
      <x:c r="H26" s="28" t="n">
        <x:v>92.62</x:v>
      </x:c>
      <x:c r="I26" s="28" t="n">
        <x:v>92.7</x:v>
      </x:c>
      <x:c r="J26" s="28" t="n">
        <x:v>92.55</x:v>
      </x:c>
      <x:c r="K26" s="6" t="n">
        <x:v>94</x:v>
      </x:c>
      <x:c r="L26" s="6" t="n">
        <x:v>93</x:v>
      </x:c>
      <x:c r="M26" s="6" t="n">
        <x:v>93</x:v>
      </x:c>
      <x:c r="N26" s="6" t="n">
        <x:v>91</x:v>
      </x:c>
      <x:c r="O26" s="6" t="n">
        <x:v>94</x:v>
      </x:c>
      <x:c r="P26" s="6" t="n">
        <x:v>90</x:v>
      </x:c>
      <x:c r="Q26" s="6" t="n">
        <x:v>9</x:v>
      </x:c>
      <x:c r="R26" s="7" t="str">
        <x:v>https://arxiv.org/abs/2606.21541</x:v>
      </x:c>
      <x:c r="S26" s="7" t="str">
        <x:v>Top100</x:v>
      </x:c>
      <x:c r="T26" s="7" t="str">
        <x:v>Spectral analysis around finite-time singularity models in Lagrangian MCF.</x:v>
      </x:c>
    </x:row>
    <x:row r="27" ht="38" customHeight="1">
      <x:c r="A27" s="6" t="n">
        <x:v>26</x:v>
      </x:c>
      <x:c r="B27" s="7" t="str">
        <x:v>2026-08</x:v>
      </x:c>
      <x:c r="C27" s="7" t="str">
        <x:v>2608.03575</x:v>
      </x:c>
      <x:c r="D27" s="7" t="str">
        <x:v>A Gauss-Bonnet-Type Dichotomy for Unimodular Random Infinite Trivalent Hyperbolic Polyhedra</x:v>
      </x:c>
      <x:c r="E27" s="7" t="str">
        <x:v>Huabin Ge; Yangxiang Lu; Chuwen Wang; Tian Zhou</x:v>
      </x:c>
      <x:c r="F27" s="7" t="str">
        <x:v>random hyperbolic polyhedra / circle patterns</x:v>
      </x:c>
      <x:c r="G27" s="6" t="n">
        <x:v>39</x:v>
      </x:c>
      <x:c r="H27" s="28" t="n">
        <x:v>92.5</x:v>
      </x:c>
      <x:c r="I27" s="28" t="n">
        <x:v>92.9</x:v>
      </x:c>
      <x:c r="J27" s="28" t="n">
        <x:v>92.1</x:v>
      </x:c>
      <x:c r="K27" s="6" t="n">
        <x:v>93</x:v>
      </x:c>
      <x:c r="L27" s="6" t="n">
        <x:v>95</x:v>
      </x:c>
      <x:c r="M27" s="6" t="n">
        <x:v>94</x:v>
      </x:c>
      <x:c r="N27" s="6" t="n">
        <x:v>94</x:v>
      </x:c>
      <x:c r="O27" s="6" t="n">
        <x:v>94</x:v>
      </x:c>
      <x:c r="P27" s="6" t="n">
        <x:v>84</x:v>
      </x:c>
      <x:c r="Q27" s="6" t="n">
        <x:v>10</x:v>
      </x:c>
      <x:c r="R27" s="7" t="str">
        <x:v>https://arxiv.org/abs/2608.03575</x:v>
      </x:c>
      <x:c r="S27" s="7" t="str">
        <x:v>Top100</x:v>
      </x:c>
      <x:c r="T27" s="7" t="str">
        <x:v>Unimodular Gauss-Bonnet dichotomy, finite-limit obstruction, a refined ring lemma, Poisson-boundary identification, and positive hyperbolic speed.</x:v>
      </x:c>
    </x:row>
    <x:row r="28" ht="38" customHeight="1">
      <x:c r="A28" s="6" t="n">
        <x:v>27</x:v>
      </x:c>
      <x:c r="B28" s="7" t="str">
        <x:v>2026-07</x:v>
      </x:c>
      <x:c r="C28" s="7" t="str">
        <x:v>2607.03930</x:v>
      </x:c>
      <x:c r="D28" s="7" t="str">
        <x:v>De Giorgi varifold solutions to Mean Curvature Flow: a minimizing movements approach</x:v>
      </x:c>
      <x:c r="E28" s="7" t="str">
        <x:v>Tim Laux; Andrea Poiatti</x:v>
      </x:c>
      <x:c r="F28" s="7" t="str">
        <x:v>mean curvature flow / varifolds</x:v>
      </x:c>
      <x:c r="G28" s="6" t="str">
        <x:v>-</x:v>
      </x:c>
      <x:c r="H28" s="28" t="n">
        <x:v>92.45</x:v>
      </x:c>
      <x:c r="I28" s="28" t="n">
        <x:v>92.6</x:v>
      </x:c>
      <x:c r="J28" s="28" t="n">
        <x:v>92.3</x:v>
      </x:c>
      <x:c r="K28" s="6" t="n">
        <x:v>94</x:v>
      </x:c>
      <x:c r="L28" s="6" t="n">
        <x:v>92</x:v>
      </x:c>
      <x:c r="M28" s="6" t="n">
        <x:v>95</x:v>
      </x:c>
      <x:c r="N28" s="6" t="n">
        <x:v>91</x:v>
      </x:c>
      <x:c r="O28" s="6" t="n">
        <x:v>95</x:v>
      </x:c>
      <x:c r="P28" s="6" t="n">
        <x:v>86</x:v>
      </x:c>
      <x:c r="Q28" s="6" t="n">
        <x:v>10</x:v>
      </x:c>
      <x:c r="R28" s="7" t="str">
        <x:v>https://arxiv.org/abs/2607.03930</x:v>
      </x:c>
      <x:c r="S28" s="7" t="str">
        <x:v>Top100</x:v>
      </x:c>
      <x:c r="T28" s="7" t="str">
        <x:v>Variational weak solution framework for MCF; high method transfer potential.</x:v>
      </x:c>
    </x:row>
    <x:row r="29" ht="38" customHeight="1">
      <x:c r="A29" s="6" t="n">
        <x:v>28</x:v>
      </x:c>
      <x:c r="B29" s="7" t="str">
        <x:v>2026-07</x:v>
      </x:c>
      <x:c r="C29" s="7" t="str">
        <x:v>2607.06688</x:v>
      </x:c>
      <x:c r="D29" s="7" t="str">
        <x:v>Poisson K-stability and the semiclassical Yau-Tian-Donaldson correspondence</x:v>
      </x:c>
      <x:c r="E29" s="7" t="str">
        <x:v>Vestislav Apostolov; Brent Pym; Jeffrey Streets</x:v>
      </x:c>
      <x:c r="F29" s="7" t="str">
        <x:v>Poisson K-stability / YTD</x:v>
      </x:c>
      <x:c r="G29" s="6" t="str">
        <x:v>-</x:v>
      </x:c>
      <x:c r="H29" s="28" t="n">
        <x:v>92.45</x:v>
      </x:c>
      <x:c r="I29" s="28" t="n">
        <x:v>92.6</x:v>
      </x:c>
      <x:c r="J29" s="28" t="n">
        <x:v>92.3</x:v>
      </x:c>
      <x:c r="K29" s="6" t="n">
        <x:v>94</x:v>
      </x:c>
      <x:c r="L29" s="6" t="n">
        <x:v>92</x:v>
      </x:c>
      <x:c r="M29" s="6" t="n">
        <x:v>95</x:v>
      </x:c>
      <x:c r="N29" s="6" t="n">
        <x:v>91</x:v>
      </x:c>
      <x:c r="O29" s="6" t="n">
        <x:v>95</x:v>
      </x:c>
      <x:c r="P29" s="6" t="n">
        <x:v>86</x:v>
      </x:c>
      <x:c r="Q29" s="6" t="n">
        <x:v>10</x:v>
      </x:c>
      <x:c r="R29" s="7" t="str">
        <x:v>https://arxiv.org/abs/2607.06688</x:v>
      </x:c>
      <x:c r="S29" s="7" t="str">
        <x:v>Top100</x:v>
      </x:c>
      <x:c r="T29" s="7" t="str">
        <x:v>Connects K-stability/YTD ideas with Poisson geometry; high conceptual breadth.</x:v>
      </x:c>
    </x:row>
    <x:row r="30" ht="38" customHeight="1">
      <x:c r="A30" s="6" t="n">
        <x:v>29</x:v>
      </x:c>
      <x:c r="B30" s="7" t="str">
        <x:v>2026-07</x:v>
      </x:c>
      <x:c r="C30" s="7" t="str">
        <x:v>2607.20741</x:v>
      </x:c>
      <x:c r="D30" s="7" t="str">
        <x:v>The Penrose conjecture for initial data sets satisfying a 2-convexity condition</x:v>
      </x:c>
      <x:c r="E30" s="7" t="str">
        <x:v>Conghan Dong</x:v>
      </x:c>
      <x:c r="F30" s="7" t="str">
        <x:v>Penrose inequality / scalar curvature</x:v>
      </x:c>
      <x:c r="G30" s="6" t="str">
        <x:v>-</x:v>
      </x:c>
      <x:c r="H30" s="28" t="n">
        <x:v>92.45</x:v>
      </x:c>
      <x:c r="I30" s="28" t="n">
        <x:v>92.6</x:v>
      </x:c>
      <x:c r="J30" s="28" t="n">
        <x:v>92.3</x:v>
      </x:c>
      <x:c r="K30" s="6" t="n">
        <x:v>94</x:v>
      </x:c>
      <x:c r="L30" s="6" t="n">
        <x:v>92</x:v>
      </x:c>
      <x:c r="M30" s="6" t="n">
        <x:v>95</x:v>
      </x:c>
      <x:c r="N30" s="6" t="n">
        <x:v>91</x:v>
      </x:c>
      <x:c r="O30" s="6" t="n">
        <x:v>95</x:v>
      </x:c>
      <x:c r="P30" s="6" t="n">
        <x:v>86</x:v>
      </x:c>
      <x:c r="Q30" s="6" t="n">
        <x:v>10</x:v>
      </x:c>
      <x:c r="R30" s="7" t="str">
        <x:v>https://arxiv.org/abs/2607.20741</x:v>
      </x:c>
      <x:c r="S30" s="7" t="str">
        <x:v>Top100</x:v>
      </x:c>
      <x:c r="T30" s="7" t="str">
        <x:v>Penrose-type result under geometric convexity; important in scalar-curvature/GR interface.</x:v>
      </x:c>
    </x:row>
    <x:row r="31" ht="38" customHeight="1">
      <x:c r="A31" s="6" t="n">
        <x:v>30</x:v>
      </x:c>
      <x:c r="B31" s="7" t="str">
        <x:v>2026-07</x:v>
      </x:c>
      <x:c r="C31" s="7" t="str">
        <x:v>2607.23879</x:v>
      </x:c>
      <x:c r="D31" s="7" t="str">
        <x:v>Closed mean curvature flows with prescribed tangent flows</x:v>
      </x:c>
      <x:c r="E31" s="7" t="str">
        <x:v>Jingwen Chen; Tang-Kai Lee; Ao Sun; Xinrui Zhao</x:v>
      </x:c>
      <x:c r="F31" s="7" t="str">
        <x:v>mean curvature flow / tangent flows</x:v>
      </x:c>
      <x:c r="G31" s="6" t="n">
        <x:v>40</x:v>
      </x:c>
      <x:c r="H31" s="28" t="n">
        <x:v>92.45</x:v>
      </x:c>
      <x:c r="I31" s="28" t="n">
        <x:v>92.6</x:v>
      </x:c>
      <x:c r="J31" s="28" t="n">
        <x:v>92.3</x:v>
      </x:c>
      <x:c r="K31" s="6" t="n">
        <x:v>94</x:v>
      </x:c>
      <x:c r="L31" s="6" t="n">
        <x:v>92</x:v>
      </x:c>
      <x:c r="M31" s="6" t="n">
        <x:v>95</x:v>
      </x:c>
      <x:c r="N31" s="6" t="n">
        <x:v>91</x:v>
      </x:c>
      <x:c r="O31" s="6" t="n">
        <x:v>95</x:v>
      </x:c>
      <x:c r="P31" s="6" t="n">
        <x:v>86</x:v>
      </x:c>
      <x:c r="Q31" s="6" t="n">
        <x:v>10</x:v>
      </x:c>
      <x:c r="R31" s="7" t="str">
        <x:v>https://arxiv.org/abs/2607.23879</x:v>
      </x:c>
      <x:c r="S31" s="7" t="str">
        <x:v>Top100</x:v>
      </x:c>
      <x:c r="T31" s="7" t="str">
        <x:v>Prescribed tangent-flow phenomena for closed MCF; strong singularity-theory relevance.</x:v>
      </x:c>
    </x:row>
    <x:row r="32" ht="38" customHeight="1">
      <x:c r="A32" s="6" t="n">
        <x:v>31</x:v>
      </x:c>
      <x:c r="B32" s="7" t="str">
        <x:v>2026-07</x:v>
      </x:c>
      <x:c r="C32" s="7" t="str">
        <x:v>2607.25644</x:v>
      </x:c>
      <x:c r="D32" s="7" t="str">
        <x:v>Gromov-Hausdorff Limits of Noncollapsed Kähler-Ricci Flows and the Geometry of Ricci Shrinkers</x:v>
      </x:c>
      <x:c r="E32" s="7" t="str">
        <x:v>Yu Li; Junsheng Zhang</x:v>
      </x:c>
      <x:c r="F32" s="7" t="str">
        <x:v>Kähler-Ricci flow / Ricci shrinkers</x:v>
      </x:c>
      <x:c r="G32" s="6" t="n">
        <x:v>62</x:v>
      </x:c>
      <x:c r="H32" s="28" t="n">
        <x:v>92.45</x:v>
      </x:c>
      <x:c r="I32" s="28" t="n">
        <x:v>92.6</x:v>
      </x:c>
      <x:c r="J32" s="28" t="n">
        <x:v>92.3</x:v>
      </x:c>
      <x:c r="K32" s="6" t="n">
        <x:v>94</x:v>
      </x:c>
      <x:c r="L32" s="6" t="n">
        <x:v>92</x:v>
      </x:c>
      <x:c r="M32" s="6" t="n">
        <x:v>95</x:v>
      </x:c>
      <x:c r="N32" s="6" t="n">
        <x:v>91</x:v>
      </x:c>
      <x:c r="O32" s="6" t="n">
        <x:v>95</x:v>
      </x:c>
      <x:c r="P32" s="6" t="n">
        <x:v>86</x:v>
      </x:c>
      <x:c r="Q32" s="6" t="n">
        <x:v>10</x:v>
      </x:c>
      <x:c r="R32" s="7" t="str">
        <x:v>https://arxiv.org/abs/2607.25644</x:v>
      </x:c>
      <x:c r="S32" s="7" t="str">
        <x:v>Top100</x:v>
      </x:c>
      <x:c r="T32" s="7" t="str">
        <x:v>Noncollapsed KRF limits and shrinker geometry; central geometric-flow problem area.</x:v>
      </x:c>
    </x:row>
    <x:row r="33" ht="38" customHeight="1">
      <x:c r="A33" s="6" t="n">
        <x:v>32</x:v>
      </x:c>
      <x:c r="B33" s="7" t="str">
        <x:v>2026-07</x:v>
      </x:c>
      <x:c r="C33" s="7" t="str">
        <x:v>2607.29502</x:v>
      </x:c>
      <x:c r="D33" s="7" t="str">
        <x:v>A dichotomy for minimal submanifolds</x:v>
      </x:c>
      <x:c r="E33" s="7" t="str">
        <x:v>Tobias Holck Colding; William P. Minicozzi II</x:v>
      </x:c>
      <x:c r="F33" s="7" t="str">
        <x:v>minimal submanifolds</x:v>
      </x:c>
      <x:c r="G33" s="6" t="str">
        <x:v>-</x:v>
      </x:c>
      <x:c r="H33" s="28" t="n">
        <x:v>92.45</x:v>
      </x:c>
      <x:c r="I33" s="28" t="n">
        <x:v>92.6</x:v>
      </x:c>
      <x:c r="J33" s="28" t="n">
        <x:v>92.3</x:v>
      </x:c>
      <x:c r="K33" s="6" t="n">
        <x:v>94</x:v>
      </x:c>
      <x:c r="L33" s="6" t="n">
        <x:v>92</x:v>
      </x:c>
      <x:c r="M33" s="6" t="n">
        <x:v>95</x:v>
      </x:c>
      <x:c r="N33" s="6" t="n">
        <x:v>91</x:v>
      </x:c>
      <x:c r="O33" s="6" t="n">
        <x:v>95</x:v>
      </x:c>
      <x:c r="P33" s="6" t="n">
        <x:v>86</x:v>
      </x:c>
      <x:c r="Q33" s="6" t="n">
        <x:v>10</x:v>
      </x:c>
      <x:c r="R33" s="7" t="str">
        <x:v>https://arxiv.org/abs/2607.29502</x:v>
      </x:c>
      <x:c r="S33" s="7" t="str">
        <x:v>Top100</x:v>
      </x:c>
      <x:c r="T33" s="7" t="str">
        <x:v>Conceptual dichotomy statement in minimal-submanifold theory by leading authors.</x:v>
      </x:c>
    </x:row>
    <x:row r="34" ht="38" customHeight="1">
      <x:c r="A34" s="6" t="n">
        <x:v>33</x:v>
      </x:c>
      <x:c r="B34" s="7" t="str">
        <x:v>2026-07</x:v>
      </x:c>
      <x:c r="C34" s="7" t="str">
        <x:v>2607.29632</x:v>
      </x:c>
      <x:c r="D34" s="7" t="str">
        <x:v>Regularity of branched stable minimal immersed hypersurfaces</x:v>
      </x:c>
      <x:c r="E34" s="7" t="str">
        <x:v>Gaoming Wang; Xuwen Zhang</x:v>
      </x:c>
      <x:c r="F34" s="7" t="str">
        <x:v>minimal hypersurface regularity</x:v>
      </x:c>
      <x:c r="G34" s="6" t="n">
        <x:v>60</x:v>
      </x:c>
      <x:c r="H34" s="28" t="n">
        <x:v>92.45</x:v>
      </x:c>
      <x:c r="I34" s="28" t="n">
        <x:v>92.6</x:v>
      </x:c>
      <x:c r="J34" s="28" t="n">
        <x:v>92.3</x:v>
      </x:c>
      <x:c r="K34" s="6" t="n">
        <x:v>94</x:v>
      </x:c>
      <x:c r="L34" s="6" t="n">
        <x:v>92</x:v>
      </x:c>
      <x:c r="M34" s="6" t="n">
        <x:v>95</x:v>
      </x:c>
      <x:c r="N34" s="6" t="n">
        <x:v>91</x:v>
      </x:c>
      <x:c r="O34" s="6" t="n">
        <x:v>95</x:v>
      </x:c>
      <x:c r="P34" s="6" t="n">
        <x:v>86</x:v>
      </x:c>
      <x:c r="Q34" s="6" t="n">
        <x:v>10</x:v>
      </x:c>
      <x:c r="R34" s="7" t="str">
        <x:v>https://arxiv.org/abs/2607.29632</x:v>
      </x:c>
      <x:c r="S34" s="7" t="str">
        <x:v>Top100</x:v>
      </x:c>
      <x:c r="T34" s="7" t="str">
        <x:v>Regularity theory for branched stable minimal hypersurfaces; substantial proof burden.</x:v>
      </x:c>
    </x:row>
    <x:row r="35" ht="38" customHeight="1">
      <x:c r="A35" s="6" t="n">
        <x:v>34</x:v>
      </x:c>
      <x:c r="B35" s="7" t="str">
        <x:v>2026-08</x:v>
      </x:c>
      <x:c r="C35" s="7" t="str">
        <x:v>2608.01682</x:v>
      </x:c>
      <x:c r="D35" s="7" t="str">
        <x:v>Positive mass theorems for singular asymptotically hyperbolic manifolds</x:v>
      </x:c>
      <x:c r="E35" s="7" t="str">
        <x:v>Yuguang Shi; Chengzhang Sun; Zijun Wang</x:v>
      </x:c>
      <x:c r="F35" s="7" t="str">
        <x:v>positive mass theorem / singular AH manifolds</x:v>
      </x:c>
      <x:c r="G35" s="6" t="n">
        <x:v>42</x:v>
      </x:c>
      <x:c r="H35" s="28" t="n">
        <x:v>92.45</x:v>
      </x:c>
      <x:c r="I35" s="28" t="n">
        <x:v>92.6</x:v>
      </x:c>
      <x:c r="J35" s="28" t="n">
        <x:v>92.3</x:v>
      </x:c>
      <x:c r="K35" s="6" t="n">
        <x:v>94</x:v>
      </x:c>
      <x:c r="L35" s="6" t="n">
        <x:v>92</x:v>
      </x:c>
      <x:c r="M35" s="6" t="n">
        <x:v>95</x:v>
      </x:c>
      <x:c r="N35" s="6" t="n">
        <x:v>91</x:v>
      </x:c>
      <x:c r="O35" s="6" t="n">
        <x:v>95</x:v>
      </x:c>
      <x:c r="P35" s="6" t="n">
        <x:v>86</x:v>
      </x:c>
      <x:c r="Q35" s="6" t="n">
        <x:v>10</x:v>
      </x:c>
      <x:c r="R35" s="7" t="str">
        <x:v>https://arxiv.org/abs/2608.01682</x:v>
      </x:c>
      <x:c r="S35" s="7" t="str">
        <x:v>Top100</x:v>
      </x:c>
      <x:c r="T35" s="7" t="str">
        <x:v>Positive mass theorem in singular asymptotically hyperbolic setting; strong geometric analysis.</x:v>
      </x:c>
    </x:row>
    <x:row r="36" ht="38" customHeight="1">
      <x:c r="A36" s="6" t="n">
        <x:v>35</x:v>
      </x:c>
      <x:c r="B36" s="7" t="str">
        <x:v>2026-06</x:v>
      </x:c>
      <x:c r="C36" s="7" t="str">
        <x:v>2606.02396</x:v>
      </x:c>
      <x:c r="D36" s="7" t="str">
        <x:v>Existence of free boundary minimal disks in convex regions</x:v>
      </x:c>
      <x:c r="E36" s="7" t="str">
        <x:v>Lorenzo Sarnataro; Douglas Stryker; Zhichao Wang; Xin Zhou</x:v>
      </x:c>
      <x:c r="F36" s="7" t="str">
        <x:v>free boundary minimal surfaces</x:v>
      </x:c>
      <x:c r="G36" s="6" t="n">
        <x:v>22</x:v>
      </x:c>
      <x:c r="H36" s="28" t="n">
        <x:v>92.38</x:v>
      </x:c>
      <x:c r="I36" s="28" t="n">
        <x:v>92.7</x:v>
      </x:c>
      <x:c r="J36" s="28" t="n">
        <x:v>92.05</x:v>
      </x:c>
      <x:c r="K36" s="6" t="n">
        <x:v>95</x:v>
      </x:c>
      <x:c r="L36" s="6" t="n">
        <x:v>92</x:v>
      </x:c>
      <x:c r="M36" s="6" t="n">
        <x:v>93</x:v>
      </x:c>
      <x:c r="N36" s="6" t="n">
        <x:v>91</x:v>
      </x:c>
      <x:c r="O36" s="6" t="n">
        <x:v>94</x:v>
      </x:c>
      <x:c r="P36" s="6" t="n">
        <x:v>89</x:v>
      </x:c>
      <x:c r="Q36" s="6" t="n">
        <x:v>10</x:v>
      </x:c>
      <x:c r="R36" s="7" t="str">
        <x:v>https://arxiv.org/abs/2606.02396</x:v>
      </x:c>
      <x:c r="S36" s="7" t="str">
        <x:v>Top100</x:v>
      </x:c>
      <x:c r="T36" s="7" t="str">
        <x:v>Existence result for free-boundary minimal disks in convex regions.</x:v>
      </x:c>
    </x:row>
    <x:row r="37" ht="38" customHeight="1">
      <x:c r="A37" s="6" t="n">
        <x:v>36</x:v>
      </x:c>
      <x:c r="B37" s="7" t="str">
        <x:v>2026-06</x:v>
      </x:c>
      <x:c r="C37" s="7" t="str">
        <x:v>2606.24682</x:v>
      </x:c>
      <x:c r="D37" s="7" t="str">
        <x:v>The linearized minimal surfaces problem</x:v>
      </x:c>
      <x:c r="E37" s="7" t="str">
        <x:v>Haim Grebnev; Plamen Stefanov; Gunther Uhlmann; Hanming Zhou</x:v>
      </x:c>
      <x:c r="F37" s="7" t="str">
        <x:v>inverse problems / minimal surfaces</x:v>
      </x:c>
      <x:c r="G37" s="6" t="str">
        <x:v>-</x:v>
      </x:c>
      <x:c r="H37" s="28" t="n">
        <x:v>92.38</x:v>
      </x:c>
      <x:c r="I37" s="28" t="n">
        <x:v>92.7</x:v>
      </x:c>
      <x:c r="J37" s="28" t="n">
        <x:v>92.05</x:v>
      </x:c>
      <x:c r="K37" s="6" t="n">
        <x:v>95</x:v>
      </x:c>
      <x:c r="L37" s="6" t="n">
        <x:v>92</x:v>
      </x:c>
      <x:c r="M37" s="6" t="n">
        <x:v>93</x:v>
      </x:c>
      <x:c r="N37" s="6" t="n">
        <x:v>91</x:v>
      </x:c>
      <x:c r="O37" s="6" t="n">
        <x:v>94</x:v>
      </x:c>
      <x:c r="P37" s="6" t="n">
        <x:v>89</x:v>
      </x:c>
      <x:c r="Q37" s="6" t="n">
        <x:v>10</x:v>
      </x:c>
      <x:c r="R37" s="7" t="str">
        <x:v>https://arxiv.org/abs/2606.24682</x:v>
      </x:c>
      <x:c r="S37" s="7" t="str">
        <x:v>Top100</x:v>
      </x:c>
      <x:c r="T37" s="7" t="str">
        <x:v>Linearized inverse-type problem for minimal surfaces with strong analysis component.</x:v>
      </x:c>
    </x:row>
    <x:row r="38" ht="38" customHeight="1">
      <x:c r="A38" s="6" t="n">
        <x:v>37</x:v>
      </x:c>
      <x:c r="B38" s="7" t="str">
        <x:v>2026-06</x:v>
      </x:c>
      <x:c r="C38" s="7" t="str">
        <x:v>2606.24754</x:v>
      </x:c>
      <x:c r="D38" s="7" t="str">
        <x:v>Existence of classical minimal surfaces in 4 and 5-manifolds</x:v>
      </x:c>
      <x:c r="E38" s="7" t="str">
        <x:v>Da Rong Cheng; Xin Zhou</x:v>
      </x:c>
      <x:c r="F38" s="7" t="str">
        <x:v>minimal hypersurfaces</x:v>
      </x:c>
      <x:c r="G38" s="6" t="str">
        <x:v>-</x:v>
      </x:c>
      <x:c r="H38" s="28" t="n">
        <x:v>92.3</x:v>
      </x:c>
      <x:c r="I38" s="28" t="n">
        <x:v>92.55</x:v>
      </x:c>
      <x:c r="J38" s="28" t="n">
        <x:v>92.05</x:v>
      </x:c>
      <x:c r="K38" s="6" t="n">
        <x:v>95</x:v>
      </x:c>
      <x:c r="L38" s="6" t="n">
        <x:v>92</x:v>
      </x:c>
      <x:c r="M38" s="6" t="n">
        <x:v>93</x:v>
      </x:c>
      <x:c r="N38" s="6" t="n">
        <x:v>90</x:v>
      </x:c>
      <x:c r="O38" s="6" t="n">
        <x:v>94</x:v>
      </x:c>
      <x:c r="P38" s="6" t="n">
        <x:v>89</x:v>
      </x:c>
      <x:c r="Q38" s="6" t="n">
        <x:v>10</x:v>
      </x:c>
      <x:c r="R38" s="7" t="str">
        <x:v>https://arxiv.org/abs/2606.24754</x:v>
      </x:c>
      <x:c r="S38" s="7" t="str">
        <x:v>Top100</x:v>
      </x:c>
      <x:c r="T38" s="7" t="str">
        <x:v>Classical minimal surface existence in low-dimensional manifolds.</x:v>
      </x:c>
    </x:row>
    <x:row r="39" ht="38" customHeight="1">
      <x:c r="A39" s="6" t="n">
        <x:v>38</x:v>
      </x:c>
      <x:c r="B39" s="7" t="str">
        <x:v>2026-06</x:v>
      </x:c>
      <x:c r="C39" s="7" t="str">
        <x:v>2606.13011</x:v>
      </x:c>
      <x:c r="D39" s="7" t="str">
        <x:v>Complete Calabi-Yau metrics on noncompact K3 fibered threefolds</x:v>
      </x:c>
      <x:c r="E39" s="7" t="str">
        <x:v>Ruiming Liang</x:v>
      </x:c>
      <x:c r="F39" s="7" t="str">
        <x:v>Calabi-Yau metrics</x:v>
      </x:c>
      <x:c r="G39" s="6" t="n">
        <x:v>71</x:v>
      </x:c>
      <x:c r="H39" s="28" t="n">
        <x:v>92.08</x:v>
      </x:c>
      <x:c r="I39" s="28" t="n">
        <x:v>92.4</x:v>
      </x:c>
      <x:c r="J39" s="28" t="n">
        <x:v>91.75</x:v>
      </x:c>
      <x:c r="K39" s="6" t="n">
        <x:v>94</x:v>
      </x:c>
      <x:c r="L39" s="6" t="n">
        <x:v>92</x:v>
      </x:c>
      <x:c r="M39" s="6" t="n">
        <x:v>93</x:v>
      </x:c>
      <x:c r="N39" s="6" t="n">
        <x:v>91</x:v>
      </x:c>
      <x:c r="O39" s="6" t="n">
        <x:v>93</x:v>
      </x:c>
      <x:c r="P39" s="6" t="n">
        <x:v>89</x:v>
      </x:c>
      <x:c r="Q39" s="6" t="n">
        <x:v>10</x:v>
      </x:c>
      <x:c r="R39" s="7" t="str">
        <x:v>https://arxiv.org/abs/2606.13011</x:v>
      </x:c>
      <x:c r="S39" s="7" t="str">
        <x:v>Top100</x:v>
      </x:c>
      <x:c r="T39" s="7" t="str">
        <x:v>Construction and analysis of complete CY metrics on noncompact K3-fibered threefolds.</x:v>
      </x:c>
    </x:row>
    <x:row r="40" ht="38" customHeight="1">
      <x:c r="A40" s="6" t="n">
        <x:v>39</x:v>
      </x:c>
      <x:c r="B40" s="7" t="str">
        <x:v>2026-06</x:v>
      </x:c>
      <x:c r="C40" s="7" t="str">
        <x:v>2606.16033</x:v>
      </x:c>
      <x:c r="D40" s="7" t="str">
        <x:v>Admissibility, Topology, and the sigma_k-Loewner-Nirenberg problem</x:v>
      </x:c>
      <x:c r="E40" s="7" t="str">
        <x:v>Hao Fang; Matthew J. Gursky</x:v>
      </x:c>
      <x:c r="F40" s="7" t="str">
        <x:v>conformal geometry / fully nonlinear PDE</x:v>
      </x:c>
      <x:c r="G40" s="6" t="str">
        <x:v>-</x:v>
      </x:c>
      <x:c r="H40" s="28" t="n">
        <x:v>92.08</x:v>
      </x:c>
      <x:c r="I40" s="28" t="n">
        <x:v>92.4</x:v>
      </x:c>
      <x:c r="J40" s="28" t="n">
        <x:v>91.75</x:v>
      </x:c>
      <x:c r="K40" s="6" t="n">
        <x:v>94</x:v>
      </x:c>
      <x:c r="L40" s="6" t="n">
        <x:v>92</x:v>
      </x:c>
      <x:c r="M40" s="6" t="n">
        <x:v>93</x:v>
      </x:c>
      <x:c r="N40" s="6" t="n">
        <x:v>91</x:v>
      </x:c>
      <x:c r="O40" s="6" t="n">
        <x:v>93</x:v>
      </x:c>
      <x:c r="P40" s="6" t="n">
        <x:v>89</x:v>
      </x:c>
      <x:c r="Q40" s="6" t="n">
        <x:v>10</x:v>
      </x:c>
      <x:c r="R40" s="7" t="str">
        <x:v>https://arxiv.org/abs/2606.16033</x:v>
      </x:c>
      <x:c r="S40" s="7" t="str">
        <x:v>Top100</x:v>
      </x:c>
      <x:c r="T40" s="7" t="str">
        <x:v>Topology and admissibility in the sigma_k-Loewner-Nirenberg problem.</x:v>
      </x:c>
    </x:row>
    <x:row r="41" ht="38" customHeight="1">
      <x:c r="A41" s="6" t="n">
        <x:v>40</x:v>
      </x:c>
      <x:c r="B41" s="7" t="str">
        <x:v>2026-06</x:v>
      </x:c>
      <x:c r="C41" s="7" t="str">
        <x:v>2606.22441</x:v>
      </x:c>
      <x:c r="D41" s="7" t="str">
        <x:v>Parabolic rectifiability of the Brakke flow</x:v>
      </x:c>
      <x:c r="E41" s="7" t="str">
        <x:v>Yu Tong Liu; Myles Workman</x:v>
      </x:c>
      <x:c r="F41" s="7" t="str">
        <x:v>Brakke flow / rectifiability</x:v>
      </x:c>
      <x:c r="G41" s="6" t="n">
        <x:v>22</x:v>
      </x:c>
      <x:c r="H41" s="28" t="n">
        <x:v>92.08</x:v>
      </x:c>
      <x:c r="I41" s="28" t="n">
        <x:v>92.4</x:v>
      </x:c>
      <x:c r="J41" s="28" t="n">
        <x:v>91.75</x:v>
      </x:c>
      <x:c r="K41" s="6" t="n">
        <x:v>94</x:v>
      </x:c>
      <x:c r="L41" s="6" t="n">
        <x:v>92</x:v>
      </x:c>
      <x:c r="M41" s="6" t="n">
        <x:v>93</x:v>
      </x:c>
      <x:c r="N41" s="6" t="n">
        <x:v>91</x:v>
      </x:c>
      <x:c r="O41" s="6" t="n">
        <x:v>93</x:v>
      </x:c>
      <x:c r="P41" s="6" t="n">
        <x:v>89</x:v>
      </x:c>
      <x:c r="Q41" s="6" t="n">
        <x:v>10</x:v>
      </x:c>
      <x:c r="R41" s="7" t="str">
        <x:v>https://arxiv.org/abs/2606.22441</x:v>
      </x:c>
      <x:c r="S41" s="7" t="str">
        <x:v>Top100</x:v>
      </x:c>
      <x:c r="T41" s="7" t="str">
        <x:v>Parabolic rectifiability for Brakke flows; useful geometric measure theory tool.</x:v>
      </x:c>
    </x:row>
    <x:row r="42" ht="38" customHeight="1">
      <x:c r="A42" s="6" t="n">
        <x:v>41</x:v>
      </x:c>
      <x:c r="B42" s="7" t="str">
        <x:v>2026-07</x:v>
      </x:c>
      <x:c r="C42" s="7" t="str">
        <x:v>2607.27162</x:v>
      </x:c>
      <x:c r="D42" s="7" t="str">
        <x:v>Pointwise subexponential growth and near-diffusive displacement on bounded-degree graphs with non-negative Ollivier--Ricci curvature</x:v>
      </x:c>
      <x:c r="E42" s="7" t="str">
        <x:v>Chiyu Zhou</x:v>
      </x:c>
      <x:c r="F42" s="7" t="str">
        <x:v>Ollivier-Ricci curvature / graph random walks</x:v>
      </x:c>
      <x:c r="G42" s="6" t="n">
        <x:v>23</x:v>
      </x:c>
      <x:c r="H42" s="28" t="n">
        <x:v>91.875</x:v>
      </x:c>
      <x:c r="I42" s="28" t="n">
        <x:v>92.1</x:v>
      </x:c>
      <x:c r="J42" s="28" t="n">
        <x:v>91.65</x:v>
      </x:c>
      <x:c r="K42" s="6" t="n">
        <x:v>93</x:v>
      </x:c>
      <x:c r="L42" s="6" t="n">
        <x:v>92</x:v>
      </x:c>
      <x:c r="M42" s="6" t="n">
        <x:v>94</x:v>
      </x:c>
      <x:c r="N42" s="6" t="n">
        <x:v>92</x:v>
      </x:c>
      <x:c r="O42" s="6" t="n">
        <x:v>94</x:v>
      </x:c>
      <x:c r="P42" s="6" t="n">
        <x:v>85</x:v>
      </x:c>
      <x:c r="Q42" s="6" t="n">
        <x:v>10</x:v>
      </x:c>
      <x:c r="R42" s="7" t="str">
        <x:v>https://arxiv.org/abs/2607.27162</x:v>
      </x:c>
      <x:c r="S42" s="7" t="str">
        <x:v>Top100</x:v>
      </x:c>
      <x:c r="T42" s="7" t="str">
        <x:v>Near-diffusive displacement and pointwise subexponential volume growth for bounded-degree graphs with nonnegative Ollivier-Ricci curvature.</x:v>
      </x:c>
    </x:row>
    <x:row r="43" ht="38" customHeight="1">
      <x:c r="A43" s="6" t="n">
        <x:v>42</x:v>
      </x:c>
      <x:c r="B43" s="7" t="str">
        <x:v>2026-06</x:v>
      </x:c>
      <x:c r="C43" s="7" t="str">
        <x:v>2606.04586</x:v>
      </x:c>
      <x:c r="D43" s="7" t="str">
        <x:v>Calibration energy and mean curvature flow</x:v>
      </x:c>
      <x:c r="E43" s="7" t="str">
        <x:v>Tatsuya Miura; Fabian Rupp</x:v>
      </x:c>
      <x:c r="F43" s="7" t="str">
        <x:v>mean curvature flow</x:v>
      </x:c>
      <x:c r="G43" s="6" t="n">
        <x:v>43</x:v>
      </x:c>
      <x:c r="H43" s="28" t="n">
        <x:v>91.85</x:v>
      </x:c>
      <x:c r="I43" s="28" t="n">
        <x:v>91.95</x:v>
      </x:c>
      <x:c r="J43" s="28" t="n">
        <x:v>91.75</x:v>
      </x:c>
      <x:c r="K43" s="6" t="n">
        <x:v>93</x:v>
      </x:c>
      <x:c r="L43" s="6" t="n">
        <x:v>92</x:v>
      </x:c>
      <x:c r="M43" s="6" t="n">
        <x:v>93</x:v>
      </x:c>
      <x:c r="N43" s="6" t="n">
        <x:v>90</x:v>
      </x:c>
      <x:c r="O43" s="6" t="n">
        <x:v>93</x:v>
      </x:c>
      <x:c r="P43" s="6" t="n">
        <x:v>89</x:v>
      </x:c>
      <x:c r="Q43" s="6" t="n">
        <x:v>10</x:v>
      </x:c>
      <x:c r="R43" s="7" t="str">
        <x:v>https://arxiv.org/abs/2606.04586</x:v>
      </x:c>
      <x:c r="S43" s="7" t="str">
        <x:v>Top100</x:v>
      </x:c>
      <x:c r="T43" s="7" t="str">
        <x:v>Calibration-energy perspective for MCF; technically robust.</x:v>
      </x:c>
    </x:row>
    <x:row r="44" ht="38" customHeight="1">
      <x:c r="A44" s="6" t="n">
        <x:v>43</x:v>
      </x:c>
      <x:c r="B44" s="7" t="str">
        <x:v>2026-06</x:v>
      </x:c>
      <x:c r="C44" s="7" t="str">
        <x:v>2606.08006</x:v>
      </x:c>
      <x:c r="D44" s="7" t="str">
        <x:v>Optimal spectral rigidity of the hypercube via Bakry-Emery curvature</x:v>
      </x:c>
      <x:c r="E44" s="7" t="str">
        <x:v>Yanlong Ding; Shiping Liu; Chiyu Zhou</x:v>
      </x:c>
      <x:c r="F44" s="7" t="str">
        <x:v>discrete Ricci curvature / spectral rigidity</x:v>
      </x:c>
      <x:c r="G44" s="6" t="n">
        <x:v>23</x:v>
      </x:c>
      <x:c r="H44" s="28" t="n">
        <x:v>91.78</x:v>
      </x:c>
      <x:c r="I44" s="28" t="n">
        <x:v>92</x:v>
      </x:c>
      <x:c r="J44" s="28" t="n">
        <x:v>91.55</x:v>
      </x:c>
      <x:c r="K44" s="6" t="n">
        <x:v>94</x:v>
      </x:c>
      <x:c r="L44" s="6" t="n">
        <x:v>92</x:v>
      </x:c>
      <x:c r="M44" s="6" t="n">
        <x:v>92</x:v>
      </x:c>
      <x:c r="N44" s="6" t="n">
        <x:v>90</x:v>
      </x:c>
      <x:c r="O44" s="6" t="n">
        <x:v>94</x:v>
      </x:c>
      <x:c r="P44" s="6" t="n">
        <x:v>89</x:v>
      </x:c>
      <x:c r="Q44" s="6" t="n">
        <x:v>12</x:v>
      </x:c>
      <x:c r="R44" s="7" t="str">
        <x:v>https://arxiv.org/abs/2606.08006</x:v>
      </x:c>
      <x:c r="S44" s="7" t="str">
        <x:v>Top100</x:v>
      </x:c>
      <x:c r="T44" s="7" t="str">
        <x:v>Sharp discrete curvature/spectral rigidity on the hypercube.</x:v>
      </x:c>
    </x:row>
    <x:row r="45" ht="38" customHeight="1">
      <x:c r="A45" s="6" t="n">
        <x:v>44</x:v>
      </x:c>
      <x:c r="B45" s="7" t="str">
        <x:v>2026-08</x:v>
      </x:c>
      <x:c r="C45" s="7" t="str">
        <x:v>2608.07263</x:v>
      </x:c>
      <x:c r="D45" s="7" t="str">
        <x:v>Diagonalization of the Toda flow for arbitrary isospectral symmetric matrices</x:v>
      </x:c>
      <x:c r="E45" s="7" t="str">
        <x:v>David Martínez Torres; Carlos Tomei</x:v>
      </x:c>
      <x:c r="F45" s="7" t="str">
        <x:v>Toda flow / isospectral manifolds</x:v>
      </x:c>
      <x:c r="G45" s="6" t="n">
        <x:v>16</x:v>
      </x:c>
      <x:c r="H45" s="28" t="n">
        <x:v>91.5</x:v>
      </x:c>
      <x:c r="I45" s="28" t="n">
        <x:v>91.8</x:v>
      </x:c>
      <x:c r="J45" s="28" t="n">
        <x:v>91.2</x:v>
      </x:c>
      <x:c r="K45" s="6" t="n">
        <x:v>92</x:v>
      </x:c>
      <x:c r="L45" s="6" t="n">
        <x:v>94</x:v>
      </x:c>
      <x:c r="M45" s="6" t="n">
        <x:v>92</x:v>
      </x:c>
      <x:c r="N45" s="6" t="n">
        <x:v>92</x:v>
      </x:c>
      <x:c r="O45" s="6" t="n">
        <x:v>93</x:v>
      </x:c>
      <x:c r="P45" s="6" t="n">
        <x:v>86</x:v>
      </x:c>
      <x:c r="Q45" s="6" t="n">
        <x:v>12</x:v>
      </x:c>
      <x:c r="R45" s="7" t="str">
        <x:v>https://arxiv.org/abs/2608.07263</x:v>
      </x:c>
      <x:c r="S45" s="7" t="str">
        <x:v>Top100</x:v>
      </x:c>
      <x:c r="T45" s="7" t="str">
        <x:v>Constructs a dense covering atlas that linearizes the Toda flow on arbitrary symmetric isospectral manifolds, based on a new constrained QLU factorization of independent interest.</x:v>
      </x:c>
    </x:row>
    <x:row r="46" ht="38" customHeight="1">
      <x:c r="A46" s="6" t="n">
        <x:v>45</x:v>
      </x:c>
      <x:c r="B46" s="7" t="str">
        <x:v>2026-06</x:v>
      </x:c>
      <x:c r="C46" s="7" t="str">
        <x:v>2606.08086</x:v>
      </x:c>
      <x:c r="D46" s="7" t="str">
        <x:v>Monotone quantities on 3-manifolds with nonnegative scalar curvature</x:v>
      </x:c>
      <x:c r="E46" s="7" t="str">
        <x:v>Jiannan Chen; Haiping Fu</x:v>
      </x:c>
      <x:c r="F46" s="7" t="str">
        <x:v>scalar curvature / monotonicity</x:v>
      </x:c>
      <x:c r="G46" s="6" t="n">
        <x:v>28</x:v>
      </x:c>
      <x:c r="H46" s="28" t="n">
        <x:v>91.38</x:v>
      </x:c>
      <x:c r="I46" s="28" t="n">
        <x:v>91.7</x:v>
      </x:c>
      <x:c r="J46" s="28" t="n">
        <x:v>91.05</x:v>
      </x:c>
      <x:c r="K46" s="6" t="n">
        <x:v>94</x:v>
      </x:c>
      <x:c r="L46" s="6" t="n">
        <x:v>91</x:v>
      </x:c>
      <x:c r="M46" s="6" t="n">
        <x:v>92</x:v>
      </x:c>
      <x:c r="N46" s="6" t="n">
        <x:v>90</x:v>
      </x:c>
      <x:c r="O46" s="6" t="n">
        <x:v>93</x:v>
      </x:c>
      <x:c r="P46" s="6" t="n">
        <x:v>88</x:v>
      </x:c>
      <x:c r="Q46" s="6" t="n">
        <x:v>11</x:v>
      </x:c>
      <x:c r="R46" s="7" t="str">
        <x:v>https://arxiv.org/abs/2606.08086</x:v>
      </x:c>
      <x:c r="S46" s="7" t="str">
        <x:v>Top100</x:v>
      </x:c>
      <x:c r="T46" s="7" t="str">
        <x:v>Monotone quantities in 3D nonnegative scalar curvature geometry.</x:v>
      </x:c>
    </x:row>
    <x:row r="47" ht="38" customHeight="1">
      <x:c r="A47" s="6" t="n">
        <x:v>46</x:v>
      </x:c>
      <x:c r="B47" s="7" t="str">
        <x:v>2026-06</x:v>
      </x:c>
      <x:c r="C47" s="7" t="str">
        <x:v>2606.12063</x:v>
      </x:c>
      <x:c r="D47" s="7" t="str">
        <x:v>Optimal geometric estimates for compact Kähler manifolds of a Nash entropy bound</x:v>
      </x:c>
      <x:c r="E47" s="7" t="str">
        <x:v>Weiqi Zhang; Yashan Zhang</x:v>
      </x:c>
      <x:c r="F47" s="7" t="str">
        <x:v>Kähler geometry / entropy</x:v>
      </x:c>
      <x:c r="G47" s="6" t="str">
        <x:v>-</x:v>
      </x:c>
      <x:c r="H47" s="28" t="n">
        <x:v>91.07</x:v>
      </x:c>
      <x:c r="I47" s="28" t="n">
        <x:v>91.4</x:v>
      </x:c>
      <x:c r="J47" s="28" t="n">
        <x:v>90.75</x:v>
      </x:c>
      <x:c r="K47" s="6" t="n">
        <x:v>93</x:v>
      </x:c>
      <x:c r="L47" s="6" t="n">
        <x:v>91</x:v>
      </x:c>
      <x:c r="M47" s="6" t="n">
        <x:v>92</x:v>
      </x:c>
      <x:c r="N47" s="6" t="n">
        <x:v>90</x:v>
      </x:c>
      <x:c r="O47" s="6" t="n">
        <x:v>92</x:v>
      </x:c>
      <x:c r="P47" s="6" t="n">
        <x:v>88</x:v>
      </x:c>
      <x:c r="Q47" s="6" t="n">
        <x:v>11</x:v>
      </x:c>
      <x:c r="R47" s="7" t="str">
        <x:v>https://arxiv.org/abs/2606.12063</x:v>
      </x:c>
      <x:c r="S47" s="7" t="str">
        <x:v>Top100</x:v>
      </x:c>
      <x:c r="T47" s="7" t="str">
        <x:v>Optimal estimates under Nash entropy bounds in compact Kähler setting.</x:v>
      </x:c>
    </x:row>
    <x:row r="48" ht="38" customHeight="1">
      <x:c r="A48" s="6" t="n">
        <x:v>47</x:v>
      </x:c>
      <x:c r="B48" s="7" t="str">
        <x:v>2026-06</x:v>
      </x:c>
      <x:c r="C48" s="7" t="str">
        <x:v>2606.12379</x:v>
      </x:c>
      <x:c r="D48" s="7" t="str">
        <x:v>A Local Singularity Analysis for the Ricci Flow and its Applications to Ricci Flows with Bounded Scalar Curvature -- Part II</x:v>
      </x:c>
      <x:c r="E48" s="7" t="str">
        <x:v>Reto Buzano; Gianmichele Di Matteo</x:v>
      </x:c>
      <x:c r="F48" s="7" t="str">
        <x:v>Ricci flow singularities</x:v>
      </x:c>
      <x:c r="G48" s="6" t="n">
        <x:v>21</x:v>
      </x:c>
      <x:c r="H48" s="28" t="n">
        <x:v>91.07</x:v>
      </x:c>
      <x:c r="I48" s="28" t="n">
        <x:v>91.4</x:v>
      </x:c>
      <x:c r="J48" s="28" t="n">
        <x:v>90.75</x:v>
      </x:c>
      <x:c r="K48" s="6" t="n">
        <x:v>93</x:v>
      </x:c>
      <x:c r="L48" s="6" t="n">
        <x:v>91</x:v>
      </x:c>
      <x:c r="M48" s="6" t="n">
        <x:v>92</x:v>
      </x:c>
      <x:c r="N48" s="6" t="n">
        <x:v>90</x:v>
      </x:c>
      <x:c r="O48" s="6" t="n">
        <x:v>92</x:v>
      </x:c>
      <x:c r="P48" s="6" t="n">
        <x:v>88</x:v>
      </x:c>
      <x:c r="Q48" s="6" t="n">
        <x:v>11</x:v>
      </x:c>
      <x:c r="R48" s="7" t="str">
        <x:v>https://arxiv.org/abs/2606.12379</x:v>
      </x:c>
      <x:c r="S48" s="7" t="str">
        <x:v>Top100</x:v>
      </x:c>
      <x:c r="T48" s="7" t="str">
        <x:v>Local singularity analysis for scalar-curvature-bounded Ricci flows.</x:v>
      </x:c>
    </x:row>
    <x:row r="49" ht="38" customHeight="1">
      <x:c r="A49" s="6" t="n">
        <x:v>48</x:v>
      </x:c>
      <x:c r="B49" s="7" t="str">
        <x:v>2026-06</x:v>
      </x:c>
      <x:c r="C49" s="7" t="str">
        <x:v>2606.19801</x:v>
      </x:c>
      <x:c r="D49" s="7" t="str">
        <x:v>Positive mass theorem and the Yamabe equation on CR manifolds</x:v>
      </x:c>
      <x:c r="E49" s="7" t="str">
        <x:v>Jih-Hsin Cheng</x:v>
      </x:c>
      <x:c r="F49" s="7" t="str">
        <x:v>CR geometry / Yamabe equation</x:v>
      </x:c>
      <x:c r="G49" s="6" t="str">
        <x:v>-</x:v>
      </x:c>
      <x:c r="H49" s="28" t="n">
        <x:v>91.07</x:v>
      </x:c>
      <x:c r="I49" s="28" t="n">
        <x:v>91.4</x:v>
      </x:c>
      <x:c r="J49" s="28" t="n">
        <x:v>90.75</x:v>
      </x:c>
      <x:c r="K49" s="6" t="n">
        <x:v>93</x:v>
      </x:c>
      <x:c r="L49" s="6" t="n">
        <x:v>91</x:v>
      </x:c>
      <x:c r="M49" s="6" t="n">
        <x:v>92</x:v>
      </x:c>
      <x:c r="N49" s="6" t="n">
        <x:v>90</x:v>
      </x:c>
      <x:c r="O49" s="6" t="n">
        <x:v>92</x:v>
      </x:c>
      <x:c r="P49" s="6" t="n">
        <x:v>88</x:v>
      </x:c>
      <x:c r="Q49" s="6" t="n">
        <x:v>11</x:v>
      </x:c>
      <x:c r="R49" s="7" t="str">
        <x:v>https://arxiv.org/abs/2606.19801</x:v>
      </x:c>
      <x:c r="S49" s="7" t="str">
        <x:v>Top100</x:v>
      </x:c>
      <x:c r="T49" s="7" t="str">
        <x:v>Positive mass theorem linked to CR Yamabe equation.</x:v>
      </x:c>
    </x:row>
    <x:row r="50" ht="38" customHeight="1">
      <x:c r="A50" s="6" t="n">
        <x:v>49</x:v>
      </x:c>
      <x:c r="B50" s="7" t="str">
        <x:v>2026-06</x:v>
      </x:c>
      <x:c r="C50" s="7" t="str">
        <x:v>2606.19806</x:v>
      </x:c>
      <x:c r="D50" s="7" t="str">
        <x:v>The top Yau-Yang conjecture for Kähler manifolds with positive sectional curvature</x:v>
      </x:c>
      <x:c r="E50" s="7" t="str">
        <x:v>Ved V. Datar; Vamsi P. Pingali; Harish Seshadri</x:v>
      </x:c>
      <x:c r="F50" s="7" t="str">
        <x:v>Kähler geometry / curvature</x:v>
      </x:c>
      <x:c r="G50" s="6" t="n">
        <x:v>10</x:v>
      </x:c>
      <x:c r="H50" s="28" t="n">
        <x:v>91.07</x:v>
      </x:c>
      <x:c r="I50" s="28" t="n">
        <x:v>91.4</x:v>
      </x:c>
      <x:c r="J50" s="28" t="n">
        <x:v>90.75</x:v>
      </x:c>
      <x:c r="K50" s="6" t="n">
        <x:v>93</x:v>
      </x:c>
      <x:c r="L50" s="6" t="n">
        <x:v>91</x:v>
      </x:c>
      <x:c r="M50" s="6" t="n">
        <x:v>92</x:v>
      </x:c>
      <x:c r="N50" s="6" t="n">
        <x:v>90</x:v>
      </x:c>
      <x:c r="O50" s="6" t="n">
        <x:v>92</x:v>
      </x:c>
      <x:c r="P50" s="6" t="n">
        <x:v>88</x:v>
      </x:c>
      <x:c r="Q50" s="6" t="n">
        <x:v>11</x:v>
      </x:c>
      <x:c r="R50" s="7" t="str">
        <x:v>https://arxiv.org/abs/2606.19806</x:v>
      </x:c>
      <x:c r="S50" s="7" t="str">
        <x:v>Top100</x:v>
      </x:c>
      <x:c r="T50" s="7" t="str">
        <x:v>Concise result on the top Yau-Yang conjecture for positively curved Kähler manifolds.</x:v>
      </x:c>
    </x:row>
    <x:row r="51" ht="38" customHeight="1">
      <x:c r="A51" s="6" t="n">
        <x:v>50</x:v>
      </x:c>
      <x:c r="B51" s="7" t="str">
        <x:v>2026-06</x:v>
      </x:c>
      <x:c r="C51" s="7" t="str">
        <x:v>2606.19858</x:v>
      </x:c>
      <x:c r="D51" s="7" t="str">
        <x:v>Spectral Positive Mass Theorem for Asymptotically Hyperbolic 3-manifolds with Toroidal Infinity</x:v>
      </x:c>
      <x:c r="E51" s="7" t="str">
        <x:v>Xiaoxiang Chai; Yimin Chen; Juncheol Pyo</x:v>
      </x:c>
      <x:c r="F51" s="7" t="str">
        <x:v>positive mass / AH geometry</x:v>
      </x:c>
      <x:c r="G51" s="6" t="n">
        <x:v>16</x:v>
      </x:c>
      <x:c r="H51" s="28" t="n">
        <x:v>91.07</x:v>
      </x:c>
      <x:c r="I51" s="28" t="n">
        <x:v>91.4</x:v>
      </x:c>
      <x:c r="J51" s="28" t="n">
        <x:v>90.75</x:v>
      </x:c>
      <x:c r="K51" s="6" t="n">
        <x:v>93</x:v>
      </x:c>
      <x:c r="L51" s="6" t="n">
        <x:v>91</x:v>
      </x:c>
      <x:c r="M51" s="6" t="n">
        <x:v>92</x:v>
      </x:c>
      <x:c r="N51" s="6" t="n">
        <x:v>90</x:v>
      </x:c>
      <x:c r="O51" s="6" t="n">
        <x:v>92</x:v>
      </x:c>
      <x:c r="P51" s="6" t="n">
        <x:v>88</x:v>
      </x:c>
      <x:c r="Q51" s="6" t="n">
        <x:v>11</x:v>
      </x:c>
      <x:c r="R51" s="7" t="str">
        <x:v>https://arxiv.org/abs/2606.19858</x:v>
      </x:c>
      <x:c r="S51" s="7" t="str">
        <x:v>Top100</x:v>
      </x:c>
      <x:c r="T51" s="7" t="str">
        <x:v>Spectral positive mass theorem in AH three-manifolds with toroidal infinity.</x:v>
      </x:c>
    </x:row>
    <x:row r="52" ht="38" customHeight="1">
      <x:c r="A52" s="6" t="n">
        <x:v>51</x:v>
      </x:c>
      <x:c r="B52" s="7" t="str">
        <x:v>2026-06</x:v>
      </x:c>
      <x:c r="C52" s="7" t="str">
        <x:v>2606.28897</x:v>
      </x:c>
      <x:c r="D52" s="7" t="str">
        <x:v>Scalar-Flatness for Critical Metrics of the L2-Scalar Curvature Functional in Dimensions 5&lt;=n&lt;=9</x:v>
      </x:c>
      <x:c r="E52" s="7" t="str">
        <x:v>Heng Zhang</x:v>
      </x:c>
      <x:c r="F52" s="7" t="str">
        <x:v>scalar curvature functional</x:v>
      </x:c>
      <x:c r="G52" s="6" t="n">
        <x:v>16</x:v>
      </x:c>
      <x:c r="H52" s="28" t="n">
        <x:v>91.07</x:v>
      </x:c>
      <x:c r="I52" s="28" t="n">
        <x:v>91.25</x:v>
      </x:c>
      <x:c r="J52" s="28" t="n">
        <x:v>90.9</x:v>
      </x:c>
      <x:c r="K52" s="6" t="n">
        <x:v>93</x:v>
      </x:c>
      <x:c r="L52" s="6" t="n">
        <x:v>91</x:v>
      </x:c>
      <x:c r="M52" s="6" t="n">
        <x:v>92</x:v>
      </x:c>
      <x:c r="N52" s="6" t="n">
        <x:v>89</x:v>
      </x:c>
      <x:c r="O52" s="6" t="n">
        <x:v>93</x:v>
      </x:c>
      <x:c r="P52" s="6" t="n">
        <x:v>88</x:v>
      </x:c>
      <x:c r="Q52" s="6" t="n">
        <x:v>12</x:v>
      </x:c>
      <x:c r="R52" s="7" t="str">
        <x:v>https://arxiv.org/abs/2606.28897</x:v>
      </x:c>
      <x:c r="S52" s="7" t="str">
        <x:v>Top100</x:v>
      </x:c>
      <x:c r="T52" s="7" t="str">
        <x:v>Scalar-flatness for critical L2-scalar curvature metrics in middle dimensions.</x:v>
      </x:c>
    </x:row>
    <x:row r="53" ht="38" customHeight="1">
      <x:c r="A53" s="6" t="n">
        <x:v>52</x:v>
      </x:c>
      <x:c r="B53" s="7" t="str">
        <x:v>2026-07</x:v>
      </x:c>
      <x:c r="C53" s="7" t="str">
        <x:v>2607.02067</x:v>
      </x:c>
      <x:c r="D53" s="7" t="str">
        <x:v>Higher regularity of the inverse anisotropic mean curvature flow</x:v>
      </x:c>
      <x:c r="E53" s="7" t="str">
        <x:v>Chaoqun Gao; Yong Wei; Rong Zhou</x:v>
      </x:c>
      <x:c r="F53" s="7" t="str">
        <x:v>inverse anisotropic mean curvature flow</x:v>
      </x:c>
      <x:c r="G53" s="6" t="n">
        <x:v>31</x:v>
      </x:c>
      <x:c r="H53" s="28" t="n">
        <x:v>91.05</x:v>
      </x:c>
      <x:c r="I53" s="28" t="n">
        <x:v>91.15</x:v>
      </x:c>
      <x:c r="J53" s="28" t="n">
        <x:v>90.95</x:v>
      </x:c>
      <x:c r="K53" s="6" t="n">
        <x:v>92</x:v>
      </x:c>
      <x:c r="L53" s="6" t="n">
        <x:v>91</x:v>
      </x:c>
      <x:c r="M53" s="6" t="n">
        <x:v>93</x:v>
      </x:c>
      <x:c r="N53" s="6" t="n">
        <x:v>90</x:v>
      </x:c>
      <x:c r="O53" s="6" t="n">
        <x:v>93</x:v>
      </x:c>
      <x:c r="P53" s="6" t="n">
        <x:v>86</x:v>
      </x:c>
      <x:c r="Q53" s="6" t="n">
        <x:v>11</x:v>
      </x:c>
      <x:c r="R53" s="7" t="str">
        <x:v>https://arxiv.org/abs/2607.02067</x:v>
      </x:c>
      <x:c r="S53" s="7" t="str">
        <x:v>Top100</x:v>
      </x:c>
      <x:c r="T53" s="7" t="str">
        <x:v>Regularity upgrade for inverse anisotropic MCF; solid geometric flow result.</x:v>
      </x:c>
    </x:row>
    <x:row r="54" ht="38" customHeight="1">
      <x:c r="A54" s="6" t="n">
        <x:v>53</x:v>
      </x:c>
      <x:c r="B54" s="7" t="str">
        <x:v>2026-07</x:v>
      </x:c>
      <x:c r="C54" s="7" t="str">
        <x:v>2607.02412</x:v>
      </x:c>
      <x:c r="D54" s="7" t="str">
        <x:v>Cartan's and Gauss's equations and rigidity theorems for isometric embeddings in low Sobolev regularity</x:v>
      </x:c>
      <x:c r="E54" s="7" t="str">
        <x:v>Isaac Newell; Luc Nguyen</x:v>
      </x:c>
      <x:c r="F54" s="7" t="str">
        <x:v>isometric embedding / low regularity</x:v>
      </x:c>
      <x:c r="G54" s="6" t="str">
        <x:v>-</x:v>
      </x:c>
      <x:c r="H54" s="28" t="n">
        <x:v>91.05</x:v>
      </x:c>
      <x:c r="I54" s="28" t="n">
        <x:v>91.15</x:v>
      </x:c>
      <x:c r="J54" s="28" t="n">
        <x:v>90.95</x:v>
      </x:c>
      <x:c r="K54" s="6" t="n">
        <x:v>92</x:v>
      </x:c>
      <x:c r="L54" s="6" t="n">
        <x:v>91</x:v>
      </x:c>
      <x:c r="M54" s="6" t="n">
        <x:v>93</x:v>
      </x:c>
      <x:c r="N54" s="6" t="n">
        <x:v>90</x:v>
      </x:c>
      <x:c r="O54" s="6" t="n">
        <x:v>93</x:v>
      </x:c>
      <x:c r="P54" s="6" t="n">
        <x:v>86</x:v>
      </x:c>
      <x:c r="Q54" s="6" t="n">
        <x:v>11</x:v>
      </x:c>
      <x:c r="R54" s="7" t="str">
        <x:v>https://arxiv.org/abs/2607.02412</x:v>
      </x:c>
      <x:c r="S54" s="7" t="str">
        <x:v>Top100</x:v>
      </x:c>
      <x:c r="T54" s="7" t="str">
        <x:v>Low-Sobolev rigidity for isometric embeddings; high technical and analytic value.</x:v>
      </x:c>
    </x:row>
    <x:row r="55" ht="38" customHeight="1">
      <x:c r="A55" s="6" t="n">
        <x:v>54</x:v>
      </x:c>
      <x:c r="B55" s="7" t="str">
        <x:v>2026-07</x:v>
      </x:c>
      <x:c r="C55" s="7" t="str">
        <x:v>2607.06698</x:v>
      </x:c>
      <x:c r="D55" s="7" t="str">
        <x:v>Infinity-harmonic functions and inverse mean curvature flow clusters</x:v>
      </x:c>
      <x:c r="E55" s="7" t="str">
        <x:v>Kai Xu</x:v>
      </x:c>
      <x:c r="F55" s="7" t="str">
        <x:v>infinity harmonic / IMCF clusters</x:v>
      </x:c>
      <x:c r="G55" s="6" t="n">
        <x:v>151</x:v>
      </x:c>
      <x:c r="H55" s="28" t="n">
        <x:v>91.05</x:v>
      </x:c>
      <x:c r="I55" s="28" t="n">
        <x:v>91.15</x:v>
      </x:c>
      <x:c r="J55" s="28" t="n">
        <x:v>90.95</x:v>
      </x:c>
      <x:c r="K55" s="6" t="n">
        <x:v>92</x:v>
      </x:c>
      <x:c r="L55" s="6" t="n">
        <x:v>91</x:v>
      </x:c>
      <x:c r="M55" s="6" t="n">
        <x:v>93</x:v>
      </x:c>
      <x:c r="N55" s="6" t="n">
        <x:v>90</x:v>
      </x:c>
      <x:c r="O55" s="6" t="n">
        <x:v>93</x:v>
      </x:c>
      <x:c r="P55" s="6" t="n">
        <x:v>86</x:v>
      </x:c>
      <x:c r="Q55" s="6" t="n">
        <x:v>11</x:v>
      </x:c>
      <x:c r="R55" s="7" t="str">
        <x:v>https://arxiv.org/abs/2607.06698</x:v>
      </x:c>
      <x:c r="S55" s="7" t="str">
        <x:v>Top100</x:v>
      </x:c>
      <x:c r="T55" s="7" t="str">
        <x:v>Very long analysis of infinity-harmonic and IMCF cluster structures.</x:v>
      </x:c>
    </x:row>
    <x:row r="56" ht="38" customHeight="1">
      <x:c r="A56" s="6" t="n">
        <x:v>55</x:v>
      </x:c>
      <x:c r="B56" s="7" t="str">
        <x:v>2026-07</x:v>
      </x:c>
      <x:c r="C56" s="7" t="str">
        <x:v>2607.08325</x:v>
      </x:c>
      <x:c r="D56" s="7" t="str">
        <x:v>Geometric smoothing by the Kähler-Ricci Flow</x:v>
      </x:c>
      <x:c r="E56" s="7" t="str">
        <x:v>Eleonora Di Nezza; Vincent Guedj; Chinh Hoang Lu</x:v>
      </x:c>
      <x:c r="F56" s="7" t="str">
        <x:v>Kähler-Ricci flow / smoothing</x:v>
      </x:c>
      <x:c r="G56" s="6" t="n">
        <x:v>30</x:v>
      </x:c>
      <x:c r="H56" s="28" t="n">
        <x:v>91.05</x:v>
      </x:c>
      <x:c r="I56" s="28" t="n">
        <x:v>91.15</x:v>
      </x:c>
      <x:c r="J56" s="28" t="n">
        <x:v>90.95</x:v>
      </x:c>
      <x:c r="K56" s="6" t="n">
        <x:v>92</x:v>
      </x:c>
      <x:c r="L56" s="6" t="n">
        <x:v>91</x:v>
      </x:c>
      <x:c r="M56" s="6" t="n">
        <x:v>93</x:v>
      </x:c>
      <x:c r="N56" s="6" t="n">
        <x:v>90</x:v>
      </x:c>
      <x:c r="O56" s="6" t="n">
        <x:v>93</x:v>
      </x:c>
      <x:c r="P56" s="6" t="n">
        <x:v>86</x:v>
      </x:c>
      <x:c r="Q56" s="6" t="n">
        <x:v>11</x:v>
      </x:c>
      <x:c r="R56" s="7" t="str">
        <x:v>https://arxiv.org/abs/2607.08325</x:v>
      </x:c>
      <x:c r="S56" s="7" t="str">
        <x:v>Top100</x:v>
      </x:c>
      <x:c r="T56" s="7" t="str">
        <x:v>KRF smoothing in complex geometric analysis; useful technical input.</x:v>
      </x:c>
    </x:row>
    <x:row r="57" ht="38" customHeight="1">
      <x:c r="A57" s="6" t="n">
        <x:v>56</x:v>
      </x:c>
      <x:c r="B57" s="7" t="str">
        <x:v>2026-07</x:v>
      </x:c>
      <x:c r="C57" s="7" t="str">
        <x:v>2607.08631</x:v>
      </x:c>
      <x:c r="D57" s="7" t="str">
        <x:v>Existence of two embedded minimal spheres in S^3 with an arbitrary metric</x:v>
      </x:c>
      <x:c r="E57" s="7" t="str">
        <x:v>Zhichao Wang; Xin Zhou</x:v>
      </x:c>
      <x:c r="F57" s="7" t="str">
        <x:v>minimal spheres / min-max</x:v>
      </x:c>
      <x:c r="G57" s="6" t="n">
        <x:v>32</x:v>
      </x:c>
      <x:c r="H57" s="28" t="n">
        <x:v>91.05</x:v>
      </x:c>
      <x:c r="I57" s="28" t="n">
        <x:v>91.15</x:v>
      </x:c>
      <x:c r="J57" s="28" t="n">
        <x:v>90.95</x:v>
      </x:c>
      <x:c r="K57" s="6" t="n">
        <x:v>92</x:v>
      </x:c>
      <x:c r="L57" s="6" t="n">
        <x:v>91</x:v>
      </x:c>
      <x:c r="M57" s="6" t="n">
        <x:v>93</x:v>
      </x:c>
      <x:c r="N57" s="6" t="n">
        <x:v>90</x:v>
      </x:c>
      <x:c r="O57" s="6" t="n">
        <x:v>93</x:v>
      </x:c>
      <x:c r="P57" s="6" t="n">
        <x:v>86</x:v>
      </x:c>
      <x:c r="Q57" s="6" t="n">
        <x:v>11</x:v>
      </x:c>
      <x:c r="R57" s="7" t="str">
        <x:v>https://arxiv.org/abs/2607.08631</x:v>
      </x:c>
      <x:c r="S57" s="7" t="str">
        <x:v>Top100</x:v>
      </x:c>
      <x:c r="T57" s="7" t="str">
        <x:v>Existence result for embedded minimal spheres; strong min-max/geometric analysis value.</x:v>
      </x:c>
    </x:row>
    <x:row r="58" ht="38" customHeight="1">
      <x:c r="A58" s="6" t="n">
        <x:v>57</x:v>
      </x:c>
      <x:c r="B58" s="7" t="str">
        <x:v>2026-07</x:v>
      </x:c>
      <x:c r="C58" s="7" t="str">
        <x:v>2607.12305</x:v>
      </x:c>
      <x:c r="D58" s="7" t="str">
        <x:v>Capillary prisms, Coxeter gluing, and the pi_2-systole of 3-manifolds with positive scalar curvature</x:v>
      </x:c>
      <x:c r="E58" s="7" t="str">
        <x:v>Shihang He; Chao Li</x:v>
      </x:c>
      <x:c r="F58" s="7" t="str">
        <x:v>positive scalar curvature / systoles</x:v>
      </x:c>
      <x:c r="G58" s="6" t="n">
        <x:v>64</x:v>
      </x:c>
      <x:c r="H58" s="28" t="n">
        <x:v>91.05</x:v>
      </x:c>
      <x:c r="I58" s="28" t="n">
        <x:v>91.15</x:v>
      </x:c>
      <x:c r="J58" s="28" t="n">
        <x:v>90.95</x:v>
      </x:c>
      <x:c r="K58" s="6" t="n">
        <x:v>92</x:v>
      </x:c>
      <x:c r="L58" s="6" t="n">
        <x:v>91</x:v>
      </x:c>
      <x:c r="M58" s="6" t="n">
        <x:v>93</x:v>
      </x:c>
      <x:c r="N58" s="6" t="n">
        <x:v>90</x:v>
      </x:c>
      <x:c r="O58" s="6" t="n">
        <x:v>93</x:v>
      </x:c>
      <x:c r="P58" s="6" t="n">
        <x:v>86</x:v>
      </x:c>
      <x:c r="Q58" s="6" t="n">
        <x:v>11</x:v>
      </x:c>
      <x:c r="R58" s="7" t="str">
        <x:v>https://arxiv.org/abs/2607.12305</x:v>
      </x:c>
      <x:c r="S58" s="7" t="str">
        <x:v>Top100</x:v>
      </x:c>
      <x:c r="T58" s="7" t="str">
        <x:v>Positive scalar curvature, capillary geometry and systolic estimates; broad geometric interest.</x:v>
      </x:c>
    </x:row>
    <x:row r="59" ht="38" customHeight="1">
      <x:c r="A59" s="6" t="n">
        <x:v>58</x:v>
      </x:c>
      <x:c r="B59" s="7" t="str">
        <x:v>2026-07</x:v>
      </x:c>
      <x:c r="C59" s="7" t="str">
        <x:v>2607.17459</x:v>
      </x:c>
      <x:c r="D59" s="7" t="str">
        <x:v>The deformed Vortex equations and equivariant stability conditions</x:v>
      </x:c>
      <x:c r="E59" s="7" t="str">
        <x:v>Tristan C. Collins; Yukai Zhang</x:v>
      </x:c>
      <x:c r="F59" s="7" t="str">
        <x:v>vortex equations / stability</x:v>
      </x:c>
      <x:c r="G59" s="6" t="n">
        <x:v>88</x:v>
      </x:c>
      <x:c r="H59" s="28" t="n">
        <x:v>91.05</x:v>
      </x:c>
      <x:c r="I59" s="28" t="n">
        <x:v>91.15</x:v>
      </x:c>
      <x:c r="J59" s="28" t="n">
        <x:v>90.95</x:v>
      </x:c>
      <x:c r="K59" s="6" t="n">
        <x:v>92</x:v>
      </x:c>
      <x:c r="L59" s="6" t="n">
        <x:v>91</x:v>
      </x:c>
      <x:c r="M59" s="6" t="n">
        <x:v>93</x:v>
      </x:c>
      <x:c r="N59" s="6" t="n">
        <x:v>90</x:v>
      </x:c>
      <x:c r="O59" s="6" t="n">
        <x:v>93</x:v>
      </x:c>
      <x:c r="P59" s="6" t="n">
        <x:v>86</x:v>
      </x:c>
      <x:c r="Q59" s="6" t="n">
        <x:v>11</x:v>
      </x:c>
      <x:c r="R59" s="7" t="str">
        <x:v>https://arxiv.org/abs/2607.17459</x:v>
      </x:c>
      <x:c r="S59" s="7" t="str">
        <x:v>Top100</x:v>
      </x:c>
      <x:c r="T59" s="7" t="str">
        <x:v>Gauge/Kähler stability problem with substantial length and technical structure.</x:v>
      </x:c>
    </x:row>
    <x:row r="60" ht="38" customHeight="1">
      <x:c r="A60" s="6" t="n">
        <x:v>59</x:v>
      </x:c>
      <x:c r="B60" s="7" t="str">
        <x:v>2026-07</x:v>
      </x:c>
      <x:c r="C60" s="7" t="str">
        <x:v>2607.18216</x:v>
      </x:c>
      <x:c r="D60" s="7" t="str">
        <x:v>Sharp Weitzenböck and PIC2 Estimates from Sectional-Scalar Curvature Pinching</x:v>
      </x:c>
      <x:c r="E60" s="7" t="str">
        <x:v>Jian Ge</x:v>
      </x:c>
      <x:c r="F60" s="7" t="str">
        <x:v>curvature pinching / PIC2</x:v>
      </x:c>
      <x:c r="G60" s="6" t="str">
        <x:v>-</x:v>
      </x:c>
      <x:c r="H60" s="28" t="n">
        <x:v>91.05</x:v>
      </x:c>
      <x:c r="I60" s="28" t="n">
        <x:v>91.15</x:v>
      </x:c>
      <x:c r="J60" s="28" t="n">
        <x:v>90.95</x:v>
      </x:c>
      <x:c r="K60" s="6" t="n">
        <x:v>92</x:v>
      </x:c>
      <x:c r="L60" s="6" t="n">
        <x:v>91</x:v>
      </x:c>
      <x:c r="M60" s="6" t="n">
        <x:v>93</x:v>
      </x:c>
      <x:c r="N60" s="6" t="n">
        <x:v>90</x:v>
      </x:c>
      <x:c r="O60" s="6" t="n">
        <x:v>93</x:v>
      </x:c>
      <x:c r="P60" s="6" t="n">
        <x:v>86</x:v>
      </x:c>
      <x:c r="Q60" s="6" t="n">
        <x:v>11</x:v>
      </x:c>
      <x:c r="R60" s="7" t="str">
        <x:v>https://arxiv.org/abs/2607.18216</x:v>
      </x:c>
      <x:c r="S60" s="7" t="str">
        <x:v>Top100</x:v>
      </x:c>
      <x:c r="T60" s="7" t="str">
        <x:v>Sharp curvature estimates from mixed sectional-scalar pinching; strong comparison geometry.</x:v>
      </x:c>
    </x:row>
    <x:row r="61" ht="38" customHeight="1">
      <x:c r="A61" s="6" t="n">
        <x:v>60</x:v>
      </x:c>
      <x:c r="B61" s="7" t="str">
        <x:v>2026-07</x:v>
      </x:c>
      <x:c r="C61" s="7" t="str">
        <x:v>2607.18792</x:v>
      </x:c>
      <x:c r="D61" s="7" t="str">
        <x:v>Existence of global W^{2,p}-isometric immersions for negatively curved surface metrics with unbounded second fundamental form</x:v>
      </x:c>
      <x:c r="E61" s="7" t="str">
        <x:v>Siran Li</x:v>
      </x:c>
      <x:c r="F61" s="7" t="str">
        <x:v>isometric immersion / negative curvature</x:v>
      </x:c>
      <x:c r="G61" s="6" t="n">
        <x:v>35</x:v>
      </x:c>
      <x:c r="H61" s="28" t="n">
        <x:v>91.05</x:v>
      </x:c>
      <x:c r="I61" s="28" t="n">
        <x:v>91.15</x:v>
      </x:c>
      <x:c r="J61" s="28" t="n">
        <x:v>90.95</x:v>
      </x:c>
      <x:c r="K61" s="6" t="n">
        <x:v>92</x:v>
      </x:c>
      <x:c r="L61" s="6" t="n">
        <x:v>91</x:v>
      </x:c>
      <x:c r="M61" s="6" t="n">
        <x:v>93</x:v>
      </x:c>
      <x:c r="N61" s="6" t="n">
        <x:v>90</x:v>
      </x:c>
      <x:c r="O61" s="6" t="n">
        <x:v>93</x:v>
      </x:c>
      <x:c r="P61" s="6" t="n">
        <x:v>86</x:v>
      </x:c>
      <x:c r="Q61" s="6" t="n">
        <x:v>11</x:v>
      </x:c>
      <x:c r="R61" s="7" t="str">
        <x:v>https://arxiv.org/abs/2607.18792</x:v>
      </x:c>
      <x:c r="S61" s="7" t="str">
        <x:v>Top100</x:v>
      </x:c>
      <x:c r="T61" s="7" t="str">
        <x:v>Global low-regularity isometric immersion under negative curvature; strong PDE-geometry link.</x:v>
      </x:c>
    </x:row>
    <x:row r="62" ht="38" customHeight="1">
      <x:c r="A62" s="6" t="n">
        <x:v>61</x:v>
      </x:c>
      <x:c r="B62" s="7" t="str">
        <x:v>2026-07</x:v>
      </x:c>
      <x:c r="C62" s="7" t="str">
        <x:v>2607.18989</x:v>
      </x:c>
      <x:c r="D62" s="7" t="str">
        <x:v>Diffeological non-Abelian Hodge theory: relative harmonic metrics and deformation theory</x:v>
      </x:c>
      <x:c r="E62" s="7" t="str">
        <x:v>Mahmud Azam; Steven Rayan</x:v>
      </x:c>
      <x:c r="F62" s="7" t="str">
        <x:v>non-Abelian Hodge theory</x:v>
      </x:c>
      <x:c r="G62" s="6" t="n">
        <x:v>103</x:v>
      </x:c>
      <x:c r="H62" s="28" t="n">
        <x:v>91.05</x:v>
      </x:c>
      <x:c r="I62" s="28" t="n">
        <x:v>91.15</x:v>
      </x:c>
      <x:c r="J62" s="28" t="n">
        <x:v>90.95</x:v>
      </x:c>
      <x:c r="K62" s="6" t="n">
        <x:v>92</x:v>
      </x:c>
      <x:c r="L62" s="6" t="n">
        <x:v>91</x:v>
      </x:c>
      <x:c r="M62" s="6" t="n">
        <x:v>93</x:v>
      </x:c>
      <x:c r="N62" s="6" t="n">
        <x:v>90</x:v>
      </x:c>
      <x:c r="O62" s="6" t="n">
        <x:v>93</x:v>
      </x:c>
      <x:c r="P62" s="6" t="n">
        <x:v>86</x:v>
      </x:c>
      <x:c r="Q62" s="6" t="n">
        <x:v>11</x:v>
      </x:c>
      <x:c r="R62" s="7" t="str">
        <x:v>https://arxiv.org/abs/2607.18989</x:v>
      </x:c>
      <x:c r="S62" s="7" t="str">
        <x:v>Top100</x:v>
      </x:c>
      <x:c r="T62" s="7" t="str">
        <x:v>Large deformation/Hodge theory work with differential-geometric analytic component.</x:v>
      </x:c>
    </x:row>
    <x:row r="63" ht="38" customHeight="1">
      <x:c r="A63" s="6" t="n">
        <x:v>62</x:v>
      </x:c>
      <x:c r="B63" s="7" t="str">
        <x:v>2026-07</x:v>
      </x:c>
      <x:c r="C63" s="7" t="str">
        <x:v>2607.19091</x:v>
      </x:c>
      <x:c r="D63" s="7" t="str">
        <x:v>On the sharp constants in curl-Sobolev inequalities on S^n</x:v>
      </x:c>
      <x:c r="E63" s="7" t="str">
        <x:v>Guofang Wang; Mingwei Zhang</x:v>
      </x:c>
      <x:c r="F63" s="7" t="str">
        <x:v>curl-Sobolev inequalities</x:v>
      </x:c>
      <x:c r="G63" s="6" t="n">
        <x:v>32</x:v>
      </x:c>
      <x:c r="H63" s="28" t="n">
        <x:v>91.05</x:v>
      </x:c>
      <x:c r="I63" s="28" t="n">
        <x:v>91.15</x:v>
      </x:c>
      <x:c r="J63" s="28" t="n">
        <x:v>90.95</x:v>
      </x:c>
      <x:c r="K63" s="6" t="n">
        <x:v>92</x:v>
      </x:c>
      <x:c r="L63" s="6" t="n">
        <x:v>91</x:v>
      </x:c>
      <x:c r="M63" s="6" t="n">
        <x:v>93</x:v>
      </x:c>
      <x:c r="N63" s="6" t="n">
        <x:v>90</x:v>
      </x:c>
      <x:c r="O63" s="6" t="n">
        <x:v>93</x:v>
      </x:c>
      <x:c r="P63" s="6" t="n">
        <x:v>86</x:v>
      </x:c>
      <x:c r="Q63" s="6" t="n">
        <x:v>11</x:v>
      </x:c>
      <x:c r="R63" s="7" t="str">
        <x:v>https://arxiv.org/abs/2607.19091</x:v>
      </x:c>
      <x:c r="S63" s="7" t="str">
        <x:v>Top100</x:v>
      </x:c>
      <x:c r="T63" s="7" t="str">
        <x:v>Sharp inequality work on spheres; relevant across DG, AP and spectral theory.</x:v>
      </x:c>
    </x:row>
    <x:row r="64" ht="38" customHeight="1">
      <x:c r="A64" s="6" t="n">
        <x:v>63</x:v>
      </x:c>
      <x:c r="B64" s="7" t="str">
        <x:v>2026-07</x:v>
      </x:c>
      <x:c r="C64" s="7" t="str">
        <x:v>2607.19320</x:v>
      </x:c>
      <x:c r="D64" s="7" t="str">
        <x:v>A spacetime positive mass theorem with corners via mollification</x:v>
      </x:c>
      <x:c r="E64" s="7" t="str">
        <x:v>Hyun Chul Jang; Aidan F. Wood</x:v>
      </x:c>
      <x:c r="F64" s="7" t="str">
        <x:v>positive mass theorem / corners</x:v>
      </x:c>
      <x:c r="G64" s="6" t="str">
        <x:v>-</x:v>
      </x:c>
      <x:c r="H64" s="28" t="n">
        <x:v>91.05</x:v>
      </x:c>
      <x:c r="I64" s="28" t="n">
        <x:v>91.15</x:v>
      </x:c>
      <x:c r="J64" s="28" t="n">
        <x:v>90.95</x:v>
      </x:c>
      <x:c r="K64" s="6" t="n">
        <x:v>92</x:v>
      </x:c>
      <x:c r="L64" s="6" t="n">
        <x:v>91</x:v>
      </x:c>
      <x:c r="M64" s="6" t="n">
        <x:v>93</x:v>
      </x:c>
      <x:c r="N64" s="6" t="n">
        <x:v>90</x:v>
      </x:c>
      <x:c r="O64" s="6" t="n">
        <x:v>93</x:v>
      </x:c>
      <x:c r="P64" s="6" t="n">
        <x:v>86</x:v>
      </x:c>
      <x:c r="Q64" s="6" t="n">
        <x:v>11</x:v>
      </x:c>
      <x:c r="R64" s="7" t="str">
        <x:v>https://arxiv.org/abs/2607.19320</x:v>
      </x:c>
      <x:c r="S64" s="7" t="str">
        <x:v>Top100</x:v>
      </x:c>
      <x:c r="T64" s="7" t="str">
        <x:v>Positive mass theorem with corners; important low-regularity GR geometry theme.</x:v>
      </x:c>
    </x:row>
    <x:row r="65" ht="38" customHeight="1">
      <x:c r="A65" s="6" t="n">
        <x:v>64</x:v>
      </x:c>
      <x:c r="B65" s="7" t="str">
        <x:v>2026-07</x:v>
      </x:c>
      <x:c r="C65" s="7" t="str">
        <x:v>2607.24281</x:v>
      </x:c>
      <x:c r="D65" s="7" t="str">
        <x:v>Calabi surgery for Z/2 harmonic 1-forms</x:v>
      </x:c>
      <x:c r="E65" s="7" t="str">
        <x:v>Jiahuang Chen; Siqi He; Dashen Yan</x:v>
      </x:c>
      <x:c r="F65" s="7" t="str">
        <x:v>harmonic forms / gauge geometry</x:v>
      </x:c>
      <x:c r="G65" s="6" t="n">
        <x:v>45</x:v>
      </x:c>
      <x:c r="H65" s="28" t="n">
        <x:v>91.05</x:v>
      </x:c>
      <x:c r="I65" s="28" t="n">
        <x:v>91.15</x:v>
      </x:c>
      <x:c r="J65" s="28" t="n">
        <x:v>90.95</x:v>
      </x:c>
      <x:c r="K65" s="6" t="n">
        <x:v>92</x:v>
      </x:c>
      <x:c r="L65" s="6" t="n">
        <x:v>91</x:v>
      </x:c>
      <x:c r="M65" s="6" t="n">
        <x:v>93</x:v>
      </x:c>
      <x:c r="N65" s="6" t="n">
        <x:v>90</x:v>
      </x:c>
      <x:c r="O65" s="6" t="n">
        <x:v>93</x:v>
      </x:c>
      <x:c r="P65" s="6" t="n">
        <x:v>86</x:v>
      </x:c>
      <x:c r="Q65" s="6" t="n">
        <x:v>11</x:v>
      </x:c>
      <x:c r="R65" s="7" t="str">
        <x:v>https://arxiv.org/abs/2607.24281</x:v>
      </x:c>
      <x:c r="S65" s="7" t="str">
        <x:v>Top100</x:v>
      </x:c>
      <x:c r="T65" s="7" t="str">
        <x:v>Surgery construction for Z/2 harmonic 1-forms; relevant to gauge/geometric topology.</x:v>
      </x:c>
    </x:row>
    <x:row r="66" ht="38" customHeight="1">
      <x:c r="A66" s="6" t="n">
        <x:v>65</x:v>
      </x:c>
      <x:c r="B66" s="7" t="str">
        <x:v>2026-07</x:v>
      </x:c>
      <x:c r="C66" s="7" t="str">
        <x:v>2607.24735</x:v>
      </x:c>
      <x:c r="D66" s="7" t="str">
        <x:v>Area-minimizing submanifolds are not generically smooth, except for geodesics, minimal surfaces, and minimal hypersurfaces</x:v>
      </x:c>
      <x:c r="E66" s="7" t="str">
        <x:v>Zhenhua Liu</x:v>
      </x:c>
      <x:c r="F66" s="7" t="str">
        <x:v>generic smoothness / minimizing submanifolds</x:v>
      </x:c>
      <x:c r="G66" s="6" t="str">
        <x:v>-</x:v>
      </x:c>
      <x:c r="H66" s="28" t="n">
        <x:v>91.05</x:v>
      </x:c>
      <x:c r="I66" s="28" t="n">
        <x:v>91.15</x:v>
      </x:c>
      <x:c r="J66" s="28" t="n">
        <x:v>90.95</x:v>
      </x:c>
      <x:c r="K66" s="6" t="n">
        <x:v>92</x:v>
      </x:c>
      <x:c r="L66" s="6" t="n">
        <x:v>91</x:v>
      </x:c>
      <x:c r="M66" s="6" t="n">
        <x:v>93</x:v>
      </x:c>
      <x:c r="N66" s="6" t="n">
        <x:v>90</x:v>
      </x:c>
      <x:c r="O66" s="6" t="n">
        <x:v>93</x:v>
      </x:c>
      <x:c r="P66" s="6" t="n">
        <x:v>86</x:v>
      </x:c>
      <x:c r="Q66" s="6" t="n">
        <x:v>11</x:v>
      </x:c>
      <x:c r="R66" s="7" t="str">
        <x:v>https://arxiv.org/abs/2607.24735</x:v>
      </x:c>
      <x:c r="S66" s="7" t="str">
        <x:v>Top100</x:v>
      </x:c>
      <x:c r="T66" s="7" t="str">
        <x:v>Striking generic regularity/nonregularity statement for area minimizers.</x:v>
      </x:c>
    </x:row>
    <x:row r="67" ht="38" customHeight="1">
      <x:c r="A67" s="6" t="n">
        <x:v>66</x:v>
      </x:c>
      <x:c r="B67" s="7" t="str">
        <x:v>2026-07</x:v>
      </x:c>
      <x:c r="C67" s="7" t="str">
        <x:v>2607.25015</x:v>
      </x:c>
      <x:c r="D67" s="7" t="str">
        <x:v>Topological Rigidity of Contractible 3-Manifolds and Handlebody Interiors under Nonnegative Scalar Curvature</x:v>
      </x:c>
      <x:c r="E67" s="7" t="str">
        <x:v>Jiangcheng You; Heng Zhang</x:v>
      </x:c>
      <x:c r="F67" s="7" t="str">
        <x:v>scalar curvature / 3-manifolds</x:v>
      </x:c>
      <x:c r="G67" s="6" t="n">
        <x:v>36</x:v>
      </x:c>
      <x:c r="H67" s="28" t="n">
        <x:v>91.05</x:v>
      </x:c>
      <x:c r="I67" s="28" t="n">
        <x:v>91.15</x:v>
      </x:c>
      <x:c r="J67" s="28" t="n">
        <x:v>90.95</x:v>
      </x:c>
      <x:c r="K67" s="6" t="n">
        <x:v>92</x:v>
      </x:c>
      <x:c r="L67" s="6" t="n">
        <x:v>91</x:v>
      </x:c>
      <x:c r="M67" s="6" t="n">
        <x:v>93</x:v>
      </x:c>
      <x:c r="N67" s="6" t="n">
        <x:v>90</x:v>
      </x:c>
      <x:c r="O67" s="6" t="n">
        <x:v>93</x:v>
      </x:c>
      <x:c r="P67" s="6" t="n">
        <x:v>86</x:v>
      </x:c>
      <x:c r="Q67" s="6" t="n">
        <x:v>11</x:v>
      </x:c>
      <x:c r="R67" s="7" t="str">
        <x:v>https://arxiv.org/abs/2607.25015</x:v>
      </x:c>
      <x:c r="S67" s="7" t="str">
        <x:v>Top100</x:v>
      </x:c>
      <x:c r="T67" s="7" t="str">
        <x:v>Scalar-curvature rigidity for contractible 3-manifolds; strong geometric topology implications.</x:v>
      </x:c>
    </x:row>
    <x:row r="68" ht="38" customHeight="1">
      <x:c r="A68" s="6" t="n">
        <x:v>67</x:v>
      </x:c>
      <x:c r="B68" s="7" t="str">
        <x:v>2026-07</x:v>
      </x:c>
      <x:c r="C68" s="7" t="str">
        <x:v>2607.26054</x:v>
      </x:c>
      <x:c r="D68" s="7" t="str">
        <x:v>Uniqueness of shrinking Kähler-Ricci solitons on resolutions of Kähler cones</x:v>
      </x:c>
      <x:c r="E68" s="7" t="str">
        <x:v>Ronan J. Conlon; Alix Deruelle</x:v>
      </x:c>
      <x:c r="F68" s="7" t="str">
        <x:v>Kähler-Ricci solitons</x:v>
      </x:c>
      <x:c r="G68" s="6" t="n">
        <x:v>29</x:v>
      </x:c>
      <x:c r="H68" s="28" t="n">
        <x:v>91.05</x:v>
      </x:c>
      <x:c r="I68" s="28" t="n">
        <x:v>91.15</x:v>
      </x:c>
      <x:c r="J68" s="28" t="n">
        <x:v>90.95</x:v>
      </x:c>
      <x:c r="K68" s="6" t="n">
        <x:v>92</x:v>
      </x:c>
      <x:c r="L68" s="6" t="n">
        <x:v>91</x:v>
      </x:c>
      <x:c r="M68" s="6" t="n">
        <x:v>93</x:v>
      </x:c>
      <x:c r="N68" s="6" t="n">
        <x:v>90</x:v>
      </x:c>
      <x:c r="O68" s="6" t="n">
        <x:v>93</x:v>
      </x:c>
      <x:c r="P68" s="6" t="n">
        <x:v>86</x:v>
      </x:c>
      <x:c r="Q68" s="6" t="n">
        <x:v>11</x:v>
      </x:c>
      <x:c r="R68" s="7" t="str">
        <x:v>https://arxiv.org/abs/2607.26054</x:v>
      </x:c>
      <x:c r="S68" s="7" t="str">
        <x:v>Top100</x:v>
      </x:c>
      <x:c r="T68" s="7" t="str">
        <x:v>Uniqueness theorem for shrinking KRS in singular/conical resolution setting.</x:v>
      </x:c>
    </x:row>
    <x:row r="69" ht="38" customHeight="1">
      <x:c r="A69" s="6" t="n">
        <x:v>68</x:v>
      </x:c>
      <x:c r="B69" s="7" t="str">
        <x:v>2026-07</x:v>
      </x:c>
      <x:c r="C69" s="7" t="str">
        <x:v>2607.27629</x:v>
      </x:c>
      <x:c r="D69" s="7" t="str">
        <x:v>Curved Kakeya problems and the projective geometry of paths</x:v>
      </x:c>
      <x:c r="E69" s="7" t="str">
        <x:v>Shaoming Guo; Larry Guth; Arian Nadjimzadah; Minxing Shen; Ruixiang Zhang</x:v>
      </x:c>
      <x:c r="F69" s="7" t="str">
        <x:v>curved Kakeya / projective geometry</x:v>
      </x:c>
      <x:c r="G69" s="6" t="n">
        <x:v>90</x:v>
      </x:c>
      <x:c r="H69" s="28" t="n">
        <x:v>91.05</x:v>
      </x:c>
      <x:c r="I69" s="28" t="n">
        <x:v>91.15</x:v>
      </x:c>
      <x:c r="J69" s="28" t="n">
        <x:v>90.95</x:v>
      </x:c>
      <x:c r="K69" s="6" t="n">
        <x:v>92</x:v>
      </x:c>
      <x:c r="L69" s="6" t="n">
        <x:v>91</x:v>
      </x:c>
      <x:c r="M69" s="6" t="n">
        <x:v>93</x:v>
      </x:c>
      <x:c r="N69" s="6" t="n">
        <x:v>90</x:v>
      </x:c>
      <x:c r="O69" s="6" t="n">
        <x:v>93</x:v>
      </x:c>
      <x:c r="P69" s="6" t="n">
        <x:v>86</x:v>
      </x:c>
      <x:c r="Q69" s="6" t="n">
        <x:v>11</x:v>
      </x:c>
      <x:c r="R69" s="7" t="str">
        <x:v>https://arxiv.org/abs/2607.27629</x:v>
      </x:c>
      <x:c r="S69" s="7" t="str">
        <x:v>Top100</x:v>
      </x:c>
      <x:c r="T69" s="7" t="str">
        <x:v>Highly technical incidence/harmonic-analysis result with projective-geometric content.</x:v>
      </x:c>
    </x:row>
    <x:row r="70" ht="38" customHeight="1">
      <x:c r="A70" s="6" t="n">
        <x:v>69</x:v>
      </x:c>
      <x:c r="B70" s="7" t="str">
        <x:v>2026-07</x:v>
      </x:c>
      <x:c r="C70" s="7" t="str">
        <x:v>2607.29447</x:v>
      </x:c>
      <x:c r="D70" s="7" t="str">
        <x:v>The Penrose inequality with charge for 2-convex initial data sets</x:v>
      </x:c>
      <x:c r="E70" s="7" t="str">
        <x:v>Tuan Dolmen</x:v>
      </x:c>
      <x:c r="F70" s="7" t="str">
        <x:v>charged Penrose inequality</x:v>
      </x:c>
      <x:c r="G70" s="6" t="str">
        <x:v>-</x:v>
      </x:c>
      <x:c r="H70" s="28" t="n">
        <x:v>91.05</x:v>
      </x:c>
      <x:c r="I70" s="28" t="n">
        <x:v>91.15</x:v>
      </x:c>
      <x:c r="J70" s="28" t="n">
        <x:v>90.95</x:v>
      </x:c>
      <x:c r="K70" s="6" t="n">
        <x:v>92</x:v>
      </x:c>
      <x:c r="L70" s="6" t="n">
        <x:v>91</x:v>
      </x:c>
      <x:c r="M70" s="6" t="n">
        <x:v>93</x:v>
      </x:c>
      <x:c r="N70" s="6" t="n">
        <x:v>90</x:v>
      </x:c>
      <x:c r="O70" s="6" t="n">
        <x:v>93</x:v>
      </x:c>
      <x:c r="P70" s="6" t="n">
        <x:v>86</x:v>
      </x:c>
      <x:c r="Q70" s="6" t="n">
        <x:v>11</x:v>
      </x:c>
      <x:c r="R70" s="7" t="str">
        <x:v>https://arxiv.org/abs/2607.29447</x:v>
      </x:c>
      <x:c r="S70" s="7" t="str">
        <x:v>Top100</x:v>
      </x:c>
      <x:c r="T70" s="7" t="str">
        <x:v>Charged Penrose inequality under 2-convexity; strong GR geometry signal.</x:v>
      </x:c>
    </x:row>
    <x:row r="71" ht="38" customHeight="1">
      <x:c r="A71" s="6" t="n">
        <x:v>70</x:v>
      </x:c>
      <x:c r="B71" s="7" t="str">
        <x:v>2026-07</x:v>
      </x:c>
      <x:c r="C71" s="7" t="str">
        <x:v>2607.29588</x:v>
      </x:c>
      <x:c r="D71" s="7" t="str">
        <x:v>A two-dimensional Allen-Cahn theory for interfaces with boundary</x:v>
      </x:c>
      <x:c r="E71" s="7" t="str">
        <x:v>Marco Badran; Manuel del Pino; Marco A. M. Guaraco</x:v>
      </x:c>
      <x:c r="F71" s="7" t="str">
        <x:v>Allen-Cahn / boundary interfaces</x:v>
      </x:c>
      <x:c r="G71" s="6" t="str">
        <x:v>-</x:v>
      </x:c>
      <x:c r="H71" s="28" t="n">
        <x:v>91.05</x:v>
      </x:c>
      <x:c r="I71" s="28" t="n">
        <x:v>91.15</x:v>
      </x:c>
      <x:c r="J71" s="28" t="n">
        <x:v>90.95</x:v>
      </x:c>
      <x:c r="K71" s="6" t="n">
        <x:v>92</x:v>
      </x:c>
      <x:c r="L71" s="6" t="n">
        <x:v>91</x:v>
      </x:c>
      <x:c r="M71" s="6" t="n">
        <x:v>93</x:v>
      </x:c>
      <x:c r="N71" s="6" t="n">
        <x:v>90</x:v>
      </x:c>
      <x:c r="O71" s="6" t="n">
        <x:v>93</x:v>
      </x:c>
      <x:c r="P71" s="6" t="n">
        <x:v>86</x:v>
      </x:c>
      <x:c r="Q71" s="6" t="n">
        <x:v>11</x:v>
      </x:c>
      <x:c r="R71" s="7" t="str">
        <x:v>https://arxiv.org/abs/2607.29588</x:v>
      </x:c>
      <x:c r="S71" s="7" t="str">
        <x:v>Top100</x:v>
      </x:c>
      <x:c r="T71" s="7" t="str">
        <x:v>Boundary-interface Allen-Cahn theory with geometric variational content.</x:v>
      </x:c>
    </x:row>
    <x:row r="72" ht="38" customHeight="1">
      <x:c r="A72" s="6" t="n">
        <x:v>71</x:v>
      </x:c>
      <x:c r="B72" s="7" t="str">
        <x:v>2026-08</x:v>
      </x:c>
      <x:c r="C72" s="7" t="str">
        <x:v>2608.00944</x:v>
      </x:c>
      <x:c r="D72" s="7" t="str">
        <x:v>McKean Rigidity for Cocompact Negatively Curved Manifolds and the p-Laplacian</x:v>
      </x:c>
      <x:c r="E72" s="7" t="str">
        <x:v>Kuntao Jin; Bo Zhu</x:v>
      </x:c>
      <x:c r="F72" s="7" t="str">
        <x:v>McKean rigidity / p-Laplacian</x:v>
      </x:c>
      <x:c r="G72" s="6" t="n">
        <x:v>56</x:v>
      </x:c>
      <x:c r="H72" s="28" t="n">
        <x:v>91.05</x:v>
      </x:c>
      <x:c r="I72" s="28" t="n">
        <x:v>91.15</x:v>
      </x:c>
      <x:c r="J72" s="28" t="n">
        <x:v>90.95</x:v>
      </x:c>
      <x:c r="K72" s="6" t="n">
        <x:v>92</x:v>
      </x:c>
      <x:c r="L72" s="6" t="n">
        <x:v>91</x:v>
      </x:c>
      <x:c r="M72" s="6" t="n">
        <x:v>93</x:v>
      </x:c>
      <x:c r="N72" s="6" t="n">
        <x:v>90</x:v>
      </x:c>
      <x:c r="O72" s="6" t="n">
        <x:v>93</x:v>
      </x:c>
      <x:c r="P72" s="6" t="n">
        <x:v>86</x:v>
      </x:c>
      <x:c r="Q72" s="6" t="n">
        <x:v>11</x:v>
      </x:c>
      <x:c r="R72" s="7" t="str">
        <x:v>https://arxiv.org/abs/2608.00944</x:v>
      </x:c>
      <x:c r="S72" s="7" t="str">
        <x:v>Top100</x:v>
      </x:c>
      <x:c r="T72" s="7" t="str">
        <x:v>Rigidity theorem for negatively curved manifolds and p-Laplacian; high spectral-geometric value.</x:v>
      </x:c>
    </x:row>
    <x:row r="73" ht="38" customHeight="1">
      <x:c r="A73" s="6" t="n">
        <x:v>72</x:v>
      </x:c>
      <x:c r="B73" s="7" t="str">
        <x:v>2026-08</x:v>
      </x:c>
      <x:c r="C73" s="7" t="str">
        <x:v>2608.03405</x:v>
      </x:c>
      <x:c r="D73" s="7" t="str">
        <x:v>Lower Bound for Weighted Intermediate Ricci Curvature and Tensorial Entropy Convexity</x:v>
      </x:c>
      <x:c r="E73" s="7" t="str">
        <x:v>Chao-Ming Lin; Kai-Hsiang Wang</x:v>
      </x:c>
      <x:c r="F73" s="7" t="str">
        <x:v>weighted intermediate Ricci / entropy convexity</x:v>
      </x:c>
      <x:c r="G73" s="6" t="n">
        <x:v>60</x:v>
      </x:c>
      <x:c r="H73" s="28" t="n">
        <x:v>91.05</x:v>
      </x:c>
      <x:c r="I73" s="28" t="n">
        <x:v>91.15</x:v>
      </x:c>
      <x:c r="J73" s="28" t="n">
        <x:v>90.95</x:v>
      </x:c>
      <x:c r="K73" s="6" t="n">
        <x:v>92</x:v>
      </x:c>
      <x:c r="L73" s="6" t="n">
        <x:v>91</x:v>
      </x:c>
      <x:c r="M73" s="6" t="n">
        <x:v>93</x:v>
      </x:c>
      <x:c r="N73" s="6" t="n">
        <x:v>90</x:v>
      </x:c>
      <x:c r="O73" s="6" t="n">
        <x:v>93</x:v>
      </x:c>
      <x:c r="P73" s="6" t="n">
        <x:v>86</x:v>
      </x:c>
      <x:c r="Q73" s="6" t="n">
        <x:v>11</x:v>
      </x:c>
      <x:c r="R73" s="7" t="str">
        <x:v>https://arxiv.org/abs/2608.03405</x:v>
      </x:c>
      <x:c r="S73" s="7" t="str">
        <x:v>Top100</x:v>
      </x:c>
      <x:c r="T73" s="7" t="str">
        <x:v>Weighted curvature lower bounds and entropy convexity; strong synthetic/geometric analysis link.</x:v>
      </x:c>
    </x:row>
    <x:row r="74" ht="38" customHeight="1">
      <x:c r="A74" s="6" t="n">
        <x:v>73</x:v>
      </x:c>
      <x:c r="B74" s="7" t="str">
        <x:v>2026-08</x:v>
      </x:c>
      <x:c r="C74" s="7" t="str">
        <x:v>2608.04364</x:v>
      </x:c>
      <x:c r="D74" s="7" t="str">
        <x:v>Calabi-Yau Conjecture for Minimal Hypersurfaces in R^4 with bounded geometry</x:v>
      </x:c>
      <x:c r="E74" s="7" t="str">
        <x:v>Shrey Aryan; Alexander D. McWeeney; Giuseppe Tinaglia</x:v>
      </x:c>
      <x:c r="F74" s="7" t="str">
        <x:v>minimal hypersurfaces / Calabi-Yau conjecture</x:v>
      </x:c>
      <x:c r="G74" s="6" t="n">
        <x:v>9</x:v>
      </x:c>
      <x:c r="H74" s="28" t="n">
        <x:v>91.05</x:v>
      </x:c>
      <x:c r="I74" s="28" t="n">
        <x:v>91.15</x:v>
      </x:c>
      <x:c r="J74" s="28" t="n">
        <x:v>90.95</x:v>
      </x:c>
      <x:c r="K74" s="6" t="n">
        <x:v>92</x:v>
      </x:c>
      <x:c r="L74" s="6" t="n">
        <x:v>91</x:v>
      </x:c>
      <x:c r="M74" s="6" t="n">
        <x:v>93</x:v>
      </x:c>
      <x:c r="N74" s="6" t="n">
        <x:v>90</x:v>
      </x:c>
      <x:c r="O74" s="6" t="n">
        <x:v>93</x:v>
      </x:c>
      <x:c r="P74" s="6" t="n">
        <x:v>86</x:v>
      </x:c>
      <x:c r="Q74" s="6" t="n">
        <x:v>11</x:v>
      </x:c>
      <x:c r="R74" s="7" t="str">
        <x:v>https://arxiv.org/abs/2608.04364</x:v>
      </x:c>
      <x:c r="S74" s="7" t="str">
        <x:v>Top100</x:v>
      </x:c>
      <x:c r="T74" s="7" t="str">
        <x:v>Concise theorem around Calabi-Yau conjecture for minimal hypersurfaces.</x:v>
      </x:c>
    </x:row>
    <x:row r="75" ht="38" customHeight="1">
      <x:c r="A75" s="6" t="n">
        <x:v>74</x:v>
      </x:c>
      <x:c r="B75" s="7" t="str">
        <x:v>2026-06</x:v>
      </x:c>
      <x:c r="C75" s="7" t="str">
        <x:v>2606.09017</x:v>
      </x:c>
      <x:c r="D75" s="7" t="str">
        <x:v>The Ollivier Ricci flow with prescribed curvature on infinite graphs</x:v>
      </x:c>
      <x:c r="E75" s="7" t="str">
        <x:v>Bobo Hua; Yong Lin; Shuang Liu</x:v>
      </x:c>
      <x:c r="F75" s="7" t="str">
        <x:v>discrete Ricci flow</x:v>
      </x:c>
      <x:c r="G75" s="6" t="str">
        <x:v>-</x:v>
      </x:c>
      <x:c r="H75" s="28" t="n">
        <x:v>90.92</x:v>
      </x:c>
      <x:c r="I75" s="28" t="n">
        <x:v>91.4</x:v>
      </x:c>
      <x:c r="J75" s="28" t="n">
        <x:v>90.45</x:v>
      </x:c>
      <x:c r="K75" s="6" t="n">
        <x:v>93</x:v>
      </x:c>
      <x:c r="L75" s="6" t="n">
        <x:v>91</x:v>
      </x:c>
      <x:c r="M75" s="6" t="n">
        <x:v>92</x:v>
      </x:c>
      <x:c r="N75" s="6" t="n">
        <x:v>90</x:v>
      </x:c>
      <x:c r="O75" s="6" t="n">
        <x:v>92</x:v>
      </x:c>
      <x:c r="P75" s="6" t="n">
        <x:v>88</x:v>
      </x:c>
      <x:c r="Q75" s="6" t="n">
        <x:v>13</x:v>
      </x:c>
      <x:c r="R75" s="7" t="str">
        <x:v>https://arxiv.org/abs/2606.09017</x:v>
      </x:c>
      <x:c r="S75" s="7" t="str">
        <x:v>Top100</x:v>
      </x:c>
      <x:c r="T75" s="7" t="str">
        <x:v>Prescribed-curvature Ollivier Ricci flow on infinite graphs.</x:v>
      </x:c>
    </x:row>
    <x:row r="76" ht="38" customHeight="1">
      <x:c r="A76" s="6" t="n">
        <x:v>75</x:v>
      </x:c>
      <x:c r="B76" s="7" t="str">
        <x:v>2026-06</x:v>
      </x:c>
      <x:c r="C76" s="7" t="str">
        <x:v>2606.28767</x:v>
      </x:c>
      <x:c r="D76" s="7" t="str">
        <x:v>Infinite-Time Singularities with Vanishing Mean Curvature for Lagrangian Mean Curvature Flow in Gibbons-Hawking Spaces</x:v>
      </x:c>
      <x:c r="E76" s="7" t="str">
        <x:v>Ping-Hung Lee; Chung-Jun Tsai</x:v>
      </x:c>
      <x:c r="F76" s="7" t="str">
        <x:v>Lagrangian MCF</x:v>
      </x:c>
      <x:c r="G76" s="6" t="n">
        <x:v>31</x:v>
      </x:c>
      <x:c r="H76" s="28" t="n">
        <x:v>90.92</x:v>
      </x:c>
      <x:c r="I76" s="28" t="n">
        <x:v>91.25</x:v>
      </x:c>
      <x:c r="J76" s="28" t="n">
        <x:v>90.6</x:v>
      </x:c>
      <x:c r="K76" s="6" t="n">
        <x:v>93</x:v>
      </x:c>
      <x:c r="L76" s="6" t="n">
        <x:v>91</x:v>
      </x:c>
      <x:c r="M76" s="6" t="n">
        <x:v>92</x:v>
      </x:c>
      <x:c r="N76" s="6" t="n">
        <x:v>89</x:v>
      </x:c>
      <x:c r="O76" s="6" t="n">
        <x:v>92</x:v>
      </x:c>
      <x:c r="P76" s="6" t="n">
        <x:v>88</x:v>
      </x:c>
      <x:c r="Q76" s="6" t="n">
        <x:v>12</x:v>
      </x:c>
      <x:c r="R76" s="7" t="str">
        <x:v>https://arxiv.org/abs/2606.28767</x:v>
      </x:c>
      <x:c r="S76" s="7" t="str">
        <x:v>Top100</x:v>
      </x:c>
      <x:c r="T76" s="7" t="str">
        <x:v>Infinite-time singularities in Gibbons-Hawking Lagrangian MCF setting.</x:v>
      </x:c>
    </x:row>
    <x:row r="77" ht="38" customHeight="1">
      <x:c r="A77" s="6" t="n">
        <x:v>76</x:v>
      </x:c>
      <x:c r="B77" s="7" t="str">
        <x:v>2026-06</x:v>
      </x:c>
      <x:c r="C77" s="7" t="str">
        <x:v>2606.29231</x:v>
      </x:c>
      <x:c r="D77" s="7" t="str">
        <x:v>On questions of Pogorelov and Toponogov</x:v>
      </x:c>
      <x:c r="E77" s="7" t="str">
        <x:v>Lei Ni; Wei Zhang; Yijian Zhang</x:v>
      </x:c>
      <x:c r="F77" s="7" t="str">
        <x:v>comparison geometry / rigidity</x:v>
      </x:c>
      <x:c r="G77" s="6" t="n">
        <x:v>10</x:v>
      </x:c>
      <x:c r="H77" s="28" t="n">
        <x:v>90.85</x:v>
      </x:c>
      <x:c r="I77" s="28" t="n">
        <x:v>91</x:v>
      </x:c>
      <x:c r="J77" s="28" t="n">
        <x:v>90.7</x:v>
      </x:c>
      <x:c r="K77" s="6" t="n">
        <x:v>93</x:v>
      </x:c>
      <x:c r="L77" s="6" t="n">
        <x:v>91</x:v>
      </x:c>
      <x:c r="M77" s="6" t="n">
        <x:v>91</x:v>
      </x:c>
      <x:c r="N77" s="6" t="n">
        <x:v>89</x:v>
      </x:c>
      <x:c r="O77" s="6" t="n">
        <x:v>93</x:v>
      </x:c>
      <x:c r="P77" s="6" t="n">
        <x:v>88</x:v>
      </x:c>
      <x:c r="Q77" s="6" t="n">
        <x:v>12</x:v>
      </x:c>
      <x:c r="R77" s="7" t="str">
        <x:v>https://arxiv.org/abs/2606.29231</x:v>
      </x:c>
      <x:c r="S77" s="7" t="str">
        <x:v>Top100</x:v>
      </x:c>
      <x:c r="T77" s="7" t="str">
        <x:v>Addresses classical Pogorelov-Toponogov type questions.</x:v>
      </x:c>
    </x:row>
    <x:row r="78" ht="38" customHeight="1">
      <x:c r="A78" s="6" t="n">
        <x:v>77</x:v>
      </x:c>
      <x:c r="B78" s="7" t="str">
        <x:v>2026-06</x:v>
      </x:c>
      <x:c r="C78" s="7" t="str">
        <x:v>2606.29246</x:v>
      </x:c>
      <x:c r="D78" s="7" t="str">
        <x:v>Rigidity of Closed Minimal Hypersurfaces in S^5</x:v>
      </x:c>
      <x:c r="E78" s="7" t="str">
        <x:v>Jianquan Ge; Tong Liu; Keyan Luo; Wenjiao Yan</x:v>
      </x:c>
      <x:c r="F78" s="7" t="str">
        <x:v>minimal hypersurface rigidity</x:v>
      </x:c>
      <x:c r="G78" s="6" t="n">
        <x:v>31</x:v>
      </x:c>
      <x:c r="H78" s="28" t="n">
        <x:v>90.85</x:v>
      </x:c>
      <x:c r="I78" s="28" t="n">
        <x:v>91</x:v>
      </x:c>
      <x:c r="J78" s="28" t="n">
        <x:v>90.7</x:v>
      </x:c>
      <x:c r="K78" s="6" t="n">
        <x:v>93</x:v>
      </x:c>
      <x:c r="L78" s="6" t="n">
        <x:v>91</x:v>
      </x:c>
      <x:c r="M78" s="6" t="n">
        <x:v>91</x:v>
      </x:c>
      <x:c r="N78" s="6" t="n">
        <x:v>89</x:v>
      </x:c>
      <x:c r="O78" s="6" t="n">
        <x:v>93</x:v>
      </x:c>
      <x:c r="P78" s="6" t="n">
        <x:v>88</x:v>
      </x:c>
      <x:c r="Q78" s="6" t="n">
        <x:v>12</x:v>
      </x:c>
      <x:c r="R78" s="7" t="str">
        <x:v>https://arxiv.org/abs/2606.29246</x:v>
      </x:c>
      <x:c r="S78" s="7" t="str">
        <x:v>Top100</x:v>
      </x:c>
      <x:c r="T78" s="7" t="str">
        <x:v>Rigidity result for closed minimal hypersurfaces in the five-sphere.</x:v>
      </x:c>
    </x:row>
    <x:row r="79" ht="38" customHeight="1">
      <x:c r="A79" s="6" t="n">
        <x:v>78</x:v>
      </x:c>
      <x:c r="B79" s="7" t="str">
        <x:v>2026-08</x:v>
      </x:c>
      <x:c r="C79" s="7" t="str">
        <x:v>2608.02405</x:v>
      </x:c>
      <x:c r="D79" s="7" t="str">
        <x:v>A Weighted Discretization of Riemannian Manifolds with Lower Ricci Bounds</x:v>
      </x:c>
      <x:c r="E79" s="7" t="str">
        <x:v>Aditya Tiwari</x:v>
      </x:c>
      <x:c r="F79" s="7" t="str">
        <x:v>weighted graph discretization / Ricci lower bounds</x:v>
      </x:c>
      <x:c r="G79" s="6" t="n">
        <x:v>16</x:v>
      </x:c>
      <x:c r="H79" s="28" t="n">
        <x:v>90.775</x:v>
      </x:c>
      <x:c r="I79" s="28" t="n">
        <x:v>91.2</x:v>
      </x:c>
      <x:c r="J79" s="28" t="n">
        <x:v>90.35</x:v>
      </x:c>
      <x:c r="K79" s="6" t="n">
        <x:v>92</x:v>
      </x:c>
      <x:c r="L79" s="6" t="n">
        <x:v>92</x:v>
      </x:c>
      <x:c r="M79" s="6" t="n">
        <x:v>92</x:v>
      </x:c>
      <x:c r="N79" s="6" t="n">
        <x:v>92</x:v>
      </x:c>
      <x:c r="O79" s="6" t="n">
        <x:v>92</x:v>
      </x:c>
      <x:c r="P79" s="6" t="n">
        <x:v>84</x:v>
      </x:c>
      <x:c r="Q79" s="6" t="n">
        <x:v>11</x:v>
      </x:c>
      <x:c r="R79" s="7" t="str">
        <x:v>https://arxiv.org/abs/2608.02405</x:v>
      </x:c>
      <x:c r="S79" s="7" t="str">
        <x:v>Top100</x:v>
      </x:c>
      <x:c r="T79" s="7" t="str">
        <x:v>Weighted combinatorial Laplacian with spectral comparison independent of injectivity radius and stability under measured Gromov-Hausdorff convergence.</x:v>
      </x:c>
    </x:row>
    <x:row r="80" ht="38" customHeight="1">
      <x:c r="A80" s="6" t="n">
        <x:v>79</x:v>
      </x:c>
      <x:c r="B80" s="7" t="str">
        <x:v>2026-08</x:v>
      </x:c>
      <x:c r="C80" s="7" t="str">
        <x:v>2608.06974</x:v>
      </x:c>
      <x:c r="D80" s="7" t="str">
        <x:v>Left-invariant metrics on step-two Carnot groups are uniformly doubling</x:v>
      </x:c>
      <x:c r="E80" s="7" t="str">
        <x:v>Cheng Bi; Ye Zhang</x:v>
      </x:c>
      <x:c r="F80" s="7" t="str">
        <x:v>Carnot groups / uniform doubling</x:v>
      </x:c>
      <x:c r="G80" s="6" t="n">
        <x:v>7</x:v>
      </x:c>
      <x:c r="H80" s="28" t="n">
        <x:v>90.725</x:v>
      </x:c>
      <x:c r="I80" s="28" t="n">
        <x:v>91.15</x:v>
      </x:c>
      <x:c r="J80" s="28" t="n">
        <x:v>90.3</x:v>
      </x:c>
      <x:c r="K80" s="6" t="n">
        <x:v>92</x:v>
      </x:c>
      <x:c r="L80" s="6" t="n">
        <x:v>92</x:v>
      </x:c>
      <x:c r="M80" s="6" t="n">
        <x:v>91</x:v>
      </x:c>
      <x:c r="N80" s="6" t="n">
        <x:v>92</x:v>
      </x:c>
      <x:c r="O80" s="6" t="n">
        <x:v>92</x:v>
      </x:c>
      <x:c r="P80" s="6" t="n">
        <x:v>86</x:v>
      </x:c>
      <x:c r="Q80" s="6" t="n">
        <x:v>12</x:v>
      </x:c>
      <x:c r="R80" s="7" t="str">
        <x:v>https://arxiv.org/abs/2608.06974</x:v>
      </x:c>
      <x:c r="S80" s="7" t="str">
        <x:v>Top100</x:v>
      </x:c>
      <x:c r="T80" s="7" t="str">
        <x:v>Proves the sharp uniform doubling constant 2^Q for all left-invariant Riemannian metrics on every step-two Carnot group, together with a Bishop-Gromov-type estimate.</x:v>
      </x:c>
    </x:row>
    <x:row r="81" ht="38" customHeight="1">
      <x:c r="A81" s="6" t="n">
        <x:v>80</x:v>
      </x:c>
      <x:c r="B81" s="7" t="str">
        <x:v>2026-07</x:v>
      </x:c>
      <x:c r="C81" s="7" t="str">
        <x:v>2607.29654</x:v>
      </x:c>
      <x:c r="D81" s="7" t="str">
        <x:v>Elastic Curves via Geometric Mechanics</x:v>
      </x:c>
      <x:c r="E81" s="7" t="str">
        <x:v>Oliver Gross; Rohit Jammula; Albert Chern</x:v>
      </x:c>
      <x:c r="F81" s="7" t="str">
        <x:v>discrete elastic curves / geometric mechanics</x:v>
      </x:c>
      <x:c r="G81" s="6" t="n">
        <x:v>23</x:v>
      </x:c>
      <x:c r="H81" s="28" t="n">
        <x:v>90.5</x:v>
      </x:c>
      <x:c r="I81" s="28" t="n">
        <x:v>90.95</x:v>
      </x:c>
      <x:c r="J81" s="28" t="n">
        <x:v>90.05</x:v>
      </x:c>
      <x:c r="K81" s="6" t="n">
        <x:v>91</x:v>
      </x:c>
      <x:c r="L81" s="6" t="n">
        <x:v>93</x:v>
      </x:c>
      <x:c r="M81" s="6" t="n">
        <x:v>91</x:v>
      </x:c>
      <x:c r="N81" s="6" t="n">
        <x:v>92</x:v>
      </x:c>
      <x:c r="O81" s="6" t="n">
        <x:v>91</x:v>
      </x:c>
      <x:c r="P81" s="6" t="n">
        <x:v>85</x:v>
      </x:c>
      <x:c r="Q81" s="6" t="n">
        <x:v>12</x:v>
      </x:c>
      <x:c r="R81" s="7" t="str">
        <x:v>https://arxiv.org/abs/2607.29654</x:v>
      </x:c>
      <x:c r="S81" s="7" t="str">
        <x:v>Top100</x:v>
      </x:c>
      <x:c r="T81" s="7" t="str">
        <x:v>New isoperimetric characterization and exact structure-preserving polygonal theory; carries canonical symplectic dynamics to discrete curves.</x:v>
      </x:c>
    </x:row>
    <x:row r="82" ht="38" customHeight="1">
      <x:c r="A82" s="6" t="n">
        <x:v>81</x:v>
      </x:c>
      <x:c r="B82" s="7" t="str">
        <x:v>2026-08</x:v>
      </x:c>
      <x:c r="C82" s="7" t="str">
        <x:v>2507.16794</x:v>
      </x:c>
      <x:c r="D82" s="7" t="str">
        <x:v>Spectral gaps for noncompact hyperbolic surfaces with linearly many cusps</x:v>
      </x:c>
      <x:c r="E82" s="7" t="str">
        <x:v>Qi Guo; Bobo Hua; Yang Shen</x:v>
      </x:c>
      <x:c r="F82" s="7" t="str">
        <x:v>spectral geometry / hyperbolic surfaces / expander graphs</x:v>
      </x:c>
      <x:c r="G82" s="6" t="n">
        <x:v>23</x:v>
      </x:c>
      <x:c r="H82" s="28" t="n">
        <x:v>90.4</x:v>
      </x:c>
      <x:c r="I82" s="28" t="n">
        <x:v>90.95</x:v>
      </x:c>
      <x:c r="J82" s="28" t="n">
        <x:v>89.85</x:v>
      </x:c>
      <x:c r="K82" s="6" t="n">
        <x:v>92</x:v>
      </x:c>
      <x:c r="L82" s="6" t="n">
        <x:v>93</x:v>
      </x:c>
      <x:c r="M82" s="6" t="n">
        <x:v>90</x:v>
      </x:c>
      <x:c r="N82" s="6" t="n">
        <x:v>91</x:v>
      </x:c>
      <x:c r="O82" s="6" t="n">
        <x:v>92</x:v>
      </x:c>
      <x:c r="P82" s="6" t="n">
        <x:v>86</x:v>
      </x:c>
      <x:c r="Q82" s="6" t="n">
        <x:v>15</x:v>
      </x:c>
      <x:c r="R82" s="7" t="str">
        <x:v>https://arxiv.org/abs/2507.16794</x:v>
      </x:c>
      <x:c r="S82" s="7" t="str">
        <x:v>Top100</x:v>
      </x:c>
      <x:c r="T82" s="7" t="str">
        <x:v>Closes the linear-cusp existence regime through a quantitative expander-graph construction and proves a complementary Steklov obstruction for superlinear cusp growth.</x:v>
      </x:c>
    </x:row>
    <x:row r="83" ht="38" customHeight="1">
      <x:c r="A83" s="6" t="n">
        <x:v>82</x:v>
      </x:c>
      <x:c r="B83" s="7" t="str">
        <x:v>2026-07</x:v>
      </x:c>
      <x:c r="C83" s="7" t="str">
        <x:v>2607.05023</x:v>
      </x:c>
      <x:c r="D83" s="7" t="str">
        <x:v>Rigidity on compact surfaces through hyperbolic symmetries</x:v>
      </x:c>
      <x:c r="E83" s="7" t="str">
        <x:v>Sean Dewar; Alison La Porta; Rebecca Monks; Anthony Nixon; Klara Stokes; Joannes Vermant</x:v>
      </x:c>
      <x:c r="F83" s="7" t="str">
        <x:v>surface rigidity / hyperbolic symmetries</x:v>
      </x:c>
      <x:c r="G83" s="6" t="n">
        <x:v>45</x:v>
      </x:c>
      <x:c r="H83" s="28" t="n">
        <x:v>90.4</x:v>
      </x:c>
      <x:c r="I83" s="28" t="n">
        <x:v>90.45</x:v>
      </x:c>
      <x:c r="J83" s="28" t="n">
        <x:v>90.35</x:v>
      </x:c>
      <x:c r="K83" s="6" t="n">
        <x:v>90</x:v>
      </x:c>
      <x:c r="L83" s="6" t="n">
        <x:v>93</x:v>
      </x:c>
      <x:c r="M83" s="6" t="n">
        <x:v>91</x:v>
      </x:c>
      <x:c r="N83" s="6" t="n">
        <x:v>90</x:v>
      </x:c>
      <x:c r="O83" s="6" t="n">
        <x:v>91</x:v>
      </x:c>
      <x:c r="P83" s="6" t="n">
        <x:v>86</x:v>
      </x:c>
      <x:c r="Q83" s="6" t="n">
        <x:v>11</x:v>
      </x:c>
      <x:c r="R83" s="7" t="str">
        <x:v>https://arxiv.org/abs/2607.05023</x:v>
      </x:c>
      <x:c r="S83" s="7" t="str">
        <x:v>Top100</x:v>
      </x:c>
      <x:c r="T83" s="7" t="str">
        <x:v>First finite combinatorial characterization of generic rigidity for frameworks on compact surfaces of genus at least two, via hyperbolic symmetries and gain graphs.</x:v>
      </x:c>
    </x:row>
    <x:row r="84" ht="38" customHeight="1">
      <x:c r="A84" s="6" t="n">
        <x:v>83</x:v>
      </x:c>
      <x:c r="B84" s="7" t="str">
        <x:v>2026-06</x:v>
      </x:c>
      <x:c r="C84" s="7" t="str">
        <x:v>2606.31393</x:v>
      </x:c>
      <x:c r="D84" s="7" t="str">
        <x:v>Montel's theorem and tautness in calibrated geometry</x:v>
      </x:c>
      <x:c r="E84" s="7" t="str">
        <x:v>Anton Iliashenko; Spiro Karigiannis; Jesse Madnick</x:v>
      </x:c>
      <x:c r="F84" s="7" t="str">
        <x:v>calibrated geometry</x:v>
      </x:c>
      <x:c r="G84" s="6" t="n">
        <x:v>27</x:v>
      </x:c>
      <x:c r="H84" s="28" t="n">
        <x:v>90.35</x:v>
      </x:c>
      <x:c r="I84" s="28" t="n">
        <x:v>90.5</x:v>
      </x:c>
      <x:c r="J84" s="28" t="n">
        <x:v>90.2</x:v>
      </x:c>
      <x:c r="K84" s="6" t="n">
        <x:v>92</x:v>
      </x:c>
      <x:c r="L84" s="6" t="n">
        <x:v>90</x:v>
      </x:c>
      <x:c r="M84" s="6" t="n">
        <x:v>91</x:v>
      </x:c>
      <x:c r="N84" s="6" t="n">
        <x:v>89</x:v>
      </x:c>
      <x:c r="O84" s="6" t="n">
        <x:v>92</x:v>
      </x:c>
      <x:c r="P84" s="6" t="n">
        <x:v>88</x:v>
      </x:c>
      <x:c r="Q84" s="6" t="n">
        <x:v>12</x:v>
      </x:c>
      <x:c r="R84" s="7" t="str">
        <x:v>https://arxiv.org/abs/2606.31393</x:v>
      </x:c>
      <x:c r="S84" s="7" t="str">
        <x:v>Top100</x:v>
      </x:c>
      <x:c r="T84" s="7" t="str">
        <x:v>Montel/tautness theory in calibrated geometry.</x:v>
      </x:c>
    </x:row>
    <x:row r="85" ht="38" customHeight="1">
      <x:c r="A85" s="6" t="n">
        <x:v>84</x:v>
      </x:c>
      <x:c r="B85" s="7" t="str">
        <x:v>2026-06</x:v>
      </x:c>
      <x:c r="C85" s="7" t="str">
        <x:v>2606.15402</x:v>
      </x:c>
      <x:c r="D85" s="7" t="str">
        <x:v>Rigidity Theorems for the Weyl Problem of Convex Surfaces in Hyperbolic 3-Space</x:v>
      </x:c>
      <x:c r="E85" s="7" t="str">
        <x:v>Xinrong Zhao</x:v>
      </x:c>
      <x:c r="F85" s="7" t="str">
        <x:v>convex surface rigidity</x:v>
      </x:c>
      <x:c r="G85" s="6" t="n">
        <x:v>43</x:v>
      </x:c>
      <x:c r="H85" s="28" t="n">
        <x:v>90.3</x:v>
      </x:c>
      <x:c r="I85" s="28" t="n">
        <x:v>90.7</x:v>
      </x:c>
      <x:c r="J85" s="28" t="n">
        <x:v>89.9</x:v>
      </x:c>
      <x:c r="K85" s="6" t="n">
        <x:v>93</x:v>
      </x:c>
      <x:c r="L85" s="6" t="n">
        <x:v>90</x:v>
      </x:c>
      <x:c r="M85" s="6" t="n">
        <x:v>91</x:v>
      </x:c>
      <x:c r="N85" s="6" t="n">
        <x:v>89</x:v>
      </x:c>
      <x:c r="O85" s="6" t="n">
        <x:v>92</x:v>
      </x:c>
      <x:c r="P85" s="6" t="n">
        <x:v>87</x:v>
      </x:c>
      <x:c r="Q85" s="6" t="n">
        <x:v>13</x:v>
      </x:c>
      <x:c r="R85" s="7" t="str">
        <x:v>https://arxiv.org/abs/2606.15402</x:v>
      </x:c>
      <x:c r="S85" s="7" t="str">
        <x:v>Top100</x:v>
      </x:c>
      <x:c r="T85" s="7" t="str">
        <x:v>Rigidity theorems for hyperbolic Weyl problem.</x:v>
      </x:c>
    </x:row>
    <x:row r="86" ht="38" customHeight="1">
      <x:c r="A86" s="6" t="n">
        <x:v>85</x:v>
      </x:c>
      <x:c r="B86" s="7" t="str">
        <x:v>2026-06</x:v>
      </x:c>
      <x:c r="C86" s="7" t="str">
        <x:v>2606.15827</x:v>
      </x:c>
      <x:c r="D86" s="7" t="str">
        <x:v>Rigidity Estimate for Hyperbolic Shells and its Application in Gamma-limit Theory</x:v>
      </x:c>
      <x:c r="E86" s="7" t="str">
        <x:v>Liang-Biao Chen; Peng-Fei Yao</x:v>
      </x:c>
      <x:c r="F86" s="7" t="str">
        <x:v>elasticity / rigidity estimates</x:v>
      </x:c>
      <x:c r="G86" s="6" t="str">
        <x:v>-</x:v>
      </x:c>
      <x:c r="H86" s="28" t="n">
        <x:v>90.3</x:v>
      </x:c>
      <x:c r="I86" s="28" t="n">
        <x:v>90.7</x:v>
      </x:c>
      <x:c r="J86" s="28" t="n">
        <x:v>89.9</x:v>
      </x:c>
      <x:c r="K86" s="6" t="n">
        <x:v>93</x:v>
      </x:c>
      <x:c r="L86" s="6" t="n">
        <x:v>90</x:v>
      </x:c>
      <x:c r="M86" s="6" t="n">
        <x:v>91</x:v>
      </x:c>
      <x:c r="N86" s="6" t="n">
        <x:v>89</x:v>
      </x:c>
      <x:c r="O86" s="6" t="n">
        <x:v>92</x:v>
      </x:c>
      <x:c r="P86" s="6" t="n">
        <x:v>87</x:v>
      </x:c>
      <x:c r="Q86" s="6" t="n">
        <x:v>13</x:v>
      </x:c>
      <x:c r="R86" s="7" t="str">
        <x:v>https://arxiv.org/abs/2606.15827</x:v>
      </x:c>
      <x:c r="S86" s="7" t="str">
        <x:v>Top100</x:v>
      </x:c>
      <x:c r="T86" s="7" t="str">
        <x:v>Rigidity estimate for hyperbolic shells with Gamma-limit applications.</x:v>
      </x:c>
    </x:row>
    <x:row r="87" ht="38" customHeight="1">
      <x:c r="A87" s="6" t="n">
        <x:v>86</x:v>
      </x:c>
      <x:c r="B87" s="7" t="str">
        <x:v>2026-08</x:v>
      </x:c>
      <x:c r="C87" s="7" t="str">
        <x:v>2608.07351</x:v>
      </x:c>
      <x:c r="D87" s="7" t="str">
        <x:v>Finite-Rank Lie Algebroids for Singular Foliations of Prescribed Vanishing Order</x:v>
      </x:c>
      <x:c r="E87" s="7" t="str">
        <x:v>Austin Davis; Cheng-Yi Hung; Sangjun Ko; Kaichuan Qi</x:v>
      </x:c>
      <x:c r="F87" s="7" t="str">
        <x:v>singular foliations / Lie algebroids</x:v>
      </x:c>
      <x:c r="G87" s="6" t="n">
        <x:v>11</x:v>
      </x:c>
      <x:c r="H87" s="28" t="n">
        <x:v>90.175</x:v>
      </x:c>
      <x:c r="I87" s="28" t="n">
        <x:v>90.5</x:v>
      </x:c>
      <x:c r="J87" s="28" t="n">
        <x:v>89.85</x:v>
      </x:c>
      <x:c r="K87" s="6" t="n">
        <x:v>91</x:v>
      </x:c>
      <x:c r="L87" s="6" t="n">
        <x:v>94</x:v>
      </x:c>
      <x:c r="M87" s="6" t="n">
        <x:v>89</x:v>
      </x:c>
      <x:c r="N87" s="6" t="n">
        <x:v>91</x:v>
      </x:c>
      <x:c r="O87" s="6" t="n">
        <x:v>92</x:v>
      </x:c>
      <x:c r="P87" s="6" t="n">
        <x:v>85</x:v>
      </x:c>
      <x:c r="Q87" s="6" t="n">
        <x:v>14</x:v>
      </x:c>
      <x:c r="R87" s="7" t="str">
        <x:v>https://arxiv.org/abs/2608.07351</x:v>
      </x:c>
      <x:c r="S87" s="7" t="str">
        <x:v>Top100</x:v>
      </x:c>
      <x:c r="T87" s="7" t="str">
        <x:v>Solves a finite-rank realizability problem for prescribed-order vanishing singular foliations via a new construction from left-symmetric and sub-adjacent Lie algebroids.</x:v>
      </x:c>
    </x:row>
    <x:row r="88" ht="38" customHeight="1">
      <x:c r="A88" s="6" t="n">
        <x:v>87</x:v>
      </x:c>
      <x:c r="B88" s="7" t="str">
        <x:v>2026-07</x:v>
      </x:c>
      <x:c r="C88" s="7" t="str">
        <x:v>2607.02244</x:v>
      </x:c>
      <x:c r="D88" s="7" t="str">
        <x:v>Foliations by constant spacetime mean curvature surfaces for asymptotically hyperboloidal initial data sets</x:v>
      </x:c>
      <x:c r="E88" s="7" t="str">
        <x:v>Jacopo Tenan</x:v>
      </x:c>
      <x:c r="F88" s="7" t="str">
        <x:v>spacetime mean curvature foliations</x:v>
      </x:c>
      <x:c r="G88" s="6" t="str">
        <x:v>-</x:v>
      </x:c>
      <x:c r="H88" s="28" t="n">
        <x:v>90.175</x:v>
      </x:c>
      <x:c r="I88" s="28" t="n">
        <x:v>90.25</x:v>
      </x:c>
      <x:c r="J88" s="28" t="n">
        <x:v>90.1</x:v>
      </x:c>
      <x:c r="K88" s="6" t="n">
        <x:v>91</x:v>
      </x:c>
      <x:c r="L88" s="6" t="n">
        <x:v>90</x:v>
      </x:c>
      <x:c r="M88" s="6" t="n">
        <x:v>92</x:v>
      </x:c>
      <x:c r="N88" s="6" t="n">
        <x:v>89</x:v>
      </x:c>
      <x:c r="O88" s="6" t="n">
        <x:v>92</x:v>
      </x:c>
      <x:c r="P88" s="6" t="n">
        <x:v>86</x:v>
      </x:c>
      <x:c r="Q88" s="6" t="n">
        <x:v>12</x:v>
      </x:c>
      <x:c r="R88" s="7" t="str">
        <x:v>https://arxiv.org/abs/2607.02244</x:v>
      </x:c>
      <x:c r="S88" s="7" t="str">
        <x:v>Top100</x:v>
      </x:c>
      <x:c r="T88" s="7" t="str">
        <x:v>Foliation result in asymptotically hyperboloidal GR geometry.</x:v>
      </x:c>
    </x:row>
    <x:row r="89" ht="38" customHeight="1">
      <x:c r="A89" s="6" t="n">
        <x:v>88</x:v>
      </x:c>
      <x:c r="B89" s="7" t="str">
        <x:v>2026-07</x:v>
      </x:c>
      <x:c r="C89" s="7" t="str">
        <x:v>2607.05755</x:v>
      </x:c>
      <x:c r="D89" s="7" t="str">
        <x:v>Topological Bernstein Theorems for Minimal Hypersurfaces in R^4 confined in space</x:v>
      </x:c>
      <x:c r="E89" s="7" t="str">
        <x:v>Shrey Aryan; Alexander D. McWeeney</x:v>
      </x:c>
      <x:c r="F89" s="7" t="str">
        <x:v>minimal hypersurfaces / Bernstein</x:v>
      </x:c>
      <x:c r="G89" s="6" t="n">
        <x:v>29</x:v>
      </x:c>
      <x:c r="H89" s="28" t="n">
        <x:v>90.175</x:v>
      </x:c>
      <x:c r="I89" s="28" t="n">
        <x:v>90.25</x:v>
      </x:c>
      <x:c r="J89" s="28" t="n">
        <x:v>90.1</x:v>
      </x:c>
      <x:c r="K89" s="6" t="n">
        <x:v>91</x:v>
      </x:c>
      <x:c r="L89" s="6" t="n">
        <x:v>90</x:v>
      </x:c>
      <x:c r="M89" s="6" t="n">
        <x:v>92</x:v>
      </x:c>
      <x:c r="N89" s="6" t="n">
        <x:v>89</x:v>
      </x:c>
      <x:c r="O89" s="6" t="n">
        <x:v>92</x:v>
      </x:c>
      <x:c r="P89" s="6" t="n">
        <x:v>86</x:v>
      </x:c>
      <x:c r="Q89" s="6" t="n">
        <x:v>12</x:v>
      </x:c>
      <x:c r="R89" s="7" t="str">
        <x:v>https://arxiv.org/abs/2607.05755</x:v>
      </x:c>
      <x:c r="S89" s="7" t="str">
        <x:v>Top100</x:v>
      </x:c>
      <x:c r="T89" s="7" t="str">
        <x:v>Bernstein-type statement in R^4 under confinement assumptions.</x:v>
      </x:c>
    </x:row>
    <x:row r="90" ht="38" customHeight="1">
      <x:c r="A90" s="6" t="n">
        <x:v>89</x:v>
      </x:c>
      <x:c r="B90" s="7" t="str">
        <x:v>2026-07</x:v>
      </x:c>
      <x:c r="C90" s="7" t="str">
        <x:v>2607.05980</x:v>
      </x:c>
      <x:c r="D90" s="7" t="str">
        <x:v>Charged parallel spinors and applications to mass-charge inequalities</x:v>
      </x:c>
      <x:c r="E90" s="7" t="str">
        <x:v>Simon Raulot</x:v>
      </x:c>
      <x:c r="F90" s="7" t="str">
        <x:v>spinors / mass-charge inequalities</x:v>
      </x:c>
      <x:c r="G90" s="6" t="n">
        <x:v>32</x:v>
      </x:c>
      <x:c r="H90" s="28" t="n">
        <x:v>90.175</x:v>
      </x:c>
      <x:c r="I90" s="28" t="n">
        <x:v>90.25</x:v>
      </x:c>
      <x:c r="J90" s="28" t="n">
        <x:v>90.1</x:v>
      </x:c>
      <x:c r="K90" s="6" t="n">
        <x:v>91</x:v>
      </x:c>
      <x:c r="L90" s="6" t="n">
        <x:v>90</x:v>
      </x:c>
      <x:c r="M90" s="6" t="n">
        <x:v>92</x:v>
      </x:c>
      <x:c r="N90" s="6" t="n">
        <x:v>89</x:v>
      </x:c>
      <x:c r="O90" s="6" t="n">
        <x:v>92</x:v>
      </x:c>
      <x:c r="P90" s="6" t="n">
        <x:v>86</x:v>
      </x:c>
      <x:c r="Q90" s="6" t="n">
        <x:v>12</x:v>
      </x:c>
      <x:c r="R90" s="7" t="str">
        <x:v>https://arxiv.org/abs/2607.05980</x:v>
      </x:c>
      <x:c r="S90" s="7" t="str">
        <x:v>Top100</x:v>
      </x:c>
      <x:c r="T90" s="7" t="str">
        <x:v>Spinorial approach to mass-charge inequalities.</x:v>
      </x:c>
    </x:row>
    <x:row r="91" ht="38" customHeight="1">
      <x:c r="A91" s="6" t="n">
        <x:v>90</x:v>
      </x:c>
      <x:c r="B91" s="7" t="str">
        <x:v>2026-07</x:v>
      </x:c>
      <x:c r="C91" s="7" t="str">
        <x:v>2607.06951</x:v>
      </x:c>
      <x:c r="D91" s="7" t="str">
        <x:v>A sharp isoperimetric inequality and the top order Q-curvature</x:v>
      </x:c>
      <x:c r="E91" s="7" t="str">
        <x:v>Mingxiang Li; Xingwang Xu</x:v>
      </x:c>
      <x:c r="F91" s="7" t="str">
        <x:v>Q-curvature / isoperimetry</x:v>
      </x:c>
      <x:c r="G91" s="6" t="n">
        <x:v>33</x:v>
      </x:c>
      <x:c r="H91" s="28" t="n">
        <x:v>90.175</x:v>
      </x:c>
      <x:c r="I91" s="28" t="n">
        <x:v>90.25</x:v>
      </x:c>
      <x:c r="J91" s="28" t="n">
        <x:v>90.1</x:v>
      </x:c>
      <x:c r="K91" s="6" t="n">
        <x:v>91</x:v>
      </x:c>
      <x:c r="L91" s="6" t="n">
        <x:v>90</x:v>
      </x:c>
      <x:c r="M91" s="6" t="n">
        <x:v>92</x:v>
      </x:c>
      <x:c r="N91" s="6" t="n">
        <x:v>89</x:v>
      </x:c>
      <x:c r="O91" s="6" t="n">
        <x:v>92</x:v>
      </x:c>
      <x:c r="P91" s="6" t="n">
        <x:v>86</x:v>
      </x:c>
      <x:c r="Q91" s="6" t="n">
        <x:v>12</x:v>
      </x:c>
      <x:c r="R91" s="7" t="str">
        <x:v>https://arxiv.org/abs/2607.06951</x:v>
      </x:c>
      <x:c r="S91" s="7" t="str">
        <x:v>Top100</x:v>
      </x:c>
      <x:c r="T91" s="7" t="str">
        <x:v>Sharp inequality linked to top-order Q-curvature.</x:v>
      </x:c>
    </x:row>
    <x:row r="92" ht="38" customHeight="1">
      <x:c r="A92" s="6" t="n">
        <x:v>91</x:v>
      </x:c>
      <x:c r="B92" s="7" t="str">
        <x:v>2026-07</x:v>
      </x:c>
      <x:c r="C92" s="7" t="str">
        <x:v>2607.08622</x:v>
      </x:c>
      <x:c r="D92" s="7" t="str">
        <x:v>Deformed Hermitian-Yang-Mills equation on the manifold of full flags</x:v>
      </x:c>
      <x:c r="E92" s="7" t="str">
        <x:v>Benoit Charbonneau; Gonçalo Oliveira; Rosa Sena-Dias</x:v>
      </x:c>
      <x:c r="F92" s="7" t="str">
        <x:v>deformed Hermitian-Yang-Mills</x:v>
      </x:c>
      <x:c r="G92" s="6" t="n">
        <x:v>48</x:v>
      </x:c>
      <x:c r="H92" s="28" t="n">
        <x:v>90.175</x:v>
      </x:c>
      <x:c r="I92" s="28" t="n">
        <x:v>90.25</x:v>
      </x:c>
      <x:c r="J92" s="28" t="n">
        <x:v>90.1</x:v>
      </x:c>
      <x:c r="K92" s="6" t="n">
        <x:v>91</x:v>
      </x:c>
      <x:c r="L92" s="6" t="n">
        <x:v>90</x:v>
      </x:c>
      <x:c r="M92" s="6" t="n">
        <x:v>92</x:v>
      </x:c>
      <x:c r="N92" s="6" t="n">
        <x:v>89</x:v>
      </x:c>
      <x:c r="O92" s="6" t="n">
        <x:v>92</x:v>
      </x:c>
      <x:c r="P92" s="6" t="n">
        <x:v>86</x:v>
      </x:c>
      <x:c r="Q92" s="6" t="n">
        <x:v>12</x:v>
      </x:c>
      <x:c r="R92" s="7" t="str">
        <x:v>https://arxiv.org/abs/2607.08622</x:v>
      </x:c>
      <x:c r="S92" s="7" t="str">
        <x:v>Top100</x:v>
      </x:c>
      <x:c r="T92" s="7" t="str">
        <x:v>dHYM equation in a homogeneous complex-geometric setting.</x:v>
      </x:c>
    </x:row>
    <x:row r="93" ht="38" customHeight="1">
      <x:c r="A93" s="6" t="n">
        <x:v>92</x:v>
      </x:c>
      <x:c r="B93" s="7" t="str">
        <x:v>2026-07</x:v>
      </x:c>
      <x:c r="C93" s="7" t="str">
        <x:v>2607.10733</x:v>
      </x:c>
      <x:c r="D93" s="7" t="str">
        <x:v>On Chern's Conjecture for Minimal Submanifolds with Flat Normal Bundle in Spheres</x:v>
      </x:c>
      <x:c r="E93" s="7" t="str">
        <x:v>Jianquan Ge; Fagui Li; Yunheng Zhang</x:v>
      </x:c>
      <x:c r="F93" s="7" t="str">
        <x:v>Chern conjecture / minimal submanifolds</x:v>
      </x:c>
      <x:c r="G93" s="6" t="n">
        <x:v>43</x:v>
      </x:c>
      <x:c r="H93" s="28" t="n">
        <x:v>90.175</x:v>
      </x:c>
      <x:c r="I93" s="28" t="n">
        <x:v>90.25</x:v>
      </x:c>
      <x:c r="J93" s="28" t="n">
        <x:v>90.1</x:v>
      </x:c>
      <x:c r="K93" s="6" t="n">
        <x:v>91</x:v>
      </x:c>
      <x:c r="L93" s="6" t="n">
        <x:v>90</x:v>
      </x:c>
      <x:c r="M93" s="6" t="n">
        <x:v>92</x:v>
      </x:c>
      <x:c r="N93" s="6" t="n">
        <x:v>89</x:v>
      </x:c>
      <x:c r="O93" s="6" t="n">
        <x:v>92</x:v>
      </x:c>
      <x:c r="P93" s="6" t="n">
        <x:v>86</x:v>
      </x:c>
      <x:c r="Q93" s="6" t="n">
        <x:v>12</x:v>
      </x:c>
      <x:c r="R93" s="7" t="str">
        <x:v>https://arxiv.org/abs/2607.10733</x:v>
      </x:c>
      <x:c r="S93" s="7" t="str">
        <x:v>Top100</x:v>
      </x:c>
      <x:c r="T93" s="7" t="str">
        <x:v>Progress around Chern-type rigidity for minimal submanifolds.</x:v>
      </x:c>
    </x:row>
    <x:row r="94" ht="38" customHeight="1">
      <x:c r="A94" s="6" t="n">
        <x:v>93</x:v>
      </x:c>
      <x:c r="B94" s="7" t="str">
        <x:v>2026-07</x:v>
      </x:c>
      <x:c r="C94" s="7" t="str">
        <x:v>2607.11067</x:v>
      </x:c>
      <x:c r="D94" s="7" t="str">
        <x:v>Blow-up phenomena for the sigma_2-Yamabe equation</x:v>
      </x:c>
      <x:c r="E94" s="7" t="str">
        <x:v>Bin Deng; Han Lu; Jun-cheng Wei</x:v>
      </x:c>
      <x:c r="F94" s="7" t="str">
        <x:v>sigma_2-Yamabe equation</x:v>
      </x:c>
      <x:c r="G94" s="6" t="str">
        <x:v>-</x:v>
      </x:c>
      <x:c r="H94" s="28" t="n">
        <x:v>90.175</x:v>
      </x:c>
      <x:c r="I94" s="28" t="n">
        <x:v>90.25</x:v>
      </x:c>
      <x:c r="J94" s="28" t="n">
        <x:v>90.1</x:v>
      </x:c>
      <x:c r="K94" s="6" t="n">
        <x:v>91</x:v>
      </x:c>
      <x:c r="L94" s="6" t="n">
        <x:v>90</x:v>
      </x:c>
      <x:c r="M94" s="6" t="n">
        <x:v>92</x:v>
      </x:c>
      <x:c r="N94" s="6" t="n">
        <x:v>89</x:v>
      </x:c>
      <x:c r="O94" s="6" t="n">
        <x:v>92</x:v>
      </x:c>
      <x:c r="P94" s="6" t="n">
        <x:v>86</x:v>
      </x:c>
      <x:c r="Q94" s="6" t="n">
        <x:v>12</x:v>
      </x:c>
      <x:c r="R94" s="7" t="str">
        <x:v>https://arxiv.org/abs/2607.11067</x:v>
      </x:c>
      <x:c r="S94" s="7" t="str">
        <x:v>Top100</x:v>
      </x:c>
      <x:c r="T94" s="7" t="str">
        <x:v>Blow-up analysis for fully nonlinear conformal equation.</x:v>
      </x:c>
    </x:row>
    <x:row r="95" ht="38" customHeight="1">
      <x:c r="A95" s="6" t="n">
        <x:v>94</x:v>
      </x:c>
      <x:c r="B95" s="7" t="str">
        <x:v>2026-07</x:v>
      </x:c>
      <x:c r="C95" s="7" t="str">
        <x:v>2607.12842</x:v>
      </x:c>
      <x:c r="D95" s="7" t="str">
        <x:v>Lectures on Alexandrov spaces with curvature bounded below</x:v>
      </x:c>
      <x:c r="E95" s="7" t="str">
        <x:v>Vitali Kapovitch; Nina Lebedeva; Anton Petrunin</x:v>
      </x:c>
      <x:c r="F95" s="7" t="str">
        <x:v>Alexandrov spaces / lecture notes</x:v>
      </x:c>
      <x:c r="G95" s="6" t="n">
        <x:v>161</x:v>
      </x:c>
      <x:c r="H95" s="28" t="n">
        <x:v>90.175</x:v>
      </x:c>
      <x:c r="I95" s="28" t="n">
        <x:v>90.25</x:v>
      </x:c>
      <x:c r="J95" s="28" t="n">
        <x:v>90.1</x:v>
      </x:c>
      <x:c r="K95" s="6" t="n">
        <x:v>91</x:v>
      </x:c>
      <x:c r="L95" s="6" t="n">
        <x:v>90</x:v>
      </x:c>
      <x:c r="M95" s="6" t="n">
        <x:v>92</x:v>
      </x:c>
      <x:c r="N95" s="6" t="n">
        <x:v>89</x:v>
      </x:c>
      <x:c r="O95" s="6" t="n">
        <x:v>92</x:v>
      </x:c>
      <x:c r="P95" s="6" t="n">
        <x:v>86</x:v>
      </x:c>
      <x:c r="Q95" s="6" t="n">
        <x:v>12</x:v>
      </x:c>
      <x:c r="R95" s="7" t="str">
        <x:v>https://arxiv.org/abs/2607.12842</x:v>
      </x:c>
      <x:c r="S95" s="7" t="str">
        <x:v>Top100</x:v>
      </x:c>
      <x:c r="T95" s="7" t="str">
        <x:v>Major expository/reference value; originality discounted relative to research papers.</x:v>
      </x:c>
    </x:row>
    <x:row r="96" ht="38" customHeight="1">
      <x:c r="A96" s="6" t="n">
        <x:v>95</x:v>
      </x:c>
      <x:c r="B96" s="7" t="str">
        <x:v>2026-07</x:v>
      </x:c>
      <x:c r="C96" s="7" t="str">
        <x:v>2607.12979</x:v>
      </x:c>
      <x:c r="D96" s="7" t="str">
        <x:v>Ambient geometry via min-max widths of embedded circles</x:v>
      </x:c>
      <x:c r="E96" s="7" t="str">
        <x:v>Lucas Ambrozio; Ivan Miranda; Rafael Montezuma</x:v>
      </x:c>
      <x:c r="F96" s="7" t="str">
        <x:v>min-max widths / embedded circles</x:v>
      </x:c>
      <x:c r="G96" s="6" t="n">
        <x:v>31</x:v>
      </x:c>
      <x:c r="H96" s="28" t="n">
        <x:v>90.175</x:v>
      </x:c>
      <x:c r="I96" s="28" t="n">
        <x:v>90.25</x:v>
      </x:c>
      <x:c r="J96" s="28" t="n">
        <x:v>90.1</x:v>
      </x:c>
      <x:c r="K96" s="6" t="n">
        <x:v>91</x:v>
      </x:c>
      <x:c r="L96" s="6" t="n">
        <x:v>90</x:v>
      </x:c>
      <x:c r="M96" s="6" t="n">
        <x:v>92</x:v>
      </x:c>
      <x:c r="N96" s="6" t="n">
        <x:v>89</x:v>
      </x:c>
      <x:c r="O96" s="6" t="n">
        <x:v>92</x:v>
      </x:c>
      <x:c r="P96" s="6" t="n">
        <x:v>86</x:v>
      </x:c>
      <x:c r="Q96" s="6" t="n">
        <x:v>12</x:v>
      </x:c>
      <x:c r="R96" s="7" t="str">
        <x:v>https://arxiv.org/abs/2607.12979</x:v>
      </x:c>
      <x:c r="S96" s="7" t="str">
        <x:v>Top100</x:v>
      </x:c>
      <x:c r="T96" s="7" t="str">
        <x:v>Uses min-max widths of curves to probe ambient geometry.</x:v>
      </x:c>
    </x:row>
    <x:row r="97" ht="38" customHeight="1">
      <x:c r="A97" s="6" t="n">
        <x:v>96</x:v>
      </x:c>
      <x:c r="B97" s="7" t="str">
        <x:v>2026-07</x:v>
      </x:c>
      <x:c r="C97" s="7" t="str">
        <x:v>2607.13450</x:v>
      </x:c>
      <x:c r="D97" s="7" t="str">
        <x:v>Nonlinear Hodge correspondence for morphisms</x:v>
      </x:c>
      <x:c r="E97" s="7" t="str">
        <x:v>Nianzi Li; Mao Sheng</x:v>
      </x:c>
      <x:c r="F97" s="7" t="str">
        <x:v>nonlinear Hodge correspondence</x:v>
      </x:c>
      <x:c r="G97" s="6" t="n">
        <x:v>63</x:v>
      </x:c>
      <x:c r="H97" s="28" t="n">
        <x:v>90.175</x:v>
      </x:c>
      <x:c r="I97" s="28" t="n">
        <x:v>90.25</x:v>
      </x:c>
      <x:c r="J97" s="28" t="n">
        <x:v>90.1</x:v>
      </x:c>
      <x:c r="K97" s="6" t="n">
        <x:v>91</x:v>
      </x:c>
      <x:c r="L97" s="6" t="n">
        <x:v>90</x:v>
      </x:c>
      <x:c r="M97" s="6" t="n">
        <x:v>92</x:v>
      </x:c>
      <x:c r="N97" s="6" t="n">
        <x:v>89</x:v>
      </x:c>
      <x:c r="O97" s="6" t="n">
        <x:v>92</x:v>
      </x:c>
      <x:c r="P97" s="6" t="n">
        <x:v>86</x:v>
      </x:c>
      <x:c r="Q97" s="6" t="n">
        <x:v>12</x:v>
      </x:c>
      <x:c r="R97" s="7" t="str">
        <x:v>https://arxiv.org/abs/2607.13450</x:v>
      </x:c>
      <x:c r="S97" s="7" t="str">
        <x:v>Top100</x:v>
      </x:c>
      <x:c r="T97" s="7" t="str">
        <x:v>Hodge-correspondence result with significant geometric structure.</x:v>
      </x:c>
    </x:row>
    <x:row r="98" ht="38" customHeight="1">
      <x:c r="A98" s="6" t="n">
        <x:v>97</x:v>
      </x:c>
      <x:c r="B98" s="7" t="str">
        <x:v>2026-07</x:v>
      </x:c>
      <x:c r="C98" s="7" t="str">
        <x:v>2607.13742</x:v>
      </x:c>
      <x:c r="D98" s="7" t="str">
        <x:v>A sharp relative comparison inequality for conformal fillings of Poincare-Einstein manifolds</x:v>
      </x:c>
      <x:c r="E98" s="7" t="str">
        <x:v>Nan Wu</x:v>
      </x:c>
      <x:c r="F98" s="7" t="str">
        <x:v>Poincare-Einstein fillings</x:v>
      </x:c>
      <x:c r="G98" s="6" t="n">
        <x:v>30</x:v>
      </x:c>
      <x:c r="H98" s="28" t="n">
        <x:v>90.175</x:v>
      </x:c>
      <x:c r="I98" s="28" t="n">
        <x:v>90.25</x:v>
      </x:c>
      <x:c r="J98" s="28" t="n">
        <x:v>90.1</x:v>
      </x:c>
      <x:c r="K98" s="6" t="n">
        <x:v>91</x:v>
      </x:c>
      <x:c r="L98" s="6" t="n">
        <x:v>90</x:v>
      </x:c>
      <x:c r="M98" s="6" t="n">
        <x:v>92</x:v>
      </x:c>
      <x:c r="N98" s="6" t="n">
        <x:v>89</x:v>
      </x:c>
      <x:c r="O98" s="6" t="n">
        <x:v>92</x:v>
      </x:c>
      <x:c r="P98" s="6" t="n">
        <x:v>86</x:v>
      </x:c>
      <x:c r="Q98" s="6" t="n">
        <x:v>12</x:v>
      </x:c>
      <x:c r="R98" s="7" t="str">
        <x:v>https://arxiv.org/abs/2607.13742</x:v>
      </x:c>
      <x:c r="S98" s="7" t="str">
        <x:v>Top100</x:v>
      </x:c>
      <x:c r="T98" s="7" t="str">
        <x:v>Sharp comparison inequality in conformal/geometric analysis.</x:v>
      </x:c>
    </x:row>
    <x:row r="99" ht="38" customHeight="1">
      <x:c r="A99" s="6" t="n">
        <x:v>98</x:v>
      </x:c>
      <x:c r="B99" s="7" t="str">
        <x:v>2026-07</x:v>
      </x:c>
      <x:c r="C99" s="7" t="str">
        <x:v>2607.13760</x:v>
      </x:c>
      <x:c r="D99" s="7" t="str">
        <x:v>Strict concavity of the growth indicator function for relatively Anosov groups</x:v>
      </x:c>
      <x:c r="E99" s="7" t="str">
        <x:v>Dongryul M. Kim; Hee Oh; Andrew Zimmer</x:v>
      </x:c>
      <x:c r="F99" s="7" t="str">
        <x:v>Anosov groups / growth indicators</x:v>
      </x:c>
      <x:c r="G99" s="6" t="n">
        <x:v>31</x:v>
      </x:c>
      <x:c r="H99" s="28" t="n">
        <x:v>90.175</x:v>
      </x:c>
      <x:c r="I99" s="28" t="n">
        <x:v>90.25</x:v>
      </x:c>
      <x:c r="J99" s="28" t="n">
        <x:v>90.1</x:v>
      </x:c>
      <x:c r="K99" s="6" t="n">
        <x:v>91</x:v>
      </x:c>
      <x:c r="L99" s="6" t="n">
        <x:v>90</x:v>
      </x:c>
      <x:c r="M99" s="6" t="n">
        <x:v>92</x:v>
      </x:c>
      <x:c r="N99" s="6" t="n">
        <x:v>89</x:v>
      </x:c>
      <x:c r="O99" s="6" t="n">
        <x:v>92</x:v>
      </x:c>
      <x:c r="P99" s="6" t="n">
        <x:v>86</x:v>
      </x:c>
      <x:c r="Q99" s="6" t="n">
        <x:v>12</x:v>
      </x:c>
      <x:c r="R99" s="7" t="str">
        <x:v>https://arxiv.org/abs/2607.13760</x:v>
      </x:c>
      <x:c r="S99" s="7" t="str">
        <x:v>Top100</x:v>
      </x:c>
      <x:c r="T99" s="7" t="str">
        <x:v>Growth indicator concavity for relatively Anosov groups; strong dynamics/geometry cross-value.</x:v>
      </x:c>
    </x:row>
    <x:row r="100" ht="38" customHeight="1">
      <x:c r="A100" s="6" t="n">
        <x:v>99</x:v>
      </x:c>
      <x:c r="B100" s="7" t="str">
        <x:v>2026-07</x:v>
      </x:c>
      <x:c r="C100" s="7" t="str">
        <x:v>2607.13890</x:v>
      </x:c>
      <x:c r="D100" s="7" t="str">
        <x:v>Heat Kernel and Closed Geodesic Asymptotics for Nilpotent Coverings</x:v>
      </x:c>
      <x:c r="E100" s="7" t="str">
        <x:v>Atsushi Katsuda</x:v>
      </x:c>
      <x:c r="F100" s="7" t="str">
        <x:v>heat kernels / closed geodesics</x:v>
      </x:c>
      <x:c r="G100" s="6" t="n">
        <x:v>84</x:v>
      </x:c>
      <x:c r="H100" s="28" t="n">
        <x:v>90.175</x:v>
      </x:c>
      <x:c r="I100" s="28" t="n">
        <x:v>90.25</x:v>
      </x:c>
      <x:c r="J100" s="28" t="n">
        <x:v>90.1</x:v>
      </x:c>
      <x:c r="K100" s="6" t="n">
        <x:v>91</x:v>
      </x:c>
      <x:c r="L100" s="6" t="n">
        <x:v>90</x:v>
      </x:c>
      <x:c r="M100" s="6" t="n">
        <x:v>92</x:v>
      </x:c>
      <x:c r="N100" s="6" t="n">
        <x:v>89</x:v>
      </x:c>
      <x:c r="O100" s="6" t="n">
        <x:v>92</x:v>
      </x:c>
      <x:c r="P100" s="6" t="n">
        <x:v>86</x:v>
      </x:c>
      <x:c r="Q100" s="6" t="n">
        <x:v>12</x:v>
      </x:c>
      <x:c r="R100" s="7" t="str">
        <x:v>https://arxiv.org/abs/2607.13890</x:v>
      </x:c>
      <x:c r="S100" s="7" t="str">
        <x:v>Top100</x:v>
      </x:c>
      <x:c r="T100" s="7" t="str">
        <x:v>Heat-kernel and closed-geodesic asymptotics; useful spectral-geometric contribution.</x:v>
      </x:c>
    </x:row>
    <x:row r="101" ht="38" customHeight="1">
      <x:c r="A101" s="6" t="n">
        <x:v>100</x:v>
      </x:c>
      <x:c r="B101" s="7" t="str">
        <x:v>2026-07</x:v>
      </x:c>
      <x:c r="C101" s="7" t="str">
        <x:v>2607.14244</x:v>
      </x:c>
      <x:c r="D101" s="7" t="str">
        <x:v>Scalar Curvature and Product Manifolds</x:v>
      </x:c>
      <x:c r="E101" s="7" t="str">
        <x:v>Claude LeBrun</x:v>
      </x:c>
      <x:c r="F101" s="7" t="str">
        <x:v>scalar curvature / product manifolds</x:v>
      </x:c>
      <x:c r="G101" s="6" t="n">
        <x:v>11</x:v>
      </x:c>
      <x:c r="H101" s="28" t="n">
        <x:v>90.175</x:v>
      </x:c>
      <x:c r="I101" s="28" t="n">
        <x:v>90.25</x:v>
      </x:c>
      <x:c r="J101" s="28" t="n">
        <x:v>90.1</x:v>
      </x:c>
      <x:c r="K101" s="6" t="n">
        <x:v>91</x:v>
      </x:c>
      <x:c r="L101" s="6" t="n">
        <x:v>90</x:v>
      </x:c>
      <x:c r="M101" s="6" t="n">
        <x:v>92</x:v>
      </x:c>
      <x:c r="N101" s="6" t="n">
        <x:v>89</x:v>
      </x:c>
      <x:c r="O101" s="6" t="n">
        <x:v>92</x:v>
      </x:c>
      <x:c r="P101" s="6" t="n">
        <x:v>86</x:v>
      </x:c>
      <x:c r="Q101" s="6" t="n">
        <x:v>12</x:v>
      </x:c>
      <x:c r="R101" s="7" t="str">
        <x:v>https://arxiv.org/abs/2607.14244</x:v>
      </x:c>
      <x:c r="S101" s="7" t="str">
        <x:v>Top100</x:v>
      </x:c>
      <x:c r="T101" s="7" t="str">
        <x:v>Concise scalar-curvature result by a leading author; high conceptual signal.</x:v>
      </x:c>
    </x:row>
  </x:sheetData>
  <x:conditionalFormatting sqref="H2:H1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84a0ceaa7ae4ff4"/>
  </x:tableParts>
</x:worksheet>
</file>

<file path=xl/worksheets/sheet8.xml><?xml version="1.0" encoding="utf-8"?>
<x:worksheet xmlns:x="http://schemas.openxmlformats.org/spreadsheetml/2006/main">
  <x:sheetFormatPr defaultColWidth="9" defaultRowHeight="13.5"/>
  <x:cols>
    <x:col min="1" max="1" width="8" customWidth="1"/>
    <x:col min="2" max="3" width="12" customWidth="1"/>
    <x:col min="4" max="4" width="48" customWidth="1"/>
    <x:col min="5" max="5" width="34" customWidth="1"/>
    <x:col min="6" max="6" width="26" customWidth="1"/>
    <x:col min="7" max="17" width="8" customWidth="1"/>
    <x:col min="18" max="18" width="30" customWidth="1"/>
    <x:col min="19" max="19" width="48" customWidth="1"/>
  </x:cols>
  <x:sheetData>
    <x:row r="1" ht="28" customHeight="1">
      <x:c r="A1" s="5" t="s">
        <x:v>1372</x:v>
      </x:c>
      <x:c r="B1" s="5" t="s">
        <x:v>1373</x:v>
      </x:c>
      <x:c r="C1" s="5" t="s">
        <x:v>0</x:v>
      </x:c>
      <x:c r="D1" s="5" t="s">
        <x:v>1374</x:v>
      </x:c>
      <x:c r="E1" s="5" t="s">
        <x:v>1375</x:v>
      </x:c>
      <x:c r="F1" s="5" t="s">
        <x:v>1376</x:v>
      </x:c>
      <x:c r="G1" s="5" t="s">
        <x:v>1377</x:v>
      </x:c>
      <x:c r="H1" s="5" t="s">
        <x:v>1378</x:v>
      </x:c>
      <x:c r="I1" s="5" t="s">
        <x:v>17</x:v>
      </x:c>
      <x:c r="J1" s="5" t="s">
        <x:v>18</x:v>
      </x:c>
      <x:c r="K1" s="5" t="s">
        <x:v>9</x:v>
      </x:c>
      <x:c r="L1" s="5" t="s">
        <x:v>10</x:v>
      </x:c>
      <x:c r="M1" s="5" t="s">
        <x:v>11</x:v>
      </x:c>
      <x:c r="N1" s="5" t="s">
        <x:v>12</x:v>
      </x:c>
      <x:c r="O1" s="5" t="s">
        <x:v>13</x:v>
      </x:c>
      <x:c r="P1" s="5" t="s">
        <x:v>14</x:v>
      </x:c>
      <x:c r="Q1" s="5" t="s">
        <x:v>15</x:v>
      </x:c>
      <x:c r="R1" s="5" t="s">
        <x:v>1379</x:v>
      </x:c>
      <x:c r="S1" s="5" t="s">
        <x:v>1380</x:v>
      </x:c>
    </x:row>
    <x:row r="2" ht="38" customHeight="1">
      <x:c r="A2" s="6">
        <x:v>1</x:v>
      </x:c>
      <x:c r="B2" s="7" t="s">
        <x:v>26</x:v>
      </x:c>
      <x:c r="C2" s="7" t="s">
        <x:v>25</x:v>
      </x:c>
      <x:c r="D2" s="7" t="s">
        <x:v>29</x:v>
      </x:c>
      <x:c r="E2" s="7" t="s">
        <x:v>30</x:v>
      </x:c>
      <x:c r="F2" s="7" t="s">
        <x:v>28</x:v>
      </x:c>
      <x:c r="G2" s="6">
        <x:v>119</x:v>
      </x:c>
      <x:c r="H2" s="6">
        <x:v>95.3</x:v>
      </x:c>
      <x:c r="I2" s="6">
        <x:v>95.7</x:v>
      </x:c>
      <x:c r="J2" s="6">
        <x:v>94.9</x:v>
      </x:c>
      <x:c r="K2" s="6">
        <x:v>98</x:v>
      </x:c>
      <x:c r="L2" s="6">
        <x:v>95</x:v>
      </x:c>
      <x:c r="M2" s="6">
        <x:v>96</x:v>
      </x:c>
      <x:c r="N2" s="6">
        <x:v>94</x:v>
      </x:c>
      <x:c r="O2" s="6">
        <x:v>97</x:v>
      </x:c>
      <x:c r="P2" s="6">
        <x:v>92</x:v>
      </x:c>
      <x:c r="Q2" s="6">
        <x:v>8</x:v>
      </x:c>
      <x:c r="R2" s="7" t="s">
        <x:v>31</x:v>
      </x:c>
      <x:c r="S2" s="7" t="s">
        <x:v>37</x:v>
      </x:c>
    </x:row>
    <x:row r="3" ht="38" customHeight="1">
      <x:c r="A3" s="6">
        <x:v>2</x:v>
      </x:c>
      <x:c r="B3" s="7" t="s">
        <x:v>26</x:v>
      </x:c>
      <x:c r="C3" s="7" t="s">
        <x:v>38</x:v>
      </x:c>
      <x:c r="D3" s="7" t="s">
        <x:v>41</x:v>
      </x:c>
      <x:c r="E3" s="7" t="s">
        <x:v>42</x:v>
      </x:c>
      <x:c r="F3" s="7" t="s">
        <x:v>40</x:v>
      </x:c>
      <x:c r="G3" s="6">
        <x:v>58</x:v>
      </x:c>
      <x:c r="H3" s="6">
        <x:v>95.07</x:v>
      </x:c>
      <x:c r="I3" s="6">
        <x:v>95.25</x:v>
      </x:c>
      <x:c r="J3" s="6">
        <x:v>94.9</x:v>
      </x:c>
      <x:c r="K3" s="6">
        <x:v>97</x:v>
      </x:c>
      <x:c r="L3" s="6">
        <x:v>95</x:v>
      </x:c>
      <x:c r="M3" s="6">
        <x:v>96</x:v>
      </x:c>
      <x:c r="N3" s="6">
        <x:v>93</x:v>
      </x:c>
      <x:c r="O3" s="6">
        <x:v>97</x:v>
      </x:c>
      <x:c r="P3" s="6">
        <x:v>92</x:v>
      </x:c>
      <x:c r="Q3" s="6">
        <x:v>8</x:v>
      </x:c>
      <x:c r="R3" s="7" t="s">
        <x:v>43</x:v>
      </x:c>
      <x:c r="S3" s="7" t="s">
        <x:v>44</x:v>
      </x:c>
    </x:row>
    <x:row r="4" ht="38" customHeight="1">
      <x:c r="A4" s="6">
        <x:v>3</x:v>
      </x:c>
      <x:c r="B4" s="7" t="s">
        <x:v>26</x:v>
      </x:c>
      <x:c r="C4" s="7" t="s">
        <x:v>45</x:v>
      </x:c>
      <x:c r="D4" s="7" t="s">
        <x:v>48</x:v>
      </x:c>
      <x:c r="E4" s="7" t="s">
        <x:v>49</x:v>
      </x:c>
      <x:c r="F4" s="7" t="s">
        <x:v>47</x:v>
      </x:c>
      <x:c r="G4" s="6">
        <x:v>333</x:v>
      </x:c>
      <x:c r="H4" s="6">
        <x:v>94.85</x:v>
      </x:c>
      <x:c r="I4" s="6">
        <x:v>95</x:v>
      </x:c>
      <x:c r="J4" s="6">
        <x:v>94.7</x:v>
      </x:c>
      <x:c r="K4" s="6">
        <x:v>97</x:v>
      </x:c>
      <x:c r="L4" s="6">
        <x:v>95</x:v>
      </x:c>
      <x:c r="M4" s="6">
        <x:v>95</x:v>
      </x:c>
      <x:c r="N4" s="6">
        <x:v>93</x:v>
      </x:c>
      <x:c r="O4" s="6">
        <x:v>97</x:v>
      </x:c>
      <x:c r="P4" s="6">
        <x:v>92</x:v>
      </x:c>
      <x:c r="Q4" s="6">
        <x:v>8</x:v>
      </x:c>
      <x:c r="R4" s="7" t="s">
        <x:v>50</x:v>
      </x:c>
      <x:c r="S4" s="7" t="s">
        <x:v>51</x:v>
      </x:c>
    </x:row>
    <x:row r="5" ht="38" customHeight="1">
      <x:c r="A5" s="6">
        <x:v>4</x:v>
      </x:c>
      <x:c r="B5" s="7" t="s">
        <x:v>26</x:v>
      </x:c>
      <x:c r="C5" s="7" t="s">
        <x:v>52</x:v>
      </x:c>
      <x:c r="D5" s="7" t="s">
        <x:v>54</x:v>
      </x:c>
      <x:c r="E5" s="7" t="s">
        <x:v>55</x:v>
      </x:c>
      <x:c r="F5" s="7" t="s">
        <x:v>53</x:v>
      </x:c>
      <x:c r="G5" s="6">
        <x:v>77</x:v>
      </x:c>
      <x:c r="H5" s="6">
        <x:v>94.38</x:v>
      </x:c>
      <x:c r="I5" s="6">
        <x:v>94.7</x:v>
      </x:c>
      <x:c r="J5" s="6">
        <x:v>94.05</x:v>
      </x:c>
      <x:c r="K5" s="6">
        <x:v>97</x:v>
      </x:c>
      <x:c r="L5" s="6">
        <x:v>94</x:v>
      </x:c>
      <x:c r="M5" s="6">
        <x:v>95</x:v>
      </x:c>
      <x:c r="N5" s="6">
        <x:v>93</x:v>
      </x:c>
      <x:c r="O5" s="6">
        <x:v>96</x:v>
      </x:c>
      <x:c r="P5" s="6">
        <x:v>91</x:v>
      </x:c>
      <x:c r="Q5" s="6">
        <x:v>8</x:v>
      </x:c>
      <x:c r="R5" s="7" t="s">
        <x:v>56</x:v>
      </x:c>
      <x:c r="S5" s="7" t="s">
        <x:v>57</x:v>
      </x:c>
    </x:row>
    <x:row r="6" ht="38" customHeight="1">
      <x:c r="A6" s="6">
        <x:v>5</x:v>
      </x:c>
      <x:c r="B6" s="7" t="s">
        <x:v>26</x:v>
      </x:c>
      <x:c r="C6" s="7" t="s">
        <x:v>58</x:v>
      </x:c>
      <x:c r="D6" s="7" t="s">
        <x:v>60</x:v>
      </x:c>
      <x:c r="E6" s="7" t="s">
        <x:v>61</x:v>
      </x:c>
      <x:c r="F6" s="7" t="s">
        <x:v>59</x:v>
      </x:c>
      <x:c r="G6" s="6">
        <x:v>59</x:v>
      </x:c>
      <x:c r="H6" s="6">
        <x:v>94.07</x:v>
      </x:c>
      <x:c r="I6" s="6">
        <x:v>94.4</x:v>
      </x:c>
      <x:c r="J6" s="6">
        <x:v>93.75</x:v>
      </x:c>
      <x:c r="K6" s="6">
        <x:v>96</x:v>
      </x:c>
      <x:c r="L6" s="6">
        <x:v>94</x:v>
      </x:c>
      <x:c r="M6" s="6">
        <x:v>95</x:v>
      </x:c>
      <x:c r="N6" s="6">
        <x:v>93</x:v>
      </x:c>
      <x:c r="O6" s="6">
        <x:v>95</x:v>
      </x:c>
      <x:c r="P6" s="6">
        <x:v>91</x:v>
      </x:c>
      <x:c r="Q6" s="6">
        <x:v>8</x:v>
      </x:c>
      <x:c r="R6" s="7" t="s">
        <x:v>62</x:v>
      </x:c>
      <x:c r="S6" s="7" t="s">
        <x:v>63</x:v>
      </x:c>
    </x:row>
    <x:row r="7" ht="38" customHeight="1">
      <x:c r="A7" s="6">
        <x:v>6</x:v>
      </x:c>
      <x:c r="B7" s="7" t="s">
        <x:v>26</x:v>
      </x:c>
      <x:c r="C7" s="7" t="s">
        <x:v>64</x:v>
      </x:c>
      <x:c r="D7" s="7" t="s">
        <x:v>66</x:v>
      </x:c>
      <x:c r="E7" s="7" t="s">
        <x:v>67</x:v>
      </x:c>
      <x:c r="F7" s="7" t="s">
        <x:v>65</x:v>
      </x:c>
      <x:c r="G7" s="6">
        <x:v>44</x:v>
      </x:c>
      <x:c r="H7" s="6">
        <x:v>94.07</x:v>
      </x:c>
      <x:c r="I7" s="6">
        <x:v>94.4</x:v>
      </x:c>
      <x:c r="J7" s="6">
        <x:v>93.75</x:v>
      </x:c>
      <x:c r="K7" s="6">
        <x:v>96</x:v>
      </x:c>
      <x:c r="L7" s="6">
        <x:v>94</x:v>
      </x:c>
      <x:c r="M7" s="6">
        <x:v>95</x:v>
      </x:c>
      <x:c r="N7" s="6">
        <x:v>93</x:v>
      </x:c>
      <x:c r="O7" s="6">
        <x:v>95</x:v>
      </x:c>
      <x:c r="P7" s="6">
        <x:v>91</x:v>
      </x:c>
      <x:c r="Q7" s="6">
        <x:v>8</x:v>
      </x:c>
      <x:c r="R7" s="7" t="s">
        <x:v>68</x:v>
      </x:c>
      <x:c r="S7" s="7" t="s">
        <x:v>69</x:v>
      </x:c>
    </x:row>
    <x:row r="8" ht="38" customHeight="1">
      <x:c r="A8" s="6">
        <x:v>7</x:v>
      </x:c>
      <x:c r="B8" s="7" t="s">
        <x:v>26</x:v>
      </x:c>
      <x:c r="C8" s="7" t="s">
        <x:v>70</x:v>
      </x:c>
      <x:c r="D8" s="7" t="s">
        <x:v>73</x:v>
      </x:c>
      <x:c r="E8" s="7" t="s">
        <x:v>74</x:v>
      </x:c>
      <x:c r="F8" s="7" t="s">
        <x:v>72</x:v>
      </x:c>
      <x:c r="G8" s="6" t="s">
        <x:v>75</x:v>
      </x:c>
      <x:c r="H8" s="6">
        <x:v>94</x:v>
      </x:c>
      <x:c r="I8" s="6">
        <x:v>94.25</x:v>
      </x:c>
      <x:c r="J8" s="6">
        <x:v>93.75</x:v>
      </x:c>
      <x:c r="K8" s="6">
        <x:v>96</x:v>
      </x:c>
      <x:c r="L8" s="6">
        <x:v>94</x:v>
      </x:c>
      <x:c r="M8" s="6">
        <x:v>95</x:v>
      </x:c>
      <x:c r="N8" s="6">
        <x:v>92</x:v>
      </x:c>
      <x:c r="O8" s="6">
        <x:v>95</x:v>
      </x:c>
      <x:c r="P8" s="6">
        <x:v>91</x:v>
      </x:c>
      <x:c r="Q8" s="6">
        <x:v>8</x:v>
      </x:c>
      <x:c r="R8" s="7" t="s">
        <x:v>76</x:v>
      </x:c>
      <x:c r="S8" s="7" t="s">
        <x:v>77</x:v>
      </x:c>
    </x:row>
    <x:row r="9" ht="38" customHeight="1">
      <x:c r="A9" s="6">
        <x:v>8</x:v>
      </x:c>
      <x:c r="B9" s="7" t="s">
        <x:v>26</x:v>
      </x:c>
      <x:c r="C9" s="7" t="s">
        <x:v>78</x:v>
      </x:c>
      <x:c r="D9" s="7" t="s">
        <x:v>81</x:v>
      </x:c>
      <x:c r="E9" s="7" t="s">
        <x:v>82</x:v>
      </x:c>
      <x:c r="F9" s="7" t="s">
        <x:v>80</x:v>
      </x:c>
      <x:c r="G9" s="6">
        <x:v>56</x:v>
      </x:c>
      <x:c r="H9" s="6">
        <x:v>93.55</x:v>
      </x:c>
      <x:c r="I9" s="6">
        <x:v>93.7</x:v>
      </x:c>
      <x:c r="J9" s="6">
        <x:v>93.4</x:v>
      </x:c>
      <x:c r="K9" s="6">
        <x:v>95</x:v>
      </x:c>
      <x:c r="L9" s="6">
        <x:v>94</x:v>
      </x:c>
      <x:c r="M9" s="6">
        <x:v>94</x:v>
      </x:c>
      <x:c r="N9" s="6">
        <x:v>92</x:v>
      </x:c>
      <x:c r="O9" s="6">
        <x:v>95</x:v>
      </x:c>
      <x:c r="P9" s="6">
        <x:v>91</x:v>
      </x:c>
      <x:c r="Q9" s="6">
        <x:v>9</x:v>
      </x:c>
      <x:c r="R9" s="7" t="s">
        <x:v>83</x:v>
      </x:c>
      <x:c r="S9" s="7" t="s">
        <x:v>84</x:v>
      </x:c>
    </x:row>
    <x:row r="10" ht="38" customHeight="1">
      <x:c r="A10" s="6">
        <x:v>9</x:v>
      </x:c>
      <x:c r="B10" s="7" t="s">
        <x:v>26</x:v>
      </x:c>
      <x:c r="C10" s="7" t="s">
        <x:v>85</x:v>
      </x:c>
      <x:c r="D10" s="7" t="s">
        <x:v>88</x:v>
      </x:c>
      <x:c r="E10" s="7" t="s">
        <x:v>89</x:v>
      </x:c>
      <x:c r="F10" s="7" t="s">
        <x:v>87</x:v>
      </x:c>
      <x:c r="G10" s="6" t="s">
        <x:v>75</x:v>
      </x:c>
      <x:c r="H10" s="6">
        <x:v>93.55</x:v>
      </x:c>
      <x:c r="I10" s="6">
        <x:v>93.7</x:v>
      </x:c>
      <x:c r="J10" s="6">
        <x:v>93.4</x:v>
      </x:c>
      <x:c r="K10" s="6">
        <x:v>95</x:v>
      </x:c>
      <x:c r="L10" s="6">
        <x:v>94</x:v>
      </x:c>
      <x:c r="M10" s="6">
        <x:v>94</x:v>
      </x:c>
      <x:c r="N10" s="6">
        <x:v>92</x:v>
      </x:c>
      <x:c r="O10" s="6">
        <x:v>95</x:v>
      </x:c>
      <x:c r="P10" s="6">
        <x:v>91</x:v>
      </x:c>
      <x:c r="Q10" s="6">
        <x:v>9</x:v>
      </x:c>
      <x:c r="R10" s="7" t="s">
        <x:v>90</x:v>
      </x:c>
      <x:c r="S10" s="7" t="s">
        <x:v>91</x:v>
      </x:c>
    </x:row>
    <x:row r="11" ht="38" customHeight="1">
      <x:c r="A11" s="6">
        <x:v>10</x:v>
      </x:c>
      <x:c r="B11" s="7" t="s">
        <x:v>26</x:v>
      </x:c>
      <x:c r="C11" s="7" t="s">
        <x:v>92</x:v>
      </x:c>
      <x:c r="D11" s="7" t="s">
        <x:v>94</x:v>
      </x:c>
      <x:c r="E11" s="7" t="s">
        <x:v>95</x:v>
      </x:c>
      <x:c r="F11" s="7" t="s">
        <x:v>93</x:v>
      </x:c>
      <x:c r="G11" s="6">
        <x:v>74</x:v>
      </x:c>
      <x:c r="H11" s="6">
        <x:v>93.38</x:v>
      </x:c>
      <x:c r="I11" s="6">
        <x:v>93.7</x:v>
      </x:c>
      <x:c r="J11" s="6">
        <x:v>93.05</x:v>
      </x:c>
      <x:c r="K11" s="6">
        <x:v>96</x:v>
      </x:c>
      <x:c r="L11" s="6">
        <x:v>93</x:v>
      </x:c>
      <x:c r="M11" s="6">
        <x:v>94</x:v>
      </x:c>
      <x:c r="N11" s="6">
        <x:v>92</x:v>
      </x:c>
      <x:c r="O11" s="6">
        <x:v>95</x:v>
      </x:c>
      <x:c r="P11" s="6">
        <x:v>90</x:v>
      </x:c>
      <x:c r="Q11" s="6">
        <x:v>9</x:v>
      </x:c>
      <x:c r="R11" s="7" t="s">
        <x:v>96</x:v>
      </x:c>
      <x:c r="S11" s="7" t="s">
        <x:v>97</x:v>
      </x:c>
    </x:row>
    <x:row r="12" ht="38" customHeight="1">
      <x:c r="A12" s="6">
        <x:v>11</x:v>
      </x:c>
      <x:c r="B12" s="7" t="s">
        <x:v>26</x:v>
      </x:c>
      <x:c r="C12" s="7" t="s">
        <x:v>98</x:v>
      </x:c>
      <x:c r="D12" s="7" t="s">
        <x:v>101</x:v>
      </x:c>
      <x:c r="E12" s="7" t="s">
        <x:v>102</x:v>
      </x:c>
      <x:c r="F12" s="7" t="s">
        <x:v>100</x:v>
      </x:c>
      <x:c r="G12" s="6">
        <x:v>27</x:v>
      </x:c>
      <x:c r="H12" s="6">
        <x:v>93.15</x:v>
      </x:c>
      <x:c r="I12" s="6">
        <x:v>93.25</x:v>
      </x:c>
      <x:c r="J12" s="6">
        <x:v>93.05</x:v>
      </x:c>
      <x:c r="K12" s="6">
        <x:v>95</x:v>
      </x:c>
      <x:c r="L12" s="6">
        <x:v>93</x:v>
      </x:c>
      <x:c r="M12" s="6">
        <x:v>94</x:v>
      </x:c>
      <x:c r="N12" s="6">
        <x:v>91</x:v>
      </x:c>
      <x:c r="O12" s="6">
        <x:v>95</x:v>
      </x:c>
      <x:c r="P12" s="6">
        <x:v>90</x:v>
      </x:c>
      <x:c r="Q12" s="6">
        <x:v>9</x:v>
      </x:c>
      <x:c r="R12" s="7" t="s">
        <x:v>103</x:v>
      </x:c>
      <x:c r="S12" s="7" t="s">
        <x:v>104</x:v>
      </x:c>
    </x:row>
    <x:row r="13" ht="38" customHeight="1">
      <x:c r="A13" s="6">
        <x:v>12</x:v>
      </x:c>
      <x:c r="B13" s="7" t="s">
        <x:v>26</x:v>
      </x:c>
      <x:c r="C13" s="7" t="s">
        <x:v>105</x:v>
      </x:c>
      <x:c r="D13" s="7" t="s">
        <x:v>108</x:v>
      </x:c>
      <x:c r="E13" s="7" t="s">
        <x:v>109</x:v>
      </x:c>
      <x:c r="F13" s="7" t="s">
        <x:v>107</x:v>
      </x:c>
      <x:c r="G13" s="6" t="s">
        <x:v>75</x:v>
      </x:c>
      <x:c r="H13" s="6">
        <x:v>93.07</x:v>
      </x:c>
      <x:c r="I13" s="6">
        <x:v>93.4</x:v>
      </x:c>
      <x:c r="J13" s="6">
        <x:v>92.75</x:v>
      </x:c>
      <x:c r="K13" s="6">
        <x:v>95</x:v>
      </x:c>
      <x:c r="L13" s="6">
        <x:v>93</x:v>
      </x:c>
      <x:c r="M13" s="6">
        <x:v>94</x:v>
      </x:c>
      <x:c r="N13" s="6">
        <x:v>92</x:v>
      </x:c>
      <x:c r="O13" s="6">
        <x:v>94</x:v>
      </x:c>
      <x:c r="P13" s="6">
        <x:v>90</x:v>
      </x:c>
      <x:c r="Q13" s="6">
        <x:v>9</x:v>
      </x:c>
      <x:c r="R13" s="7" t="s">
        <x:v>110</x:v>
      </x:c>
      <x:c r="S13" s="7" t="s">
        <x:v>111</x:v>
      </x:c>
    </x:row>
    <x:row r="14" ht="38" customHeight="1">
      <x:c r="A14" s="6">
        <x:v>13</x:v>
      </x:c>
      <x:c r="B14" s="7" t="s">
        <x:v>26</x:v>
      </x:c>
      <x:c r="C14" s="7" t="s">
        <x:v>112</x:v>
      </x:c>
      <x:c r="D14" s="7" t="s">
        <x:v>113</x:v>
      </x:c>
      <x:c r="E14" s="7" t="s">
        <x:v>109</x:v>
      </x:c>
      <x:c r="F14" s="7" t="s">
        <x:v>107</x:v>
      </x:c>
      <x:c r="G14" s="6" t="s">
        <x:v>75</x:v>
      </x:c>
      <x:c r="H14" s="6">
        <x:v>93.07</x:v>
      </x:c>
      <x:c r="I14" s="6">
        <x:v>93.4</x:v>
      </x:c>
      <x:c r="J14" s="6">
        <x:v>92.75</x:v>
      </x:c>
      <x:c r="K14" s="6">
        <x:v>95</x:v>
      </x:c>
      <x:c r="L14" s="6">
        <x:v>93</x:v>
      </x:c>
      <x:c r="M14" s="6">
        <x:v>94</x:v>
      </x:c>
      <x:c r="N14" s="6">
        <x:v>92</x:v>
      </x:c>
      <x:c r="O14" s="6">
        <x:v>94</x:v>
      </x:c>
      <x:c r="P14" s="6">
        <x:v>90</x:v>
      </x:c>
      <x:c r="Q14" s="6">
        <x:v>9</x:v>
      </x:c>
      <x:c r="R14" s="7" t="s">
        <x:v>114</x:v>
      </x:c>
      <x:c r="S14" s="7" t="s">
        <x:v>115</x:v>
      </x:c>
    </x:row>
    <x:row r="15" ht="38" customHeight="1">
      <x:c r="A15" s="6">
        <x:v>14</x:v>
      </x:c>
      <x:c r="B15" s="7" t="s">
        <x:v>26</x:v>
      </x:c>
      <x:c r="C15" s="7" t="s">
        <x:v>116</x:v>
      </x:c>
      <x:c r="D15" s="7" t="s">
        <x:v>118</x:v>
      </x:c>
      <x:c r="E15" s="7" t="s">
        <x:v>119</x:v>
      </x:c>
      <x:c r="F15" s="7" t="s">
        <x:v>117</x:v>
      </x:c>
      <x:c r="G15" s="6" t="s">
        <x:v>75</x:v>
      </x:c>
      <x:c r="H15" s="6">
        <x:v>92.62</x:v>
      </x:c>
      <x:c r="I15" s="6">
        <x:v>92.7</x:v>
      </x:c>
      <x:c r="J15" s="6">
        <x:v>92.55</x:v>
      </x:c>
      <x:c r="K15" s="6">
        <x:v>94</x:v>
      </x:c>
      <x:c r="L15" s="6">
        <x:v>93</x:v>
      </x:c>
      <x:c r="M15" s="6">
        <x:v>93</x:v>
      </x:c>
      <x:c r="N15" s="6">
        <x:v>91</x:v>
      </x:c>
      <x:c r="O15" s="6">
        <x:v>94</x:v>
      </x:c>
      <x:c r="P15" s="6">
        <x:v>90</x:v>
      </x:c>
      <x:c r="Q15" s="6">
        <x:v>9</x:v>
      </x:c>
      <x:c r="R15" s="7" t="s">
        <x:v>120</x:v>
      </x:c>
      <x:c r="S15" s="7" t="s">
        <x:v>121</x:v>
      </x:c>
    </x:row>
    <x:row r="16" ht="38" customHeight="1">
      <x:c r="A16" s="6">
        <x:v>15</x:v>
      </x:c>
      <x:c r="B16" s="7" t="s">
        <x:v>26</x:v>
      </x:c>
      <x:c r="C16" s="7" t="s">
        <x:v>122</x:v>
      </x:c>
      <x:c r="D16" s="7" t="s">
        <x:v>125</x:v>
      </x:c>
      <x:c r="E16" s="7" t="s">
        <x:v>126</x:v>
      </x:c>
      <x:c r="F16" s="7" t="s">
        <x:v>124</x:v>
      </x:c>
      <x:c r="G16" s="6">
        <x:v>64</x:v>
      </x:c>
      <x:c r="H16" s="6">
        <x:v>92.62</x:v>
      </x:c>
      <x:c r="I16" s="6">
        <x:v>92.7</x:v>
      </x:c>
      <x:c r="J16" s="6">
        <x:v>92.55</x:v>
      </x:c>
      <x:c r="K16" s="6">
        <x:v>94</x:v>
      </x:c>
      <x:c r="L16" s="6">
        <x:v>93</x:v>
      </x:c>
      <x:c r="M16" s="6">
        <x:v>93</x:v>
      </x:c>
      <x:c r="N16" s="6">
        <x:v>91</x:v>
      </x:c>
      <x:c r="O16" s="6">
        <x:v>94</x:v>
      </x:c>
      <x:c r="P16" s="6">
        <x:v>90</x:v>
      </x:c>
      <x:c r="Q16" s="6">
        <x:v>9</x:v>
      </x:c>
      <x:c r="R16" s="7" t="s">
        <x:v>127</x:v>
      </x:c>
      <x:c r="S16" s="7" t="s">
        <x:v>128</x:v>
      </x:c>
    </x:row>
    <x:row r="17" ht="38" customHeight="1">
      <x:c r="A17" s="6">
        <x:v>16</x:v>
      </x:c>
      <x:c r="B17" s="7" t="s">
        <x:v>26</x:v>
      </x:c>
      <x:c r="C17" s="7" t="s">
        <x:v>129</x:v>
      </x:c>
      <x:c r="D17" s="7" t="s">
        <x:v>131</x:v>
      </x:c>
      <x:c r="E17" s="7" t="s">
        <x:v>132</x:v>
      </x:c>
      <x:c r="F17" s="7" t="s">
        <x:v>130</x:v>
      </x:c>
      <x:c r="G17" s="6">
        <x:v>22</x:v>
      </x:c>
      <x:c r="H17" s="6">
        <x:v>92.38</x:v>
      </x:c>
      <x:c r="I17" s="6">
        <x:v>92.7</x:v>
      </x:c>
      <x:c r="J17" s="6">
        <x:v>92.05</x:v>
      </x:c>
      <x:c r="K17" s="6">
        <x:v>95</x:v>
      </x:c>
      <x:c r="L17" s="6">
        <x:v>92</x:v>
      </x:c>
      <x:c r="M17" s="6">
        <x:v>93</x:v>
      </x:c>
      <x:c r="N17" s="6">
        <x:v>91</x:v>
      </x:c>
      <x:c r="O17" s="6">
        <x:v>94</x:v>
      </x:c>
      <x:c r="P17" s="6">
        <x:v>89</x:v>
      </x:c>
      <x:c r="Q17" s="6">
        <x:v>10</x:v>
      </x:c>
      <x:c r="R17" s="7" t="s">
        <x:v>133</x:v>
      </x:c>
      <x:c r="S17" s="7" t="s">
        <x:v>134</x:v>
      </x:c>
    </x:row>
    <x:row r="18" ht="38" customHeight="1">
      <x:c r="A18" s="6">
        <x:v>17</x:v>
      </x:c>
      <x:c r="B18" s="7" t="s">
        <x:v>26</x:v>
      </x:c>
      <x:c r="C18" s="7" t="s">
        <x:v>135</x:v>
      </x:c>
      <x:c r="D18" s="7" t="s">
        <x:v>137</x:v>
      </x:c>
      <x:c r="E18" s="7" t="s">
        <x:v>138</x:v>
      </x:c>
      <x:c r="F18" s="7" t="s">
        <x:v>136</x:v>
      </x:c>
      <x:c r="G18" s="6" t="s">
        <x:v>75</x:v>
      </x:c>
      <x:c r="H18" s="6">
        <x:v>92.38</x:v>
      </x:c>
      <x:c r="I18" s="6">
        <x:v>92.7</x:v>
      </x:c>
      <x:c r="J18" s="6">
        <x:v>92.05</x:v>
      </x:c>
      <x:c r="K18" s="6">
        <x:v>95</x:v>
      </x:c>
      <x:c r="L18" s="6">
        <x:v>92</x:v>
      </x:c>
      <x:c r="M18" s="6">
        <x:v>93</x:v>
      </x:c>
      <x:c r="N18" s="6">
        <x:v>91</x:v>
      </x:c>
      <x:c r="O18" s="6">
        <x:v>94</x:v>
      </x:c>
      <x:c r="P18" s="6">
        <x:v>89</x:v>
      </x:c>
      <x:c r="Q18" s="6">
        <x:v>10</x:v>
      </x:c>
      <x:c r="R18" s="7" t="s">
        <x:v>139</x:v>
      </x:c>
      <x:c r="S18" s="7" t="s">
        <x:v>140</x:v>
      </x:c>
    </x:row>
    <x:row r="19" ht="38" customHeight="1">
      <x:c r="A19" s="6">
        <x:v>18</x:v>
      </x:c>
      <x:c r="B19" s="7" t="s">
        <x:v>26</x:v>
      </x:c>
      <x:c r="C19" s="7" t="s">
        <x:v>141</x:v>
      </x:c>
      <x:c r="D19" s="7" t="s">
        <x:v>143</x:v>
      </x:c>
      <x:c r="E19" s="7" t="s">
        <x:v>144</x:v>
      </x:c>
      <x:c r="F19" s="7" t="s">
        <x:v>142</x:v>
      </x:c>
      <x:c r="G19" s="6" t="s">
        <x:v>75</x:v>
      </x:c>
      <x:c r="H19" s="6">
        <x:v>92.3</x:v>
      </x:c>
      <x:c r="I19" s="6">
        <x:v>92.55</x:v>
      </x:c>
      <x:c r="J19" s="6">
        <x:v>92.05</x:v>
      </x:c>
      <x:c r="K19" s="6">
        <x:v>95</x:v>
      </x:c>
      <x:c r="L19" s="6">
        <x:v>92</x:v>
      </x:c>
      <x:c r="M19" s="6">
        <x:v>93</x:v>
      </x:c>
      <x:c r="N19" s="6">
        <x:v>90</x:v>
      </x:c>
      <x:c r="O19" s="6">
        <x:v>94</x:v>
      </x:c>
      <x:c r="P19" s="6">
        <x:v>89</x:v>
      </x:c>
      <x:c r="Q19" s="6">
        <x:v>10</x:v>
      </x:c>
      <x:c r="R19" s="7" t="s">
        <x:v>145</x:v>
      </x:c>
      <x:c r="S19" s="7" t="s">
        <x:v>146</x:v>
      </x:c>
    </x:row>
    <x:row r="20" ht="38" customHeight="1">
      <x:c r="A20" s="6">
        <x:v>19</x:v>
      </x:c>
      <x:c r="B20" s="7" t="s">
        <x:v>26</x:v>
      </x:c>
      <x:c r="C20" s="7" t="s">
        <x:v>147</x:v>
      </x:c>
      <x:c r="D20" s="7" t="s">
        <x:v>149</x:v>
      </x:c>
      <x:c r="E20" s="7" t="s">
        <x:v>150</x:v>
      </x:c>
      <x:c r="F20" s="7" t="s">
        <x:v>148</x:v>
      </x:c>
      <x:c r="G20" s="6">
        <x:v>71</x:v>
      </x:c>
      <x:c r="H20" s="6">
        <x:v>92.08</x:v>
      </x:c>
      <x:c r="I20" s="6">
        <x:v>92.4</x:v>
      </x:c>
      <x:c r="J20" s="6">
        <x:v>91.75</x:v>
      </x:c>
      <x:c r="K20" s="6">
        <x:v>94</x:v>
      </x:c>
      <x:c r="L20" s="6">
        <x:v>92</x:v>
      </x:c>
      <x:c r="M20" s="6">
        <x:v>93</x:v>
      </x:c>
      <x:c r="N20" s="6">
        <x:v>91</x:v>
      </x:c>
      <x:c r="O20" s="6">
        <x:v>93</x:v>
      </x:c>
      <x:c r="P20" s="6">
        <x:v>89</x:v>
      </x:c>
      <x:c r="Q20" s="6">
        <x:v>10</x:v>
      </x:c>
      <x:c r="R20" s="7" t="s">
        <x:v>151</x:v>
      </x:c>
      <x:c r="S20" s="7" t="s">
        <x:v>152</x:v>
      </x:c>
    </x:row>
    <x:row r="21" ht="38" customHeight="1">
      <x:c r="A21" s="6">
        <x:v>20</x:v>
      </x:c>
      <x:c r="B21" s="7" t="s">
        <x:v>26</x:v>
      </x:c>
      <x:c r="C21" s="7" t="s">
        <x:v>153</x:v>
      </x:c>
      <x:c r="D21" s="7" t="s">
        <x:v>155</x:v>
      </x:c>
      <x:c r="E21" s="7" t="s">
        <x:v>156</x:v>
      </x:c>
      <x:c r="F21" s="7" t="s">
        <x:v>154</x:v>
      </x:c>
      <x:c r="G21" s="6" t="s">
        <x:v>75</x:v>
      </x:c>
      <x:c r="H21" s="6">
        <x:v>92.08</x:v>
      </x:c>
      <x:c r="I21" s="6">
        <x:v>92.4</x:v>
      </x:c>
      <x:c r="J21" s="6">
        <x:v>91.75</x:v>
      </x:c>
      <x:c r="K21" s="6">
        <x:v>94</x:v>
      </x:c>
      <x:c r="L21" s="6">
        <x:v>92</x:v>
      </x:c>
      <x:c r="M21" s="6">
        <x:v>93</x:v>
      </x:c>
      <x:c r="N21" s="6">
        <x:v>91</x:v>
      </x:c>
      <x:c r="O21" s="6">
        <x:v>93</x:v>
      </x:c>
      <x:c r="P21" s="6">
        <x:v>89</x:v>
      </x:c>
      <x:c r="Q21" s="6">
        <x:v>10</x:v>
      </x:c>
      <x:c r="R21" s="7" t="s">
        <x:v>157</x:v>
      </x:c>
      <x:c r="S21" s="7" t="s">
        <x:v>158</x:v>
      </x:c>
    </x:row>
    <x:row r="22" ht="38" customHeight="1">
      <x:c r="A22" s="6">
        <x:v>21</x:v>
      </x:c>
      <x:c r="B22" s="7" t="s">
        <x:v>26</x:v>
      </x:c>
      <x:c r="C22" s="7" t="s">
        <x:v>159</x:v>
      </x:c>
      <x:c r="D22" s="7" t="s">
        <x:v>161</x:v>
      </x:c>
      <x:c r="E22" s="7" t="s">
        <x:v>162</x:v>
      </x:c>
      <x:c r="F22" s="7" t="s">
        <x:v>160</x:v>
      </x:c>
      <x:c r="G22" s="6">
        <x:v>22</x:v>
      </x:c>
      <x:c r="H22" s="6">
        <x:v>92.08</x:v>
      </x:c>
      <x:c r="I22" s="6">
        <x:v>92.4</x:v>
      </x:c>
      <x:c r="J22" s="6">
        <x:v>91.75</x:v>
      </x:c>
      <x:c r="K22" s="6">
        <x:v>94</x:v>
      </x:c>
      <x:c r="L22" s="6">
        <x:v>92</x:v>
      </x:c>
      <x:c r="M22" s="6">
        <x:v>93</x:v>
      </x:c>
      <x:c r="N22" s="6">
        <x:v>91</x:v>
      </x:c>
      <x:c r="O22" s="6">
        <x:v>93</x:v>
      </x:c>
      <x:c r="P22" s="6">
        <x:v>89</x:v>
      </x:c>
      <x:c r="Q22" s="6">
        <x:v>10</x:v>
      </x:c>
      <x:c r="R22" s="7" t="s">
        <x:v>163</x:v>
      </x:c>
      <x:c r="S22" s="7" t="s">
        <x:v>164</x:v>
      </x:c>
    </x:row>
    <x:row r="23" ht="38" customHeight="1">
      <x:c r="A23" s="6">
        <x:v>22</x:v>
      </x:c>
      <x:c r="B23" s="7" t="s">
        <x:v>26</x:v>
      </x:c>
      <x:c r="C23" s="7" t="s">
        <x:v>165</x:v>
      </x:c>
      <x:c r="D23" s="7" t="s">
        <x:v>167</x:v>
      </x:c>
      <x:c r="E23" s="7" t="s">
        <x:v>168</x:v>
      </x:c>
      <x:c r="F23" s="7" t="s">
        <x:v>166</x:v>
      </x:c>
      <x:c r="G23" s="6">
        <x:v>43</x:v>
      </x:c>
      <x:c r="H23" s="6">
        <x:v>91.85</x:v>
      </x:c>
      <x:c r="I23" s="6">
        <x:v>91.95</x:v>
      </x:c>
      <x:c r="J23" s="6">
        <x:v>91.75</x:v>
      </x:c>
      <x:c r="K23" s="6">
        <x:v>93</x:v>
      </x:c>
      <x:c r="L23" s="6">
        <x:v>92</x:v>
      </x:c>
      <x:c r="M23" s="6">
        <x:v>93</x:v>
      </x:c>
      <x:c r="N23" s="6">
        <x:v>90</x:v>
      </x:c>
      <x:c r="O23" s="6">
        <x:v>93</x:v>
      </x:c>
      <x:c r="P23" s="6">
        <x:v>89</x:v>
      </x:c>
      <x:c r="Q23" s="6">
        <x:v>10</x:v>
      </x:c>
      <x:c r="R23" s="7" t="s">
        <x:v>169</x:v>
      </x:c>
      <x:c r="S23" s="7" t="s">
        <x:v>170</x:v>
      </x:c>
    </x:row>
    <x:row r="24" ht="38" customHeight="1">
      <x:c r="A24" s="6">
        <x:v>23</x:v>
      </x:c>
      <x:c r="B24" s="7" t="s">
        <x:v>26</x:v>
      </x:c>
      <x:c r="C24" s="7" t="s">
        <x:v>171</x:v>
      </x:c>
      <x:c r="D24" s="7" t="s">
        <x:v>173</x:v>
      </x:c>
      <x:c r="E24" s="7" t="s">
        <x:v>174</x:v>
      </x:c>
      <x:c r="F24" s="7" t="s">
        <x:v>172</x:v>
      </x:c>
      <x:c r="G24" s="6">
        <x:v>23</x:v>
      </x:c>
      <x:c r="H24" s="6">
        <x:v>91.78</x:v>
      </x:c>
      <x:c r="I24" s="6">
        <x:v>92</x:v>
      </x:c>
      <x:c r="J24" s="6">
        <x:v>91.55</x:v>
      </x:c>
      <x:c r="K24" s="6">
        <x:v>94</x:v>
      </x:c>
      <x:c r="L24" s="6">
        <x:v>92</x:v>
      </x:c>
      <x:c r="M24" s="6">
        <x:v>92</x:v>
      </x:c>
      <x:c r="N24" s="6">
        <x:v>90</x:v>
      </x:c>
      <x:c r="O24" s="6">
        <x:v>94</x:v>
      </x:c>
      <x:c r="P24" s="6">
        <x:v>89</x:v>
      </x:c>
      <x:c r="Q24" s="6">
        <x:v>12</x:v>
      </x:c>
      <x:c r="R24" s="7" t="s">
        <x:v>175</x:v>
      </x:c>
      <x:c r="S24" s="7" t="s">
        <x:v>176</x:v>
      </x:c>
    </x:row>
    <x:row r="25" ht="38" customHeight="1">
      <x:c r="A25" s="6">
        <x:v>24</x:v>
      </x:c>
      <x:c r="B25" s="7" t="s">
        <x:v>26</x:v>
      </x:c>
      <x:c r="C25" s="7" t="s">
        <x:v>177</x:v>
      </x:c>
      <x:c r="D25" s="7" t="s">
        <x:v>179</x:v>
      </x:c>
      <x:c r="E25" s="7" t="s">
        <x:v>180</x:v>
      </x:c>
      <x:c r="F25" s="7" t="s">
        <x:v>178</x:v>
      </x:c>
      <x:c r="G25" s="6">
        <x:v>28</x:v>
      </x:c>
      <x:c r="H25" s="6">
        <x:v>91.38</x:v>
      </x:c>
      <x:c r="I25" s="6">
        <x:v>91.7</x:v>
      </x:c>
      <x:c r="J25" s="6">
        <x:v>91.05</x:v>
      </x:c>
      <x:c r="K25" s="6">
        <x:v>94</x:v>
      </x:c>
      <x:c r="L25" s="6">
        <x:v>91</x:v>
      </x:c>
      <x:c r="M25" s="6">
        <x:v>92</x:v>
      </x:c>
      <x:c r="N25" s="6">
        <x:v>90</x:v>
      </x:c>
      <x:c r="O25" s="6">
        <x:v>93</x:v>
      </x:c>
      <x:c r="P25" s="6">
        <x:v>88</x:v>
      </x:c>
      <x:c r="Q25" s="6">
        <x:v>11</x:v>
      </x:c>
      <x:c r="R25" s="7" t="s">
        <x:v>181</x:v>
      </x:c>
      <x:c r="S25" s="7" t="s">
        <x:v>182</x:v>
      </x:c>
    </x:row>
    <x:row r="26" ht="38" customHeight="1">
      <x:c r="A26" s="6">
        <x:v>25</x:v>
      </x:c>
      <x:c r="B26" s="7" t="s">
        <x:v>26</x:v>
      </x:c>
      <x:c r="C26" s="7" t="s">
        <x:v>183</x:v>
      </x:c>
      <x:c r="D26" s="7" t="s">
        <x:v>185</x:v>
      </x:c>
      <x:c r="E26" s="7" t="s">
        <x:v>186</x:v>
      </x:c>
      <x:c r="F26" s="7" t="s">
        <x:v>184</x:v>
      </x:c>
      <x:c r="G26" s="6" t="s">
        <x:v>75</x:v>
      </x:c>
      <x:c r="H26" s="6">
        <x:v>91.07</x:v>
      </x:c>
      <x:c r="I26" s="6">
        <x:v>91.4</x:v>
      </x:c>
      <x:c r="J26" s="6">
        <x:v>90.75</x:v>
      </x:c>
      <x:c r="K26" s="6">
        <x:v>93</x:v>
      </x:c>
      <x:c r="L26" s="6">
        <x:v>91</x:v>
      </x:c>
      <x:c r="M26" s="6">
        <x:v>92</x:v>
      </x:c>
      <x:c r="N26" s="6">
        <x:v>90</x:v>
      </x:c>
      <x:c r="O26" s="6">
        <x:v>92</x:v>
      </x:c>
      <x:c r="P26" s="6">
        <x:v>88</x:v>
      </x:c>
      <x:c r="Q26" s="6">
        <x:v>11</x:v>
      </x:c>
      <x:c r="R26" s="7" t="s">
        <x:v>187</x:v>
      </x:c>
      <x:c r="S26" s="7" t="s">
        <x:v>188</x:v>
      </x:c>
    </x:row>
    <x:row r="27" ht="38" customHeight="1">
      <x:c r="A27" s="6">
        <x:v>26</x:v>
      </x:c>
      <x:c r="B27" s="7" t="s">
        <x:v>26</x:v>
      </x:c>
      <x:c r="C27" s="7" t="s">
        <x:v>189</x:v>
      </x:c>
      <x:c r="D27" s="7" t="s">
        <x:v>191</x:v>
      </x:c>
      <x:c r="E27" s="7" t="s">
        <x:v>192</x:v>
      </x:c>
      <x:c r="F27" s="7" t="s">
        <x:v>190</x:v>
      </x:c>
      <x:c r="G27" s="6">
        <x:v>21</x:v>
      </x:c>
      <x:c r="H27" s="6">
        <x:v>91.07</x:v>
      </x:c>
      <x:c r="I27" s="6">
        <x:v>91.4</x:v>
      </x:c>
      <x:c r="J27" s="6">
        <x:v>90.75</x:v>
      </x:c>
      <x:c r="K27" s="6">
        <x:v>93</x:v>
      </x:c>
      <x:c r="L27" s="6">
        <x:v>91</x:v>
      </x:c>
      <x:c r="M27" s="6">
        <x:v>92</x:v>
      </x:c>
      <x:c r="N27" s="6">
        <x:v>90</x:v>
      </x:c>
      <x:c r="O27" s="6">
        <x:v>92</x:v>
      </x:c>
      <x:c r="P27" s="6">
        <x:v>88</x:v>
      </x:c>
      <x:c r="Q27" s="6">
        <x:v>11</x:v>
      </x:c>
      <x:c r="R27" s="7" t="s">
        <x:v>193</x:v>
      </x:c>
      <x:c r="S27" s="7" t="s">
        <x:v>194</x:v>
      </x:c>
    </x:row>
    <x:row r="28" ht="38" customHeight="1">
      <x:c r="A28" s="6">
        <x:v>27</x:v>
      </x:c>
      <x:c r="B28" s="7" t="s">
        <x:v>26</x:v>
      </x:c>
      <x:c r="C28" s="7" t="s">
        <x:v>195</x:v>
      </x:c>
      <x:c r="D28" s="7" t="s">
        <x:v>197</x:v>
      </x:c>
      <x:c r="E28" s="7" t="s">
        <x:v>198</x:v>
      </x:c>
      <x:c r="F28" s="7" t="s">
        <x:v>196</x:v>
      </x:c>
      <x:c r="G28" s="6" t="s">
        <x:v>75</x:v>
      </x:c>
      <x:c r="H28" s="6">
        <x:v>91.07</x:v>
      </x:c>
      <x:c r="I28" s="6">
        <x:v>91.4</x:v>
      </x:c>
      <x:c r="J28" s="6">
        <x:v>90.75</x:v>
      </x:c>
      <x:c r="K28" s="6">
        <x:v>93</x:v>
      </x:c>
      <x:c r="L28" s="6">
        <x:v>91</x:v>
      </x:c>
      <x:c r="M28" s="6">
        <x:v>92</x:v>
      </x:c>
      <x:c r="N28" s="6">
        <x:v>90</x:v>
      </x:c>
      <x:c r="O28" s="6">
        <x:v>92</x:v>
      </x:c>
      <x:c r="P28" s="6">
        <x:v>88</x:v>
      </x:c>
      <x:c r="Q28" s="6">
        <x:v>11</x:v>
      </x:c>
      <x:c r="R28" s="7" t="s">
        <x:v>199</x:v>
      </x:c>
      <x:c r="S28" s="7" t="s">
        <x:v>200</x:v>
      </x:c>
    </x:row>
    <x:row r="29" ht="38" customHeight="1">
      <x:c r="A29" s="6">
        <x:v>28</x:v>
      </x:c>
      <x:c r="B29" s="7" t="s">
        <x:v>26</x:v>
      </x:c>
      <x:c r="C29" s="7" t="s">
        <x:v>201</x:v>
      </x:c>
      <x:c r="D29" s="7" t="s">
        <x:v>203</x:v>
      </x:c>
      <x:c r="E29" s="7" t="s">
        <x:v>204</x:v>
      </x:c>
      <x:c r="F29" s="7" t="s">
        <x:v>202</x:v>
      </x:c>
      <x:c r="G29" s="6">
        <x:v>10</x:v>
      </x:c>
      <x:c r="H29" s="6">
        <x:v>91.07</x:v>
      </x:c>
      <x:c r="I29" s="6">
        <x:v>91.4</x:v>
      </x:c>
      <x:c r="J29" s="6">
        <x:v>90.75</x:v>
      </x:c>
      <x:c r="K29" s="6">
        <x:v>93</x:v>
      </x:c>
      <x:c r="L29" s="6">
        <x:v>91</x:v>
      </x:c>
      <x:c r="M29" s="6">
        <x:v>92</x:v>
      </x:c>
      <x:c r="N29" s="6">
        <x:v>90</x:v>
      </x:c>
      <x:c r="O29" s="6">
        <x:v>92</x:v>
      </x:c>
      <x:c r="P29" s="6">
        <x:v>88</x:v>
      </x:c>
      <x:c r="Q29" s="6">
        <x:v>11</x:v>
      </x:c>
      <x:c r="R29" s="7" t="s">
        <x:v>205</x:v>
      </x:c>
      <x:c r="S29" s="7" t="s">
        <x:v>206</x:v>
      </x:c>
    </x:row>
    <x:row r="30" ht="38" customHeight="1">
      <x:c r="A30" s="6">
        <x:v>29</x:v>
      </x:c>
      <x:c r="B30" s="7" t="s">
        <x:v>26</x:v>
      </x:c>
      <x:c r="C30" s="7" t="s">
        <x:v>207</x:v>
      </x:c>
      <x:c r="D30" s="7" t="s">
        <x:v>209</x:v>
      </x:c>
      <x:c r="E30" s="7" t="s">
        <x:v>210</x:v>
      </x:c>
      <x:c r="F30" s="7" t="s">
        <x:v>208</x:v>
      </x:c>
      <x:c r="G30" s="6">
        <x:v>16</x:v>
      </x:c>
      <x:c r="H30" s="6">
        <x:v>91.07</x:v>
      </x:c>
      <x:c r="I30" s="6">
        <x:v>91.4</x:v>
      </x:c>
      <x:c r="J30" s="6">
        <x:v>90.75</x:v>
      </x:c>
      <x:c r="K30" s="6">
        <x:v>93</x:v>
      </x:c>
      <x:c r="L30" s="6">
        <x:v>91</x:v>
      </x:c>
      <x:c r="M30" s="6">
        <x:v>92</x:v>
      </x:c>
      <x:c r="N30" s="6">
        <x:v>90</x:v>
      </x:c>
      <x:c r="O30" s="6">
        <x:v>92</x:v>
      </x:c>
      <x:c r="P30" s="6">
        <x:v>88</x:v>
      </x:c>
      <x:c r="Q30" s="6">
        <x:v>11</x:v>
      </x:c>
      <x:c r="R30" s="7" t="s">
        <x:v>211</x:v>
      </x:c>
      <x:c r="S30" s="7" t="s">
        <x:v>212</x:v>
      </x:c>
    </x:row>
    <x:row r="31" ht="38" customHeight="1">
      <x:c r="A31" s="6">
        <x:v>30</x:v>
      </x:c>
      <x:c r="B31" s="7" t="s">
        <x:v>26</x:v>
      </x:c>
      <x:c r="C31" s="7" t="s">
        <x:v>213</x:v>
      </x:c>
      <x:c r="D31" s="7" t="s">
        <x:v>215</x:v>
      </x:c>
      <x:c r="E31" s="7" t="s">
        <x:v>216</x:v>
      </x:c>
      <x:c r="F31" s="7" t="s">
        <x:v>214</x:v>
      </x:c>
      <x:c r="G31" s="6">
        <x:v>16</x:v>
      </x:c>
      <x:c r="H31" s="6">
        <x:v>91.07</x:v>
      </x:c>
      <x:c r="I31" s="6">
        <x:v>91.25</x:v>
      </x:c>
      <x:c r="J31" s="6">
        <x:v>90.9</x:v>
      </x:c>
      <x:c r="K31" s="6">
        <x:v>93</x:v>
      </x:c>
      <x:c r="L31" s="6">
        <x:v>91</x:v>
      </x:c>
      <x:c r="M31" s="6">
        <x:v>92</x:v>
      </x:c>
      <x:c r="N31" s="6">
        <x:v>89</x:v>
      </x:c>
      <x:c r="O31" s="6">
        <x:v>93</x:v>
      </x:c>
      <x:c r="P31" s="6">
        <x:v>88</x:v>
      </x:c>
      <x:c r="Q31" s="6">
        <x:v>12</x:v>
      </x:c>
      <x:c r="R31" s="7" t="s">
        <x:v>217</x:v>
      </x:c>
      <x:c r="S31" s="7" t="s">
        <x:v>218</x:v>
      </x:c>
    </x:row>
    <x:row r="32" ht="38" customHeight="1">
      <x:c r="A32" s="6">
        <x:v>31</x:v>
      </x:c>
      <x:c r="B32" s="7" t="s">
        <x:v>26</x:v>
      </x:c>
      <x:c r="C32" s="7" t="s">
        <x:v>219</x:v>
      </x:c>
      <x:c r="D32" s="7" t="s">
        <x:v>221</x:v>
      </x:c>
      <x:c r="E32" s="7" t="s">
        <x:v>222</x:v>
      </x:c>
      <x:c r="F32" s="7" t="s">
        <x:v>220</x:v>
      </x:c>
      <x:c r="G32" s="6" t="s">
        <x:v>75</x:v>
      </x:c>
      <x:c r="H32" s="6">
        <x:v>90.92</x:v>
      </x:c>
      <x:c r="I32" s="6">
        <x:v>91.4</x:v>
      </x:c>
      <x:c r="J32" s="6">
        <x:v>90.45</x:v>
      </x:c>
      <x:c r="K32" s="6">
        <x:v>93</x:v>
      </x:c>
      <x:c r="L32" s="6">
        <x:v>91</x:v>
      </x:c>
      <x:c r="M32" s="6">
        <x:v>92</x:v>
      </x:c>
      <x:c r="N32" s="6">
        <x:v>90</x:v>
      </x:c>
      <x:c r="O32" s="6">
        <x:v>92</x:v>
      </x:c>
      <x:c r="P32" s="6">
        <x:v>88</x:v>
      </x:c>
      <x:c r="Q32" s="6">
        <x:v>13</x:v>
      </x:c>
      <x:c r="R32" s="7" t="s">
        <x:v>223</x:v>
      </x:c>
      <x:c r="S32" s="7" t="s">
        <x:v>224</x:v>
      </x:c>
    </x:row>
    <x:row r="33" ht="38" customHeight="1">
      <x:c r="A33" s="6">
        <x:v>32</x:v>
      </x:c>
      <x:c r="B33" s="7" t="s">
        <x:v>26</x:v>
      </x:c>
      <x:c r="C33" s="7" t="s">
        <x:v>225</x:v>
      </x:c>
      <x:c r="D33" s="7" t="s">
        <x:v>226</x:v>
      </x:c>
      <x:c r="E33" s="7" t="s">
        <x:v>227</x:v>
      </x:c>
      <x:c r="F33" s="7" t="s">
        <x:v>124</x:v>
      </x:c>
      <x:c r="G33" s="6">
        <x:v>31</x:v>
      </x:c>
      <x:c r="H33" s="6">
        <x:v>90.92</x:v>
      </x:c>
      <x:c r="I33" s="6">
        <x:v>91.25</x:v>
      </x:c>
      <x:c r="J33" s="6">
        <x:v>90.6</x:v>
      </x:c>
      <x:c r="K33" s="6">
        <x:v>93</x:v>
      </x:c>
      <x:c r="L33" s="6">
        <x:v>91</x:v>
      </x:c>
      <x:c r="M33" s="6">
        <x:v>92</x:v>
      </x:c>
      <x:c r="N33" s="6">
        <x:v>89</x:v>
      </x:c>
      <x:c r="O33" s="6">
        <x:v>92</x:v>
      </x:c>
      <x:c r="P33" s="6">
        <x:v>88</x:v>
      </x:c>
      <x:c r="Q33" s="6">
        <x:v>12</x:v>
      </x:c>
      <x:c r="R33" s="7" t="s">
        <x:v>228</x:v>
      </x:c>
      <x:c r="S33" s="7" t="s">
        <x:v>229</x:v>
      </x:c>
    </x:row>
    <x:row r="34" ht="38" customHeight="1">
      <x:c r="A34" s="6">
        <x:v>33</x:v>
      </x:c>
      <x:c r="B34" s="7" t="s">
        <x:v>26</x:v>
      </x:c>
      <x:c r="C34" s="7" t="s">
        <x:v>230</x:v>
      </x:c>
      <x:c r="D34" s="7" t="s">
        <x:v>232</x:v>
      </x:c>
      <x:c r="E34" s="7" t="s">
        <x:v>233</x:v>
      </x:c>
      <x:c r="F34" s="7" t="s">
        <x:v>231</x:v>
      </x:c>
      <x:c r="G34" s="6">
        <x:v>10</x:v>
      </x:c>
      <x:c r="H34" s="6">
        <x:v>90.85</x:v>
      </x:c>
      <x:c r="I34" s="6">
        <x:v>91</x:v>
      </x:c>
      <x:c r="J34" s="6">
        <x:v>90.7</x:v>
      </x:c>
      <x:c r="K34" s="6">
        <x:v>93</x:v>
      </x:c>
      <x:c r="L34" s="6">
        <x:v>91</x:v>
      </x:c>
      <x:c r="M34" s="6">
        <x:v>91</x:v>
      </x:c>
      <x:c r="N34" s="6">
        <x:v>89</x:v>
      </x:c>
      <x:c r="O34" s="6">
        <x:v>93</x:v>
      </x:c>
      <x:c r="P34" s="6">
        <x:v>88</x:v>
      </x:c>
      <x:c r="Q34" s="6">
        <x:v>12</x:v>
      </x:c>
      <x:c r="R34" s="7" t="s">
        <x:v>234</x:v>
      </x:c>
      <x:c r="S34" s="7" t="s">
        <x:v>235</x:v>
      </x:c>
    </x:row>
    <x:row r="35" ht="38" customHeight="1">
      <x:c r="A35" s="6">
        <x:v>34</x:v>
      </x:c>
      <x:c r="B35" s="7" t="s">
        <x:v>26</x:v>
      </x:c>
      <x:c r="C35" s="7" t="s">
        <x:v>236</x:v>
      </x:c>
      <x:c r="D35" s="7" t="s">
        <x:v>238</x:v>
      </x:c>
      <x:c r="E35" s="7" t="s">
        <x:v>239</x:v>
      </x:c>
      <x:c r="F35" s="7" t="s">
        <x:v>237</x:v>
      </x:c>
      <x:c r="G35" s="6">
        <x:v>31</x:v>
      </x:c>
      <x:c r="H35" s="6">
        <x:v>90.85</x:v>
      </x:c>
      <x:c r="I35" s="6">
        <x:v>91</x:v>
      </x:c>
      <x:c r="J35" s="6">
        <x:v>90.7</x:v>
      </x:c>
      <x:c r="K35" s="6">
        <x:v>93</x:v>
      </x:c>
      <x:c r="L35" s="6">
        <x:v>91</x:v>
      </x:c>
      <x:c r="M35" s="6">
        <x:v>91</x:v>
      </x:c>
      <x:c r="N35" s="6">
        <x:v>89</x:v>
      </x:c>
      <x:c r="O35" s="6">
        <x:v>93</x:v>
      </x:c>
      <x:c r="P35" s="6">
        <x:v>88</x:v>
      </x:c>
      <x:c r="Q35" s="6">
        <x:v>12</x:v>
      </x:c>
      <x:c r="R35" s="7" t="s">
        <x:v>240</x:v>
      </x:c>
      <x:c r="S35" s="7" t="s">
        <x:v>241</x:v>
      </x:c>
    </x:row>
    <x:row r="36" ht="38" customHeight="1">
      <x:c r="A36" s="6">
        <x:v>35</x:v>
      </x:c>
      <x:c r="B36" s="7" t="s">
        <x:v>26</x:v>
      </x:c>
      <x:c r="C36" s="7" t="s">
        <x:v>242</x:v>
      </x:c>
      <x:c r="D36" s="7" t="s">
        <x:v>244</x:v>
      </x:c>
      <x:c r="E36" s="7" t="s">
        <x:v>245</x:v>
      </x:c>
      <x:c r="F36" s="7" t="s">
        <x:v>243</x:v>
      </x:c>
      <x:c r="G36" s="6">
        <x:v>27</x:v>
      </x:c>
      <x:c r="H36" s="6">
        <x:v>90.35</x:v>
      </x:c>
      <x:c r="I36" s="6">
        <x:v>90.5</x:v>
      </x:c>
      <x:c r="J36" s="6">
        <x:v>90.2</x:v>
      </x:c>
      <x:c r="K36" s="6">
        <x:v>92</x:v>
      </x:c>
      <x:c r="L36" s="6">
        <x:v>90</x:v>
      </x:c>
      <x:c r="M36" s="6">
        <x:v>91</x:v>
      </x:c>
      <x:c r="N36" s="6">
        <x:v>89</x:v>
      </x:c>
      <x:c r="O36" s="6">
        <x:v>92</x:v>
      </x:c>
      <x:c r="P36" s="6">
        <x:v>88</x:v>
      </x:c>
      <x:c r="Q36" s="6">
        <x:v>12</x:v>
      </x:c>
      <x:c r="R36" s="7" t="s">
        <x:v>246</x:v>
      </x:c>
      <x:c r="S36" s="7" t="s">
        <x:v>247</x:v>
      </x:c>
    </x:row>
    <x:row r="37" ht="38" customHeight="1">
      <x:c r="A37" s="6">
        <x:v>36</x:v>
      </x:c>
      <x:c r="B37" s="7" t="s">
        <x:v>26</x:v>
      </x:c>
      <x:c r="C37" s="7" t="s">
        <x:v>248</x:v>
      </x:c>
      <x:c r="D37" s="7" t="s">
        <x:v>250</x:v>
      </x:c>
      <x:c r="E37" s="7" t="s">
        <x:v>251</x:v>
      </x:c>
      <x:c r="F37" s="7" t="s">
        <x:v>249</x:v>
      </x:c>
      <x:c r="G37" s="6">
        <x:v>43</x:v>
      </x:c>
      <x:c r="H37" s="6">
        <x:v>90.3</x:v>
      </x:c>
      <x:c r="I37" s="6">
        <x:v>90.7</x:v>
      </x:c>
      <x:c r="J37" s="6">
        <x:v>89.9</x:v>
      </x:c>
      <x:c r="K37" s="6">
        <x:v>93</x:v>
      </x:c>
      <x:c r="L37" s="6">
        <x:v>90</x:v>
      </x:c>
      <x:c r="M37" s="6">
        <x:v>91</x:v>
      </x:c>
      <x:c r="N37" s="6">
        <x:v>89</x:v>
      </x:c>
      <x:c r="O37" s="6">
        <x:v>92</x:v>
      </x:c>
      <x:c r="P37" s="6">
        <x:v>87</x:v>
      </x:c>
      <x:c r="Q37" s="6">
        <x:v>13</x:v>
      </x:c>
      <x:c r="R37" s="7" t="s">
        <x:v>252</x:v>
      </x:c>
      <x:c r="S37" s="7" t="s">
        <x:v>253</x:v>
      </x:c>
    </x:row>
    <x:row r="38" ht="38" customHeight="1">
      <x:c r="A38" s="6">
        <x:v>37</x:v>
      </x:c>
      <x:c r="B38" s="7" t="s">
        <x:v>26</x:v>
      </x:c>
      <x:c r="C38" s="7" t="s">
        <x:v>254</x:v>
      </x:c>
      <x:c r="D38" s="7" t="s">
        <x:v>256</x:v>
      </x:c>
      <x:c r="E38" s="7" t="s">
        <x:v>257</x:v>
      </x:c>
      <x:c r="F38" s="7" t="s">
        <x:v>255</x:v>
      </x:c>
      <x:c r="G38" s="6" t="s">
        <x:v>75</x:v>
      </x:c>
      <x:c r="H38" s="6">
        <x:v>90.3</x:v>
      </x:c>
      <x:c r="I38" s="6">
        <x:v>90.7</x:v>
      </x:c>
      <x:c r="J38" s="6">
        <x:v>89.9</x:v>
      </x:c>
      <x:c r="K38" s="6">
        <x:v>93</x:v>
      </x:c>
      <x:c r="L38" s="6">
        <x:v>90</x:v>
      </x:c>
      <x:c r="M38" s="6">
        <x:v>91</x:v>
      </x:c>
      <x:c r="N38" s="6">
        <x:v>89</x:v>
      </x:c>
      <x:c r="O38" s="6">
        <x:v>92</x:v>
      </x:c>
      <x:c r="P38" s="6">
        <x:v>87</x:v>
      </x:c>
      <x:c r="Q38" s="6">
        <x:v>13</x:v>
      </x:c>
      <x:c r="R38" s="7" t="s">
        <x:v>258</x:v>
      </x:c>
      <x:c r="S38" s="7" t="s">
        <x:v>259</x:v>
      </x:c>
    </x:row>
    <x:row r="39" ht="38" customHeight="1">
      <x:c r="A39" s="6">
        <x:v>38</x:v>
      </x:c>
      <x:c r="B39" s="7" t="s">
        <x:v>26</x:v>
      </x:c>
      <x:c r="C39" s="7" t="s">
        <x:v>260</x:v>
      </x:c>
      <x:c r="D39" s="7" t="s">
        <x:v>262</x:v>
      </x:c>
      <x:c r="E39" s="7" t="s">
        <x:v>263</x:v>
      </x:c>
      <x:c r="F39" s="7" t="s">
        <x:v>261</x:v>
      </x:c>
      <x:c r="G39" s="6">
        <x:v>20</x:v>
      </x:c>
      <x:c r="H39" s="6">
        <x:v>90.07</x:v>
      </x:c>
      <x:c r="I39" s="6">
        <x:v>90.4</x:v>
      </x:c>
      <x:c r="J39" s="6">
        <x:v>89.75</x:v>
      </x:c>
      <x:c r="K39" s="6">
        <x:v>92</x:v>
      </x:c>
      <x:c r="L39" s="6">
        <x:v>90</x:v>
      </x:c>
      <x:c r="M39" s="6">
        <x:v>91</x:v>
      </x:c>
      <x:c r="N39" s="6">
        <x:v>89</x:v>
      </x:c>
      <x:c r="O39" s="6">
        <x:v>91</x:v>
      </x:c>
      <x:c r="P39" s="6">
        <x:v>87</x:v>
      </x:c>
      <x:c r="Q39" s="6">
        <x:v>12</x:v>
      </x:c>
      <x:c r="R39" s="7" t="s">
        <x:v>264</x:v>
      </x:c>
      <x:c r="S39" s="7" t="s">
        <x:v>265</x:v>
      </x:c>
    </x:row>
    <x:row r="40" ht="38" customHeight="1">
      <x:c r="A40" s="6">
        <x:v>39</x:v>
      </x:c>
      <x:c r="B40" s="7" t="s">
        <x:v>26</x:v>
      </x:c>
      <x:c r="C40" s="7" t="s">
        <x:v>266</x:v>
      </x:c>
      <x:c r="D40" s="7" t="s">
        <x:v>268</x:v>
      </x:c>
      <x:c r="E40" s="7" t="s">
        <x:v>269</x:v>
      </x:c>
      <x:c r="F40" s="7" t="s">
        <x:v>267</x:v>
      </x:c>
      <x:c r="G40" s="6">
        <x:v>59</x:v>
      </x:c>
      <x:c r="H40" s="6">
        <x:v>90.07</x:v>
      </x:c>
      <x:c r="I40" s="6">
        <x:v>90.4</x:v>
      </x:c>
      <x:c r="J40" s="6">
        <x:v>89.75</x:v>
      </x:c>
      <x:c r="K40" s="6">
        <x:v>92</x:v>
      </x:c>
      <x:c r="L40" s="6">
        <x:v>90</x:v>
      </x:c>
      <x:c r="M40" s="6">
        <x:v>91</x:v>
      </x:c>
      <x:c r="N40" s="6">
        <x:v>89</x:v>
      </x:c>
      <x:c r="O40" s="6">
        <x:v>91</x:v>
      </x:c>
      <x:c r="P40" s="6">
        <x:v>87</x:v>
      </x:c>
      <x:c r="Q40" s="6">
        <x:v>12</x:v>
      </x:c>
      <x:c r="R40" s="7" t="s">
        <x:v>270</x:v>
      </x:c>
      <x:c r="S40" s="7" t="s">
        <x:v>271</x:v>
      </x:c>
    </x:row>
    <x:row r="41" ht="38" customHeight="1">
      <x:c r="A41" s="6">
        <x:v>40</x:v>
      </x:c>
      <x:c r="B41" s="7" t="s">
        <x:v>26</x:v>
      </x:c>
      <x:c r="C41" s="7" t="s">
        <x:v>272</x:v>
      </x:c>
      <x:c r="D41" s="7" t="s">
        <x:v>275</x:v>
      </x:c>
      <x:c r="E41" s="7" t="s">
        <x:v>276</x:v>
      </x:c>
      <x:c r="F41" s="7" t="s">
        <x:v>274</x:v>
      </x:c>
      <x:c r="G41" s="6">
        <x:v>41</x:v>
      </x:c>
      <x:c r="H41" s="6">
        <x:v>90.07</x:v>
      </x:c>
      <x:c r="I41" s="6">
        <x:v>90.4</x:v>
      </x:c>
      <x:c r="J41" s="6">
        <x:v>89.75</x:v>
      </x:c>
      <x:c r="K41" s="6">
        <x:v>92</x:v>
      </x:c>
      <x:c r="L41" s="6">
        <x:v>90</x:v>
      </x:c>
      <x:c r="M41" s="6">
        <x:v>91</x:v>
      </x:c>
      <x:c r="N41" s="6">
        <x:v>89</x:v>
      </x:c>
      <x:c r="O41" s="6">
        <x:v>91</x:v>
      </x:c>
      <x:c r="P41" s="6">
        <x:v>87</x:v>
      </x:c>
      <x:c r="Q41" s="6">
        <x:v>12</x:v>
      </x:c>
      <x:c r="R41" s="7" t="s">
        <x:v>277</x:v>
      </x:c>
      <x:c r="S41" s="7" t="s">
        <x:v>278</x:v>
      </x:c>
    </x:row>
    <x:row r="42" ht="38" customHeight="1">
      <x:c r="A42" s="6">
        <x:v>41</x:v>
      </x:c>
      <x:c r="B42" s="7" t="s">
        <x:v>26</x:v>
      </x:c>
      <x:c r="C42" s="7" t="s">
        <x:v>279</x:v>
      </x:c>
      <x:c r="D42" s="7" t="s">
        <x:v>281</x:v>
      </x:c>
      <x:c r="E42" s="7" t="s">
        <x:v>282</x:v>
      </x:c>
      <x:c r="F42" s="7" t="s">
        <x:v>280</x:v>
      </x:c>
      <x:c r="G42" s="6" t="s">
        <x:v>75</x:v>
      </x:c>
      <x:c r="H42" s="6">
        <x:v>90</x:v>
      </x:c>
      <x:c r="I42" s="6">
        <x:v>90.4</x:v>
      </x:c>
      <x:c r="J42" s="6">
        <x:v>89.6</x:v>
      </x:c>
      <x:c r="K42" s="6">
        <x:v>92</x:v>
      </x:c>
      <x:c r="L42" s="6">
        <x:v>90</x:v>
      </x:c>
      <x:c r="M42" s="6">
        <x:v>91</x:v>
      </x:c>
      <x:c r="N42" s="6">
        <x:v>89</x:v>
      </x:c>
      <x:c r="O42" s="6">
        <x:v>91</x:v>
      </x:c>
      <x:c r="P42" s="6">
        <x:v>87</x:v>
      </x:c>
      <x:c r="Q42" s="6">
        <x:v>13</x:v>
      </x:c>
      <x:c r="R42" s="7" t="s">
        <x:v>283</x:v>
      </x:c>
      <x:c r="S42" s="7" t="s">
        <x:v>284</x:v>
      </x:c>
    </x:row>
    <x:row r="43" ht="38" customHeight="1">
      <x:c r="A43" s="6">
        <x:v>42</x:v>
      </x:c>
      <x:c r="B43" s="7" t="s">
        <x:v>26</x:v>
      </x:c>
      <x:c r="C43" s="7" t="s">
        <x:v>285</x:v>
      </x:c>
      <x:c r="D43" s="7" t="s">
        <x:v>288</x:v>
      </x:c>
      <x:c r="E43" s="7" t="s">
        <x:v>289</x:v>
      </x:c>
      <x:c r="F43" s="7" t="s">
        <x:v>287</x:v>
      </x:c>
      <x:c r="G43" s="6">
        <x:v>67</x:v>
      </x:c>
      <x:c r="H43" s="6">
        <x:v>90</x:v>
      </x:c>
      <x:c r="I43" s="6">
        <x:v>90.4</x:v>
      </x:c>
      <x:c r="J43" s="6">
        <x:v>89.6</x:v>
      </x:c>
      <x:c r="K43" s="6">
        <x:v>92</x:v>
      </x:c>
      <x:c r="L43" s="6">
        <x:v>90</x:v>
      </x:c>
      <x:c r="M43" s="6">
        <x:v>91</x:v>
      </x:c>
      <x:c r="N43" s="6">
        <x:v>89</x:v>
      </x:c>
      <x:c r="O43" s="6">
        <x:v>91</x:v>
      </x:c>
      <x:c r="P43" s="6">
        <x:v>87</x:v>
      </x:c>
      <x:c r="Q43" s="6">
        <x:v>13</x:v>
      </x:c>
      <x:c r="R43" s="7" t="s">
        <x:v>290</x:v>
      </x:c>
      <x:c r="S43" s="7" t="s">
        <x:v>291</x:v>
      </x:c>
    </x:row>
    <x:row r="44" ht="38" customHeight="1">
      <x:c r="A44" s="6">
        <x:v>43</x:v>
      </x:c>
      <x:c r="B44" s="7" t="s">
        <x:v>26</x:v>
      </x:c>
      <x:c r="C44" s="7" t="s">
        <x:v>292</x:v>
      </x:c>
      <x:c r="D44" s="7" t="s">
        <x:v>294</x:v>
      </x:c>
      <x:c r="E44" s="7" t="s">
        <x:v>295</x:v>
      </x:c>
      <x:c r="F44" s="7" t="s">
        <x:v>293</x:v>
      </x:c>
      <x:c r="G44" s="6">
        <x:v>22</x:v>
      </x:c>
      <x:c r="H44" s="6">
        <x:v>89.92</x:v>
      </x:c>
      <x:c r="I44" s="6">
        <x:v>90.25</x:v>
      </x:c>
      <x:c r="J44" s="6">
        <x:v>89.6</x:v>
      </x:c>
      <x:c r="K44" s="6">
        <x:v>92</x:v>
      </x:c>
      <x:c r="L44" s="6">
        <x:v>90</x:v>
      </x:c>
      <x:c r="M44" s="6">
        <x:v>91</x:v>
      </x:c>
      <x:c r="N44" s="6">
        <x:v>88</x:v>
      </x:c>
      <x:c r="O44" s="6">
        <x:v>91</x:v>
      </x:c>
      <x:c r="P44" s="6">
        <x:v>87</x:v>
      </x:c>
      <x:c r="Q44" s="6">
        <x:v>13</x:v>
      </x:c>
      <x:c r="R44" s="7" t="s">
        <x:v>296</x:v>
      </x:c>
      <x:c r="S44" s="7" t="s">
        <x:v>297</x:v>
      </x:c>
    </x:row>
    <x:row r="45" ht="38" customHeight="1">
      <x:c r="A45" s="6">
        <x:v>44</x:v>
      </x:c>
      <x:c r="B45" s="7" t="s">
        <x:v>26</x:v>
      </x:c>
      <x:c r="C45" s="7" t="s">
        <x:v>298</x:v>
      </x:c>
      <x:c r="D45" s="7" t="s">
        <x:v>300</x:v>
      </x:c>
      <x:c r="E45" s="7" t="s">
        <x:v>301</x:v>
      </x:c>
      <x:c r="F45" s="7" t="s">
        <x:v>299</x:v>
      </x:c>
      <x:c r="G45" s="6" t="s">
        <x:v>75</x:v>
      </x:c>
      <x:c r="H45" s="6">
        <x:v>89.78</x:v>
      </x:c>
      <x:c r="I45" s="6">
        <x:v>89.95</x:v>
      </x:c>
      <x:c r="J45" s="6">
        <x:v>89.6</x:v>
      </x:c>
      <x:c r="K45" s="6">
        <x:v>91</x:v>
      </x:c>
      <x:c r="L45" s="6">
        <x:v>90</x:v>
      </x:c>
      <x:c r="M45" s="6">
        <x:v>91</x:v>
      </x:c>
      <x:c r="N45" s="6">
        <x:v>88</x:v>
      </x:c>
      <x:c r="O45" s="6">
        <x:v>91</x:v>
      </x:c>
      <x:c r="P45" s="6">
        <x:v>87</x:v>
      </x:c>
      <x:c r="Q45" s="6">
        <x:v>13</x:v>
      </x:c>
      <x:c r="R45" s="7" t="s">
        <x:v>302</x:v>
      </x:c>
      <x:c r="S45" s="7" t="s">
        <x:v>303</x:v>
      </x:c>
    </x:row>
    <x:row r="46" ht="38" customHeight="1">
      <x:c r="A46" s="6">
        <x:v>45</x:v>
      </x:c>
      <x:c r="B46" s="7" t="s">
        <x:v>26</x:v>
      </x:c>
      <x:c r="C46" s="7" t="s">
        <x:v>304</x:v>
      </x:c>
      <x:c r="D46" s="7" t="s">
        <x:v>306</x:v>
      </x:c>
      <x:c r="E46" s="7" t="s">
        <x:v>307</x:v>
      </x:c>
      <x:c r="F46" s="7" t="s">
        <x:v>305</x:v>
      </x:c>
      <x:c r="G46" s="6" t="s">
        <x:v>75</x:v>
      </x:c>
      <x:c r="H46" s="6">
        <x:v>89.55</x:v>
      </x:c>
      <x:c r="I46" s="6">
        <x:v>89.7</x:v>
      </x:c>
      <x:c r="J46" s="6">
        <x:v>89.4</x:v>
      </x:c>
      <x:c r="K46" s="6">
        <x:v>91</x:v>
      </x:c>
      <x:c r="L46" s="6">
        <x:v>90</x:v>
      </x:c>
      <x:c r="M46" s="6">
        <x:v>90</x:v>
      </x:c>
      <x:c r="N46" s="6">
        <x:v>88</x:v>
      </x:c>
      <x:c r="O46" s="6">
        <x:v>91</x:v>
      </x:c>
      <x:c r="P46" s="6">
        <x:v>87</x:v>
      </x:c>
      <x:c r="Q46" s="6">
        <x:v>13</x:v>
      </x:c>
      <x:c r="R46" s="7" t="s">
        <x:v>308</x:v>
      </x:c>
      <x:c r="S46" s="7" t="s">
        <x:v>309</x:v>
      </x:c>
    </x:row>
    <x:row r="47" ht="38" customHeight="1">
      <x:c r="A47" s="6">
        <x:v>46</x:v>
      </x:c>
      <x:c r="B47" s="7" t="s">
        <x:v>26</x:v>
      </x:c>
      <x:c r="C47" s="7" t="s">
        <x:v>310</x:v>
      </x:c>
      <x:c r="D47" s="7" t="s">
        <x:v>313</x:v>
      </x:c>
      <x:c r="E47" s="7" t="s">
        <x:v>314</x:v>
      </x:c>
      <x:c r="F47" s="7" t="s">
        <x:v>312</x:v>
      </x:c>
      <x:c r="G47" s="6" t="s">
        <x:v>75</x:v>
      </x:c>
      <x:c r="H47" s="6">
        <x:v>89.55</x:v>
      </x:c>
      <x:c r="I47" s="6">
        <x:v>89.7</x:v>
      </x:c>
      <x:c r="J47" s="6">
        <x:v>89.4</x:v>
      </x:c>
      <x:c r="K47" s="6">
        <x:v>91</x:v>
      </x:c>
      <x:c r="L47" s="6">
        <x:v>90</x:v>
      </x:c>
      <x:c r="M47" s="6">
        <x:v>90</x:v>
      </x:c>
      <x:c r="N47" s="6">
        <x:v>88</x:v>
      </x:c>
      <x:c r="O47" s="6">
        <x:v>91</x:v>
      </x:c>
      <x:c r="P47" s="6">
        <x:v>87</x:v>
      </x:c>
      <x:c r="Q47" s="6">
        <x:v>13</x:v>
      </x:c>
      <x:c r="R47" s="7" t="s">
        <x:v>315</x:v>
      </x:c>
      <x:c r="S47" s="7" t="s">
        <x:v>316</x:v>
      </x:c>
    </x:row>
    <x:row r="48" ht="38" customHeight="1">
      <x:c r="A48" s="6">
        <x:v>47</x:v>
      </x:c>
      <x:c r="B48" s="7" t="s">
        <x:v>26</x:v>
      </x:c>
      <x:c r="C48" s="7" t="s">
        <x:v>317</x:v>
      </x:c>
      <x:c r="D48" s="7" t="s">
        <x:v>319</x:v>
      </x:c>
      <x:c r="E48" s="7" t="s">
        <x:v>320</x:v>
      </x:c>
      <x:c r="F48" s="7" t="s">
        <x:v>318</x:v>
      </x:c>
      <x:c r="G48" s="6">
        <x:v>34</x:v>
      </x:c>
      <x:c r="H48" s="6">
        <x:v>89.3</x:v>
      </x:c>
      <x:c r="I48" s="6">
        <x:v>89.7</x:v>
      </x:c>
      <x:c r="J48" s="6">
        <x:v>88.9</x:v>
      </x:c>
      <x:c r="K48" s="6">
        <x:v>92</x:v>
      </x:c>
      <x:c r="L48" s="6">
        <x:v>89</x:v>
      </x:c>
      <x:c r="M48" s="6">
        <x:v>90</x:v>
      </x:c>
      <x:c r="N48" s="6">
        <x:v>88</x:v>
      </x:c>
      <x:c r="O48" s="6">
        <x:v>91</x:v>
      </x:c>
      <x:c r="P48" s="6">
        <x:v>86</x:v>
      </x:c>
      <x:c r="Q48" s="6">
        <x:v>14</x:v>
      </x:c>
      <x:c r="R48" s="7" t="s">
        <x:v>321</x:v>
      </x:c>
      <x:c r="S48" s="7" t="s">
        <x:v>322</x:v>
      </x:c>
    </x:row>
    <x:row r="49" ht="38" customHeight="1">
      <x:c r="A49" s="6">
        <x:v>48</x:v>
      </x:c>
      <x:c r="B49" s="7" t="s">
        <x:v>26</x:v>
      </x:c>
      <x:c r="C49" s="7" t="s">
        <x:v>323</x:v>
      </x:c>
      <x:c r="D49" s="7" t="s">
        <x:v>325</x:v>
      </x:c>
      <x:c r="E49" s="7" t="s">
        <x:v>326</x:v>
      </x:c>
      <x:c r="F49" s="7" t="s">
        <x:v>324</x:v>
      </x:c>
      <x:c r="G49" s="6" t="s">
        <x:v>75</x:v>
      </x:c>
      <x:c r="H49" s="6">
        <x:v>89.17</x:v>
      </x:c>
      <x:c r="I49" s="6">
        <x:v>89.7</x:v>
      </x:c>
      <x:c r="J49" s="6">
        <x:v>88.65</x:v>
      </x:c>
      <x:c r="K49" s="6">
        <x:v>91</x:v>
      </x:c>
      <x:c r="L49" s="6">
        <x:v>90</x:v>
      </x:c>
      <x:c r="M49" s="6">
        <x:v>90</x:v>
      </x:c>
      <x:c r="N49" s="6">
        <x:v>88</x:v>
      </x:c>
      <x:c r="O49" s="6">
        <x:v>91</x:v>
      </x:c>
      <x:c r="P49" s="6">
        <x:v>87</x:v>
      </x:c>
      <x:c r="Q49" s="6">
        <x:v>18</x:v>
      </x:c>
      <x:c r="R49" s="7" t="s">
        <x:v>327</x:v>
      </x:c>
      <x:c r="S49" s="7" t="s">
        <x:v>328</x:v>
      </x:c>
    </x:row>
    <x:row r="50" ht="38" customHeight="1">
      <x:c r="A50" s="6">
        <x:v>49</x:v>
      </x:c>
      <x:c r="B50" s="7" t="s">
        <x:v>26</x:v>
      </x:c>
      <x:c r="C50" s="7" t="s">
        <x:v>329</x:v>
      </x:c>
      <x:c r="D50" s="7" t="s">
        <x:v>331</x:v>
      </x:c>
      <x:c r="E50" s="7" t="s">
        <x:v>332</x:v>
      </x:c>
      <x:c r="F50" s="7" t="s">
        <x:v>330</x:v>
      </x:c>
      <x:c r="G50" s="6">
        <x:v>24</x:v>
      </x:c>
      <x:c r="H50" s="6">
        <x:v>89</x:v>
      </x:c>
      <x:c r="I50" s="6">
        <x:v>89.4</x:v>
      </x:c>
      <x:c r="J50" s="6">
        <x:v>88.6</x:v>
      </x:c>
      <x:c r="K50" s="6">
        <x:v>91</x:v>
      </x:c>
      <x:c r="L50" s="6">
        <x:v>89</x:v>
      </x:c>
      <x:c r="M50" s="6">
        <x:v>90</x:v>
      </x:c>
      <x:c r="N50" s="6">
        <x:v>88</x:v>
      </x:c>
      <x:c r="O50" s="6">
        <x:v>90</x:v>
      </x:c>
      <x:c r="P50" s="6">
        <x:v>86</x:v>
      </x:c>
      <x:c r="Q50" s="6">
        <x:v>14</x:v>
      </x:c>
      <x:c r="R50" s="7" t="s">
        <x:v>333</x:v>
      </x:c>
      <x:c r="S50" s="7" t="s">
        <x:v>334</x:v>
      </x:c>
    </x:row>
    <x:row r="51" ht="38" customHeight="1">
      <x:c r="A51" s="6">
        <x:v>50</x:v>
      </x:c>
      <x:c r="B51" s="7" t="s">
        <x:v>26</x:v>
      </x:c>
      <x:c r="C51" s="7" t="s">
        <x:v>335</x:v>
      </x:c>
      <x:c r="D51" s="7" t="s">
        <x:v>337</x:v>
      </x:c>
      <x:c r="E51" s="7" t="s">
        <x:v>338</x:v>
      </x:c>
      <x:c r="F51" s="7" t="s">
        <x:v>336</x:v>
      </x:c>
      <x:c r="G51" s="6" t="s">
        <x:v>75</x:v>
      </x:c>
      <x:c r="H51" s="6">
        <x:v>89</x:v>
      </x:c>
      <x:c r="I51" s="6">
        <x:v>89.4</x:v>
      </x:c>
      <x:c r="J51" s="6">
        <x:v>88.6</x:v>
      </x:c>
      <x:c r="K51" s="6">
        <x:v>91</x:v>
      </x:c>
      <x:c r="L51" s="6">
        <x:v>89</x:v>
      </x:c>
      <x:c r="M51" s="6">
        <x:v>90</x:v>
      </x:c>
      <x:c r="N51" s="6">
        <x:v>88</x:v>
      </x:c>
      <x:c r="O51" s="6">
        <x:v>90</x:v>
      </x:c>
      <x:c r="P51" s="6">
        <x:v>86</x:v>
      </x:c>
      <x:c r="Q51" s="6">
        <x:v>14</x:v>
      </x:c>
      <x:c r="R51" s="7" t="s">
        <x:v>339</x:v>
      </x:c>
      <x:c r="S51" s="7" t="s">
        <x:v>340</x:v>
      </x:c>
    </x:row>
  </x:sheetData>
  <x:pageMargins left="0.7" right="0.7" top="0.75" bottom="0.75" header="0.3" footer="0.3"/>
  <x:tableParts count="1">
    <x:tablePart xmlns:r="http://schemas.openxmlformats.org/officeDocument/2006/relationships" r:id="Ra0aa3ce92c9344ec"/>
  </x:tableParts>
</x:worksheet>
</file>

<file path=xl/worksheets/sheet9.xml><?xml version="1.0" encoding="utf-8"?>
<x:worksheet xmlns:x="http://schemas.openxmlformats.org/spreadsheetml/2006/main">
  <x:sheetFormatPr defaultColWidth="9" defaultRowHeight="13.5"/>
  <x:cols>
    <x:col min="1" max="1" width="8" customWidth="1"/>
    <x:col min="2" max="3" width="12" customWidth="1"/>
    <x:col min="4" max="4" width="48" customWidth="1"/>
    <x:col min="5" max="5" width="34" customWidth="1"/>
    <x:col min="6" max="6" width="26" customWidth="1"/>
    <x:col min="7" max="17" width="8" customWidth="1"/>
    <x:col min="18" max="18" width="30" customWidth="1"/>
    <x:col min="19" max="19" width="48" customWidth="1"/>
  </x:cols>
  <x:sheetData>
    <x:row r="1" ht="28" customHeight="1">
      <x:c r="A1" s="5" t="str">
        <x:v>Rank</x:v>
      </x:c>
      <x:c r="B1" s="5" t="str">
        <x:v>Month</x:v>
      </x:c>
      <x:c r="C1" s="5" t="str">
        <x:v>arXiv</x:v>
      </x:c>
      <x:c r="D1" s="5" t="str">
        <x:v>Title</x:v>
      </x:c>
      <x:c r="E1" s="5" t="str">
        <x:v>Authors</x:v>
      </x:c>
      <x:c r="F1" s="5" t="str">
        <x:v>Theme</x:v>
      </x:c>
      <x:c r="G1" s="5" t="str">
        <x:v>Pages</x:v>
      </x:c>
      <x:c r="H1" s="5" t="str">
        <x:v>Final_S_eq</x:v>
      </x:c>
      <x:c r="I1" s="5" t="str">
        <x:v>V</x:v>
      </x:c>
      <x:c r="J1" s="5" t="str">
        <x:v>S_H</x:v>
      </x:c>
      <x:c r="K1" s="5" t="str">
        <x:v>I</x:v>
      </x:c>
      <x:c r="L1" s="5" t="str">
        <x:v>O</x:v>
      </x:c>
      <x:c r="M1" s="5" t="str">
        <x:v>T</x:v>
      </x:c>
      <x:c r="N1" s="5" t="str">
        <x:v>B</x:v>
      </x:c>
      <x:c r="O1" s="5" t="str">
        <x:v>H</x:v>
      </x:c>
      <x:c r="P1" s="5" t="str">
        <x:v>R</x:v>
      </x:c>
      <x:c r="Q1" s="5" t="str">
        <x:v>AI_pct</x:v>
      </x:c>
      <x:c r="R1" s="5" t="str">
        <x:v>SourceURL</x:v>
      </x:c>
      <x:c r="S1" s="5" t="str">
        <x:v>综合判断</x:v>
      </x:c>
    </x:row>
    <x:row r="2" ht="38" customHeight="1">
      <x:c r="A2" s="6" t="n">
        <x:v>1</x:v>
      </x:c>
      <x:c r="B2" s="7" t="str">
        <x:v>2026-07</x:v>
      </x:c>
      <x:c r="C2" s="7" t="str">
        <x:v>2607.07134</x:v>
      </x:c>
      <x:c r="D2" s="7" t="str">
        <x:v>Naked Singularities beyond Spherical Symmetry: Singular Inner Cauchy Horizons for the Einstein-Scalar Field System</x:v>
      </x:c>
      <x:c r="E2" s="7" t="str">
        <x:v>Xinliang An; Shengrong Wu</x:v>
      </x:c>
      <x:c r="F2" s="7" t="str">
        <x:v>Einstein equations / singularities</x:v>
      </x:c>
      <x:c r="G2" s="6" t="n">
        <x:v>116</x:v>
      </x:c>
      <x:c r="H2" s="28" t="n">
        <x:v>94.35</x:v>
      </x:c>
      <x:c r="I2" s="28" t="n">
        <x:v>94.7</x:v>
      </x:c>
      <x:c r="J2" s="28" t="n">
        <x:v>94</x:v>
      </x:c>
      <x:c r="K2" s="6" t="n">
        <x:v>97</x:v>
      </x:c>
      <x:c r="L2" s="6" t="n">
        <x:v>94</x:v>
      </x:c>
      <x:c r="M2" s="6" t="n">
        <x:v>97</x:v>
      </x:c>
      <x:c r="N2" s="6" t="n">
        <x:v>93</x:v>
      </x:c>
      <x:c r="O2" s="6" t="n">
        <x:v>97</x:v>
      </x:c>
      <x:c r="P2" s="6" t="n">
        <x:v>86</x:v>
      </x:c>
      <x:c r="Q2" s="6" t="n">
        <x:v>8</x:v>
      </x:c>
      <x:c r="R2" s="7" t="str">
        <x:v>https://arxiv.org/abs/2607.07134</x:v>
      </x:c>
      <x:c r="S2" s="7" t="str">
        <x:v>Major GR-PDE construction beyond spherical symmetry; strong geometric analysis relevance.</x:v>
      </x:c>
    </x:row>
    <x:row r="3" ht="38" customHeight="1">
      <x:c r="A3" s="6" t="n">
        <x:v>2</x:v>
      </x:c>
      <x:c r="B3" s="7" t="str">
        <x:v>2026-07</x:v>
      </x:c>
      <x:c r="C3" s="7" t="str">
        <x:v>2607.13356</x:v>
      </x:c>
      <x:c r="D3" s="7" t="str">
        <x:v>Analysis of singularities of area-minimizing currents, Part III: branch points of planar frequency != 2, higher order asymptotics, and the local topology</x:v>
      </x:c>
      <x:c r="E3" s="7" t="str">
        <x:v>Brian Krummel; Neshan Wickramasekera</x:v>
      </x:c>
      <x:c r="F3" s="7" t="str">
        <x:v>minimal currents / singularity theory</x:v>
      </x:c>
      <x:c r="G3" s="6" t="n">
        <x:v>156</x:v>
      </x:c>
      <x:c r="H3" s="28" t="n">
        <x:v>94.35</x:v>
      </x:c>
      <x:c r="I3" s="28" t="n">
        <x:v>94.7</x:v>
      </x:c>
      <x:c r="J3" s="28" t="n">
        <x:v>94</x:v>
      </x:c>
      <x:c r="K3" s="6" t="n">
        <x:v>97</x:v>
      </x:c>
      <x:c r="L3" s="6" t="n">
        <x:v>94</x:v>
      </x:c>
      <x:c r="M3" s="6" t="n">
        <x:v>97</x:v>
      </x:c>
      <x:c r="N3" s="6" t="n">
        <x:v>93</x:v>
      </x:c>
      <x:c r="O3" s="6" t="n">
        <x:v>97</x:v>
      </x:c>
      <x:c r="P3" s="6" t="n">
        <x:v>86</x:v>
      </x:c>
      <x:c r="Q3" s="6" t="n">
        <x:v>8</x:v>
      </x:c>
      <x:c r="R3" s="7" t="str">
        <x:v>https://arxiv.org/abs/2607.13356</x:v>
      </x:c>
      <x:c r="S3" s="7" t="str">
        <x:v>Large-scale regularity/singularity analysis for area-minimizing currents; exceptional human proof complexity.</x:v>
      </x:c>
    </x:row>
    <x:row r="4" ht="38" customHeight="1">
      <x:c r="A4" s="6" t="n">
        <x:v>3</x:v>
      </x:c>
      <x:c r="B4" s="7" t="str">
        <x:v>2026-07</x:v>
      </x:c>
      <x:c r="C4" s="7" t="str">
        <x:v>2607.15522</x:v>
      </x:c>
      <x:c r="D4" s="7" t="str">
        <x:v>Nonnegative Bakry--Émery Curvature on Bounded-Degree Graphs Implies Volume Doubling and Poincaré Inequalities</x:v>
      </x:c>
      <x:c r="E4" s="7" t="str">
        <x:v>Qi Guo; Xueping Huang; Yi C. Huang</x:v>
      </x:c>
      <x:c r="F4" s="7" t="str">
        <x:v>discrete Bakry-Émery curvature / graph heat flow</x:v>
      </x:c>
      <x:c r="G4" s="6" t="n">
        <x:v>34</x:v>
      </x:c>
      <x:c r="H4" s="28" t="n">
        <x:v>93.65</x:v>
      </x:c>
      <x:c r="I4" s="28" t="n">
        <x:v>94.3</x:v>
      </x:c>
      <x:c r="J4" s="28" t="n">
        <x:v>93</x:v>
      </x:c>
      <x:c r="K4" s="6" t="n">
        <x:v>96</x:v>
      </x:c>
      <x:c r="L4" s="6" t="n">
        <x:v>94</x:v>
      </x:c>
      <x:c r="M4" s="6" t="n">
        <x:v>95</x:v>
      </x:c>
      <x:c r="N4" s="6" t="n">
        <x:v>95</x:v>
      </x:c>
      <x:c r="O4" s="6" t="n">
        <x:v>95</x:v>
      </x:c>
      <x:c r="P4" s="6" t="n">
        <x:v>87</x:v>
      </x:c>
      <x:c r="Q4" s="6" t="n">
        <x:v>9</x:v>
      </x:c>
      <x:c r="R4" s="7" t="str">
        <x:v>https://arxiv.org/abs/2607.15522</x:v>
      </x:c>
      <x:c r="S4" s="7" t="str">
        <x:v>Bounded-degree CD(0,∞) graphs are uniformly volume doubling and satisfy a scale-invariant L2 Poincaré inequality; settles the Cushing-Liu-Peyerimhoff polynomial-growth conjecture in a stronger form.</x:v>
      </x:c>
    </x:row>
    <x:row r="5" ht="38" customHeight="1">
      <x:c r="A5" s="6" t="n">
        <x:v>4</x:v>
      </x:c>
      <x:c r="B5" s="7" t="str">
        <x:v>2026-08</x:v>
      </x:c>
      <x:c r="C5" s="7" t="str">
        <x:v>2608.07240</x:v>
      </x:c>
      <x:c r="D5" s="7" t="str">
        <x:v>Critical Geller Equations on Complex Hyperbolic Space: Nondegeneracy, Geodesic Symmetry, and Global Compactness</x:v>
      </x:c>
      <x:c r="E5" s="7" t="str">
        <x:v>Jungang Li</x:v>
      </x:c>
      <x:c r="F5" s="7" t="str">
        <x:v>critical Geller equations / complex hyperbolic geometry</x:v>
      </x:c>
      <x:c r="G5" s="6" t="n">
        <x:v>59</x:v>
      </x:c>
      <x:c r="H5" s="28" t="n">
        <x:v>93.45</x:v>
      </x:c>
      <x:c r="I5" s="28" t="n">
        <x:v>94</x:v>
      </x:c>
      <x:c r="J5" s="28" t="n">
        <x:v>92.9</x:v>
      </x:c>
      <x:c r="K5" s="6" t="n">
        <x:v>95</x:v>
      </x:c>
      <x:c r="L5" s="6" t="n">
        <x:v>94</x:v>
      </x:c>
      <x:c r="M5" s="6" t="n">
        <x:v>96</x:v>
      </x:c>
      <x:c r="N5" s="6" t="n">
        <x:v>94</x:v>
      </x:c>
      <x:c r="O5" s="6" t="n">
        <x:v>95</x:v>
      </x:c>
      <x:c r="P5" s="6" t="n">
        <x:v>86</x:v>
      </x:c>
      <x:c r="Q5" s="6" t="n">
        <x:v>10</x:v>
      </x:c>
      <x:c r="R5" s="7" t="str">
        <x:v>https://arxiv.org/abs/2608.07240</x:v>
      </x:c>
      <x:c r="S5" s="7" t="str">
        <x:v>Builds a broad critical Geller/Brezis-Nirenberg theory: sharp constants and classification, invariant-sector profiles and stability, nondegeneracy, compactness, symmetry, asymptotics, and perturbative existence.</x:v>
      </x:c>
    </x:row>
    <x:row r="6" ht="38" customHeight="1">
      <x:c r="A6" s="6" t="n">
        <x:v>5</x:v>
      </x:c>
      <x:c r="B6" s="7" t="str">
        <x:v>2026-07</x:v>
      </x:c>
      <x:c r="C6" s="7" t="str">
        <x:v>2607.03152</x:v>
      </x:c>
      <x:c r="D6" s="7" t="str">
        <x:v>Finite-Time Singularities of Lagrangian Mean Curvature Flow with Quantitatively Precise Dynamics</x:v>
      </x:c>
      <x:c r="E6" s="7" t="str">
        <x:v>Maxwell Stolarski; Wei-Bo Su</x:v>
      </x:c>
      <x:c r="F6" s="7" t="str">
        <x:v>Lagrangian mean curvature flow</x:v>
      </x:c>
      <x:c r="G6" s="6" t="n">
        <x:v>110</x:v>
      </x:c>
      <x:c r="H6" s="28" t="n">
        <x:v>93.325</x:v>
      </x:c>
      <x:c r="I6" s="28" t="n">
        <x:v>93.5</x:v>
      </x:c>
      <x:c r="J6" s="28" t="n">
        <x:v>93.15</x:v>
      </x:c>
      <x:c r="K6" s="6" t="n">
        <x:v>95</x:v>
      </x:c>
      <x:c r="L6" s="6" t="n">
        <x:v>93</x:v>
      </x:c>
      <x:c r="M6" s="6" t="n">
        <x:v>96</x:v>
      </x:c>
      <x:c r="N6" s="6" t="n">
        <x:v>92</x:v>
      </x:c>
      <x:c r="O6" s="6" t="n">
        <x:v>96</x:v>
      </x:c>
      <x:c r="P6" s="6" t="n">
        <x:v>86</x:v>
      </x:c>
      <x:c r="Q6" s="6" t="n">
        <x:v>9</x:v>
      </x:c>
      <x:c r="R6" s="7" t="str">
        <x:v>https://arxiv.org/abs/2607.03152</x:v>
      </x:c>
      <x:c r="S6" s="7" t="str">
        <x:v>Quantitative singularity dynamics for Lagrangian MCF; technically deep and reusable.</x:v>
      </x:c>
    </x:row>
    <x:row r="7" ht="38" customHeight="1">
      <x:c r="A7" s="6" t="n">
        <x:v>6</x:v>
      </x:c>
      <x:c r="B7" s="7" t="str">
        <x:v>2026-07</x:v>
      </x:c>
      <x:c r="C7" s="7" t="str">
        <x:v>2607.03383</x:v>
      </x:c>
      <x:c r="D7" s="7" t="str">
        <x:v>Unique asymptotics of SO(k)xSO(n-k+1) symmetric ancient ovals of Ricci flow</x:v>
      </x:c>
      <x:c r="E7" s="7" t="str">
        <x:v>Panagiota Daskalopoulos; Wenkui Du; Natasa Sesum; Ziyi Zhao</x:v>
      </x:c>
      <x:c r="F7" s="7" t="str">
        <x:v>Ricci flow / ancient solutions</x:v>
      </x:c>
      <x:c r="G7" s="6" t="n">
        <x:v>78</x:v>
      </x:c>
      <x:c r="H7" s="28" t="n">
        <x:v>93.325</x:v>
      </x:c>
      <x:c r="I7" s="28" t="n">
        <x:v>93.5</x:v>
      </x:c>
      <x:c r="J7" s="28" t="n">
        <x:v>93.15</x:v>
      </x:c>
      <x:c r="K7" s="6" t="n">
        <x:v>95</x:v>
      </x:c>
      <x:c r="L7" s="6" t="n">
        <x:v>93</x:v>
      </x:c>
      <x:c r="M7" s="6" t="n">
        <x:v>96</x:v>
      </x:c>
      <x:c r="N7" s="6" t="n">
        <x:v>92</x:v>
      </x:c>
      <x:c r="O7" s="6" t="n">
        <x:v>96</x:v>
      </x:c>
      <x:c r="P7" s="6" t="n">
        <x:v>86</x:v>
      </x:c>
      <x:c r="Q7" s="6" t="n">
        <x:v>9</x:v>
      </x:c>
      <x:c r="R7" s="7" t="str">
        <x:v>https://arxiv.org/abs/2607.03383</x:v>
      </x:c>
      <x:c r="S7" s="7" t="str">
        <x:v>Ancient Ricci-flow asymptotics by leading flow techniques; high geometric PDE value.</x:v>
      </x:c>
    </x:row>
    <x:row r="8" ht="38" customHeight="1">
      <x:c r="A8" s="6" t="n">
        <x:v>7</x:v>
      </x:c>
      <x:c r="B8" s="7" t="str">
        <x:v>2026-07</x:v>
      </x:c>
      <x:c r="C8" s="7" t="str">
        <x:v>2607.11236</x:v>
      </x:c>
      <x:c r="D8" s="7" t="str">
        <x:v>Formation of Trapped Surfaces from Spacelike Initial Data</x:v>
      </x:c>
      <x:c r="E8" s="7" t="str">
        <x:v>Xuantao Chen; Sergiu Klainerman</x:v>
      </x:c>
      <x:c r="F8" s="7" t="str">
        <x:v>general relativity / trapped surfaces</x:v>
      </x:c>
      <x:c r="G8" s="6" t="str">
        <x:v>-</x:v>
      </x:c>
      <x:c r="H8" s="28" t="n">
        <x:v>93.325</x:v>
      </x:c>
      <x:c r="I8" s="28" t="n">
        <x:v>93.5</x:v>
      </x:c>
      <x:c r="J8" s="28" t="n">
        <x:v>93.15</x:v>
      </x:c>
      <x:c r="K8" s="6" t="n">
        <x:v>95</x:v>
      </x:c>
      <x:c r="L8" s="6" t="n">
        <x:v>93</x:v>
      </x:c>
      <x:c r="M8" s="6" t="n">
        <x:v>96</x:v>
      </x:c>
      <x:c r="N8" s="6" t="n">
        <x:v>92</x:v>
      </x:c>
      <x:c r="O8" s="6" t="n">
        <x:v>96</x:v>
      </x:c>
      <x:c r="P8" s="6" t="n">
        <x:v>86</x:v>
      </x:c>
      <x:c r="Q8" s="6" t="n">
        <x:v>9</x:v>
      </x:c>
      <x:c r="R8" s="7" t="str">
        <x:v>https://arxiv.org/abs/2607.11236</x:v>
      </x:c>
      <x:c r="S8" s="7" t="str">
        <x:v>High-value trapped-surface formation result; long nonlinear geometric PDE proof architecture.</x:v>
      </x:c>
    </x:row>
    <x:row r="9" ht="38" customHeight="1">
      <x:c r="A9" s="6" t="n">
        <x:v>8</x:v>
      </x:c>
      <x:c r="B9" s="7" t="str">
        <x:v>2026-08</x:v>
      </x:c>
      <x:c r="C9" s="7" t="str">
        <x:v>2608.05128</x:v>
      </x:c>
      <x:c r="D9" s="7" t="str">
        <x:v>Large mass limits of G_2 and Calabi-Yau monopoles: calibrated concentration, Higgs zeros, and abelianization</x:v>
      </x:c>
      <x:c r="E9" s="7" t="str">
        <x:v>Daniel Fadel; Gonçalo Oliveira</x:v>
      </x:c>
      <x:c r="F9" s="7" t="str">
        <x:v>G2/CY monopoles / calibrated geometry</x:v>
      </x:c>
      <x:c r="G9" s="6" t="n">
        <x:v>148</x:v>
      </x:c>
      <x:c r="H9" s="28" t="n">
        <x:v>93.325</x:v>
      </x:c>
      <x:c r="I9" s="28" t="n">
        <x:v>93.5</x:v>
      </x:c>
      <x:c r="J9" s="28" t="n">
        <x:v>93.15</x:v>
      </x:c>
      <x:c r="K9" s="6" t="n">
        <x:v>95</x:v>
      </x:c>
      <x:c r="L9" s="6" t="n">
        <x:v>93</x:v>
      </x:c>
      <x:c r="M9" s="6" t="n">
        <x:v>96</x:v>
      </x:c>
      <x:c r="N9" s="6" t="n">
        <x:v>92</x:v>
      </x:c>
      <x:c r="O9" s="6" t="n">
        <x:v>96</x:v>
      </x:c>
      <x:c r="P9" s="6" t="n">
        <x:v>86</x:v>
      </x:c>
      <x:c r="Q9" s="6" t="n">
        <x:v>9</x:v>
      </x:c>
      <x:c r="R9" s="7" t="str">
        <x:v>https://arxiv.org/abs/2608.05128</x:v>
      </x:c>
      <x:c r="S9" s="7" t="str">
        <x:v>Very large gauge/calibrated-geometry work; high human proof burden and structural value.</x:v>
      </x:c>
    </x:row>
    <x:row r="10" ht="38" customHeight="1">
      <x:c r="A10" s="6" t="n">
        <x:v>9</x:v>
      </x:c>
      <x:c r="B10" s="7" t="str">
        <x:v>2026-08</x:v>
      </x:c>
      <x:c r="C10" s="7" t="str">
        <x:v>2608.06320</x:v>
      </x:c>
      <x:c r="D10" s="7" t="str">
        <x:v>Dihedral Rigidity for Convex Polytopes by Smooth Approximation</x:v>
      </x:c>
      <x:c r="E10" s="7" t="str">
        <x:v>Yuchen Bi</x:v>
      </x:c>
      <x:c r="F10" s="7" t="str">
        <x:v>polytope dihedral rigidity</x:v>
      </x:c>
      <x:c r="G10" s="6" t="n">
        <x:v>18</x:v>
      </x:c>
      <x:c r="H10" s="28" t="n">
        <x:v>93</x:v>
      </x:c>
      <x:c r="I10" s="28" t="n">
        <x:v>93.55</x:v>
      </x:c>
      <x:c r="J10" s="28" t="n">
        <x:v>92.45</x:v>
      </x:c>
      <x:c r="K10" s="6" t="n">
        <x:v>96</x:v>
      </x:c>
      <x:c r="L10" s="6" t="n">
        <x:v>93</x:v>
      </x:c>
      <x:c r="M10" s="6" t="n">
        <x:v>94</x:v>
      </x:c>
      <x:c r="N10" s="6" t="n">
        <x:v>93</x:v>
      </x:c>
      <x:c r="O10" s="6" t="n">
        <x:v>94</x:v>
      </x:c>
      <x:c r="P10" s="6" t="n">
        <x:v>87</x:v>
      </x:c>
      <x:c r="Q10" s="6" t="n">
        <x:v>8</x:v>
      </x:c>
      <x:c r="R10" s="7" t="str">
        <x:v>https://arxiv.org/abs/2608.06320</x:v>
      </x:c>
      <x:c r="S10" s="7" t="str">
        <x:v>Smooth-approximation proof of Gromov's dihedral rigidity conjecture for convex polytopes.</x:v>
      </x:c>
    </x:row>
    <x:row r="11" ht="38" customHeight="1">
      <x:c r="A11" s="6" t="n">
        <x:v>10</x:v>
      </x:c>
      <x:c r="B11" s="7" t="str">
        <x:v>2026-08</x:v>
      </x:c>
      <x:c r="C11" s="7" t="str">
        <x:v>2608.07231</x:v>
      </x:c>
      <x:c r="D11" s="7" t="str">
        <x:v>Liouville Rigidity for Entire Strictly Spacelike Solutions of a Lorentzian Prescribed Mean Curvature Equation</x:v>
      </x:c>
      <x:c r="E11" s="7" t="str">
        <x:v>Xi-Nan Ma; Tian Wu; Wangzhe Wu; Bao Yu</x:v>
      </x:c>
      <x:c r="F11" s="7" t="str">
        <x:v>Lorentzian prescribed mean curvature / Liouville rigidity</x:v>
      </x:c>
      <x:c r="G11" s="6" t="n">
        <x:v>25</x:v>
      </x:c>
      <x:c r="H11" s="28" t="n">
        <x:v>92.725</x:v>
      </x:c>
      <x:c r="I11" s="28" t="n">
        <x:v>92.95</x:v>
      </x:c>
      <x:c r="J11" s="28" t="n">
        <x:v>92.5</x:v>
      </x:c>
      <x:c r="K11" s="6" t="n">
        <x:v>94</x:v>
      </x:c>
      <x:c r="L11" s="6" t="n">
        <x:v>93</x:v>
      </x:c>
      <x:c r="M11" s="6" t="n">
        <x:v>95</x:v>
      </x:c>
      <x:c r="N11" s="6" t="n">
        <x:v>92</x:v>
      </x:c>
      <x:c r="O11" s="6" t="n">
        <x:v>95</x:v>
      </x:c>
      <x:c r="P11" s="6" t="n">
        <x:v>86</x:v>
      </x:c>
      <x:c r="Q11" s="6" t="n">
        <x:v>10</x:v>
      </x:c>
      <x:c r="R11" s="7" t="str">
        <x:v>https://arxiv.org/abs/2608.07231</x:v>
      </x:c>
      <x:c r="S11" s="7" t="str">
        <x:v>Removes radial, decay, integrability, and uniform-gap assumptions in a subcritical Lorentzian prescribed-mean-curvature Liouville problem, using global Lorentz-factor bounds and new weighted tensor identities.</x:v>
      </x:c>
    </x:row>
    <x:row r="12" ht="38" customHeight="1">
      <x:c r="A12" s="6" t="n">
        <x:v>11</x:v>
      </x:c>
      <x:c r="B12" s="7" t="str">
        <x:v>2026-08</x:v>
      </x:c>
      <x:c r="C12" s="7" t="str">
        <x:v>2608.03575</x:v>
      </x:c>
      <x:c r="D12" s="7" t="str">
        <x:v>A Gauss-Bonnet-Type Dichotomy for Unimodular Random Infinite Trivalent Hyperbolic Polyhedra</x:v>
      </x:c>
      <x:c r="E12" s="7" t="str">
        <x:v>Huabin Ge; Yangxiang Lu; Chuwen Wang; Tian Zhou</x:v>
      </x:c>
      <x:c r="F12" s="7" t="str">
        <x:v>random hyperbolic polyhedra / circle patterns</x:v>
      </x:c>
      <x:c r="G12" s="6" t="n">
        <x:v>39</x:v>
      </x:c>
      <x:c r="H12" s="28" t="n">
        <x:v>92.5</x:v>
      </x:c>
      <x:c r="I12" s="28" t="n">
        <x:v>92.9</x:v>
      </x:c>
      <x:c r="J12" s="28" t="n">
        <x:v>92.1</x:v>
      </x:c>
      <x:c r="K12" s="6" t="n">
        <x:v>93</x:v>
      </x:c>
      <x:c r="L12" s="6" t="n">
        <x:v>95</x:v>
      </x:c>
      <x:c r="M12" s="6" t="n">
        <x:v>94</x:v>
      </x:c>
      <x:c r="N12" s="6" t="n">
        <x:v>94</x:v>
      </x:c>
      <x:c r="O12" s="6" t="n">
        <x:v>94</x:v>
      </x:c>
      <x:c r="P12" s="6" t="n">
        <x:v>84</x:v>
      </x:c>
      <x:c r="Q12" s="6" t="n">
        <x:v>10</x:v>
      </x:c>
      <x:c r="R12" s="7" t="str">
        <x:v>https://arxiv.org/abs/2608.03575</x:v>
      </x:c>
      <x:c r="S12" s="7" t="str">
        <x:v>Unimodular Gauss-Bonnet dichotomy, finite-limit obstruction, a refined ring lemma, Poisson-boundary identification, and positive hyperbolic speed.</x:v>
      </x:c>
    </x:row>
    <x:row r="13" ht="38" customHeight="1">
      <x:c r="A13" s="6" t="n">
        <x:v>12</x:v>
      </x:c>
      <x:c r="B13" s="7" t="str">
        <x:v>2026-07</x:v>
      </x:c>
      <x:c r="C13" s="7" t="str">
        <x:v>2607.03930</x:v>
      </x:c>
      <x:c r="D13" s="7" t="str">
        <x:v>De Giorgi varifold solutions to Mean Curvature Flow: a minimizing movements approach</x:v>
      </x:c>
      <x:c r="E13" s="7" t="str">
        <x:v>Tim Laux; Andrea Poiatti</x:v>
      </x:c>
      <x:c r="F13" s="7" t="str">
        <x:v>mean curvature flow / varifolds</x:v>
      </x:c>
      <x:c r="G13" s="6" t="str">
        <x:v>-</x:v>
      </x:c>
      <x:c r="H13" s="28" t="n">
        <x:v>92.45</x:v>
      </x:c>
      <x:c r="I13" s="28" t="n">
        <x:v>92.6</x:v>
      </x:c>
      <x:c r="J13" s="28" t="n">
        <x:v>92.3</x:v>
      </x:c>
      <x:c r="K13" s="6" t="n">
        <x:v>94</x:v>
      </x:c>
      <x:c r="L13" s="6" t="n">
        <x:v>92</x:v>
      </x:c>
      <x:c r="M13" s="6" t="n">
        <x:v>95</x:v>
      </x:c>
      <x:c r="N13" s="6" t="n">
        <x:v>91</x:v>
      </x:c>
      <x:c r="O13" s="6" t="n">
        <x:v>95</x:v>
      </x:c>
      <x:c r="P13" s="6" t="n">
        <x:v>86</x:v>
      </x:c>
      <x:c r="Q13" s="6" t="n">
        <x:v>10</x:v>
      </x:c>
      <x:c r="R13" s="7" t="str">
        <x:v>https://arxiv.org/abs/2607.03930</x:v>
      </x:c>
      <x:c r="S13" s="7" t="str">
        <x:v>Variational weak solution framework for MCF; high method transfer potential.</x:v>
      </x:c>
    </x:row>
    <x:row r="14" ht="38" customHeight="1">
      <x:c r="A14" s="6" t="n">
        <x:v>13</x:v>
      </x:c>
      <x:c r="B14" s="7" t="str">
        <x:v>2026-07</x:v>
      </x:c>
      <x:c r="C14" s="7" t="str">
        <x:v>2607.06688</x:v>
      </x:c>
      <x:c r="D14" s="7" t="str">
        <x:v>Poisson K-stability and the semiclassical Yau-Tian-Donaldson correspondence</x:v>
      </x:c>
      <x:c r="E14" s="7" t="str">
        <x:v>Vestislav Apostolov; Brent Pym; Jeffrey Streets</x:v>
      </x:c>
      <x:c r="F14" s="7" t="str">
        <x:v>Poisson K-stability / YTD</x:v>
      </x:c>
      <x:c r="G14" s="6" t="str">
        <x:v>-</x:v>
      </x:c>
      <x:c r="H14" s="28" t="n">
        <x:v>92.45</x:v>
      </x:c>
      <x:c r="I14" s="28" t="n">
        <x:v>92.6</x:v>
      </x:c>
      <x:c r="J14" s="28" t="n">
        <x:v>92.3</x:v>
      </x:c>
      <x:c r="K14" s="6" t="n">
        <x:v>94</x:v>
      </x:c>
      <x:c r="L14" s="6" t="n">
        <x:v>92</x:v>
      </x:c>
      <x:c r="M14" s="6" t="n">
        <x:v>95</x:v>
      </x:c>
      <x:c r="N14" s="6" t="n">
        <x:v>91</x:v>
      </x:c>
      <x:c r="O14" s="6" t="n">
        <x:v>95</x:v>
      </x:c>
      <x:c r="P14" s="6" t="n">
        <x:v>86</x:v>
      </x:c>
      <x:c r="Q14" s="6" t="n">
        <x:v>10</x:v>
      </x:c>
      <x:c r="R14" s="7" t="str">
        <x:v>https://arxiv.org/abs/2607.06688</x:v>
      </x:c>
      <x:c r="S14" s="7" t="str">
        <x:v>Connects K-stability/YTD ideas with Poisson geometry; high conceptual breadth.</x:v>
      </x:c>
    </x:row>
    <x:row r="15" ht="38" customHeight="1">
      <x:c r="A15" s="6" t="n">
        <x:v>14</x:v>
      </x:c>
      <x:c r="B15" s="7" t="str">
        <x:v>2026-07</x:v>
      </x:c>
      <x:c r="C15" s="7" t="str">
        <x:v>2607.20741</x:v>
      </x:c>
      <x:c r="D15" s="7" t="str">
        <x:v>The Penrose conjecture for initial data sets satisfying a 2-convexity condition</x:v>
      </x:c>
      <x:c r="E15" s="7" t="str">
        <x:v>Conghan Dong</x:v>
      </x:c>
      <x:c r="F15" s="7" t="str">
        <x:v>Penrose inequality / scalar curvature</x:v>
      </x:c>
      <x:c r="G15" s="6" t="str">
        <x:v>-</x:v>
      </x:c>
      <x:c r="H15" s="28" t="n">
        <x:v>92.45</x:v>
      </x:c>
      <x:c r="I15" s="28" t="n">
        <x:v>92.6</x:v>
      </x:c>
      <x:c r="J15" s="28" t="n">
        <x:v>92.3</x:v>
      </x:c>
      <x:c r="K15" s="6" t="n">
        <x:v>94</x:v>
      </x:c>
      <x:c r="L15" s="6" t="n">
        <x:v>92</x:v>
      </x:c>
      <x:c r="M15" s="6" t="n">
        <x:v>95</x:v>
      </x:c>
      <x:c r="N15" s="6" t="n">
        <x:v>91</x:v>
      </x:c>
      <x:c r="O15" s="6" t="n">
        <x:v>95</x:v>
      </x:c>
      <x:c r="P15" s="6" t="n">
        <x:v>86</x:v>
      </x:c>
      <x:c r="Q15" s="6" t="n">
        <x:v>10</x:v>
      </x:c>
      <x:c r="R15" s="7" t="str">
        <x:v>https://arxiv.org/abs/2607.20741</x:v>
      </x:c>
      <x:c r="S15" s="7" t="str">
        <x:v>Penrose-type result under geometric convexity; important in scalar-curvature/GR interface.</x:v>
      </x:c>
    </x:row>
    <x:row r="16" ht="38" customHeight="1">
      <x:c r="A16" s="6" t="n">
        <x:v>15</x:v>
      </x:c>
      <x:c r="B16" s="7" t="str">
        <x:v>2026-07</x:v>
      </x:c>
      <x:c r="C16" s="7" t="str">
        <x:v>2607.23879</x:v>
      </x:c>
      <x:c r="D16" s="7" t="str">
        <x:v>Closed mean curvature flows with prescribed tangent flows</x:v>
      </x:c>
      <x:c r="E16" s="7" t="str">
        <x:v>Jingwen Chen; Tang-Kai Lee; Ao Sun; Xinrui Zhao</x:v>
      </x:c>
      <x:c r="F16" s="7" t="str">
        <x:v>mean curvature flow / tangent flows</x:v>
      </x:c>
      <x:c r="G16" s="6" t="n">
        <x:v>40</x:v>
      </x:c>
      <x:c r="H16" s="28" t="n">
        <x:v>92.45</x:v>
      </x:c>
      <x:c r="I16" s="28" t="n">
        <x:v>92.6</x:v>
      </x:c>
      <x:c r="J16" s="28" t="n">
        <x:v>92.3</x:v>
      </x:c>
      <x:c r="K16" s="6" t="n">
        <x:v>94</x:v>
      </x:c>
      <x:c r="L16" s="6" t="n">
        <x:v>92</x:v>
      </x:c>
      <x:c r="M16" s="6" t="n">
        <x:v>95</x:v>
      </x:c>
      <x:c r="N16" s="6" t="n">
        <x:v>91</x:v>
      </x:c>
      <x:c r="O16" s="6" t="n">
        <x:v>95</x:v>
      </x:c>
      <x:c r="P16" s="6" t="n">
        <x:v>86</x:v>
      </x:c>
      <x:c r="Q16" s="6" t="n">
        <x:v>10</x:v>
      </x:c>
      <x:c r="R16" s="7" t="str">
        <x:v>https://arxiv.org/abs/2607.23879</x:v>
      </x:c>
      <x:c r="S16" s="7" t="str">
        <x:v>Prescribed tangent-flow phenomena for closed MCF; strong singularity-theory relevance.</x:v>
      </x:c>
    </x:row>
    <x:row r="17" ht="38" customHeight="1">
      <x:c r="A17" s="6" t="n">
        <x:v>16</x:v>
      </x:c>
      <x:c r="B17" s="7" t="str">
        <x:v>2026-07</x:v>
      </x:c>
      <x:c r="C17" s="7" t="str">
        <x:v>2607.25644</x:v>
      </x:c>
      <x:c r="D17" s="7" t="str">
        <x:v>Gromov-Hausdorff Limits of Noncollapsed Kähler-Ricci Flows and the Geometry of Ricci Shrinkers</x:v>
      </x:c>
      <x:c r="E17" s="7" t="str">
        <x:v>Yu Li; Junsheng Zhang</x:v>
      </x:c>
      <x:c r="F17" s="7" t="str">
        <x:v>Kähler-Ricci flow / Ricci shrinkers</x:v>
      </x:c>
      <x:c r="G17" s="6" t="n">
        <x:v>62</x:v>
      </x:c>
      <x:c r="H17" s="28" t="n">
        <x:v>92.45</x:v>
      </x:c>
      <x:c r="I17" s="28" t="n">
        <x:v>92.6</x:v>
      </x:c>
      <x:c r="J17" s="28" t="n">
        <x:v>92.3</x:v>
      </x:c>
      <x:c r="K17" s="6" t="n">
        <x:v>94</x:v>
      </x:c>
      <x:c r="L17" s="6" t="n">
        <x:v>92</x:v>
      </x:c>
      <x:c r="M17" s="6" t="n">
        <x:v>95</x:v>
      </x:c>
      <x:c r="N17" s="6" t="n">
        <x:v>91</x:v>
      </x:c>
      <x:c r="O17" s="6" t="n">
        <x:v>95</x:v>
      </x:c>
      <x:c r="P17" s="6" t="n">
        <x:v>86</x:v>
      </x:c>
      <x:c r="Q17" s="6" t="n">
        <x:v>10</x:v>
      </x:c>
      <x:c r="R17" s="7" t="str">
        <x:v>https://arxiv.org/abs/2607.25644</x:v>
      </x:c>
      <x:c r="S17" s="7" t="str">
        <x:v>Noncollapsed KRF limits and shrinker geometry; central geometric-flow problem area.</x:v>
      </x:c>
    </x:row>
    <x:row r="18" ht="38" customHeight="1">
      <x:c r="A18" s="6" t="n">
        <x:v>17</x:v>
      </x:c>
      <x:c r="B18" s="7" t="str">
        <x:v>2026-07</x:v>
      </x:c>
      <x:c r="C18" s="7" t="str">
        <x:v>2607.29502</x:v>
      </x:c>
      <x:c r="D18" s="7" t="str">
        <x:v>A dichotomy for minimal submanifolds</x:v>
      </x:c>
      <x:c r="E18" s="7" t="str">
        <x:v>Tobias Holck Colding; William P. Minicozzi II</x:v>
      </x:c>
      <x:c r="F18" s="7" t="str">
        <x:v>minimal submanifolds</x:v>
      </x:c>
      <x:c r="G18" s="6" t="str">
        <x:v>-</x:v>
      </x:c>
      <x:c r="H18" s="28" t="n">
        <x:v>92.45</x:v>
      </x:c>
      <x:c r="I18" s="28" t="n">
        <x:v>92.6</x:v>
      </x:c>
      <x:c r="J18" s="28" t="n">
        <x:v>92.3</x:v>
      </x:c>
      <x:c r="K18" s="6" t="n">
        <x:v>94</x:v>
      </x:c>
      <x:c r="L18" s="6" t="n">
        <x:v>92</x:v>
      </x:c>
      <x:c r="M18" s="6" t="n">
        <x:v>95</x:v>
      </x:c>
      <x:c r="N18" s="6" t="n">
        <x:v>91</x:v>
      </x:c>
      <x:c r="O18" s="6" t="n">
        <x:v>95</x:v>
      </x:c>
      <x:c r="P18" s="6" t="n">
        <x:v>86</x:v>
      </x:c>
      <x:c r="Q18" s="6" t="n">
        <x:v>10</x:v>
      </x:c>
      <x:c r="R18" s="7" t="str">
        <x:v>https://arxiv.org/abs/2607.29502</x:v>
      </x:c>
      <x:c r="S18" s="7" t="str">
        <x:v>Conceptual dichotomy statement in minimal-submanifold theory by leading authors.</x:v>
      </x:c>
    </x:row>
    <x:row r="19" ht="38" customHeight="1">
      <x:c r="A19" s="6" t="n">
        <x:v>18</x:v>
      </x:c>
      <x:c r="B19" s="7" t="str">
        <x:v>2026-07</x:v>
      </x:c>
      <x:c r="C19" s="7" t="str">
        <x:v>2607.29632</x:v>
      </x:c>
      <x:c r="D19" s="7" t="str">
        <x:v>Regularity of branched stable minimal immersed hypersurfaces</x:v>
      </x:c>
      <x:c r="E19" s="7" t="str">
        <x:v>Gaoming Wang; Xuwen Zhang</x:v>
      </x:c>
      <x:c r="F19" s="7" t="str">
        <x:v>minimal hypersurface regularity</x:v>
      </x:c>
      <x:c r="G19" s="6" t="n">
        <x:v>60</x:v>
      </x:c>
      <x:c r="H19" s="28" t="n">
        <x:v>92.45</x:v>
      </x:c>
      <x:c r="I19" s="28" t="n">
        <x:v>92.6</x:v>
      </x:c>
      <x:c r="J19" s="28" t="n">
        <x:v>92.3</x:v>
      </x:c>
      <x:c r="K19" s="6" t="n">
        <x:v>94</x:v>
      </x:c>
      <x:c r="L19" s="6" t="n">
        <x:v>92</x:v>
      </x:c>
      <x:c r="M19" s="6" t="n">
        <x:v>95</x:v>
      </x:c>
      <x:c r="N19" s="6" t="n">
        <x:v>91</x:v>
      </x:c>
      <x:c r="O19" s="6" t="n">
        <x:v>95</x:v>
      </x:c>
      <x:c r="P19" s="6" t="n">
        <x:v>86</x:v>
      </x:c>
      <x:c r="Q19" s="6" t="n">
        <x:v>10</x:v>
      </x:c>
      <x:c r="R19" s="7" t="str">
        <x:v>https://arxiv.org/abs/2607.29632</x:v>
      </x:c>
      <x:c r="S19" s="7" t="str">
        <x:v>Regularity theory for branched stable minimal hypersurfaces; substantial proof burden.</x:v>
      </x:c>
    </x:row>
    <x:row r="20" ht="38" customHeight="1">
      <x:c r="A20" s="6" t="n">
        <x:v>19</x:v>
      </x:c>
      <x:c r="B20" s="7" t="str">
        <x:v>2026-08</x:v>
      </x:c>
      <x:c r="C20" s="7" t="str">
        <x:v>2608.01682</x:v>
      </x:c>
      <x:c r="D20" s="7" t="str">
        <x:v>Positive mass theorems for singular asymptotically hyperbolic manifolds</x:v>
      </x:c>
      <x:c r="E20" s="7" t="str">
        <x:v>Yuguang Shi; Chengzhang Sun; Zijun Wang</x:v>
      </x:c>
      <x:c r="F20" s="7" t="str">
        <x:v>positive mass theorem / singular AH manifolds</x:v>
      </x:c>
      <x:c r="G20" s="6" t="n">
        <x:v>42</x:v>
      </x:c>
      <x:c r="H20" s="28" t="n">
        <x:v>92.45</x:v>
      </x:c>
      <x:c r="I20" s="28" t="n">
        <x:v>92.6</x:v>
      </x:c>
      <x:c r="J20" s="28" t="n">
        <x:v>92.3</x:v>
      </x:c>
      <x:c r="K20" s="6" t="n">
        <x:v>94</x:v>
      </x:c>
      <x:c r="L20" s="6" t="n">
        <x:v>92</x:v>
      </x:c>
      <x:c r="M20" s="6" t="n">
        <x:v>95</x:v>
      </x:c>
      <x:c r="N20" s="6" t="n">
        <x:v>91</x:v>
      </x:c>
      <x:c r="O20" s="6" t="n">
        <x:v>95</x:v>
      </x:c>
      <x:c r="P20" s="6" t="n">
        <x:v>86</x:v>
      </x:c>
      <x:c r="Q20" s="6" t="n">
        <x:v>10</x:v>
      </x:c>
      <x:c r="R20" s="7" t="str">
        <x:v>https://arxiv.org/abs/2608.01682</x:v>
      </x:c>
      <x:c r="S20" s="7" t="str">
        <x:v>Positive mass theorem in singular asymptotically hyperbolic setting; strong geometric analysis.</x:v>
      </x:c>
    </x:row>
    <x:row r="21" ht="38" customHeight="1">
      <x:c r="A21" s="6" t="n">
        <x:v>20</x:v>
      </x:c>
      <x:c r="B21" s="7" t="str">
        <x:v>2026-07</x:v>
      </x:c>
      <x:c r="C21" s="7" t="str">
        <x:v>2607.27162</x:v>
      </x:c>
      <x:c r="D21" s="7" t="str">
        <x:v>Pointwise subexponential growth and near-diffusive displacement on bounded-degree graphs with non-negative Ollivier--Ricci curvature</x:v>
      </x:c>
      <x:c r="E21" s="7" t="str">
        <x:v>Chiyu Zhou</x:v>
      </x:c>
      <x:c r="F21" s="7" t="str">
        <x:v>Ollivier-Ricci curvature / graph random walks</x:v>
      </x:c>
      <x:c r="G21" s="6" t="n">
        <x:v>23</x:v>
      </x:c>
      <x:c r="H21" s="28" t="n">
        <x:v>91.875</x:v>
      </x:c>
      <x:c r="I21" s="28" t="n">
        <x:v>92.1</x:v>
      </x:c>
      <x:c r="J21" s="28" t="n">
        <x:v>91.65</x:v>
      </x:c>
      <x:c r="K21" s="6" t="n">
        <x:v>93</x:v>
      </x:c>
      <x:c r="L21" s="6" t="n">
        <x:v>92</x:v>
      </x:c>
      <x:c r="M21" s="6" t="n">
        <x:v>94</x:v>
      </x:c>
      <x:c r="N21" s="6" t="n">
        <x:v>92</x:v>
      </x:c>
      <x:c r="O21" s="6" t="n">
        <x:v>94</x:v>
      </x:c>
      <x:c r="P21" s="6" t="n">
        <x:v>85</x:v>
      </x:c>
      <x:c r="Q21" s="6" t="n">
        <x:v>10</x:v>
      </x:c>
      <x:c r="R21" s="7" t="str">
        <x:v>https://arxiv.org/abs/2607.27162</x:v>
      </x:c>
      <x:c r="S21" s="7" t="str">
        <x:v>Near-diffusive displacement and pointwise subexponential volume growth for bounded-degree graphs with nonnegative Ollivier-Ricci curvature.</x:v>
      </x:c>
    </x:row>
    <x:row r="22" ht="38" customHeight="1">
      <x:c r="A22" s="6" t="n">
        <x:v>21</x:v>
      </x:c>
      <x:c r="B22" s="7" t="str">
        <x:v>2026-08</x:v>
      </x:c>
      <x:c r="C22" s="7" t="str">
        <x:v>2608.07263</x:v>
      </x:c>
      <x:c r="D22" s="7" t="str">
        <x:v>Diagonalization of the Toda flow for arbitrary isospectral symmetric matrices</x:v>
      </x:c>
      <x:c r="E22" s="7" t="str">
        <x:v>David Martínez Torres; Carlos Tomei</x:v>
      </x:c>
      <x:c r="F22" s="7" t="str">
        <x:v>Toda flow / isospectral manifolds</x:v>
      </x:c>
      <x:c r="G22" s="6" t="n">
        <x:v>16</x:v>
      </x:c>
      <x:c r="H22" s="28" t="n">
        <x:v>91.5</x:v>
      </x:c>
      <x:c r="I22" s="28" t="n">
        <x:v>91.8</x:v>
      </x:c>
      <x:c r="J22" s="28" t="n">
        <x:v>91.2</x:v>
      </x:c>
      <x:c r="K22" s="6" t="n">
        <x:v>92</x:v>
      </x:c>
      <x:c r="L22" s="6" t="n">
        <x:v>94</x:v>
      </x:c>
      <x:c r="M22" s="6" t="n">
        <x:v>92</x:v>
      </x:c>
      <x:c r="N22" s="6" t="n">
        <x:v>92</x:v>
      </x:c>
      <x:c r="O22" s="6" t="n">
        <x:v>93</x:v>
      </x:c>
      <x:c r="P22" s="6" t="n">
        <x:v>86</x:v>
      </x:c>
      <x:c r="Q22" s="6" t="n">
        <x:v>12</x:v>
      </x:c>
      <x:c r="R22" s="7" t="str">
        <x:v>https://arxiv.org/abs/2608.07263</x:v>
      </x:c>
      <x:c r="S22" s="7" t="str">
        <x:v>Constructs a dense covering atlas that linearizes the Toda flow on arbitrary symmetric isospectral manifolds, based on a new constrained QLU factorization of independent interest.</x:v>
      </x:c>
    </x:row>
    <x:row r="23" ht="38" customHeight="1">
      <x:c r="A23" s="6" t="n">
        <x:v>22</x:v>
      </x:c>
      <x:c r="B23" s="7" t="str">
        <x:v>2026-07</x:v>
      </x:c>
      <x:c r="C23" s="7" t="str">
        <x:v>2607.02067</x:v>
      </x:c>
      <x:c r="D23" s="7" t="str">
        <x:v>Higher regularity of the inverse anisotropic mean curvature flow</x:v>
      </x:c>
      <x:c r="E23" s="7" t="str">
        <x:v>Chaoqun Gao; Yong Wei; Rong Zhou</x:v>
      </x:c>
      <x:c r="F23" s="7" t="str">
        <x:v>inverse anisotropic mean curvature flow</x:v>
      </x:c>
      <x:c r="G23" s="6" t="n">
        <x:v>31</x:v>
      </x:c>
      <x:c r="H23" s="28" t="n">
        <x:v>91.05</x:v>
      </x:c>
      <x:c r="I23" s="28" t="n">
        <x:v>91.15</x:v>
      </x:c>
      <x:c r="J23" s="28" t="n">
        <x:v>90.95</x:v>
      </x:c>
      <x:c r="K23" s="6" t="n">
        <x:v>92</x:v>
      </x:c>
      <x:c r="L23" s="6" t="n">
        <x:v>91</x:v>
      </x:c>
      <x:c r="M23" s="6" t="n">
        <x:v>93</x:v>
      </x:c>
      <x:c r="N23" s="6" t="n">
        <x:v>90</x:v>
      </x:c>
      <x:c r="O23" s="6" t="n">
        <x:v>93</x:v>
      </x:c>
      <x:c r="P23" s="6" t="n">
        <x:v>86</x:v>
      </x:c>
      <x:c r="Q23" s="6" t="n">
        <x:v>11</x:v>
      </x:c>
      <x:c r="R23" s="7" t="str">
        <x:v>https://arxiv.org/abs/2607.02067</x:v>
      </x:c>
      <x:c r="S23" s="7" t="str">
        <x:v>Regularity upgrade for inverse anisotropic MCF; solid geometric flow result.</x:v>
      </x:c>
    </x:row>
    <x:row r="24" ht="38" customHeight="1">
      <x:c r="A24" s="6" t="n">
        <x:v>23</x:v>
      </x:c>
      <x:c r="B24" s="7" t="str">
        <x:v>2026-07</x:v>
      </x:c>
      <x:c r="C24" s="7" t="str">
        <x:v>2607.02412</x:v>
      </x:c>
      <x:c r="D24" s="7" t="str">
        <x:v>Cartan's and Gauss's equations and rigidity theorems for isometric embeddings in low Sobolev regularity</x:v>
      </x:c>
      <x:c r="E24" s="7" t="str">
        <x:v>Isaac Newell; Luc Nguyen</x:v>
      </x:c>
      <x:c r="F24" s="7" t="str">
        <x:v>isometric embedding / low regularity</x:v>
      </x:c>
      <x:c r="G24" s="6" t="str">
        <x:v>-</x:v>
      </x:c>
      <x:c r="H24" s="28" t="n">
        <x:v>91.05</x:v>
      </x:c>
      <x:c r="I24" s="28" t="n">
        <x:v>91.15</x:v>
      </x:c>
      <x:c r="J24" s="28" t="n">
        <x:v>90.95</x:v>
      </x:c>
      <x:c r="K24" s="6" t="n">
        <x:v>92</x:v>
      </x:c>
      <x:c r="L24" s="6" t="n">
        <x:v>91</x:v>
      </x:c>
      <x:c r="M24" s="6" t="n">
        <x:v>93</x:v>
      </x:c>
      <x:c r="N24" s="6" t="n">
        <x:v>90</x:v>
      </x:c>
      <x:c r="O24" s="6" t="n">
        <x:v>93</x:v>
      </x:c>
      <x:c r="P24" s="6" t="n">
        <x:v>86</x:v>
      </x:c>
      <x:c r="Q24" s="6" t="n">
        <x:v>11</x:v>
      </x:c>
      <x:c r="R24" s="7" t="str">
        <x:v>https://arxiv.org/abs/2607.02412</x:v>
      </x:c>
      <x:c r="S24" s="7" t="str">
        <x:v>Low-Sobolev rigidity for isometric embeddings; high technical and analytic value.</x:v>
      </x:c>
    </x:row>
    <x:row r="25" ht="38" customHeight="1">
      <x:c r="A25" s="6" t="n">
        <x:v>24</x:v>
      </x:c>
      <x:c r="B25" s="7" t="str">
        <x:v>2026-07</x:v>
      </x:c>
      <x:c r="C25" s="7" t="str">
        <x:v>2607.06698</x:v>
      </x:c>
      <x:c r="D25" s="7" t="str">
        <x:v>Infinity-harmonic functions and inverse mean curvature flow clusters</x:v>
      </x:c>
      <x:c r="E25" s="7" t="str">
        <x:v>Kai Xu</x:v>
      </x:c>
      <x:c r="F25" s="7" t="str">
        <x:v>infinity harmonic / IMCF clusters</x:v>
      </x:c>
      <x:c r="G25" s="6" t="n">
        <x:v>151</x:v>
      </x:c>
      <x:c r="H25" s="28" t="n">
        <x:v>91.05</x:v>
      </x:c>
      <x:c r="I25" s="28" t="n">
        <x:v>91.15</x:v>
      </x:c>
      <x:c r="J25" s="28" t="n">
        <x:v>90.95</x:v>
      </x:c>
      <x:c r="K25" s="6" t="n">
        <x:v>92</x:v>
      </x:c>
      <x:c r="L25" s="6" t="n">
        <x:v>91</x:v>
      </x:c>
      <x:c r="M25" s="6" t="n">
        <x:v>93</x:v>
      </x:c>
      <x:c r="N25" s="6" t="n">
        <x:v>90</x:v>
      </x:c>
      <x:c r="O25" s="6" t="n">
        <x:v>93</x:v>
      </x:c>
      <x:c r="P25" s="6" t="n">
        <x:v>86</x:v>
      </x:c>
      <x:c r="Q25" s="6" t="n">
        <x:v>11</x:v>
      </x:c>
      <x:c r="R25" s="7" t="str">
        <x:v>https://arxiv.org/abs/2607.06698</x:v>
      </x:c>
      <x:c r="S25" s="7" t="str">
        <x:v>Very long analysis of infinity-harmonic and IMCF cluster structures.</x:v>
      </x:c>
    </x:row>
    <x:row r="26" ht="38" customHeight="1">
      <x:c r="A26" s="6" t="n">
        <x:v>25</x:v>
      </x:c>
      <x:c r="B26" s="7" t="str">
        <x:v>2026-07</x:v>
      </x:c>
      <x:c r="C26" s="7" t="str">
        <x:v>2607.08325</x:v>
      </x:c>
      <x:c r="D26" s="7" t="str">
        <x:v>Geometric smoothing by the Kähler-Ricci Flow</x:v>
      </x:c>
      <x:c r="E26" s="7" t="str">
        <x:v>Eleonora Di Nezza; Vincent Guedj; Chinh Hoang Lu</x:v>
      </x:c>
      <x:c r="F26" s="7" t="str">
        <x:v>Kähler-Ricci flow / smoothing</x:v>
      </x:c>
      <x:c r="G26" s="6" t="n">
        <x:v>30</x:v>
      </x:c>
      <x:c r="H26" s="28" t="n">
        <x:v>91.05</x:v>
      </x:c>
      <x:c r="I26" s="28" t="n">
        <x:v>91.15</x:v>
      </x:c>
      <x:c r="J26" s="28" t="n">
        <x:v>90.95</x:v>
      </x:c>
      <x:c r="K26" s="6" t="n">
        <x:v>92</x:v>
      </x:c>
      <x:c r="L26" s="6" t="n">
        <x:v>91</x:v>
      </x:c>
      <x:c r="M26" s="6" t="n">
        <x:v>93</x:v>
      </x:c>
      <x:c r="N26" s="6" t="n">
        <x:v>90</x:v>
      </x:c>
      <x:c r="O26" s="6" t="n">
        <x:v>93</x:v>
      </x:c>
      <x:c r="P26" s="6" t="n">
        <x:v>86</x:v>
      </x:c>
      <x:c r="Q26" s="6" t="n">
        <x:v>11</x:v>
      </x:c>
      <x:c r="R26" s="7" t="str">
        <x:v>https://arxiv.org/abs/2607.08325</x:v>
      </x:c>
      <x:c r="S26" s="7" t="str">
        <x:v>KRF smoothing in complex geometric analysis; useful technical input.</x:v>
      </x:c>
    </x:row>
    <x:row r="27" ht="38" customHeight="1">
      <x:c r="A27" s="6" t="n">
        <x:v>26</x:v>
      </x:c>
      <x:c r="B27" s="7" t="str">
        <x:v>2026-07</x:v>
      </x:c>
      <x:c r="C27" s="7" t="str">
        <x:v>2607.08631</x:v>
      </x:c>
      <x:c r="D27" s="7" t="str">
        <x:v>Existence of two embedded minimal spheres in S^3 with an arbitrary metric</x:v>
      </x:c>
      <x:c r="E27" s="7" t="str">
        <x:v>Zhichao Wang; Xin Zhou</x:v>
      </x:c>
      <x:c r="F27" s="7" t="str">
        <x:v>minimal spheres / min-max</x:v>
      </x:c>
      <x:c r="G27" s="6" t="n">
        <x:v>32</x:v>
      </x:c>
      <x:c r="H27" s="28" t="n">
        <x:v>91.05</x:v>
      </x:c>
      <x:c r="I27" s="28" t="n">
        <x:v>91.15</x:v>
      </x:c>
      <x:c r="J27" s="28" t="n">
        <x:v>90.95</x:v>
      </x:c>
      <x:c r="K27" s="6" t="n">
        <x:v>92</x:v>
      </x:c>
      <x:c r="L27" s="6" t="n">
        <x:v>91</x:v>
      </x:c>
      <x:c r="M27" s="6" t="n">
        <x:v>93</x:v>
      </x:c>
      <x:c r="N27" s="6" t="n">
        <x:v>90</x:v>
      </x:c>
      <x:c r="O27" s="6" t="n">
        <x:v>93</x:v>
      </x:c>
      <x:c r="P27" s="6" t="n">
        <x:v>86</x:v>
      </x:c>
      <x:c r="Q27" s="6" t="n">
        <x:v>11</x:v>
      </x:c>
      <x:c r="R27" s="7" t="str">
        <x:v>https://arxiv.org/abs/2607.08631</x:v>
      </x:c>
      <x:c r="S27" s="7" t="str">
        <x:v>Existence result for embedded minimal spheres; strong min-max/geometric analysis value.</x:v>
      </x:c>
    </x:row>
    <x:row r="28" ht="38" customHeight="1">
      <x:c r="A28" s="6" t="n">
        <x:v>27</x:v>
      </x:c>
      <x:c r="B28" s="7" t="str">
        <x:v>2026-07</x:v>
      </x:c>
      <x:c r="C28" s="7" t="str">
        <x:v>2607.12305</x:v>
      </x:c>
      <x:c r="D28" s="7" t="str">
        <x:v>Capillary prisms, Coxeter gluing, and the pi_2-systole of 3-manifolds with positive scalar curvature</x:v>
      </x:c>
      <x:c r="E28" s="7" t="str">
        <x:v>Shihang He; Chao Li</x:v>
      </x:c>
      <x:c r="F28" s="7" t="str">
        <x:v>positive scalar curvature / systoles</x:v>
      </x:c>
      <x:c r="G28" s="6" t="n">
        <x:v>64</x:v>
      </x:c>
      <x:c r="H28" s="28" t="n">
        <x:v>91.05</x:v>
      </x:c>
      <x:c r="I28" s="28" t="n">
        <x:v>91.15</x:v>
      </x:c>
      <x:c r="J28" s="28" t="n">
        <x:v>90.95</x:v>
      </x:c>
      <x:c r="K28" s="6" t="n">
        <x:v>92</x:v>
      </x:c>
      <x:c r="L28" s="6" t="n">
        <x:v>91</x:v>
      </x:c>
      <x:c r="M28" s="6" t="n">
        <x:v>93</x:v>
      </x:c>
      <x:c r="N28" s="6" t="n">
        <x:v>90</x:v>
      </x:c>
      <x:c r="O28" s="6" t="n">
        <x:v>93</x:v>
      </x:c>
      <x:c r="P28" s="6" t="n">
        <x:v>86</x:v>
      </x:c>
      <x:c r="Q28" s="6" t="n">
        <x:v>11</x:v>
      </x:c>
      <x:c r="R28" s="7" t="str">
        <x:v>https://arxiv.org/abs/2607.12305</x:v>
      </x:c>
      <x:c r="S28" s="7" t="str">
        <x:v>Positive scalar curvature, capillary geometry and systolic estimates; broad geometric interest.</x:v>
      </x:c>
    </x:row>
    <x:row r="29" ht="38" customHeight="1">
      <x:c r="A29" s="6" t="n">
        <x:v>28</x:v>
      </x:c>
      <x:c r="B29" s="7" t="str">
        <x:v>2026-07</x:v>
      </x:c>
      <x:c r="C29" s="7" t="str">
        <x:v>2607.17459</x:v>
      </x:c>
      <x:c r="D29" s="7" t="str">
        <x:v>The deformed Vortex equations and equivariant stability conditions</x:v>
      </x:c>
      <x:c r="E29" s="7" t="str">
        <x:v>Tristan C. Collins; Yukai Zhang</x:v>
      </x:c>
      <x:c r="F29" s="7" t="str">
        <x:v>vortex equations / stability</x:v>
      </x:c>
      <x:c r="G29" s="6" t="n">
        <x:v>88</x:v>
      </x:c>
      <x:c r="H29" s="28" t="n">
        <x:v>91.05</x:v>
      </x:c>
      <x:c r="I29" s="28" t="n">
        <x:v>91.15</x:v>
      </x:c>
      <x:c r="J29" s="28" t="n">
        <x:v>90.95</x:v>
      </x:c>
      <x:c r="K29" s="6" t="n">
        <x:v>92</x:v>
      </x:c>
      <x:c r="L29" s="6" t="n">
        <x:v>91</x:v>
      </x:c>
      <x:c r="M29" s="6" t="n">
        <x:v>93</x:v>
      </x:c>
      <x:c r="N29" s="6" t="n">
        <x:v>90</x:v>
      </x:c>
      <x:c r="O29" s="6" t="n">
        <x:v>93</x:v>
      </x:c>
      <x:c r="P29" s="6" t="n">
        <x:v>86</x:v>
      </x:c>
      <x:c r="Q29" s="6" t="n">
        <x:v>11</x:v>
      </x:c>
      <x:c r="R29" s="7" t="str">
        <x:v>https://arxiv.org/abs/2607.17459</x:v>
      </x:c>
      <x:c r="S29" s="7" t="str">
        <x:v>Gauge/Kähler stability problem with substantial length and technical structure.</x:v>
      </x:c>
    </x:row>
    <x:row r="30" ht="38" customHeight="1">
      <x:c r="A30" s="6" t="n">
        <x:v>29</x:v>
      </x:c>
      <x:c r="B30" s="7" t="str">
        <x:v>2026-07</x:v>
      </x:c>
      <x:c r="C30" s="7" t="str">
        <x:v>2607.18216</x:v>
      </x:c>
      <x:c r="D30" s="7" t="str">
        <x:v>Sharp Weitzenböck and PIC2 Estimates from Sectional-Scalar Curvature Pinching</x:v>
      </x:c>
      <x:c r="E30" s="7" t="str">
        <x:v>Jian Ge</x:v>
      </x:c>
      <x:c r="F30" s="7" t="str">
        <x:v>curvature pinching / PIC2</x:v>
      </x:c>
      <x:c r="G30" s="6" t="str">
        <x:v>-</x:v>
      </x:c>
      <x:c r="H30" s="28" t="n">
        <x:v>91.05</x:v>
      </x:c>
      <x:c r="I30" s="28" t="n">
        <x:v>91.15</x:v>
      </x:c>
      <x:c r="J30" s="28" t="n">
        <x:v>90.95</x:v>
      </x:c>
      <x:c r="K30" s="6" t="n">
        <x:v>92</x:v>
      </x:c>
      <x:c r="L30" s="6" t="n">
        <x:v>91</x:v>
      </x:c>
      <x:c r="M30" s="6" t="n">
        <x:v>93</x:v>
      </x:c>
      <x:c r="N30" s="6" t="n">
        <x:v>90</x:v>
      </x:c>
      <x:c r="O30" s="6" t="n">
        <x:v>93</x:v>
      </x:c>
      <x:c r="P30" s="6" t="n">
        <x:v>86</x:v>
      </x:c>
      <x:c r="Q30" s="6" t="n">
        <x:v>11</x:v>
      </x:c>
      <x:c r="R30" s="7" t="str">
        <x:v>https://arxiv.org/abs/2607.18216</x:v>
      </x:c>
      <x:c r="S30" s="7" t="str">
        <x:v>Sharp curvature estimates from mixed sectional-scalar pinching; strong comparison geometry.</x:v>
      </x:c>
    </x:row>
    <x:row r="31" ht="38" customHeight="1">
      <x:c r="A31" s="6" t="n">
        <x:v>30</x:v>
      </x:c>
      <x:c r="B31" s="7" t="str">
        <x:v>2026-07</x:v>
      </x:c>
      <x:c r="C31" s="7" t="str">
        <x:v>2607.18792</x:v>
      </x:c>
      <x:c r="D31" s="7" t="str">
        <x:v>Existence of global W^{2,p}-isometric immersions for negatively curved surface metrics with unbounded second fundamental form</x:v>
      </x:c>
      <x:c r="E31" s="7" t="str">
        <x:v>Siran Li</x:v>
      </x:c>
      <x:c r="F31" s="7" t="str">
        <x:v>isometric immersion / negative curvature</x:v>
      </x:c>
      <x:c r="G31" s="6" t="n">
        <x:v>35</x:v>
      </x:c>
      <x:c r="H31" s="28" t="n">
        <x:v>91.05</x:v>
      </x:c>
      <x:c r="I31" s="28" t="n">
        <x:v>91.15</x:v>
      </x:c>
      <x:c r="J31" s="28" t="n">
        <x:v>90.95</x:v>
      </x:c>
      <x:c r="K31" s="6" t="n">
        <x:v>92</x:v>
      </x:c>
      <x:c r="L31" s="6" t="n">
        <x:v>91</x:v>
      </x:c>
      <x:c r="M31" s="6" t="n">
        <x:v>93</x:v>
      </x:c>
      <x:c r="N31" s="6" t="n">
        <x:v>90</x:v>
      </x:c>
      <x:c r="O31" s="6" t="n">
        <x:v>93</x:v>
      </x:c>
      <x:c r="P31" s="6" t="n">
        <x:v>86</x:v>
      </x:c>
      <x:c r="Q31" s="6" t="n">
        <x:v>11</x:v>
      </x:c>
      <x:c r="R31" s="7" t="str">
        <x:v>https://arxiv.org/abs/2607.18792</x:v>
      </x:c>
      <x:c r="S31" s="7" t="str">
        <x:v>Global low-regularity isometric immersion under negative curvature; strong PDE-geometry link.</x:v>
      </x:c>
    </x:row>
    <x:row r="32" ht="38" customHeight="1">
      <x:c r="A32" s="6" t="n">
        <x:v>31</x:v>
      </x:c>
      <x:c r="B32" s="7" t="str">
        <x:v>2026-07</x:v>
      </x:c>
      <x:c r="C32" s="7" t="str">
        <x:v>2607.18989</x:v>
      </x:c>
      <x:c r="D32" s="7" t="str">
        <x:v>Diffeological non-Abelian Hodge theory: relative harmonic metrics and deformation theory</x:v>
      </x:c>
      <x:c r="E32" s="7" t="str">
        <x:v>Mahmud Azam; Steven Rayan</x:v>
      </x:c>
      <x:c r="F32" s="7" t="str">
        <x:v>non-Abelian Hodge theory</x:v>
      </x:c>
      <x:c r="G32" s="6" t="n">
        <x:v>103</x:v>
      </x:c>
      <x:c r="H32" s="28" t="n">
        <x:v>91.05</x:v>
      </x:c>
      <x:c r="I32" s="28" t="n">
        <x:v>91.15</x:v>
      </x:c>
      <x:c r="J32" s="28" t="n">
        <x:v>90.95</x:v>
      </x:c>
      <x:c r="K32" s="6" t="n">
        <x:v>92</x:v>
      </x:c>
      <x:c r="L32" s="6" t="n">
        <x:v>91</x:v>
      </x:c>
      <x:c r="M32" s="6" t="n">
        <x:v>93</x:v>
      </x:c>
      <x:c r="N32" s="6" t="n">
        <x:v>90</x:v>
      </x:c>
      <x:c r="O32" s="6" t="n">
        <x:v>93</x:v>
      </x:c>
      <x:c r="P32" s="6" t="n">
        <x:v>86</x:v>
      </x:c>
      <x:c r="Q32" s="6" t="n">
        <x:v>11</x:v>
      </x:c>
      <x:c r="R32" s="7" t="str">
        <x:v>https://arxiv.org/abs/2607.18989</x:v>
      </x:c>
      <x:c r="S32" s="7" t="str">
        <x:v>Large deformation/Hodge theory work with differential-geometric analytic component.</x:v>
      </x:c>
    </x:row>
    <x:row r="33" ht="38" customHeight="1">
      <x:c r="A33" s="6" t="n">
        <x:v>32</x:v>
      </x:c>
      <x:c r="B33" s="7" t="str">
        <x:v>2026-07</x:v>
      </x:c>
      <x:c r="C33" s="7" t="str">
        <x:v>2607.19091</x:v>
      </x:c>
      <x:c r="D33" s="7" t="str">
        <x:v>On the sharp constants in curl-Sobolev inequalities on S^n</x:v>
      </x:c>
      <x:c r="E33" s="7" t="str">
        <x:v>Guofang Wang; Mingwei Zhang</x:v>
      </x:c>
      <x:c r="F33" s="7" t="str">
        <x:v>curl-Sobolev inequalities</x:v>
      </x:c>
      <x:c r="G33" s="6" t="n">
        <x:v>32</x:v>
      </x:c>
      <x:c r="H33" s="28" t="n">
        <x:v>91.05</x:v>
      </x:c>
      <x:c r="I33" s="28" t="n">
        <x:v>91.15</x:v>
      </x:c>
      <x:c r="J33" s="28" t="n">
        <x:v>90.95</x:v>
      </x:c>
      <x:c r="K33" s="6" t="n">
        <x:v>92</x:v>
      </x:c>
      <x:c r="L33" s="6" t="n">
        <x:v>91</x:v>
      </x:c>
      <x:c r="M33" s="6" t="n">
        <x:v>93</x:v>
      </x:c>
      <x:c r="N33" s="6" t="n">
        <x:v>90</x:v>
      </x:c>
      <x:c r="O33" s="6" t="n">
        <x:v>93</x:v>
      </x:c>
      <x:c r="P33" s="6" t="n">
        <x:v>86</x:v>
      </x:c>
      <x:c r="Q33" s="6" t="n">
        <x:v>11</x:v>
      </x:c>
      <x:c r="R33" s="7" t="str">
        <x:v>https://arxiv.org/abs/2607.19091</x:v>
      </x:c>
      <x:c r="S33" s="7" t="str">
        <x:v>Sharp inequality work on spheres; relevant across DG, AP and spectral theory.</x:v>
      </x:c>
    </x:row>
    <x:row r="34" ht="38" customHeight="1">
      <x:c r="A34" s="6" t="n">
        <x:v>33</x:v>
      </x:c>
      <x:c r="B34" s="7" t="str">
        <x:v>2026-07</x:v>
      </x:c>
      <x:c r="C34" s="7" t="str">
        <x:v>2607.19320</x:v>
      </x:c>
      <x:c r="D34" s="7" t="str">
        <x:v>A spacetime positive mass theorem with corners via mollification</x:v>
      </x:c>
      <x:c r="E34" s="7" t="str">
        <x:v>Hyun Chul Jang; Aidan F. Wood</x:v>
      </x:c>
      <x:c r="F34" s="7" t="str">
        <x:v>positive mass theorem / corners</x:v>
      </x:c>
      <x:c r="G34" s="6" t="str">
        <x:v>-</x:v>
      </x:c>
      <x:c r="H34" s="28" t="n">
        <x:v>91.05</x:v>
      </x:c>
      <x:c r="I34" s="28" t="n">
        <x:v>91.15</x:v>
      </x:c>
      <x:c r="J34" s="28" t="n">
        <x:v>90.95</x:v>
      </x:c>
      <x:c r="K34" s="6" t="n">
        <x:v>92</x:v>
      </x:c>
      <x:c r="L34" s="6" t="n">
        <x:v>91</x:v>
      </x:c>
      <x:c r="M34" s="6" t="n">
        <x:v>93</x:v>
      </x:c>
      <x:c r="N34" s="6" t="n">
        <x:v>90</x:v>
      </x:c>
      <x:c r="O34" s="6" t="n">
        <x:v>93</x:v>
      </x:c>
      <x:c r="P34" s="6" t="n">
        <x:v>86</x:v>
      </x:c>
      <x:c r="Q34" s="6" t="n">
        <x:v>11</x:v>
      </x:c>
      <x:c r="R34" s="7" t="str">
        <x:v>https://arxiv.org/abs/2607.19320</x:v>
      </x:c>
      <x:c r="S34" s="7" t="str">
        <x:v>Positive mass theorem with corners; important low-regularity GR geometry theme.</x:v>
      </x:c>
    </x:row>
    <x:row r="35" ht="38" customHeight="1">
      <x:c r="A35" s="6" t="n">
        <x:v>34</x:v>
      </x:c>
      <x:c r="B35" s="7" t="str">
        <x:v>2026-07</x:v>
      </x:c>
      <x:c r="C35" s="7" t="str">
        <x:v>2607.24281</x:v>
      </x:c>
      <x:c r="D35" s="7" t="str">
        <x:v>Calabi surgery for Z/2 harmonic 1-forms</x:v>
      </x:c>
      <x:c r="E35" s="7" t="str">
        <x:v>Jiahuang Chen; Siqi He; Dashen Yan</x:v>
      </x:c>
      <x:c r="F35" s="7" t="str">
        <x:v>harmonic forms / gauge geometry</x:v>
      </x:c>
      <x:c r="G35" s="6" t="n">
        <x:v>45</x:v>
      </x:c>
      <x:c r="H35" s="28" t="n">
        <x:v>91.05</x:v>
      </x:c>
      <x:c r="I35" s="28" t="n">
        <x:v>91.15</x:v>
      </x:c>
      <x:c r="J35" s="28" t="n">
        <x:v>90.95</x:v>
      </x:c>
      <x:c r="K35" s="6" t="n">
        <x:v>92</x:v>
      </x:c>
      <x:c r="L35" s="6" t="n">
        <x:v>91</x:v>
      </x:c>
      <x:c r="M35" s="6" t="n">
        <x:v>93</x:v>
      </x:c>
      <x:c r="N35" s="6" t="n">
        <x:v>90</x:v>
      </x:c>
      <x:c r="O35" s="6" t="n">
        <x:v>93</x:v>
      </x:c>
      <x:c r="P35" s="6" t="n">
        <x:v>86</x:v>
      </x:c>
      <x:c r="Q35" s="6" t="n">
        <x:v>11</x:v>
      </x:c>
      <x:c r="R35" s="7" t="str">
        <x:v>https://arxiv.org/abs/2607.24281</x:v>
      </x:c>
      <x:c r="S35" s="7" t="str">
        <x:v>Surgery construction for Z/2 harmonic 1-forms; relevant to gauge/geometric topology.</x:v>
      </x:c>
    </x:row>
    <x:row r="36" ht="38" customHeight="1">
      <x:c r="A36" s="6" t="n">
        <x:v>35</x:v>
      </x:c>
      <x:c r="B36" s="7" t="str">
        <x:v>2026-07</x:v>
      </x:c>
      <x:c r="C36" s="7" t="str">
        <x:v>2607.24735</x:v>
      </x:c>
      <x:c r="D36" s="7" t="str">
        <x:v>Area-minimizing submanifolds are not generically smooth, except for geodesics, minimal surfaces, and minimal hypersurfaces</x:v>
      </x:c>
      <x:c r="E36" s="7" t="str">
        <x:v>Zhenhua Liu</x:v>
      </x:c>
      <x:c r="F36" s="7" t="str">
        <x:v>generic smoothness / minimizing submanifolds</x:v>
      </x:c>
      <x:c r="G36" s="6" t="str">
        <x:v>-</x:v>
      </x:c>
      <x:c r="H36" s="28" t="n">
        <x:v>91.05</x:v>
      </x:c>
      <x:c r="I36" s="28" t="n">
        <x:v>91.15</x:v>
      </x:c>
      <x:c r="J36" s="28" t="n">
        <x:v>90.95</x:v>
      </x:c>
      <x:c r="K36" s="6" t="n">
        <x:v>92</x:v>
      </x:c>
      <x:c r="L36" s="6" t="n">
        <x:v>91</x:v>
      </x:c>
      <x:c r="M36" s="6" t="n">
        <x:v>93</x:v>
      </x:c>
      <x:c r="N36" s="6" t="n">
        <x:v>90</x:v>
      </x:c>
      <x:c r="O36" s="6" t="n">
        <x:v>93</x:v>
      </x:c>
      <x:c r="P36" s="6" t="n">
        <x:v>86</x:v>
      </x:c>
      <x:c r="Q36" s="6" t="n">
        <x:v>11</x:v>
      </x:c>
      <x:c r="R36" s="7" t="str">
        <x:v>https://arxiv.org/abs/2607.24735</x:v>
      </x:c>
      <x:c r="S36" s="7" t="str">
        <x:v>Striking generic regularity/nonregularity statement for area minimizers.</x:v>
      </x:c>
    </x:row>
    <x:row r="37" ht="38" customHeight="1">
      <x:c r="A37" s="6" t="n">
        <x:v>36</x:v>
      </x:c>
      <x:c r="B37" s="7" t="str">
        <x:v>2026-07</x:v>
      </x:c>
      <x:c r="C37" s="7" t="str">
        <x:v>2607.25015</x:v>
      </x:c>
      <x:c r="D37" s="7" t="str">
        <x:v>Topological Rigidity of Contractible 3-Manifolds and Handlebody Interiors under Nonnegative Scalar Curvature</x:v>
      </x:c>
      <x:c r="E37" s="7" t="str">
        <x:v>Jiangcheng You; Heng Zhang</x:v>
      </x:c>
      <x:c r="F37" s="7" t="str">
        <x:v>scalar curvature / 3-manifolds</x:v>
      </x:c>
      <x:c r="G37" s="6" t="n">
        <x:v>36</x:v>
      </x:c>
      <x:c r="H37" s="28" t="n">
        <x:v>91.05</x:v>
      </x:c>
      <x:c r="I37" s="28" t="n">
        <x:v>91.15</x:v>
      </x:c>
      <x:c r="J37" s="28" t="n">
        <x:v>90.95</x:v>
      </x:c>
      <x:c r="K37" s="6" t="n">
        <x:v>92</x:v>
      </x:c>
      <x:c r="L37" s="6" t="n">
        <x:v>91</x:v>
      </x:c>
      <x:c r="M37" s="6" t="n">
        <x:v>93</x:v>
      </x:c>
      <x:c r="N37" s="6" t="n">
        <x:v>90</x:v>
      </x:c>
      <x:c r="O37" s="6" t="n">
        <x:v>93</x:v>
      </x:c>
      <x:c r="P37" s="6" t="n">
        <x:v>86</x:v>
      </x:c>
      <x:c r="Q37" s="6" t="n">
        <x:v>11</x:v>
      </x:c>
      <x:c r="R37" s="7" t="str">
        <x:v>https://arxiv.org/abs/2607.25015</x:v>
      </x:c>
      <x:c r="S37" s="7" t="str">
        <x:v>Scalar-curvature rigidity for contractible 3-manifolds; strong geometric topology implications.</x:v>
      </x:c>
    </x:row>
    <x:row r="38" ht="38" customHeight="1">
      <x:c r="A38" s="6" t="n">
        <x:v>37</x:v>
      </x:c>
      <x:c r="B38" s="7" t="str">
        <x:v>2026-07</x:v>
      </x:c>
      <x:c r="C38" s="7" t="str">
        <x:v>2607.26054</x:v>
      </x:c>
      <x:c r="D38" s="7" t="str">
        <x:v>Uniqueness of shrinking Kähler-Ricci solitons on resolutions of Kähler cones</x:v>
      </x:c>
      <x:c r="E38" s="7" t="str">
        <x:v>Ronan J. Conlon; Alix Deruelle</x:v>
      </x:c>
      <x:c r="F38" s="7" t="str">
        <x:v>Kähler-Ricci solitons</x:v>
      </x:c>
      <x:c r="G38" s="6" t="n">
        <x:v>29</x:v>
      </x:c>
      <x:c r="H38" s="28" t="n">
        <x:v>91.05</x:v>
      </x:c>
      <x:c r="I38" s="28" t="n">
        <x:v>91.15</x:v>
      </x:c>
      <x:c r="J38" s="28" t="n">
        <x:v>90.95</x:v>
      </x:c>
      <x:c r="K38" s="6" t="n">
        <x:v>92</x:v>
      </x:c>
      <x:c r="L38" s="6" t="n">
        <x:v>91</x:v>
      </x:c>
      <x:c r="M38" s="6" t="n">
        <x:v>93</x:v>
      </x:c>
      <x:c r="N38" s="6" t="n">
        <x:v>90</x:v>
      </x:c>
      <x:c r="O38" s="6" t="n">
        <x:v>93</x:v>
      </x:c>
      <x:c r="P38" s="6" t="n">
        <x:v>86</x:v>
      </x:c>
      <x:c r="Q38" s="6" t="n">
        <x:v>11</x:v>
      </x:c>
      <x:c r="R38" s="7" t="str">
        <x:v>https://arxiv.org/abs/2607.26054</x:v>
      </x:c>
      <x:c r="S38" s="7" t="str">
        <x:v>Uniqueness theorem for shrinking KRS in singular/conical resolution setting.</x:v>
      </x:c>
    </x:row>
    <x:row r="39" ht="38" customHeight="1">
      <x:c r="A39" s="6" t="n">
        <x:v>38</x:v>
      </x:c>
      <x:c r="B39" s="7" t="str">
        <x:v>2026-07</x:v>
      </x:c>
      <x:c r="C39" s="7" t="str">
        <x:v>2607.27629</x:v>
      </x:c>
      <x:c r="D39" s="7" t="str">
        <x:v>Curved Kakeya problems and the projective geometry of paths</x:v>
      </x:c>
      <x:c r="E39" s="7" t="str">
        <x:v>Shaoming Guo; Larry Guth; Arian Nadjimzadah; Minxing Shen; Ruixiang Zhang</x:v>
      </x:c>
      <x:c r="F39" s="7" t="str">
        <x:v>curved Kakeya / projective geometry</x:v>
      </x:c>
      <x:c r="G39" s="6" t="n">
        <x:v>90</x:v>
      </x:c>
      <x:c r="H39" s="28" t="n">
        <x:v>91.05</x:v>
      </x:c>
      <x:c r="I39" s="28" t="n">
        <x:v>91.15</x:v>
      </x:c>
      <x:c r="J39" s="28" t="n">
        <x:v>90.95</x:v>
      </x:c>
      <x:c r="K39" s="6" t="n">
        <x:v>92</x:v>
      </x:c>
      <x:c r="L39" s="6" t="n">
        <x:v>91</x:v>
      </x:c>
      <x:c r="M39" s="6" t="n">
        <x:v>93</x:v>
      </x:c>
      <x:c r="N39" s="6" t="n">
        <x:v>90</x:v>
      </x:c>
      <x:c r="O39" s="6" t="n">
        <x:v>93</x:v>
      </x:c>
      <x:c r="P39" s="6" t="n">
        <x:v>86</x:v>
      </x:c>
      <x:c r="Q39" s="6" t="n">
        <x:v>11</x:v>
      </x:c>
      <x:c r="R39" s="7" t="str">
        <x:v>https://arxiv.org/abs/2607.27629</x:v>
      </x:c>
      <x:c r="S39" s="7" t="str">
        <x:v>Highly technical incidence/harmonic-analysis result with projective-geometric content.</x:v>
      </x:c>
    </x:row>
    <x:row r="40" ht="38" customHeight="1">
      <x:c r="A40" s="6" t="n">
        <x:v>39</x:v>
      </x:c>
      <x:c r="B40" s="7" t="str">
        <x:v>2026-07</x:v>
      </x:c>
      <x:c r="C40" s="7" t="str">
        <x:v>2607.29447</x:v>
      </x:c>
      <x:c r="D40" s="7" t="str">
        <x:v>The Penrose inequality with charge for 2-convex initial data sets</x:v>
      </x:c>
      <x:c r="E40" s="7" t="str">
        <x:v>Tuan Dolmen</x:v>
      </x:c>
      <x:c r="F40" s="7" t="str">
        <x:v>charged Penrose inequality</x:v>
      </x:c>
      <x:c r="G40" s="6" t="str">
        <x:v>-</x:v>
      </x:c>
      <x:c r="H40" s="28" t="n">
        <x:v>91.05</x:v>
      </x:c>
      <x:c r="I40" s="28" t="n">
        <x:v>91.15</x:v>
      </x:c>
      <x:c r="J40" s="28" t="n">
        <x:v>90.95</x:v>
      </x:c>
      <x:c r="K40" s="6" t="n">
        <x:v>92</x:v>
      </x:c>
      <x:c r="L40" s="6" t="n">
        <x:v>91</x:v>
      </x:c>
      <x:c r="M40" s="6" t="n">
        <x:v>93</x:v>
      </x:c>
      <x:c r="N40" s="6" t="n">
        <x:v>90</x:v>
      </x:c>
      <x:c r="O40" s="6" t="n">
        <x:v>93</x:v>
      </x:c>
      <x:c r="P40" s="6" t="n">
        <x:v>86</x:v>
      </x:c>
      <x:c r="Q40" s="6" t="n">
        <x:v>11</x:v>
      </x:c>
      <x:c r="R40" s="7" t="str">
        <x:v>https://arxiv.org/abs/2607.29447</x:v>
      </x:c>
      <x:c r="S40" s="7" t="str">
        <x:v>Charged Penrose inequality under 2-convexity; strong GR geometry signal.</x:v>
      </x:c>
    </x:row>
    <x:row r="41" ht="38" customHeight="1">
      <x:c r="A41" s="6" t="n">
        <x:v>40</x:v>
      </x:c>
      <x:c r="B41" s="7" t="str">
        <x:v>2026-07</x:v>
      </x:c>
      <x:c r="C41" s="7" t="str">
        <x:v>2607.29588</x:v>
      </x:c>
      <x:c r="D41" s="7" t="str">
        <x:v>A two-dimensional Allen-Cahn theory for interfaces with boundary</x:v>
      </x:c>
      <x:c r="E41" s="7" t="str">
        <x:v>Marco Badran; Manuel del Pino; Marco A. M. Guaraco</x:v>
      </x:c>
      <x:c r="F41" s="7" t="str">
        <x:v>Allen-Cahn / boundary interfaces</x:v>
      </x:c>
      <x:c r="G41" s="6" t="str">
        <x:v>-</x:v>
      </x:c>
      <x:c r="H41" s="28" t="n">
        <x:v>91.05</x:v>
      </x:c>
      <x:c r="I41" s="28" t="n">
        <x:v>91.15</x:v>
      </x:c>
      <x:c r="J41" s="28" t="n">
        <x:v>90.95</x:v>
      </x:c>
      <x:c r="K41" s="6" t="n">
        <x:v>92</x:v>
      </x:c>
      <x:c r="L41" s="6" t="n">
        <x:v>91</x:v>
      </x:c>
      <x:c r="M41" s="6" t="n">
        <x:v>93</x:v>
      </x:c>
      <x:c r="N41" s="6" t="n">
        <x:v>90</x:v>
      </x:c>
      <x:c r="O41" s="6" t="n">
        <x:v>93</x:v>
      </x:c>
      <x:c r="P41" s="6" t="n">
        <x:v>86</x:v>
      </x:c>
      <x:c r="Q41" s="6" t="n">
        <x:v>11</x:v>
      </x:c>
      <x:c r="R41" s="7" t="str">
        <x:v>https://arxiv.org/abs/2607.29588</x:v>
      </x:c>
      <x:c r="S41" s="7" t="str">
        <x:v>Boundary-interface Allen-Cahn theory with geometric variational content.</x:v>
      </x:c>
    </x:row>
    <x:row r="42" ht="38" customHeight="1">
      <x:c r="A42" s="6" t="n">
        <x:v>41</x:v>
      </x:c>
      <x:c r="B42" s="7" t="str">
        <x:v>2026-08</x:v>
      </x:c>
      <x:c r="C42" s="7" t="str">
        <x:v>2608.00944</x:v>
      </x:c>
      <x:c r="D42" s="7" t="str">
        <x:v>McKean Rigidity for Cocompact Negatively Curved Manifolds and the p-Laplacian</x:v>
      </x:c>
      <x:c r="E42" s="7" t="str">
        <x:v>Kuntao Jin; Bo Zhu</x:v>
      </x:c>
      <x:c r="F42" s="7" t="str">
        <x:v>McKean rigidity / p-Laplacian</x:v>
      </x:c>
      <x:c r="G42" s="6" t="n">
        <x:v>56</x:v>
      </x:c>
      <x:c r="H42" s="28" t="n">
        <x:v>91.05</x:v>
      </x:c>
      <x:c r="I42" s="28" t="n">
        <x:v>91.15</x:v>
      </x:c>
      <x:c r="J42" s="28" t="n">
        <x:v>90.95</x:v>
      </x:c>
      <x:c r="K42" s="6" t="n">
        <x:v>92</x:v>
      </x:c>
      <x:c r="L42" s="6" t="n">
        <x:v>91</x:v>
      </x:c>
      <x:c r="M42" s="6" t="n">
        <x:v>93</x:v>
      </x:c>
      <x:c r="N42" s="6" t="n">
        <x:v>90</x:v>
      </x:c>
      <x:c r="O42" s="6" t="n">
        <x:v>93</x:v>
      </x:c>
      <x:c r="P42" s="6" t="n">
        <x:v>86</x:v>
      </x:c>
      <x:c r="Q42" s="6" t="n">
        <x:v>11</x:v>
      </x:c>
      <x:c r="R42" s="7" t="str">
        <x:v>https://arxiv.org/abs/2608.00944</x:v>
      </x:c>
      <x:c r="S42" s="7" t="str">
        <x:v>Rigidity theorem for negatively curved manifolds and p-Laplacian; high spectral-geometric value.</x:v>
      </x:c>
    </x:row>
    <x:row r="43" ht="38" customHeight="1">
      <x:c r="A43" s="6" t="n">
        <x:v>42</x:v>
      </x:c>
      <x:c r="B43" s="7" t="str">
        <x:v>2026-08</x:v>
      </x:c>
      <x:c r="C43" s="7" t="str">
        <x:v>2608.03405</x:v>
      </x:c>
      <x:c r="D43" s="7" t="str">
        <x:v>Lower Bound for Weighted Intermediate Ricci Curvature and Tensorial Entropy Convexity</x:v>
      </x:c>
      <x:c r="E43" s="7" t="str">
        <x:v>Chao-Ming Lin; Kai-Hsiang Wang</x:v>
      </x:c>
      <x:c r="F43" s="7" t="str">
        <x:v>weighted intermediate Ricci / entropy convexity</x:v>
      </x:c>
      <x:c r="G43" s="6" t="n">
        <x:v>60</x:v>
      </x:c>
      <x:c r="H43" s="28" t="n">
        <x:v>91.05</x:v>
      </x:c>
      <x:c r="I43" s="28" t="n">
        <x:v>91.15</x:v>
      </x:c>
      <x:c r="J43" s="28" t="n">
        <x:v>90.95</x:v>
      </x:c>
      <x:c r="K43" s="6" t="n">
        <x:v>92</x:v>
      </x:c>
      <x:c r="L43" s="6" t="n">
        <x:v>91</x:v>
      </x:c>
      <x:c r="M43" s="6" t="n">
        <x:v>93</x:v>
      </x:c>
      <x:c r="N43" s="6" t="n">
        <x:v>90</x:v>
      </x:c>
      <x:c r="O43" s="6" t="n">
        <x:v>93</x:v>
      </x:c>
      <x:c r="P43" s="6" t="n">
        <x:v>86</x:v>
      </x:c>
      <x:c r="Q43" s="6" t="n">
        <x:v>11</x:v>
      </x:c>
      <x:c r="R43" s="7" t="str">
        <x:v>https://arxiv.org/abs/2608.03405</x:v>
      </x:c>
      <x:c r="S43" s="7" t="str">
        <x:v>Weighted curvature lower bounds and entropy convexity; strong synthetic/geometric analysis link.</x:v>
      </x:c>
    </x:row>
    <x:row r="44" ht="38" customHeight="1">
      <x:c r="A44" s="6" t="n">
        <x:v>43</x:v>
      </x:c>
      <x:c r="B44" s="7" t="str">
        <x:v>2026-08</x:v>
      </x:c>
      <x:c r="C44" s="7" t="str">
        <x:v>2608.04364</x:v>
      </x:c>
      <x:c r="D44" s="7" t="str">
        <x:v>Calabi-Yau Conjecture for Minimal Hypersurfaces in R^4 with bounded geometry</x:v>
      </x:c>
      <x:c r="E44" s="7" t="str">
        <x:v>Shrey Aryan; Alexander D. McWeeney; Giuseppe Tinaglia</x:v>
      </x:c>
      <x:c r="F44" s="7" t="str">
        <x:v>minimal hypersurfaces / Calabi-Yau conjecture</x:v>
      </x:c>
      <x:c r="G44" s="6" t="n">
        <x:v>9</x:v>
      </x:c>
      <x:c r="H44" s="28" t="n">
        <x:v>91.05</x:v>
      </x:c>
      <x:c r="I44" s="28" t="n">
        <x:v>91.15</x:v>
      </x:c>
      <x:c r="J44" s="28" t="n">
        <x:v>90.95</x:v>
      </x:c>
      <x:c r="K44" s="6" t="n">
        <x:v>92</x:v>
      </x:c>
      <x:c r="L44" s="6" t="n">
        <x:v>91</x:v>
      </x:c>
      <x:c r="M44" s="6" t="n">
        <x:v>93</x:v>
      </x:c>
      <x:c r="N44" s="6" t="n">
        <x:v>90</x:v>
      </x:c>
      <x:c r="O44" s="6" t="n">
        <x:v>93</x:v>
      </x:c>
      <x:c r="P44" s="6" t="n">
        <x:v>86</x:v>
      </x:c>
      <x:c r="Q44" s="6" t="n">
        <x:v>11</x:v>
      </x:c>
      <x:c r="R44" s="7" t="str">
        <x:v>https://arxiv.org/abs/2608.04364</x:v>
      </x:c>
      <x:c r="S44" s="7" t="str">
        <x:v>Concise theorem around Calabi-Yau conjecture for minimal hypersurfaces.</x:v>
      </x:c>
    </x:row>
    <x:row r="45" ht="38" customHeight="1">
      <x:c r="A45" s="6" t="n">
        <x:v>44</x:v>
      </x:c>
      <x:c r="B45" s="7" t="str">
        <x:v>2026-08</x:v>
      </x:c>
      <x:c r="C45" s="7" t="str">
        <x:v>2608.02405</x:v>
      </x:c>
      <x:c r="D45" s="7" t="str">
        <x:v>A Weighted Discretization of Riemannian Manifolds with Lower Ricci Bounds</x:v>
      </x:c>
      <x:c r="E45" s="7" t="str">
        <x:v>Aditya Tiwari</x:v>
      </x:c>
      <x:c r="F45" s="7" t="str">
        <x:v>weighted graph discretization / Ricci lower bounds</x:v>
      </x:c>
      <x:c r="G45" s="6" t="n">
        <x:v>16</x:v>
      </x:c>
      <x:c r="H45" s="28" t="n">
        <x:v>90.775</x:v>
      </x:c>
      <x:c r="I45" s="28" t="n">
        <x:v>91.2</x:v>
      </x:c>
      <x:c r="J45" s="28" t="n">
        <x:v>90.35</x:v>
      </x:c>
      <x:c r="K45" s="6" t="n">
        <x:v>92</x:v>
      </x:c>
      <x:c r="L45" s="6" t="n">
        <x:v>92</x:v>
      </x:c>
      <x:c r="M45" s="6" t="n">
        <x:v>92</x:v>
      </x:c>
      <x:c r="N45" s="6" t="n">
        <x:v>92</x:v>
      </x:c>
      <x:c r="O45" s="6" t="n">
        <x:v>92</x:v>
      </x:c>
      <x:c r="P45" s="6" t="n">
        <x:v>84</x:v>
      </x:c>
      <x:c r="Q45" s="6" t="n">
        <x:v>11</x:v>
      </x:c>
      <x:c r="R45" s="7" t="str">
        <x:v>https://arxiv.org/abs/2608.02405</x:v>
      </x:c>
      <x:c r="S45" s="7" t="str">
        <x:v>Weighted combinatorial Laplacian with spectral comparison independent of injectivity radius and stability under measured Gromov-Hausdorff convergence.</x:v>
      </x:c>
    </x:row>
    <x:row r="46" ht="38" customHeight="1">
      <x:c r="A46" s="6" t="n">
        <x:v>45</x:v>
      </x:c>
      <x:c r="B46" s="7" t="str">
        <x:v>2026-08</x:v>
      </x:c>
      <x:c r="C46" s="7" t="str">
        <x:v>2608.06974</x:v>
      </x:c>
      <x:c r="D46" s="7" t="str">
        <x:v>Left-invariant metrics on step-two Carnot groups are uniformly doubling</x:v>
      </x:c>
      <x:c r="E46" s="7" t="str">
        <x:v>Cheng Bi; Ye Zhang</x:v>
      </x:c>
      <x:c r="F46" s="7" t="str">
        <x:v>Carnot groups / uniform doubling</x:v>
      </x:c>
      <x:c r="G46" s="6" t="n">
        <x:v>7</x:v>
      </x:c>
      <x:c r="H46" s="28" t="n">
        <x:v>90.725</x:v>
      </x:c>
      <x:c r="I46" s="28" t="n">
        <x:v>91.15</x:v>
      </x:c>
      <x:c r="J46" s="28" t="n">
        <x:v>90.3</x:v>
      </x:c>
      <x:c r="K46" s="6" t="n">
        <x:v>92</x:v>
      </x:c>
      <x:c r="L46" s="6" t="n">
        <x:v>92</x:v>
      </x:c>
      <x:c r="M46" s="6" t="n">
        <x:v>91</x:v>
      </x:c>
      <x:c r="N46" s="6" t="n">
        <x:v>92</x:v>
      </x:c>
      <x:c r="O46" s="6" t="n">
        <x:v>92</x:v>
      </x:c>
      <x:c r="P46" s="6" t="n">
        <x:v>86</x:v>
      </x:c>
      <x:c r="Q46" s="6" t="n">
        <x:v>12</x:v>
      </x:c>
      <x:c r="R46" s="7" t="str">
        <x:v>https://arxiv.org/abs/2608.06974</x:v>
      </x:c>
      <x:c r="S46" s="7" t="str">
        <x:v>Proves the sharp uniform doubling constant 2^Q for all left-invariant Riemannian metrics on every step-two Carnot group, together with a Bishop-Gromov-type estimate.</x:v>
      </x:c>
    </x:row>
    <x:row r="47" ht="38" customHeight="1">
      <x:c r="A47" s="6" t="n">
        <x:v>46</x:v>
      </x:c>
      <x:c r="B47" s="7" t="str">
        <x:v>2026-07</x:v>
      </x:c>
      <x:c r="C47" s="7" t="str">
        <x:v>2607.29654</x:v>
      </x:c>
      <x:c r="D47" s="7" t="str">
        <x:v>Elastic Curves via Geometric Mechanics</x:v>
      </x:c>
      <x:c r="E47" s="7" t="str">
        <x:v>Oliver Gross; Rohit Jammula; Albert Chern</x:v>
      </x:c>
      <x:c r="F47" s="7" t="str">
        <x:v>discrete elastic curves / geometric mechanics</x:v>
      </x:c>
      <x:c r="G47" s="6" t="n">
        <x:v>23</x:v>
      </x:c>
      <x:c r="H47" s="28" t="n">
        <x:v>90.5</x:v>
      </x:c>
      <x:c r="I47" s="28" t="n">
        <x:v>90.95</x:v>
      </x:c>
      <x:c r="J47" s="28" t="n">
        <x:v>90.05</x:v>
      </x:c>
      <x:c r="K47" s="6" t="n">
        <x:v>91</x:v>
      </x:c>
      <x:c r="L47" s="6" t="n">
        <x:v>93</x:v>
      </x:c>
      <x:c r="M47" s="6" t="n">
        <x:v>91</x:v>
      </x:c>
      <x:c r="N47" s="6" t="n">
        <x:v>92</x:v>
      </x:c>
      <x:c r="O47" s="6" t="n">
        <x:v>91</x:v>
      </x:c>
      <x:c r="P47" s="6" t="n">
        <x:v>85</x:v>
      </x:c>
      <x:c r="Q47" s="6" t="n">
        <x:v>12</x:v>
      </x:c>
      <x:c r="R47" s="7" t="str">
        <x:v>https://arxiv.org/abs/2607.29654</x:v>
      </x:c>
      <x:c r="S47" s="7" t="str">
        <x:v>New isoperimetric characterization and exact structure-preserving polygonal theory; carries canonical symplectic dynamics to discrete curves.</x:v>
      </x:c>
    </x:row>
    <x:row r="48" ht="38" customHeight="1">
      <x:c r="A48" s="6" t="n">
        <x:v>47</x:v>
      </x:c>
      <x:c r="B48" s="7" t="str">
        <x:v>2026-08</x:v>
      </x:c>
      <x:c r="C48" s="7" t="str">
        <x:v>2507.16794</x:v>
      </x:c>
      <x:c r="D48" s="7" t="str">
        <x:v>Spectral gaps for noncompact hyperbolic surfaces with linearly many cusps</x:v>
      </x:c>
      <x:c r="E48" s="7" t="str">
        <x:v>Qi Guo; Bobo Hua; Yang Shen</x:v>
      </x:c>
      <x:c r="F48" s="7" t="str">
        <x:v>spectral geometry / hyperbolic surfaces / expander graphs</x:v>
      </x:c>
      <x:c r="G48" s="6" t="n">
        <x:v>23</x:v>
      </x:c>
      <x:c r="H48" s="28" t="n">
        <x:v>90.4</x:v>
      </x:c>
      <x:c r="I48" s="28" t="n">
        <x:v>90.95</x:v>
      </x:c>
      <x:c r="J48" s="28" t="n">
        <x:v>89.85</x:v>
      </x:c>
      <x:c r="K48" s="6" t="n">
        <x:v>92</x:v>
      </x:c>
      <x:c r="L48" s="6" t="n">
        <x:v>93</x:v>
      </x:c>
      <x:c r="M48" s="6" t="n">
        <x:v>90</x:v>
      </x:c>
      <x:c r="N48" s="6" t="n">
        <x:v>91</x:v>
      </x:c>
      <x:c r="O48" s="6" t="n">
        <x:v>92</x:v>
      </x:c>
      <x:c r="P48" s="6" t="n">
        <x:v>86</x:v>
      </x:c>
      <x:c r="Q48" s="6" t="n">
        <x:v>15</x:v>
      </x:c>
      <x:c r="R48" s="7" t="str">
        <x:v>https://arxiv.org/abs/2507.16794</x:v>
      </x:c>
      <x:c r="S48" s="7" t="str">
        <x:v>Closes the linear-cusp existence regime through a quantitative expander-graph construction and proves a complementary Steklov obstruction for superlinear cusp growth.</x:v>
      </x:c>
    </x:row>
    <x:row r="49" ht="38" customHeight="1">
      <x:c r="A49" s="6" t="n">
        <x:v>48</x:v>
      </x:c>
      <x:c r="B49" s="7" t="str">
        <x:v>2026-07</x:v>
      </x:c>
      <x:c r="C49" s="7" t="str">
        <x:v>2607.05023</x:v>
      </x:c>
      <x:c r="D49" s="7" t="str">
        <x:v>Rigidity on compact surfaces through hyperbolic symmetries</x:v>
      </x:c>
      <x:c r="E49" s="7" t="str">
        <x:v>Sean Dewar; Alison La Porta; Rebecca Monks; Anthony Nixon; Klara Stokes; Joannes Vermant</x:v>
      </x:c>
      <x:c r="F49" s="7" t="str">
        <x:v>surface rigidity / hyperbolic symmetries</x:v>
      </x:c>
      <x:c r="G49" s="6" t="n">
        <x:v>45</x:v>
      </x:c>
      <x:c r="H49" s="28" t="n">
        <x:v>90.4</x:v>
      </x:c>
      <x:c r="I49" s="28" t="n">
        <x:v>90.45</x:v>
      </x:c>
      <x:c r="J49" s="28" t="n">
        <x:v>90.35</x:v>
      </x:c>
      <x:c r="K49" s="6" t="n">
        <x:v>90</x:v>
      </x:c>
      <x:c r="L49" s="6" t="n">
        <x:v>93</x:v>
      </x:c>
      <x:c r="M49" s="6" t="n">
        <x:v>91</x:v>
      </x:c>
      <x:c r="N49" s="6" t="n">
        <x:v>90</x:v>
      </x:c>
      <x:c r="O49" s="6" t="n">
        <x:v>91</x:v>
      </x:c>
      <x:c r="P49" s="6" t="n">
        <x:v>86</x:v>
      </x:c>
      <x:c r="Q49" s="6" t="n">
        <x:v>11</x:v>
      </x:c>
      <x:c r="R49" s="7" t="str">
        <x:v>https://arxiv.org/abs/2607.05023</x:v>
      </x:c>
      <x:c r="S49" s="7" t="str">
        <x:v>First finite combinatorial characterization of generic rigidity for frameworks on compact surfaces of genus at least two, via hyperbolic symmetries and gain graphs.</x:v>
      </x:c>
    </x:row>
    <x:row r="50" ht="38" customHeight="1">
      <x:c r="A50" s="6" t="n">
        <x:v>49</x:v>
      </x:c>
      <x:c r="B50" s="7" t="str">
        <x:v>2026-08</x:v>
      </x:c>
      <x:c r="C50" s="7" t="str">
        <x:v>2608.07351</x:v>
      </x:c>
      <x:c r="D50" s="7" t="str">
        <x:v>Finite-Rank Lie Algebroids for Singular Foliations of Prescribed Vanishing Order</x:v>
      </x:c>
      <x:c r="E50" s="7" t="str">
        <x:v>Austin Davis; Cheng-Yi Hung; Sangjun Ko; Kaichuan Qi</x:v>
      </x:c>
      <x:c r="F50" s="7" t="str">
        <x:v>singular foliations / Lie algebroids</x:v>
      </x:c>
      <x:c r="G50" s="6" t="n">
        <x:v>11</x:v>
      </x:c>
      <x:c r="H50" s="28" t="n">
        <x:v>90.175</x:v>
      </x:c>
      <x:c r="I50" s="28" t="n">
        <x:v>90.5</x:v>
      </x:c>
      <x:c r="J50" s="28" t="n">
        <x:v>89.85</x:v>
      </x:c>
      <x:c r="K50" s="6" t="n">
        <x:v>91</x:v>
      </x:c>
      <x:c r="L50" s="6" t="n">
        <x:v>94</x:v>
      </x:c>
      <x:c r="M50" s="6" t="n">
        <x:v>89</x:v>
      </x:c>
      <x:c r="N50" s="6" t="n">
        <x:v>91</x:v>
      </x:c>
      <x:c r="O50" s="6" t="n">
        <x:v>92</x:v>
      </x:c>
      <x:c r="P50" s="6" t="n">
        <x:v>85</x:v>
      </x:c>
      <x:c r="Q50" s="6" t="n">
        <x:v>14</x:v>
      </x:c>
      <x:c r="R50" s="7" t="str">
        <x:v>https://arxiv.org/abs/2608.07351</x:v>
      </x:c>
      <x:c r="S50" s="7" t="str">
        <x:v>Solves a finite-rank realizability problem for prescribed-order vanishing singular foliations via a new construction from left-symmetric and sub-adjacent Lie algebroids.</x:v>
      </x:c>
    </x:row>
    <x:row r="51" ht="38" customHeight="1">
      <x:c r="A51" s="6" t="n">
        <x:v>50</x:v>
      </x:c>
      <x:c r="B51" s="7" t="str">
        <x:v>2026-07</x:v>
      </x:c>
      <x:c r="C51" s="7" t="str">
        <x:v>2607.02244</x:v>
      </x:c>
      <x:c r="D51" s="7" t="str">
        <x:v>Foliations by constant spacetime mean curvature surfaces for asymptotically hyperboloidal initial data sets</x:v>
      </x:c>
      <x:c r="E51" s="7" t="str">
        <x:v>Jacopo Tenan</x:v>
      </x:c>
      <x:c r="F51" s="7" t="str">
        <x:v>spacetime mean curvature foliations</x:v>
      </x:c>
      <x:c r="G51" s="6" t="str">
        <x:v>-</x:v>
      </x:c>
      <x:c r="H51" s="28" t="n">
        <x:v>90.175</x:v>
      </x:c>
      <x:c r="I51" s="28" t="n">
        <x:v>90.25</x:v>
      </x:c>
      <x:c r="J51" s="28" t="n">
        <x:v>90.1</x:v>
      </x:c>
      <x:c r="K51" s="6" t="n">
        <x:v>91</x:v>
      </x:c>
      <x:c r="L51" s="6" t="n">
        <x:v>90</x:v>
      </x:c>
      <x:c r="M51" s="6" t="n">
        <x:v>92</x:v>
      </x:c>
      <x:c r="N51" s="6" t="n">
        <x:v>89</x:v>
      </x:c>
      <x:c r="O51" s="6" t="n">
        <x:v>92</x:v>
      </x:c>
      <x:c r="P51" s="6" t="n">
        <x:v>86</x:v>
      </x:c>
      <x:c r="Q51" s="6" t="n">
        <x:v>12</x:v>
      </x:c>
      <x:c r="R51" s="7" t="str">
        <x:v>https://arxiv.org/abs/2607.02244</x:v>
      </x:c>
      <x:c r="S51" s="7" t="str">
        <x:v>Foliation result in asymptotically hyperboloidal GR geometry.</x:v>
      </x:c>
    </x:row>
  </x:sheetData>
  <x:pageMargins left="0.7" right="0.7" top="0.75" bottom="0.75" header="0.3" footer="0.3"/>
  <x:tableParts count="1">
    <x:tablePart xmlns:r="http://schemas.openxmlformats.org/officeDocument/2006/relationships" r:id="R834fb67be3854ca1"/>
  </x:tableParts>
</x:worksheet>
</file>

<file path=xl/worksheets/sheet10.xml><?xml version="1.0" encoding="utf-8"?>
<x:worksheet xmlns:x="http://schemas.openxmlformats.org/spreadsheetml/2006/main">
  <x:sheetFormatPr defaultColWidth="9" defaultRowHeight="13.5"/>
  <x:cols>
    <x:col min="1" max="1" width="11" customWidth="1"/>
    <x:col min="2" max="2" width="15" customWidth="1"/>
    <x:col min="3" max="3" width="10" customWidth="1"/>
    <x:col min="4" max="4" width="12" customWidth="1"/>
    <x:col min="5" max="5" width="42" customWidth="1"/>
    <x:col min="6" max="6" width="28" customWidth="1"/>
    <x:col min="7" max="7" width="24" customWidth="1"/>
    <x:col min="8" max="11" width="8" customWidth="1"/>
    <x:col min="12" max="18" width="6" customWidth="1"/>
    <x:col min="19" max="19" width="34" customWidth="1"/>
    <x:col min="20" max="20" width="48" customWidth="1"/>
  </x:cols>
  <x:sheetData>
    <x:row r="1" ht="28" customHeight="1">
      <x:c r="A1" s="1" t="str">
        <x:v>MonthlyRank</x:v>
      </x:c>
      <x:c r="B1" s="1" t="str">
        <x:v>OverallRank_6_8</x:v>
      </x:c>
      <x:c r="C1" s="1" t="str">
        <x:v>Month</x:v>
      </x:c>
      <x:c r="D1" s="1" t="str">
        <x:v>arXiv</x:v>
      </x:c>
      <x:c r="E1" s="1" t="str">
        <x:v>Title</x:v>
      </x:c>
      <x:c r="F1" s="1" t="str">
        <x:v>Authors</x:v>
      </x:c>
      <x:c r="G1" s="1" t="str">
        <x:v>Theme</x:v>
      </x:c>
      <x:c r="H1" s="1" t="str">
        <x:v>Pages</x:v>
      </x:c>
      <x:c r="I1" s="1" t="str">
        <x:v>S_eq</x:v>
      </x:c>
      <x:c r="J1" s="1" t="str">
        <x:v>V</x:v>
      </x:c>
      <x:c r="K1" s="1" t="str">
        <x:v>S_H</x:v>
      </x:c>
      <x:c r="L1" s="1" t="str">
        <x:v>I</x:v>
      </x:c>
      <x:c r="M1" s="1" t="str">
        <x:v>O</x:v>
      </x:c>
      <x:c r="N1" s="1" t="str">
        <x:v>T</x:v>
      </x:c>
      <x:c r="O1" s="1" t="str">
        <x:v>B</x:v>
      </x:c>
      <x:c r="P1" s="1" t="str">
        <x:v>H</x:v>
      </x:c>
      <x:c r="Q1" s="1" t="str">
        <x:v>R</x:v>
      </x:c>
      <x:c r="R1" s="1" t="str">
        <x:v>AI_pct</x:v>
      </x:c>
      <x:c r="S1" s="1" t="str">
        <x:v>SourceURL</x:v>
      </x:c>
      <x:c r="T1" s="1" t="str">
        <x:v>综合判断</x:v>
      </x:c>
    </x:row>
    <x:row r="2" ht="45" customHeight="1">
      <x:c r="A2" s="2" t="n">
        <x:v>1</x:v>
      </x:c>
      <x:c r="B2" s="2" t="n">
        <x:v>1</x:v>
      </x:c>
      <x:c r="C2" s="3" t="str">
        <x:v>2026-06</x:v>
      </x:c>
      <x:c r="D2" s="3" t="str">
        <x:v>2606.01511</x:v>
      </x:c>
      <x:c r="E2" s="3" t="str">
        <x:v>A Branch Set Stratification for Stationary Varifolds with Epsilon-Regularity</x:v>
      </x:c>
      <x:c r="F2" s="3" t="str">
        <x:v>Brian Krummel; Paul Minter; Neshan Wickramasekera</x:v>
      </x:c>
      <x:c r="G2" s="3" t="str">
        <x:v>GMT / stationary varifolds</x:v>
      </x:c>
      <x:c r="H2" s="2" t="n">
        <x:v>119</x:v>
      </x:c>
      <x:c r="I2" s="36" t="n">
        <x:v>95.3</x:v>
      </x:c>
      <x:c r="J2" s="36" t="n">
        <x:v>95.7</x:v>
      </x:c>
      <x:c r="K2" s="36" t="n">
        <x:v>94.9</x:v>
      </x:c>
      <x:c r="L2" s="2" t="n">
        <x:v>98</x:v>
      </x:c>
      <x:c r="M2" s="2" t="n">
        <x:v>95</x:v>
      </x:c>
      <x:c r="N2" s="2" t="n">
        <x:v>96</x:v>
      </x:c>
      <x:c r="O2" s="2" t="n">
        <x:v>94</x:v>
      </x:c>
      <x:c r="P2" s="2" t="n">
        <x:v>97</x:v>
      </x:c>
      <x:c r="Q2" s="2" t="n">
        <x:v>92</x:v>
      </x:c>
      <x:c r="R2" s="2" t="n">
        <x:v>8</x:v>
      </x:c>
      <x:c r="S2" s="3" t="str">
        <x:v>https://arxiv.org/abs/2606.01511</x:v>
      </x:c>
      <x:c r="T2" s="3" t="str">
        <x:v>Long branch-set stratification and epsilon-regularity framework for stationary varifolds.</x:v>
      </x:c>
    </x:row>
    <x:row r="3" ht="45" customHeight="1">
      <x:c r="A3" s="2" t="n">
        <x:v>2</x:v>
      </x:c>
      <x:c r="B3" s="2" t="n">
        <x:v>2</x:v>
      </x:c>
      <x:c r="C3" s="3" t="str">
        <x:v>2026-06</x:v>
      </x:c>
      <x:c r="D3" s="3" t="str">
        <x:v>2606.03583</x:v>
      </x:c>
      <x:c r="E3" s="3" t="str">
        <x:v>Closed minimal surfaces of index one in Riemannian manifolds</x:v>
      </x:c>
      <x:c r="F3" s="3" t="str">
        <x:v>Fernando C. Marques; André Neves</x:v>
      </x:c>
      <x:c r="G3" s="3" t="str">
        <x:v>minimal surfaces / min-max</x:v>
      </x:c>
      <x:c r="H3" s="2" t="n">
        <x:v>58</x:v>
      </x:c>
      <x:c r="I3" s="36" t="n">
        <x:v>95.07</x:v>
      </x:c>
      <x:c r="J3" s="36" t="n">
        <x:v>95.25</x:v>
      </x:c>
      <x:c r="K3" s="36" t="n">
        <x:v>94.9</x:v>
      </x:c>
      <x:c r="L3" s="2" t="n">
        <x:v>97</x:v>
      </x:c>
      <x:c r="M3" s="2" t="n">
        <x:v>95</x:v>
      </x:c>
      <x:c r="N3" s="2" t="n">
        <x:v>96</x:v>
      </x:c>
      <x:c r="O3" s="2" t="n">
        <x:v>93</x:v>
      </x:c>
      <x:c r="P3" s="2" t="n">
        <x:v>97</x:v>
      </x:c>
      <x:c r="Q3" s="2" t="n">
        <x:v>92</x:v>
      </x:c>
      <x:c r="R3" s="2" t="n">
        <x:v>8</x:v>
      </x:c>
      <x:c r="S3" s="3" t="str">
        <x:v>https://arxiv.org/abs/2606.03583</x:v>
      </x:c>
      <x:c r="T3" s="3" t="str">
        <x:v>Index-one minimal surface theory by leading min-max authors; high conceptual and technical weight.</x:v>
      </x:c>
    </x:row>
    <x:row r="4" ht="45" customHeight="1">
      <x:c r="A4" s="2" t="n">
        <x:v>3</x:v>
      </x:c>
      <x:c r="B4" s="2" t="n">
        <x:v>3</x:v>
      </x:c>
      <x:c r="C4" s="3" t="str">
        <x:v>2026-06</x:v>
      </x:c>
      <x:c r="D4" s="3" t="str">
        <x:v>2606.12257</x:v>
      </x:c>
      <x:c r="E4" s="3" t="str">
        <x:v>Quantum cohomology and split generation in Lagrangian Floer theory</x:v>
      </x:c>
      <x:c r="F4" s="3" t="str">
        <x:v>Mohammed Abouzaid; Kenji Fukaya; Yong-Geun Oh; Hiroshi Ohta; Kaoru Ono</x:v>
      </x:c>
      <x:c r="G4" s="3" t="str">
        <x:v>Floer theory / symplectic geometry</x:v>
      </x:c>
      <x:c r="H4" s="2" t="n">
        <x:v>333</x:v>
      </x:c>
      <x:c r="I4" s="36" t="n">
        <x:v>94.85</x:v>
      </x:c>
      <x:c r="J4" s="36" t="n">
        <x:v>95</x:v>
      </x:c>
      <x:c r="K4" s="36" t="n">
        <x:v>94.7</x:v>
      </x:c>
      <x:c r="L4" s="2" t="n">
        <x:v>97</x:v>
      </x:c>
      <x:c r="M4" s="2" t="n">
        <x:v>95</x:v>
      </x:c>
      <x:c r="N4" s="2" t="n">
        <x:v>95</x:v>
      </x:c>
      <x:c r="O4" s="2" t="n">
        <x:v>93</x:v>
      </x:c>
      <x:c r="P4" s="2" t="n">
        <x:v>97</x:v>
      </x:c>
      <x:c r="Q4" s="2" t="n">
        <x:v>92</x:v>
      </x:c>
      <x:c r="R4" s="2" t="n">
        <x:v>8</x:v>
      </x:c>
      <x:c r="S4" s="3" t="str">
        <x:v>https://arxiv.org/abs/2606.12257</x:v>
      </x:c>
      <x:c r="T4" s="3" t="str">
        <x:v>Massive foundational Floer-theoretic contribution with strong downstream value.</x:v>
      </x:c>
    </x:row>
    <x:row r="5" ht="45" customHeight="1">
      <x:c r="A5" s="2" t="n">
        <x:v>4</x:v>
      </x:c>
      <x:c r="B5" s="2" t="n">
        <x:v>4</x:v>
      </x:c>
      <x:c r="C5" s="3" t="str">
        <x:v>2026-06</x:v>
      </x:c>
      <x:c r="D5" s="3" t="str">
        <x:v>2606.30098</x:v>
      </x:c>
      <x:c r="E5" s="3" t="str">
        <x:v>Min-Max Construction of Anisotropic Minimal Surfaces with Genus Bound</x:v>
      </x:c>
      <x:c r="F5" s="3" t="str">
        <x:v>Antonio De Rosa; Aria Halavati; Ling Wang</x:v>
      </x:c>
      <x:c r="G5" s="3" t="str">
        <x:v>anisotropic minimal surfaces</x:v>
      </x:c>
      <x:c r="H5" s="2" t="n">
        <x:v>77</x:v>
      </x:c>
      <x:c r="I5" s="36" t="n">
        <x:v>94.38</x:v>
      </x:c>
      <x:c r="J5" s="36" t="n">
        <x:v>94.7</x:v>
      </x:c>
      <x:c r="K5" s="36" t="n">
        <x:v>94.05</x:v>
      </x:c>
      <x:c r="L5" s="2" t="n">
        <x:v>97</x:v>
      </x:c>
      <x:c r="M5" s="2" t="n">
        <x:v>94</x:v>
      </x:c>
      <x:c r="N5" s="2" t="n">
        <x:v>95</x:v>
      </x:c>
      <x:c r="O5" s="2" t="n">
        <x:v>93</x:v>
      </x:c>
      <x:c r="P5" s="2" t="n">
        <x:v>96</x:v>
      </x:c>
      <x:c r="Q5" s="2" t="n">
        <x:v>91</x:v>
      </x:c>
      <x:c r="R5" s="2" t="n">
        <x:v>8</x:v>
      </x:c>
      <x:c r="S5" s="3" t="str">
        <x:v>https://arxiv.org/abs/2606.30098</x:v>
      </x:c>
      <x:c r="T5" s="3" t="str">
        <x:v>Min-max construction with genus control in anisotropic surface theory.</x:v>
      </x:c>
    </x:row>
    <x:row r="6" ht="45" customHeight="1">
      <x:c r="A6" s="2" t="n">
        <x:v>5</x:v>
      </x:c>
      <x:c r="B6" s="2" t="n">
        <x:v>7</x:v>
      </x:c>
      <x:c r="C6" s="3" t="str">
        <x:v>2026-06</x:v>
      </x:c>
      <x:c r="D6" s="3" t="str">
        <x:v>2606.13335</x:v>
      </x:c>
      <x:c r="E6" s="3" t="str">
        <x:v>Sharp stability of Alexandrov's theorem for C^1 domains in the small-excess regime</x:v>
      </x:c>
      <x:c r="F6" s="3" t="str">
        <x:v>Alessio Figalli; Yi Ru-Ya Zhang</x:v>
      </x:c>
      <x:c r="G6" s="3" t="str">
        <x:v>geometric inequalities / stability</x:v>
      </x:c>
      <x:c r="H6" s="2" t="n">
        <x:v>59</x:v>
      </x:c>
      <x:c r="I6" s="36" t="n">
        <x:v>94.07</x:v>
      </x:c>
      <x:c r="J6" s="36" t="n">
        <x:v>94.4</x:v>
      </x:c>
      <x:c r="K6" s="36" t="n">
        <x:v>93.75</x:v>
      </x:c>
      <x:c r="L6" s="2" t="n">
        <x:v>96</x:v>
      </x:c>
      <x:c r="M6" s="2" t="n">
        <x:v>94</x:v>
      </x:c>
      <x:c r="N6" s="2" t="n">
        <x:v>95</x:v>
      </x:c>
      <x:c r="O6" s="2" t="n">
        <x:v>93</x:v>
      </x:c>
      <x:c r="P6" s="2" t="n">
        <x:v>95</x:v>
      </x:c>
      <x:c r="Q6" s="2" t="n">
        <x:v>91</x:v>
      </x:c>
      <x:c r="R6" s="2" t="n">
        <x:v>8</x:v>
      </x:c>
      <x:c r="S6" s="3" t="str">
        <x:v>https://arxiv.org/abs/2606.13335</x:v>
      </x:c>
      <x:c r="T6" s="3" t="str">
        <x:v>Sharp quantitative stability for Alexandrov-type rigidity.</x:v>
      </x:c>
    </x:row>
    <x:row r="7" ht="45" customHeight="1">
      <x:c r="A7" s="2" t="n">
        <x:v>6</x:v>
      </x:c>
      <x:c r="B7" s="2" t="n">
        <x:v>8</x:v>
      </x:c>
      <x:c r="C7" s="3" t="str">
        <x:v>2026-06</x:v>
      </x:c>
      <x:c r="D7" s="3" t="str">
        <x:v>2606.15795</x:v>
      </x:c>
      <x:c r="E7" s="3" t="str">
        <x:v>Entire area-minimizing surfaces in R^n of density two are quadratic or planar</x:v>
      </x:c>
      <x:c r="F7" s="3" t="str">
        <x:v>Nick Edelen; Luis Atzin Franco Reyna; Paul Minter</x:v>
      </x:c>
      <x:c r="G7" s="3" t="str">
        <x:v>area-minimizing currents</x:v>
      </x:c>
      <x:c r="H7" s="2" t="n">
        <x:v>44</x:v>
      </x:c>
      <x:c r="I7" s="36" t="n">
        <x:v>94.07</x:v>
      </x:c>
      <x:c r="J7" s="36" t="n">
        <x:v>94.4</x:v>
      </x:c>
      <x:c r="K7" s="36" t="n">
        <x:v>93.75</x:v>
      </x:c>
      <x:c r="L7" s="2" t="n">
        <x:v>96</x:v>
      </x:c>
      <x:c r="M7" s="2" t="n">
        <x:v>94</x:v>
      </x:c>
      <x:c r="N7" s="2" t="n">
        <x:v>95</x:v>
      </x:c>
      <x:c r="O7" s="2" t="n">
        <x:v>93</x:v>
      </x:c>
      <x:c r="P7" s="2" t="n">
        <x:v>95</x:v>
      </x:c>
      <x:c r="Q7" s="2" t="n">
        <x:v>91</x:v>
      </x:c>
      <x:c r="R7" s="2" t="n">
        <x:v>8</x:v>
      </x:c>
      <x:c r="S7" s="3" t="str">
        <x:v>https://arxiv.org/abs/2606.15795</x:v>
      </x:c>
      <x:c r="T7" s="3" t="str">
        <x:v>Sharp classification for density-two entire area minimizers.</x:v>
      </x:c>
    </x:row>
    <x:row r="8" ht="45" customHeight="1">
      <x:c r="A8" s="2" t="n">
        <x:v>7</x:v>
      </x:c>
      <x:c r="B8" s="2" t="n">
        <x:v>9</x:v>
      </x:c>
      <x:c r="C8" s="3" t="str">
        <x:v>2026-06</x:v>
      </x:c>
      <x:c r="D8" s="3" t="str">
        <x:v>2606.22355</x:v>
      </x:c>
      <x:c r="E8" s="3" t="str">
        <x:v>Uncountably many non-rotationally symmetric type II ancient Yamabe flows on the sphere</x:v>
      </x:c>
      <x:c r="F8" s="3" t="str">
        <x:v>Haixia Chen; Seunghyeok Kim; Monica Musso</x:v>
      </x:c>
      <x:c r="G8" s="3" t="str">
        <x:v>Yamabe flow / ancient solutions</x:v>
      </x:c>
      <x:c r="H8" s="2" t="str">
        <x:v>-</x:v>
      </x:c>
      <x:c r="I8" s="36" t="n">
        <x:v>94</x:v>
      </x:c>
      <x:c r="J8" s="36" t="n">
        <x:v>94.25</x:v>
      </x:c>
      <x:c r="K8" s="36" t="n">
        <x:v>93.75</x:v>
      </x:c>
      <x:c r="L8" s="2" t="n">
        <x:v>96</x:v>
      </x:c>
      <x:c r="M8" s="2" t="n">
        <x:v>94</x:v>
      </x:c>
      <x:c r="N8" s="2" t="n">
        <x:v>95</x:v>
      </x:c>
      <x:c r="O8" s="2" t="n">
        <x:v>92</x:v>
      </x:c>
      <x:c r="P8" s="2" t="n">
        <x:v>95</x:v>
      </x:c>
      <x:c r="Q8" s="2" t="n">
        <x:v>91</x:v>
      </x:c>
      <x:c r="R8" s="2" t="n">
        <x:v>8</x:v>
      </x:c>
      <x:c r="S8" s="3" t="str">
        <x:v>https://arxiv.org/abs/2606.22355</x:v>
      </x:c>
      <x:c r="T8" s="3" t="str">
        <x:v>Constructs large family of type-II ancient Yamabe flows with symmetry breaking.</x:v>
      </x:c>
    </x:row>
    <x:row r="9" ht="45" customHeight="1">
      <x:c r="A9" s="2" t="n">
        <x:v>8</x:v>
      </x:c>
      <x:c r="B9" s="2" t="n">
        <x:v>11</x:v>
      </x:c>
      <x:c r="C9" s="3" t="str">
        <x:v>2026-06</x:v>
      </x:c>
      <x:c r="D9" s="3" t="str">
        <x:v>2606.00964</x:v>
      </x:c>
      <x:c r="E9" s="3" t="str">
        <x:v>Mean convex flows with surgery</x:v>
      </x:c>
      <x:c r="F9" s="3" t="str">
        <x:v>Gabor Szekelyhidi</x:v>
      </x:c>
      <x:c r="G9" s="3" t="str">
        <x:v>mean curvature flow / surgery</x:v>
      </x:c>
      <x:c r="H9" s="2" t="n">
        <x:v>56</x:v>
      </x:c>
      <x:c r="I9" s="36" t="n">
        <x:v>93.55</x:v>
      </x:c>
      <x:c r="J9" s="36" t="n">
        <x:v>93.7</x:v>
      </x:c>
      <x:c r="K9" s="36" t="n">
        <x:v>93.4</x:v>
      </x:c>
      <x:c r="L9" s="2" t="n">
        <x:v>95</x:v>
      </x:c>
      <x:c r="M9" s="2" t="n">
        <x:v>94</x:v>
      </x:c>
      <x:c r="N9" s="2" t="n">
        <x:v>94</x:v>
      </x:c>
      <x:c r="O9" s="2" t="n">
        <x:v>92</x:v>
      </x:c>
      <x:c r="P9" s="2" t="n">
        <x:v>95</x:v>
      </x:c>
      <x:c r="Q9" s="2" t="n">
        <x:v>91</x:v>
      </x:c>
      <x:c r="R9" s="2" t="n">
        <x:v>9</x:v>
      </x:c>
      <x:c r="S9" s="3" t="str">
        <x:v>https://arxiv.org/abs/2606.00964</x:v>
      </x:c>
      <x:c r="T9" s="3" t="str">
        <x:v>Mean-convex MCF with surgery; high technical geometric-flow relevance.</x:v>
      </x:c>
    </x:row>
    <x:row r="10" ht="45" customHeight="1">
      <x:c r="A10" s="2" t="n">
        <x:v>9</x:v>
      </x:c>
      <x:c r="B10" s="2" t="n">
        <x:v>12</x:v>
      </x:c>
      <x:c r="C10" s="3" t="str">
        <x:v>2026-06</x:v>
      </x:c>
      <x:c r="D10" s="3" t="str">
        <x:v>2606.15816</x:v>
      </x:c>
      <x:c r="E10" s="3" t="str">
        <x:v>Kähler-Ricci Flow: from divisors to cusps</x:v>
      </x:c>
      <x:c r="F10" s="3" t="str">
        <x:v>Eleonora Di Nezza; Vincent Guedj; Chinh H. Lu</x:v>
      </x:c>
      <x:c r="G10" s="3" t="str">
        <x:v>Kähler-Ricci flow</x:v>
      </x:c>
      <x:c r="H10" s="2" t="str">
        <x:v>-</x:v>
      </x:c>
      <x:c r="I10" s="36" t="n">
        <x:v>93.55</x:v>
      </x:c>
      <x:c r="J10" s="36" t="n">
        <x:v>93.7</x:v>
      </x:c>
      <x:c r="K10" s="36" t="n">
        <x:v>93.4</x:v>
      </x:c>
      <x:c r="L10" s="2" t="n">
        <x:v>95</x:v>
      </x:c>
      <x:c r="M10" s="2" t="n">
        <x:v>94</x:v>
      </x:c>
      <x:c r="N10" s="2" t="n">
        <x:v>94</x:v>
      </x:c>
      <x:c r="O10" s="2" t="n">
        <x:v>92</x:v>
      </x:c>
      <x:c r="P10" s="2" t="n">
        <x:v>95</x:v>
      </x:c>
      <x:c r="Q10" s="2" t="n">
        <x:v>91</x:v>
      </x:c>
      <x:c r="R10" s="2" t="n">
        <x:v>9</x:v>
      </x:c>
      <x:c r="S10" s="3" t="str">
        <x:v>https://arxiv.org/abs/2606.15816</x:v>
      </x:c>
      <x:c r="T10" s="3" t="str">
        <x:v>Kähler-Ricci flow transition from divisorial to cusp singularities.</x:v>
      </x:c>
    </x:row>
    <x:row r="11" ht="45" customHeight="1">
      <x:c r="A11" s="2" t="n">
        <x:v>10</x:v>
      </x:c>
      <x:c r="B11" s="2" t="n">
        <x:v>14</x:v>
      </x:c>
      <x:c r="C11" s="3" t="str">
        <x:v>2026-06</x:v>
      </x:c>
      <x:c r="D11" s="3" t="str">
        <x:v>2606.30130</x:v>
      </x:c>
      <x:c r="E11" s="3" t="str">
        <x:v>Gromov's dihedral rigidity conjecture in dimension three</x:v>
      </x:c>
      <x:c r="F11" s="3" t="str">
        <x:v>Jinmin Wang; Zhizhang Xie; Guoliang Yu</x:v>
      </x:c>
      <x:c r="G11" s="3" t="str">
        <x:v>scalar curvature / rigidity</x:v>
      </x:c>
      <x:c r="H11" s="2" t="n">
        <x:v>74</x:v>
      </x:c>
      <x:c r="I11" s="36" t="n">
        <x:v>93.38</x:v>
      </x:c>
      <x:c r="J11" s="36" t="n">
        <x:v>93.7</x:v>
      </x:c>
      <x:c r="K11" s="36" t="n">
        <x:v>93.05</x:v>
      </x:c>
      <x:c r="L11" s="2" t="n">
        <x:v>96</x:v>
      </x:c>
      <x:c r="M11" s="2" t="n">
        <x:v>93</x:v>
      </x:c>
      <x:c r="N11" s="2" t="n">
        <x:v>94</x:v>
      </x:c>
      <x:c r="O11" s="2" t="n">
        <x:v>92</x:v>
      </x:c>
      <x:c r="P11" s="2" t="n">
        <x:v>95</x:v>
      </x:c>
      <x:c r="Q11" s="2" t="n">
        <x:v>90</x:v>
      </x:c>
      <x:c r="R11" s="2" t="n">
        <x:v>9</x:v>
      </x:c>
      <x:c r="S11" s="3" t="str">
        <x:v>https://arxiv.org/abs/2606.30130</x:v>
      </x:c>
      <x:c r="T11" s="3" t="str">
        <x:v>Major scalar-curvature rigidity conjecture in dimension three.</x:v>
      </x:c>
    </x:row>
    <x:row r="12" ht="45" customHeight="1">
      <x:c r="A12" s="2" t="n">
        <x:v>11</x:v>
      </x:c>
      <x:c r="B12" s="2" t="n">
        <x:v>19</x:v>
      </x:c>
      <x:c r="C12" s="3" t="str">
        <x:v>2026-06</x:v>
      </x:c>
      <x:c r="D12" s="3" t="str">
        <x:v>2606.29135</x:v>
      </x:c>
      <x:c r="E12" s="3" t="str">
        <x:v>Gromov's Simplicial Volume Vanishing Conjecture for Positive Scalar Curvature and Fundamental Group Decay</x:v>
      </x:c>
      <x:c r="F12" s="3" t="str">
        <x:v>Qiaochu Ma; Guoliang Yu</x:v>
      </x:c>
      <x:c r="G12" s="3" t="str">
        <x:v>positive scalar curvature / K-theory</x:v>
      </x:c>
      <x:c r="H12" s="2" t="n">
        <x:v>27</x:v>
      </x:c>
      <x:c r="I12" s="36" t="n">
        <x:v>93.15</x:v>
      </x:c>
      <x:c r="J12" s="36" t="n">
        <x:v>93.25</x:v>
      </x:c>
      <x:c r="K12" s="36" t="n">
        <x:v>93.05</x:v>
      </x:c>
      <x:c r="L12" s="2" t="n">
        <x:v>95</x:v>
      </x:c>
      <x:c r="M12" s="2" t="n">
        <x:v>93</x:v>
      </x:c>
      <x:c r="N12" s="2" t="n">
        <x:v>94</x:v>
      </x:c>
      <x:c r="O12" s="2" t="n">
        <x:v>91</x:v>
      </x:c>
      <x:c r="P12" s="2" t="n">
        <x:v>95</x:v>
      </x:c>
      <x:c r="Q12" s="2" t="n">
        <x:v>90</x:v>
      </x:c>
      <x:c r="R12" s="2" t="n">
        <x:v>9</x:v>
      </x:c>
      <x:c r="S12" s="3" t="str">
        <x:v>https://arxiv.org/abs/2606.29135</x:v>
      </x:c>
      <x:c r="T12" s="3" t="str">
        <x:v>Important PSC-topology result toward Gromov-type vanishing conjectures.</x:v>
      </x:c>
    </x:row>
    <x:row r="13" ht="45" customHeight="1">
      <x:c r="A13" s="2" t="n">
        <x:v>12</x:v>
      </x:c>
      <x:c r="B13" s="2" t="n">
        <x:v>20</x:v>
      </x:c>
      <x:c r="C13" s="3" t="str">
        <x:v>2026-06</x:v>
      </x:c>
      <x:c r="D13" s="3" t="str">
        <x:v>2606.21062</x:v>
      </x:c>
      <x:c r="E13" s="3" t="str">
        <x:v>The prescribed Hermitian-Yang-Mills flow I</x:v>
      </x:c>
      <x:c r="F13" s="3" t="str">
        <x:v>Zhiyao Xiong; Xiaokui Yang; Shing-Tung Yau</x:v>
      </x:c>
      <x:c r="G13" s="3" t="str">
        <x:v>Hermitian-Yang-Mills flow</x:v>
      </x:c>
      <x:c r="H13" s="2" t="str">
        <x:v>-</x:v>
      </x:c>
      <x:c r="I13" s="36" t="n">
        <x:v>93.07</x:v>
      </x:c>
      <x:c r="J13" s="36" t="n">
        <x:v>93.4</x:v>
      </x:c>
      <x:c r="K13" s="36" t="n">
        <x:v>92.75</x:v>
      </x:c>
      <x:c r="L13" s="2" t="n">
        <x:v>95</x:v>
      </x:c>
      <x:c r="M13" s="2" t="n">
        <x:v>93</x:v>
      </x:c>
      <x:c r="N13" s="2" t="n">
        <x:v>94</x:v>
      </x:c>
      <x:c r="O13" s="2" t="n">
        <x:v>92</x:v>
      </x:c>
      <x:c r="P13" s="2" t="n">
        <x:v>94</x:v>
      </x:c>
      <x:c r="Q13" s="2" t="n">
        <x:v>90</x:v>
      </x:c>
      <x:c r="R13" s="2" t="n">
        <x:v>9</x:v>
      </x:c>
      <x:c r="S13" s="3" t="str">
        <x:v>https://arxiv.org/abs/2606.21062</x:v>
      </x:c>
      <x:c r="T13" s="3" t="str">
        <x:v>First part of prescribed HYM flow program; strong complex differential geometry content.</x:v>
      </x:c>
    </x:row>
    <x:row r="14" ht="45" customHeight="1">
      <x:c r="A14" s="2" t="n">
        <x:v>13</x:v>
      </x:c>
      <x:c r="B14" s="2" t="n">
        <x:v>21</x:v>
      </x:c>
      <x:c r="C14" s="3" t="str">
        <x:v>2026-06</x:v>
      </x:c>
      <x:c r="D14" s="3" t="str">
        <x:v>2606.21073</x:v>
      </x:c>
      <x:c r="E14" s="3" t="str">
        <x:v>The prescribed Hermitian-Yang-Mills flow II</x:v>
      </x:c>
      <x:c r="F14" s="3" t="str">
        <x:v>Zhiyao Xiong; Xiaokui Yang; Shing-Tung Yau</x:v>
      </x:c>
      <x:c r="G14" s="3" t="str">
        <x:v>Hermitian-Yang-Mills flow</x:v>
      </x:c>
      <x:c r="H14" s="2" t="str">
        <x:v>-</x:v>
      </x:c>
      <x:c r="I14" s="36" t="n">
        <x:v>93.07</x:v>
      </x:c>
      <x:c r="J14" s="36" t="n">
        <x:v>93.4</x:v>
      </x:c>
      <x:c r="K14" s="36" t="n">
        <x:v>92.75</x:v>
      </x:c>
      <x:c r="L14" s="2" t="n">
        <x:v>95</x:v>
      </x:c>
      <x:c r="M14" s="2" t="n">
        <x:v>93</x:v>
      </x:c>
      <x:c r="N14" s="2" t="n">
        <x:v>94</x:v>
      </x:c>
      <x:c r="O14" s="2" t="n">
        <x:v>92</x:v>
      </x:c>
      <x:c r="P14" s="2" t="n">
        <x:v>94</x:v>
      </x:c>
      <x:c r="Q14" s="2" t="n">
        <x:v>90</x:v>
      </x:c>
      <x:c r="R14" s="2" t="n">
        <x:v>9</x:v>
      </x:c>
      <x:c r="S14" s="3" t="str">
        <x:v>https://arxiv.org/abs/2606.21073</x:v>
      </x:c>
      <x:c r="T14" s="3" t="str">
        <x:v>Second part of prescribed HYM flow program; complements Part I.</x:v>
      </x:c>
    </x:row>
    <x:row r="15" ht="45" customHeight="1">
      <x:c r="A15" s="2" t="n">
        <x:v>14</x:v>
      </x:c>
      <x:c r="B15" s="2" t="n">
        <x:v>24</x:v>
      </x:c>
      <x:c r="C15" s="3" t="str">
        <x:v>2026-06</x:v>
      </x:c>
      <x:c r="D15" s="3" t="str">
        <x:v>2606.13301</x:v>
      </x:c>
      <x:c r="E15" s="3" t="str">
        <x:v>Gromov-Hausdorff convergence of time-slices of singular Ricci flows in dimension three</x:v>
      </x:c>
      <x:c r="F15" s="3" t="str">
        <x:v>Yu Li</x:v>
      </x:c>
      <x:c r="G15" s="3" t="str">
        <x:v>singular Ricci flow</x:v>
      </x:c>
      <x:c r="H15" s="2" t="str">
        <x:v>-</x:v>
      </x:c>
      <x:c r="I15" s="36" t="n">
        <x:v>92.62</x:v>
      </x:c>
      <x:c r="J15" s="36" t="n">
        <x:v>92.7</x:v>
      </x:c>
      <x:c r="K15" s="36" t="n">
        <x:v>92.55</x:v>
      </x:c>
      <x:c r="L15" s="2" t="n">
        <x:v>94</x:v>
      </x:c>
      <x:c r="M15" s="2" t="n">
        <x:v>93</x:v>
      </x:c>
      <x:c r="N15" s="2" t="n">
        <x:v>93</x:v>
      </x:c>
      <x:c r="O15" s="2" t="n">
        <x:v>91</x:v>
      </x:c>
      <x:c r="P15" s="2" t="n">
        <x:v>94</x:v>
      </x:c>
      <x:c r="Q15" s="2" t="n">
        <x:v>90</x:v>
      </x:c>
      <x:c r="R15" s="2" t="n">
        <x:v>9</x:v>
      </x:c>
      <x:c r="S15" s="3" t="str">
        <x:v>https://arxiv.org/abs/2606.13301</x:v>
      </x:c>
      <x:c r="T15" s="3" t="str">
        <x:v>GH convergence analysis for singular 3D Ricci flows.</x:v>
      </x:c>
    </x:row>
    <x:row r="16" ht="45" customHeight="1">
      <x:c r="A16" s="2" t="n">
        <x:v>15</x:v>
      </x:c>
      <x:c r="B16" s="2" t="n">
        <x:v>25</x:v>
      </x:c>
      <x:c r="C16" s="3" t="str">
        <x:v>2026-06</x:v>
      </x:c>
      <x:c r="D16" s="3" t="str">
        <x:v>2606.21541</x:v>
      </x:c>
      <x:c r="E16" s="3" t="str">
        <x:v>Spectral Analysis for Finite-Time Singularities of Lagrangian Mean Curvature Flow</x:v>
      </x:c>
      <x:c r="F16" s="3" t="str">
        <x:v>Maxwell Stolarski; Wei-Bo Su</x:v>
      </x:c>
      <x:c r="G16" s="3" t="str">
        <x:v>Lagrangian MCF</x:v>
      </x:c>
      <x:c r="H16" s="2" t="n">
        <x:v>64</x:v>
      </x:c>
      <x:c r="I16" s="36" t="n">
        <x:v>92.62</x:v>
      </x:c>
      <x:c r="J16" s="36" t="n">
        <x:v>92.7</x:v>
      </x:c>
      <x:c r="K16" s="36" t="n">
        <x:v>92.55</x:v>
      </x:c>
      <x:c r="L16" s="2" t="n">
        <x:v>94</x:v>
      </x:c>
      <x:c r="M16" s="2" t="n">
        <x:v>93</x:v>
      </x:c>
      <x:c r="N16" s="2" t="n">
        <x:v>93</x:v>
      </x:c>
      <x:c r="O16" s="2" t="n">
        <x:v>91</x:v>
      </x:c>
      <x:c r="P16" s="2" t="n">
        <x:v>94</x:v>
      </x:c>
      <x:c r="Q16" s="2" t="n">
        <x:v>90</x:v>
      </x:c>
      <x:c r="R16" s="2" t="n">
        <x:v>9</x:v>
      </x:c>
      <x:c r="S16" s="3" t="str">
        <x:v>https://arxiv.org/abs/2606.21541</x:v>
      </x:c>
      <x:c r="T16" s="3" t="str">
        <x:v>Spectral analysis around finite-time singularity models in Lagrangian MCF.</x:v>
      </x:c>
    </x:row>
    <x:row r="17" ht="45" customHeight="1">
      <x:c r="A17" s="2" t="n">
        <x:v>16</x:v>
      </x:c>
      <x:c r="B17" s="2" t="n">
        <x:v>35</x:v>
      </x:c>
      <x:c r="C17" s="3" t="str">
        <x:v>2026-06</x:v>
      </x:c>
      <x:c r="D17" s="3" t="str">
        <x:v>2606.02396</x:v>
      </x:c>
      <x:c r="E17" s="3" t="str">
        <x:v>Existence of free boundary minimal disks in convex regions</x:v>
      </x:c>
      <x:c r="F17" s="3" t="str">
        <x:v>Lorenzo Sarnataro; Douglas Stryker; Zhichao Wang; Xin Zhou</x:v>
      </x:c>
      <x:c r="G17" s="3" t="str">
        <x:v>free boundary minimal surfaces</x:v>
      </x:c>
      <x:c r="H17" s="2" t="n">
        <x:v>22</x:v>
      </x:c>
      <x:c r="I17" s="36" t="n">
        <x:v>92.38</x:v>
      </x:c>
      <x:c r="J17" s="36" t="n">
        <x:v>92.7</x:v>
      </x:c>
      <x:c r="K17" s="36" t="n">
        <x:v>92.05</x:v>
      </x:c>
      <x:c r="L17" s="2" t="n">
        <x:v>95</x:v>
      </x:c>
      <x:c r="M17" s="2" t="n">
        <x:v>92</x:v>
      </x:c>
      <x:c r="N17" s="2" t="n">
        <x:v>93</x:v>
      </x:c>
      <x:c r="O17" s="2" t="n">
        <x:v>91</x:v>
      </x:c>
      <x:c r="P17" s="2" t="n">
        <x:v>94</x:v>
      </x:c>
      <x:c r="Q17" s="2" t="n">
        <x:v>89</x:v>
      </x:c>
      <x:c r="R17" s="2" t="n">
        <x:v>10</x:v>
      </x:c>
      <x:c r="S17" s="3" t="str">
        <x:v>https://arxiv.org/abs/2606.02396</x:v>
      </x:c>
      <x:c r="T17" s="3" t="str">
        <x:v>Existence result for free-boundary minimal disks in convex regions.</x:v>
      </x:c>
    </x:row>
    <x:row r="18" ht="45" customHeight="1">
      <x:c r="A18" s="2" t="n">
        <x:v>17</x:v>
      </x:c>
      <x:c r="B18" s="2" t="n">
        <x:v>36</x:v>
      </x:c>
      <x:c r="C18" s="3" t="str">
        <x:v>2026-06</x:v>
      </x:c>
      <x:c r="D18" s="3" t="str">
        <x:v>2606.24682</x:v>
      </x:c>
      <x:c r="E18" s="3" t="str">
        <x:v>The linearized minimal surfaces problem</x:v>
      </x:c>
      <x:c r="F18" s="3" t="str">
        <x:v>Haim Grebnev; Plamen Stefanov; Gunther Uhlmann; Hanming Zhou</x:v>
      </x:c>
      <x:c r="G18" s="3" t="str">
        <x:v>inverse problems / minimal surfaces</x:v>
      </x:c>
      <x:c r="H18" s="2" t="str">
        <x:v>-</x:v>
      </x:c>
      <x:c r="I18" s="36" t="n">
        <x:v>92.38</x:v>
      </x:c>
      <x:c r="J18" s="36" t="n">
        <x:v>92.7</x:v>
      </x:c>
      <x:c r="K18" s="36" t="n">
        <x:v>92.05</x:v>
      </x:c>
      <x:c r="L18" s="2" t="n">
        <x:v>95</x:v>
      </x:c>
      <x:c r="M18" s="2" t="n">
        <x:v>92</x:v>
      </x:c>
      <x:c r="N18" s="2" t="n">
        <x:v>93</x:v>
      </x:c>
      <x:c r="O18" s="2" t="n">
        <x:v>91</x:v>
      </x:c>
      <x:c r="P18" s="2" t="n">
        <x:v>94</x:v>
      </x:c>
      <x:c r="Q18" s="2" t="n">
        <x:v>89</x:v>
      </x:c>
      <x:c r="R18" s="2" t="n">
        <x:v>10</x:v>
      </x:c>
      <x:c r="S18" s="3" t="str">
        <x:v>https://arxiv.org/abs/2606.24682</x:v>
      </x:c>
      <x:c r="T18" s="3" t="str">
        <x:v>Linearized inverse-type problem for minimal surfaces with strong analysis component.</x:v>
      </x:c>
    </x:row>
    <x:row r="19" ht="45" customHeight="1">
      <x:c r="A19" s="2" t="n">
        <x:v>18</x:v>
      </x:c>
      <x:c r="B19" s="2" t="n">
        <x:v>37</x:v>
      </x:c>
      <x:c r="C19" s="3" t="str">
        <x:v>2026-06</x:v>
      </x:c>
      <x:c r="D19" s="3" t="str">
        <x:v>2606.24754</x:v>
      </x:c>
      <x:c r="E19" s="3" t="str">
        <x:v>Existence of classical minimal surfaces in 4 and 5-manifolds</x:v>
      </x:c>
      <x:c r="F19" s="3" t="str">
        <x:v>Da Rong Cheng; Xin Zhou</x:v>
      </x:c>
      <x:c r="G19" s="3" t="str">
        <x:v>minimal hypersurfaces</x:v>
      </x:c>
      <x:c r="H19" s="2" t="str">
        <x:v>-</x:v>
      </x:c>
      <x:c r="I19" s="36" t="n">
        <x:v>92.3</x:v>
      </x:c>
      <x:c r="J19" s="36" t="n">
        <x:v>92.55</x:v>
      </x:c>
      <x:c r="K19" s="36" t="n">
        <x:v>92.05</x:v>
      </x:c>
      <x:c r="L19" s="2" t="n">
        <x:v>95</x:v>
      </x:c>
      <x:c r="M19" s="2" t="n">
        <x:v>92</x:v>
      </x:c>
      <x:c r="N19" s="2" t="n">
        <x:v>93</x:v>
      </x:c>
      <x:c r="O19" s="2" t="n">
        <x:v>90</x:v>
      </x:c>
      <x:c r="P19" s="2" t="n">
        <x:v>94</x:v>
      </x:c>
      <x:c r="Q19" s="2" t="n">
        <x:v>89</x:v>
      </x:c>
      <x:c r="R19" s="2" t="n">
        <x:v>10</x:v>
      </x:c>
      <x:c r="S19" s="3" t="str">
        <x:v>https://arxiv.org/abs/2606.24754</x:v>
      </x:c>
      <x:c r="T19" s="3" t="str">
        <x:v>Classical minimal surface existence in low-dimensional manifolds.</x:v>
      </x:c>
    </x:row>
    <x:row r="20" ht="45" customHeight="1">
      <x:c r="A20" s="2" t="n">
        <x:v>19</x:v>
      </x:c>
      <x:c r="B20" s="2" t="n">
        <x:v>38</x:v>
      </x:c>
      <x:c r="C20" s="3" t="str">
        <x:v>2026-06</x:v>
      </x:c>
      <x:c r="D20" s="3" t="str">
        <x:v>2606.13011</x:v>
      </x:c>
      <x:c r="E20" s="3" t="str">
        <x:v>Complete Calabi-Yau metrics on noncompact K3 fibered threefolds</x:v>
      </x:c>
      <x:c r="F20" s="3" t="str">
        <x:v>Ruiming Liang</x:v>
      </x:c>
      <x:c r="G20" s="3" t="str">
        <x:v>Calabi-Yau metrics</x:v>
      </x:c>
      <x:c r="H20" s="2" t="n">
        <x:v>71</x:v>
      </x:c>
      <x:c r="I20" s="36" t="n">
        <x:v>92.08</x:v>
      </x:c>
      <x:c r="J20" s="36" t="n">
        <x:v>92.4</x:v>
      </x:c>
      <x:c r="K20" s="36" t="n">
        <x:v>91.75</x:v>
      </x:c>
      <x:c r="L20" s="2" t="n">
        <x:v>94</x:v>
      </x:c>
      <x:c r="M20" s="2" t="n">
        <x:v>92</x:v>
      </x:c>
      <x:c r="N20" s="2" t="n">
        <x:v>93</x:v>
      </x:c>
      <x:c r="O20" s="2" t="n">
        <x:v>91</x:v>
      </x:c>
      <x:c r="P20" s="2" t="n">
        <x:v>93</x:v>
      </x:c>
      <x:c r="Q20" s="2" t="n">
        <x:v>89</x:v>
      </x:c>
      <x:c r="R20" s="2" t="n">
        <x:v>10</x:v>
      </x:c>
      <x:c r="S20" s="3" t="str">
        <x:v>https://arxiv.org/abs/2606.13011</x:v>
      </x:c>
      <x:c r="T20" s="3" t="str">
        <x:v>Construction and analysis of complete CY metrics on noncompact K3-fibered threefolds.</x:v>
      </x:c>
    </x:row>
    <x:row r="21" ht="45" customHeight="1">
      <x:c r="A21" s="2" t="n">
        <x:v>20</x:v>
      </x:c>
      <x:c r="B21" s="2" t="n">
        <x:v>39</x:v>
      </x:c>
      <x:c r="C21" s="3" t="str">
        <x:v>2026-06</x:v>
      </x:c>
      <x:c r="D21" s="3" t="str">
        <x:v>2606.16033</x:v>
      </x:c>
      <x:c r="E21" s="3" t="str">
        <x:v>Admissibility, Topology, and the sigma_k-Loewner-Nirenberg problem</x:v>
      </x:c>
      <x:c r="F21" s="3" t="str">
        <x:v>Hao Fang; Matthew J. Gursky</x:v>
      </x:c>
      <x:c r="G21" s="3" t="str">
        <x:v>conformal geometry / fully nonlinear PDE</x:v>
      </x:c>
      <x:c r="H21" s="2" t="str">
        <x:v>-</x:v>
      </x:c>
      <x:c r="I21" s="36" t="n">
        <x:v>92.08</x:v>
      </x:c>
      <x:c r="J21" s="36" t="n">
        <x:v>92.4</x:v>
      </x:c>
      <x:c r="K21" s="36" t="n">
        <x:v>91.75</x:v>
      </x:c>
      <x:c r="L21" s="2" t="n">
        <x:v>94</x:v>
      </x:c>
      <x:c r="M21" s="2" t="n">
        <x:v>92</x:v>
      </x:c>
      <x:c r="N21" s="2" t="n">
        <x:v>93</x:v>
      </x:c>
      <x:c r="O21" s="2" t="n">
        <x:v>91</x:v>
      </x:c>
      <x:c r="P21" s="2" t="n">
        <x:v>93</x:v>
      </x:c>
      <x:c r="Q21" s="2" t="n">
        <x:v>89</x:v>
      </x:c>
      <x:c r="R21" s="2" t="n">
        <x:v>10</x:v>
      </x:c>
      <x:c r="S21" s="3" t="str">
        <x:v>https://arxiv.org/abs/2606.16033</x:v>
      </x:c>
      <x:c r="T21" s="3" t="str">
        <x:v>Topology and admissibility in the sigma_k-Loewner-Nirenberg problem.</x:v>
      </x:c>
    </x:row>
    <x:row r="22" ht="45" customHeight="1">
      <x:c r="A22" s="2" t="n">
        <x:v>21</x:v>
      </x:c>
      <x:c r="B22" s="2" t="n">
        <x:v>40</x:v>
      </x:c>
      <x:c r="C22" s="3" t="str">
        <x:v>2026-06</x:v>
      </x:c>
      <x:c r="D22" s="3" t="str">
        <x:v>2606.22441</x:v>
      </x:c>
      <x:c r="E22" s="3" t="str">
        <x:v>Parabolic rectifiability of the Brakke flow</x:v>
      </x:c>
      <x:c r="F22" s="3" t="str">
        <x:v>Yu Tong Liu; Myles Workman</x:v>
      </x:c>
      <x:c r="G22" s="3" t="str">
        <x:v>Brakke flow / rectifiability</x:v>
      </x:c>
      <x:c r="H22" s="2" t="n">
        <x:v>22</x:v>
      </x:c>
      <x:c r="I22" s="36" t="n">
        <x:v>92.08</x:v>
      </x:c>
      <x:c r="J22" s="36" t="n">
        <x:v>92.4</x:v>
      </x:c>
      <x:c r="K22" s="36" t="n">
        <x:v>91.75</x:v>
      </x:c>
      <x:c r="L22" s="2" t="n">
        <x:v>94</x:v>
      </x:c>
      <x:c r="M22" s="2" t="n">
        <x:v>92</x:v>
      </x:c>
      <x:c r="N22" s="2" t="n">
        <x:v>93</x:v>
      </x:c>
      <x:c r="O22" s="2" t="n">
        <x:v>91</x:v>
      </x:c>
      <x:c r="P22" s="2" t="n">
        <x:v>93</x:v>
      </x:c>
      <x:c r="Q22" s="2" t="n">
        <x:v>89</x:v>
      </x:c>
      <x:c r="R22" s="2" t="n">
        <x:v>10</x:v>
      </x:c>
      <x:c r="S22" s="3" t="str">
        <x:v>https://arxiv.org/abs/2606.22441</x:v>
      </x:c>
      <x:c r="T22" s="3" t="str">
        <x:v>Parabolic rectifiability for Brakke flows; useful geometric measure theory tool.</x:v>
      </x:c>
    </x:row>
    <x:row r="23" ht="45" customHeight="1">
      <x:c r="A23" s="2" t="n">
        <x:v>22</x:v>
      </x:c>
      <x:c r="B23" s="2" t="n">
        <x:v>42</x:v>
      </x:c>
      <x:c r="C23" s="3" t="str">
        <x:v>2026-06</x:v>
      </x:c>
      <x:c r="D23" s="3" t="str">
        <x:v>2606.04586</x:v>
      </x:c>
      <x:c r="E23" s="3" t="str">
        <x:v>Calibration energy and mean curvature flow</x:v>
      </x:c>
      <x:c r="F23" s="3" t="str">
        <x:v>Tatsuya Miura; Fabian Rupp</x:v>
      </x:c>
      <x:c r="G23" s="3" t="str">
        <x:v>mean curvature flow</x:v>
      </x:c>
      <x:c r="H23" s="2" t="n">
        <x:v>43</x:v>
      </x:c>
      <x:c r="I23" s="36" t="n">
        <x:v>91.85</x:v>
      </x:c>
      <x:c r="J23" s="36" t="n">
        <x:v>91.95</x:v>
      </x:c>
      <x:c r="K23" s="36" t="n">
        <x:v>91.75</x:v>
      </x:c>
      <x:c r="L23" s="2" t="n">
        <x:v>93</x:v>
      </x:c>
      <x:c r="M23" s="2" t="n">
        <x:v>92</x:v>
      </x:c>
      <x:c r="N23" s="2" t="n">
        <x:v>93</x:v>
      </x:c>
      <x:c r="O23" s="2" t="n">
        <x:v>90</x:v>
      </x:c>
      <x:c r="P23" s="2" t="n">
        <x:v>93</x:v>
      </x:c>
      <x:c r="Q23" s="2" t="n">
        <x:v>89</x:v>
      </x:c>
      <x:c r="R23" s="2" t="n">
        <x:v>10</x:v>
      </x:c>
      <x:c r="S23" s="3" t="str">
        <x:v>https://arxiv.org/abs/2606.04586</x:v>
      </x:c>
      <x:c r="T23" s="3" t="str">
        <x:v>Calibration-energy perspective for MCF; technically robust.</x:v>
      </x:c>
    </x:row>
    <x:row r="24" ht="45" customHeight="1">
      <x:c r="A24" s="2" t="n">
        <x:v>23</x:v>
      </x:c>
      <x:c r="B24" s="2" t="n">
        <x:v>43</x:v>
      </x:c>
      <x:c r="C24" s="3" t="str">
        <x:v>2026-06</x:v>
      </x:c>
      <x:c r="D24" s="3" t="str">
        <x:v>2606.08006</x:v>
      </x:c>
      <x:c r="E24" s="3" t="str">
        <x:v>Optimal spectral rigidity of the hypercube via Bakry-Emery curvature</x:v>
      </x:c>
      <x:c r="F24" s="3" t="str">
        <x:v>Yanlong Ding; Shiping Liu; Chiyu Zhou</x:v>
      </x:c>
      <x:c r="G24" s="3" t="str">
        <x:v>discrete Ricci curvature / spectral rigidity</x:v>
      </x:c>
      <x:c r="H24" s="2" t="n">
        <x:v>23</x:v>
      </x:c>
      <x:c r="I24" s="36" t="n">
        <x:v>91.78</x:v>
      </x:c>
      <x:c r="J24" s="36" t="n">
        <x:v>92</x:v>
      </x:c>
      <x:c r="K24" s="36" t="n">
        <x:v>91.55</x:v>
      </x:c>
      <x:c r="L24" s="2" t="n">
        <x:v>94</x:v>
      </x:c>
      <x:c r="M24" s="2" t="n">
        <x:v>92</x:v>
      </x:c>
      <x:c r="N24" s="2" t="n">
        <x:v>92</x:v>
      </x:c>
      <x:c r="O24" s="2" t="n">
        <x:v>90</x:v>
      </x:c>
      <x:c r="P24" s="2" t="n">
        <x:v>94</x:v>
      </x:c>
      <x:c r="Q24" s="2" t="n">
        <x:v>89</x:v>
      </x:c>
      <x:c r="R24" s="2" t="n">
        <x:v>12</x:v>
      </x:c>
      <x:c r="S24" s="3" t="str">
        <x:v>https://arxiv.org/abs/2606.08006</x:v>
      </x:c>
      <x:c r="T24" s="3" t="str">
        <x:v>Sharp discrete curvature/spectral rigidity on the hypercube.</x:v>
      </x:c>
    </x:row>
    <x:row r="25" ht="45" customHeight="1">
      <x:c r="A25" s="2" t="n">
        <x:v>24</x:v>
      </x:c>
      <x:c r="B25" s="2" t="n">
        <x:v>45</x:v>
      </x:c>
      <x:c r="C25" s="3" t="str">
        <x:v>2026-06</x:v>
      </x:c>
      <x:c r="D25" s="3" t="str">
        <x:v>2606.08086</x:v>
      </x:c>
      <x:c r="E25" s="3" t="str">
        <x:v>Monotone quantities on 3-manifolds with nonnegative scalar curvature</x:v>
      </x:c>
      <x:c r="F25" s="3" t="str">
        <x:v>Jiannan Chen; Haiping Fu</x:v>
      </x:c>
      <x:c r="G25" s="3" t="str">
        <x:v>scalar curvature / monotonicity</x:v>
      </x:c>
      <x:c r="H25" s="2" t="n">
        <x:v>28</x:v>
      </x:c>
      <x:c r="I25" s="36" t="n">
        <x:v>91.38</x:v>
      </x:c>
      <x:c r="J25" s="36" t="n">
        <x:v>91.7</x:v>
      </x:c>
      <x:c r="K25" s="36" t="n">
        <x:v>91.05</x:v>
      </x:c>
      <x:c r="L25" s="2" t="n">
        <x:v>94</x:v>
      </x:c>
      <x:c r="M25" s="2" t="n">
        <x:v>91</x:v>
      </x:c>
      <x:c r="N25" s="2" t="n">
        <x:v>92</x:v>
      </x:c>
      <x:c r="O25" s="2" t="n">
        <x:v>90</x:v>
      </x:c>
      <x:c r="P25" s="2" t="n">
        <x:v>93</x:v>
      </x:c>
      <x:c r="Q25" s="2" t="n">
        <x:v>88</x:v>
      </x:c>
      <x:c r="R25" s="2" t="n">
        <x:v>11</x:v>
      </x:c>
      <x:c r="S25" s="3" t="str">
        <x:v>https://arxiv.org/abs/2606.08086</x:v>
      </x:c>
      <x:c r="T25" s="3" t="str">
        <x:v>Monotone quantities in 3D nonnegative scalar curvature geometry.</x:v>
      </x:c>
    </x:row>
    <x:row r="26" ht="45" customHeight="1">
      <x:c r="A26" s="2" t="n">
        <x:v>25</x:v>
      </x:c>
      <x:c r="B26" s="2" t="n">
        <x:v>46</x:v>
      </x:c>
      <x:c r="C26" s="3" t="str">
        <x:v>2026-06</x:v>
      </x:c>
      <x:c r="D26" s="3" t="str">
        <x:v>2606.12063</x:v>
      </x:c>
      <x:c r="E26" s="3" t="str">
        <x:v>Optimal geometric estimates for compact Kähler manifolds of a Nash entropy bound</x:v>
      </x:c>
      <x:c r="F26" s="3" t="str">
        <x:v>Weiqi Zhang; Yashan Zhang</x:v>
      </x:c>
      <x:c r="G26" s="3" t="str">
        <x:v>Kähler geometry / entropy</x:v>
      </x:c>
      <x:c r="H26" s="2" t="str">
        <x:v>-</x:v>
      </x:c>
      <x:c r="I26" s="36" t="n">
        <x:v>91.07</x:v>
      </x:c>
      <x:c r="J26" s="36" t="n">
        <x:v>91.4</x:v>
      </x:c>
      <x:c r="K26" s="36" t="n">
        <x:v>90.75</x:v>
      </x:c>
      <x:c r="L26" s="2" t="n">
        <x:v>93</x:v>
      </x:c>
      <x:c r="M26" s="2" t="n">
        <x:v>91</x:v>
      </x:c>
      <x:c r="N26" s="2" t="n">
        <x:v>92</x:v>
      </x:c>
      <x:c r="O26" s="2" t="n">
        <x:v>90</x:v>
      </x:c>
      <x:c r="P26" s="2" t="n">
        <x:v>92</x:v>
      </x:c>
      <x:c r="Q26" s="2" t="n">
        <x:v>88</x:v>
      </x:c>
      <x:c r="R26" s="2" t="n">
        <x:v>11</x:v>
      </x:c>
      <x:c r="S26" s="3" t="str">
        <x:v>https://arxiv.org/abs/2606.12063</x:v>
      </x:c>
      <x:c r="T26" s="3" t="str">
        <x:v>Optimal estimates under Nash entropy bounds in compact Kähler setting.</x:v>
      </x:c>
    </x:row>
    <x:row r="27" ht="45" customHeight="1">
      <x:c r="A27" s="2" t="n">
        <x:v>26</x:v>
      </x:c>
      <x:c r="B27" s="2" t="n">
        <x:v>47</x:v>
      </x:c>
      <x:c r="C27" s="3" t="str">
        <x:v>2026-06</x:v>
      </x:c>
      <x:c r="D27" s="3" t="str">
        <x:v>2606.12379</x:v>
      </x:c>
      <x:c r="E27" s="3" t="str">
        <x:v>A Local Singularity Analysis for the Ricci Flow and its Applications to Ricci Flows with Bounded Scalar Curvature -- Part II</x:v>
      </x:c>
      <x:c r="F27" s="3" t="str">
        <x:v>Reto Buzano; Gianmichele Di Matteo</x:v>
      </x:c>
      <x:c r="G27" s="3" t="str">
        <x:v>Ricci flow singularities</x:v>
      </x:c>
      <x:c r="H27" s="2" t="n">
        <x:v>21</x:v>
      </x:c>
      <x:c r="I27" s="36" t="n">
        <x:v>91.07</x:v>
      </x:c>
      <x:c r="J27" s="36" t="n">
        <x:v>91.4</x:v>
      </x:c>
      <x:c r="K27" s="36" t="n">
        <x:v>90.75</x:v>
      </x:c>
      <x:c r="L27" s="2" t="n">
        <x:v>93</x:v>
      </x:c>
      <x:c r="M27" s="2" t="n">
        <x:v>91</x:v>
      </x:c>
      <x:c r="N27" s="2" t="n">
        <x:v>92</x:v>
      </x:c>
      <x:c r="O27" s="2" t="n">
        <x:v>90</x:v>
      </x:c>
      <x:c r="P27" s="2" t="n">
        <x:v>92</x:v>
      </x:c>
      <x:c r="Q27" s="2" t="n">
        <x:v>88</x:v>
      </x:c>
      <x:c r="R27" s="2" t="n">
        <x:v>11</x:v>
      </x:c>
      <x:c r="S27" s="3" t="str">
        <x:v>https://arxiv.org/abs/2606.12379</x:v>
      </x:c>
      <x:c r="T27" s="3" t="str">
        <x:v>Local singularity analysis for scalar-curvature-bounded Ricci flows.</x:v>
      </x:c>
    </x:row>
    <x:row r="28" ht="45" customHeight="1">
      <x:c r="A28" s="2" t="n">
        <x:v>27</x:v>
      </x:c>
      <x:c r="B28" s="2" t="n">
        <x:v>48</x:v>
      </x:c>
      <x:c r="C28" s="3" t="str">
        <x:v>2026-06</x:v>
      </x:c>
      <x:c r="D28" s="3" t="str">
        <x:v>2606.19801</x:v>
      </x:c>
      <x:c r="E28" s="3" t="str">
        <x:v>Positive mass theorem and the Yamabe equation on CR manifolds</x:v>
      </x:c>
      <x:c r="F28" s="3" t="str">
        <x:v>Jih-Hsin Cheng</x:v>
      </x:c>
      <x:c r="G28" s="3" t="str">
        <x:v>CR geometry / Yamabe equation</x:v>
      </x:c>
      <x:c r="H28" s="2" t="str">
        <x:v>-</x:v>
      </x:c>
      <x:c r="I28" s="36" t="n">
        <x:v>91.07</x:v>
      </x:c>
      <x:c r="J28" s="36" t="n">
        <x:v>91.4</x:v>
      </x:c>
      <x:c r="K28" s="36" t="n">
        <x:v>90.75</x:v>
      </x:c>
      <x:c r="L28" s="2" t="n">
        <x:v>93</x:v>
      </x:c>
      <x:c r="M28" s="2" t="n">
        <x:v>91</x:v>
      </x:c>
      <x:c r="N28" s="2" t="n">
        <x:v>92</x:v>
      </x:c>
      <x:c r="O28" s="2" t="n">
        <x:v>90</x:v>
      </x:c>
      <x:c r="P28" s="2" t="n">
        <x:v>92</x:v>
      </x:c>
      <x:c r="Q28" s="2" t="n">
        <x:v>88</x:v>
      </x:c>
      <x:c r="R28" s="2" t="n">
        <x:v>11</x:v>
      </x:c>
      <x:c r="S28" s="3" t="str">
        <x:v>https://arxiv.org/abs/2606.19801</x:v>
      </x:c>
      <x:c r="T28" s="3" t="str">
        <x:v>Positive mass theorem linked to CR Yamabe equation.</x:v>
      </x:c>
    </x:row>
    <x:row r="29" ht="45" customHeight="1">
      <x:c r="A29" s="2" t="n">
        <x:v>28</x:v>
      </x:c>
      <x:c r="B29" s="2" t="n">
        <x:v>49</x:v>
      </x:c>
      <x:c r="C29" s="3" t="str">
        <x:v>2026-06</x:v>
      </x:c>
      <x:c r="D29" s="3" t="str">
        <x:v>2606.19806</x:v>
      </x:c>
      <x:c r="E29" s="3" t="str">
        <x:v>The top Yau-Yang conjecture for Kähler manifolds with positive sectional curvature</x:v>
      </x:c>
      <x:c r="F29" s="3" t="str">
        <x:v>Ved V. Datar; Vamsi P. Pingali; Harish Seshadri</x:v>
      </x:c>
      <x:c r="G29" s="3" t="str">
        <x:v>Kähler geometry / curvature</x:v>
      </x:c>
      <x:c r="H29" s="2" t="n">
        <x:v>10</x:v>
      </x:c>
      <x:c r="I29" s="36" t="n">
        <x:v>91.07</x:v>
      </x:c>
      <x:c r="J29" s="36" t="n">
        <x:v>91.4</x:v>
      </x:c>
      <x:c r="K29" s="36" t="n">
        <x:v>90.75</x:v>
      </x:c>
      <x:c r="L29" s="2" t="n">
        <x:v>93</x:v>
      </x:c>
      <x:c r="M29" s="2" t="n">
        <x:v>91</x:v>
      </x:c>
      <x:c r="N29" s="2" t="n">
        <x:v>92</x:v>
      </x:c>
      <x:c r="O29" s="2" t="n">
        <x:v>90</x:v>
      </x:c>
      <x:c r="P29" s="2" t="n">
        <x:v>92</x:v>
      </x:c>
      <x:c r="Q29" s="2" t="n">
        <x:v>88</x:v>
      </x:c>
      <x:c r="R29" s="2" t="n">
        <x:v>11</x:v>
      </x:c>
      <x:c r="S29" s="3" t="str">
        <x:v>https://arxiv.org/abs/2606.19806</x:v>
      </x:c>
      <x:c r="T29" s="3" t="str">
        <x:v>Concise result on the top Yau-Yang conjecture for positively curved Kähler manifolds.</x:v>
      </x:c>
    </x:row>
    <x:row r="30" ht="45" customHeight="1">
      <x:c r="A30" s="2" t="n">
        <x:v>29</x:v>
      </x:c>
      <x:c r="B30" s="2" t="n">
        <x:v>50</x:v>
      </x:c>
      <x:c r="C30" s="3" t="str">
        <x:v>2026-06</x:v>
      </x:c>
      <x:c r="D30" s="3" t="str">
        <x:v>2606.19858</x:v>
      </x:c>
      <x:c r="E30" s="3" t="str">
        <x:v>Spectral Positive Mass Theorem for Asymptotically Hyperbolic 3-manifolds with Toroidal Infinity</x:v>
      </x:c>
      <x:c r="F30" s="3" t="str">
        <x:v>Xiaoxiang Chai; Yimin Chen; Juncheol Pyo</x:v>
      </x:c>
      <x:c r="G30" s="3" t="str">
        <x:v>positive mass / AH geometry</x:v>
      </x:c>
      <x:c r="H30" s="2" t="n">
        <x:v>16</x:v>
      </x:c>
      <x:c r="I30" s="36" t="n">
        <x:v>91.07</x:v>
      </x:c>
      <x:c r="J30" s="36" t="n">
        <x:v>91.4</x:v>
      </x:c>
      <x:c r="K30" s="36" t="n">
        <x:v>90.75</x:v>
      </x:c>
      <x:c r="L30" s="2" t="n">
        <x:v>93</x:v>
      </x:c>
      <x:c r="M30" s="2" t="n">
        <x:v>91</x:v>
      </x:c>
      <x:c r="N30" s="2" t="n">
        <x:v>92</x:v>
      </x:c>
      <x:c r="O30" s="2" t="n">
        <x:v>90</x:v>
      </x:c>
      <x:c r="P30" s="2" t="n">
        <x:v>92</x:v>
      </x:c>
      <x:c r="Q30" s="2" t="n">
        <x:v>88</x:v>
      </x:c>
      <x:c r="R30" s="2" t="n">
        <x:v>11</x:v>
      </x:c>
      <x:c r="S30" s="3" t="str">
        <x:v>https://arxiv.org/abs/2606.19858</x:v>
      </x:c>
      <x:c r="T30" s="3" t="str">
        <x:v>Spectral positive mass theorem in AH three-manifolds with toroidal infinity.</x:v>
      </x:c>
    </x:row>
    <x:row r="31" ht="45" customHeight="1">
      <x:c r="A31" s="2" t="n">
        <x:v>30</x:v>
      </x:c>
      <x:c r="B31" s="2" t="n">
        <x:v>51</x:v>
      </x:c>
      <x:c r="C31" s="3" t="str">
        <x:v>2026-06</x:v>
      </x:c>
      <x:c r="D31" s="3" t="str">
        <x:v>2606.28897</x:v>
      </x:c>
      <x:c r="E31" s="3" t="str">
        <x:v>Scalar-Flatness for Critical Metrics of the L2-Scalar Curvature Functional in Dimensions 5&lt;=n&lt;=9</x:v>
      </x:c>
      <x:c r="F31" s="3" t="str">
        <x:v>Heng Zhang</x:v>
      </x:c>
      <x:c r="G31" s="3" t="str">
        <x:v>scalar curvature functional</x:v>
      </x:c>
      <x:c r="H31" s="2" t="n">
        <x:v>16</x:v>
      </x:c>
      <x:c r="I31" s="36" t="n">
        <x:v>91.07</x:v>
      </x:c>
      <x:c r="J31" s="36" t="n">
        <x:v>91.25</x:v>
      </x:c>
      <x:c r="K31" s="36" t="n">
        <x:v>90.9</x:v>
      </x:c>
      <x:c r="L31" s="2" t="n">
        <x:v>93</x:v>
      </x:c>
      <x:c r="M31" s="2" t="n">
        <x:v>91</x:v>
      </x:c>
      <x:c r="N31" s="2" t="n">
        <x:v>92</x:v>
      </x:c>
      <x:c r="O31" s="2" t="n">
        <x:v>89</x:v>
      </x:c>
      <x:c r="P31" s="2" t="n">
        <x:v>93</x:v>
      </x:c>
      <x:c r="Q31" s="2" t="n">
        <x:v>88</x:v>
      </x:c>
      <x:c r="R31" s="2" t="n">
        <x:v>12</x:v>
      </x:c>
      <x:c r="S31" s="3" t="str">
        <x:v>https://arxiv.org/abs/2606.28897</x:v>
      </x:c>
      <x:c r="T31" s="3" t="str">
        <x:v>Scalar-flatness for critical L2-scalar curvature metrics in middle dimensions.</x:v>
      </x:c>
    </x:row>
    <x:row r="32" ht="45" customHeight="1">
      <x:c r="A32" s="2" t="n">
        <x:v>31</x:v>
      </x:c>
      <x:c r="B32" s="2" t="n">
        <x:v>74</x:v>
      </x:c>
      <x:c r="C32" s="3" t="str">
        <x:v>2026-06</x:v>
      </x:c>
      <x:c r="D32" s="3" t="str">
        <x:v>2606.09017</x:v>
      </x:c>
      <x:c r="E32" s="3" t="str">
        <x:v>The Ollivier Ricci flow with prescribed curvature on infinite graphs</x:v>
      </x:c>
      <x:c r="F32" s="3" t="str">
        <x:v>Bobo Hua; Yong Lin; Shuang Liu</x:v>
      </x:c>
      <x:c r="G32" s="3" t="str">
        <x:v>discrete Ricci flow</x:v>
      </x:c>
      <x:c r="H32" s="2" t="str">
        <x:v>-</x:v>
      </x:c>
      <x:c r="I32" s="36" t="n">
        <x:v>90.92</x:v>
      </x:c>
      <x:c r="J32" s="36" t="n">
        <x:v>91.4</x:v>
      </x:c>
      <x:c r="K32" s="36" t="n">
        <x:v>90.45</x:v>
      </x:c>
      <x:c r="L32" s="2" t="n">
        <x:v>93</x:v>
      </x:c>
      <x:c r="M32" s="2" t="n">
        <x:v>91</x:v>
      </x:c>
      <x:c r="N32" s="2" t="n">
        <x:v>92</x:v>
      </x:c>
      <x:c r="O32" s="2" t="n">
        <x:v>90</x:v>
      </x:c>
      <x:c r="P32" s="2" t="n">
        <x:v>92</x:v>
      </x:c>
      <x:c r="Q32" s="2" t="n">
        <x:v>88</x:v>
      </x:c>
      <x:c r="R32" s="2" t="n">
        <x:v>13</x:v>
      </x:c>
      <x:c r="S32" s="3" t="str">
        <x:v>https://arxiv.org/abs/2606.09017</x:v>
      </x:c>
      <x:c r="T32" s="3" t="str">
        <x:v>Prescribed-curvature Ollivier Ricci flow on infinite graphs.</x:v>
      </x:c>
    </x:row>
    <x:row r="33" ht="45" customHeight="1">
      <x:c r="A33" s="2" t="n">
        <x:v>32</x:v>
      </x:c>
      <x:c r="B33" s="2" t="n">
        <x:v>75</x:v>
      </x:c>
      <x:c r="C33" s="3" t="str">
        <x:v>2026-06</x:v>
      </x:c>
      <x:c r="D33" s="3" t="str">
        <x:v>2606.28767</x:v>
      </x:c>
      <x:c r="E33" s="3" t="str">
        <x:v>Infinite-Time Singularities with Vanishing Mean Curvature for Lagrangian Mean Curvature Flow in Gibbons-Hawking Spaces</x:v>
      </x:c>
      <x:c r="F33" s="3" t="str">
        <x:v>Ping-Hung Lee; Chung-Jun Tsai</x:v>
      </x:c>
      <x:c r="G33" s="3" t="str">
        <x:v>Lagrangian MCF</x:v>
      </x:c>
      <x:c r="H33" s="2" t="n">
        <x:v>31</x:v>
      </x:c>
      <x:c r="I33" s="36" t="n">
        <x:v>90.92</x:v>
      </x:c>
      <x:c r="J33" s="36" t="n">
        <x:v>91.25</x:v>
      </x:c>
      <x:c r="K33" s="36" t="n">
        <x:v>90.6</x:v>
      </x:c>
      <x:c r="L33" s="2" t="n">
        <x:v>93</x:v>
      </x:c>
      <x:c r="M33" s="2" t="n">
        <x:v>91</x:v>
      </x:c>
      <x:c r="N33" s="2" t="n">
        <x:v>92</x:v>
      </x:c>
      <x:c r="O33" s="2" t="n">
        <x:v>89</x:v>
      </x:c>
      <x:c r="P33" s="2" t="n">
        <x:v>92</x:v>
      </x:c>
      <x:c r="Q33" s="2" t="n">
        <x:v>88</x:v>
      </x:c>
      <x:c r="R33" s="2" t="n">
        <x:v>12</x:v>
      </x:c>
      <x:c r="S33" s="3" t="str">
        <x:v>https://arxiv.org/abs/2606.28767</x:v>
      </x:c>
      <x:c r="T33" s="3" t="str">
        <x:v>Infinite-time singularities in Gibbons-Hawking Lagrangian MCF setting.</x:v>
      </x:c>
    </x:row>
    <x:row r="34" ht="45" customHeight="1">
      <x:c r="A34" s="2" t="n">
        <x:v>33</x:v>
      </x:c>
      <x:c r="B34" s="2" t="n">
        <x:v>76</x:v>
      </x:c>
      <x:c r="C34" s="3" t="str">
        <x:v>2026-06</x:v>
      </x:c>
      <x:c r="D34" s="3" t="str">
        <x:v>2606.29231</x:v>
      </x:c>
      <x:c r="E34" s="3" t="str">
        <x:v>On questions of Pogorelov and Toponogov</x:v>
      </x:c>
      <x:c r="F34" s="3" t="str">
        <x:v>Lei Ni; Wei Zhang; Yijian Zhang</x:v>
      </x:c>
      <x:c r="G34" s="3" t="str">
        <x:v>comparison geometry / rigidity</x:v>
      </x:c>
      <x:c r="H34" s="2" t="n">
        <x:v>10</x:v>
      </x:c>
      <x:c r="I34" s="36" t="n">
        <x:v>90.85</x:v>
      </x:c>
      <x:c r="J34" s="36" t="n">
        <x:v>91</x:v>
      </x:c>
      <x:c r="K34" s="36" t="n">
        <x:v>90.7</x:v>
      </x:c>
      <x:c r="L34" s="2" t="n">
        <x:v>93</x:v>
      </x:c>
      <x:c r="M34" s="2" t="n">
        <x:v>91</x:v>
      </x:c>
      <x:c r="N34" s="2" t="n">
        <x:v>91</x:v>
      </x:c>
      <x:c r="O34" s="2" t="n">
        <x:v>89</x:v>
      </x:c>
      <x:c r="P34" s="2" t="n">
        <x:v>93</x:v>
      </x:c>
      <x:c r="Q34" s="2" t="n">
        <x:v>88</x:v>
      </x:c>
      <x:c r="R34" s="2" t="n">
        <x:v>12</x:v>
      </x:c>
      <x:c r="S34" s="3" t="str">
        <x:v>https://arxiv.org/abs/2606.29231</x:v>
      </x:c>
      <x:c r="T34" s="3" t="str">
        <x:v>Addresses classical Pogorelov-Toponogov type questions.</x:v>
      </x:c>
    </x:row>
    <x:row r="35" ht="45" customHeight="1">
      <x:c r="A35" s="2" t="n">
        <x:v>34</x:v>
      </x:c>
      <x:c r="B35" s="2" t="n">
        <x:v>77</x:v>
      </x:c>
      <x:c r="C35" s="3" t="str">
        <x:v>2026-06</x:v>
      </x:c>
      <x:c r="D35" s="3" t="str">
        <x:v>2606.29246</x:v>
      </x:c>
      <x:c r="E35" s="3" t="str">
        <x:v>Rigidity of Closed Minimal Hypersurfaces in S^5</x:v>
      </x:c>
      <x:c r="F35" s="3" t="str">
        <x:v>Jianquan Ge; Tong Liu; Keyan Luo; Wenjiao Yan</x:v>
      </x:c>
      <x:c r="G35" s="3" t="str">
        <x:v>minimal hypersurface rigidity</x:v>
      </x:c>
      <x:c r="H35" s="2" t="n">
        <x:v>31</x:v>
      </x:c>
      <x:c r="I35" s="36" t="n">
        <x:v>90.85</x:v>
      </x:c>
      <x:c r="J35" s="36" t="n">
        <x:v>91</x:v>
      </x:c>
      <x:c r="K35" s="36" t="n">
        <x:v>90.7</x:v>
      </x:c>
      <x:c r="L35" s="2" t="n">
        <x:v>93</x:v>
      </x:c>
      <x:c r="M35" s="2" t="n">
        <x:v>91</x:v>
      </x:c>
      <x:c r="N35" s="2" t="n">
        <x:v>91</x:v>
      </x:c>
      <x:c r="O35" s="2" t="n">
        <x:v>89</x:v>
      </x:c>
      <x:c r="P35" s="2" t="n">
        <x:v>93</x:v>
      </x:c>
      <x:c r="Q35" s="2" t="n">
        <x:v>88</x:v>
      </x:c>
      <x:c r="R35" s="2" t="n">
        <x:v>12</x:v>
      </x:c>
      <x:c r="S35" s="3" t="str">
        <x:v>https://arxiv.org/abs/2606.29246</x:v>
      </x:c>
      <x:c r="T35" s="3" t="str">
        <x:v>Rigidity result for closed minimal hypersurfaces in the five-sphere.</x:v>
      </x:c>
    </x:row>
    <x:row r="36" ht="45" customHeight="1">
      <x:c r="A36" s="2" t="n">
        <x:v>35</x:v>
      </x:c>
      <x:c r="B36" s="2" t="n">
        <x:v>83</x:v>
      </x:c>
      <x:c r="C36" s="3" t="str">
        <x:v>2026-06</x:v>
      </x:c>
      <x:c r="D36" s="3" t="str">
        <x:v>2606.31393</x:v>
      </x:c>
      <x:c r="E36" s="3" t="str">
        <x:v>Montel's theorem and tautness in calibrated geometry</x:v>
      </x:c>
      <x:c r="F36" s="3" t="str">
        <x:v>Anton Iliashenko; Spiro Karigiannis; Jesse Madnick</x:v>
      </x:c>
      <x:c r="G36" s="3" t="str">
        <x:v>calibrated geometry</x:v>
      </x:c>
      <x:c r="H36" s="2" t="n">
        <x:v>27</x:v>
      </x:c>
      <x:c r="I36" s="36" t="n">
        <x:v>90.35</x:v>
      </x:c>
      <x:c r="J36" s="36" t="n">
        <x:v>90.5</x:v>
      </x:c>
      <x:c r="K36" s="36" t="n">
        <x:v>90.2</x:v>
      </x:c>
      <x:c r="L36" s="2" t="n">
        <x:v>92</x:v>
      </x:c>
      <x:c r="M36" s="2" t="n">
        <x:v>90</x:v>
      </x:c>
      <x:c r="N36" s="2" t="n">
        <x:v>91</x:v>
      </x:c>
      <x:c r="O36" s="2" t="n">
        <x:v>89</x:v>
      </x:c>
      <x:c r="P36" s="2" t="n">
        <x:v>92</x:v>
      </x:c>
      <x:c r="Q36" s="2" t="n">
        <x:v>88</x:v>
      </x:c>
      <x:c r="R36" s="2" t="n">
        <x:v>12</x:v>
      </x:c>
      <x:c r="S36" s="3" t="str">
        <x:v>https://arxiv.org/abs/2606.31393</x:v>
      </x:c>
      <x:c r="T36" s="3" t="str">
        <x:v>Montel/tautness theory in calibrated geometry.</x:v>
      </x:c>
    </x:row>
    <x:row r="37" ht="45" customHeight="1">
      <x:c r="A37" s="2" t="n">
        <x:v>36</x:v>
      </x:c>
      <x:c r="B37" s="2" t="n">
        <x:v>84</x:v>
      </x:c>
      <x:c r="C37" s="3" t="str">
        <x:v>2026-06</x:v>
      </x:c>
      <x:c r="D37" s="3" t="str">
        <x:v>2606.15402</x:v>
      </x:c>
      <x:c r="E37" s="3" t="str">
        <x:v>Rigidity Theorems for the Weyl Problem of Convex Surfaces in Hyperbolic 3-Space</x:v>
      </x:c>
      <x:c r="F37" s="3" t="str">
        <x:v>Xinrong Zhao</x:v>
      </x:c>
      <x:c r="G37" s="3" t="str">
        <x:v>convex surface rigidity</x:v>
      </x:c>
      <x:c r="H37" s="2" t="n">
        <x:v>43</x:v>
      </x:c>
      <x:c r="I37" s="36" t="n">
        <x:v>90.3</x:v>
      </x:c>
      <x:c r="J37" s="36" t="n">
        <x:v>90.7</x:v>
      </x:c>
      <x:c r="K37" s="36" t="n">
        <x:v>89.9</x:v>
      </x:c>
      <x:c r="L37" s="2" t="n">
        <x:v>93</x:v>
      </x:c>
      <x:c r="M37" s="2" t="n">
        <x:v>90</x:v>
      </x:c>
      <x:c r="N37" s="2" t="n">
        <x:v>91</x:v>
      </x:c>
      <x:c r="O37" s="2" t="n">
        <x:v>89</x:v>
      </x:c>
      <x:c r="P37" s="2" t="n">
        <x:v>92</x:v>
      </x:c>
      <x:c r="Q37" s="2" t="n">
        <x:v>87</x:v>
      </x:c>
      <x:c r="R37" s="2" t="n">
        <x:v>13</x:v>
      </x:c>
      <x:c r="S37" s="3" t="str">
        <x:v>https://arxiv.org/abs/2606.15402</x:v>
      </x:c>
      <x:c r="T37" s="3" t="str">
        <x:v>Rigidity theorems for hyperbolic Weyl problem.</x:v>
      </x:c>
    </x:row>
    <x:row r="38" ht="45" customHeight="1">
      <x:c r="A38" s="2" t="n">
        <x:v>37</x:v>
      </x:c>
      <x:c r="B38" s="2" t="n">
        <x:v>85</x:v>
      </x:c>
      <x:c r="C38" s="3" t="str">
        <x:v>2026-06</x:v>
      </x:c>
      <x:c r="D38" s="3" t="str">
        <x:v>2606.15827</x:v>
      </x:c>
      <x:c r="E38" s="3" t="str">
        <x:v>Rigidity Estimate for Hyperbolic Shells and its Application in Gamma-limit Theory</x:v>
      </x:c>
      <x:c r="F38" s="3" t="str">
        <x:v>Liang-Biao Chen; Peng-Fei Yao</x:v>
      </x:c>
      <x:c r="G38" s="3" t="str">
        <x:v>elasticity / rigidity estimates</x:v>
      </x:c>
      <x:c r="H38" s="2" t="str">
        <x:v>-</x:v>
      </x:c>
      <x:c r="I38" s="36" t="n">
        <x:v>90.3</x:v>
      </x:c>
      <x:c r="J38" s="36" t="n">
        <x:v>90.7</x:v>
      </x:c>
      <x:c r="K38" s="36" t="n">
        <x:v>89.9</x:v>
      </x:c>
      <x:c r="L38" s="2" t="n">
        <x:v>93</x:v>
      </x:c>
      <x:c r="M38" s="2" t="n">
        <x:v>90</x:v>
      </x:c>
      <x:c r="N38" s="2" t="n">
        <x:v>91</x:v>
      </x:c>
      <x:c r="O38" s="2" t="n">
        <x:v>89</x:v>
      </x:c>
      <x:c r="P38" s="2" t="n">
        <x:v>92</x:v>
      </x:c>
      <x:c r="Q38" s="2" t="n">
        <x:v>87</x:v>
      </x:c>
      <x:c r="R38" s="2" t="n">
        <x:v>13</x:v>
      </x:c>
      <x:c r="S38" s="3" t="str">
        <x:v>https://arxiv.org/abs/2606.15827</x:v>
      </x:c>
      <x:c r="T38" s="3" t="str">
        <x:v>Rigidity estimate for hyperbolic shells with Gamma-limit applications.</x:v>
      </x:c>
    </x:row>
    <x:row r="39" ht="45" customHeight="1">
      <x:c r="A39" s="2" t="n">
        <x:v>38</x:v>
      </x:c>
      <x:c r="B39" s="2" t="n">
        <x:v>117</x:v>
      </x:c>
      <x:c r="C39" s="3" t="str">
        <x:v>2026-06</x:v>
      </x:c>
      <x:c r="D39" s="3" t="str">
        <x:v>2606.08648</x:v>
      </x:c>
      <x:c r="E39" s="3" t="str">
        <x:v>On Brezis Open Problem 3.1</x:v>
      </x:c>
      <x:c r="F39" s="3" t="str">
        <x:v>Qi Guo; Xueping Huang; Yi C. Huang; Fanghua Lin; Juncheng Wei</x:v>
      </x:c>
      <x:c r="G39" s="3" t="str">
        <x:v>geometric variational problem</x:v>
      </x:c>
      <x:c r="H39" s="2" t="n">
        <x:v>20</x:v>
      </x:c>
      <x:c r="I39" s="36" t="n">
        <x:v>90.07</x:v>
      </x:c>
      <x:c r="J39" s="36" t="n">
        <x:v>90.4</x:v>
      </x:c>
      <x:c r="K39" s="36" t="n">
        <x:v>89.75</x:v>
      </x:c>
      <x:c r="L39" s="2" t="n">
        <x:v>92</x:v>
      </x:c>
      <x:c r="M39" s="2" t="n">
        <x:v>90</x:v>
      </x:c>
      <x:c r="N39" s="2" t="n">
        <x:v>91</x:v>
      </x:c>
      <x:c r="O39" s="2" t="n">
        <x:v>89</x:v>
      </x:c>
      <x:c r="P39" s="2" t="n">
        <x:v>91</x:v>
      </x:c>
      <x:c r="Q39" s="2" t="n">
        <x:v>87</x:v>
      </x:c>
      <x:c r="R39" s="2" t="n">
        <x:v>12</x:v>
      </x:c>
      <x:c r="S39" s="3" t="str">
        <x:v>https://arxiv.org/abs/2606.08648</x:v>
      </x:c>
      <x:c r="T39" s="3" t="str">
        <x:v>Resolves/advances Brezis Open Problem 3.1 in a geometric-analytic setting.</x:v>
      </x:c>
    </x:row>
    <x:row r="40" ht="45" customHeight="1">
      <x:c r="A40" s="2" t="n">
        <x:v>39</x:v>
      </x:c>
      <x:c r="B40" s="2" t="n">
        <x:v>118</x:v>
      </x:c>
      <x:c r="C40" s="3" t="str">
        <x:v>2026-06</x:v>
      </x:c>
      <x:c r="D40" s="3" t="str">
        <x:v>2606.22468</x:v>
      </x:c>
      <x:c r="E40" s="3" t="str">
        <x:v>A Classical Elliptic Regularity Approach to Almost Harmonic Maps and Related Systems</x:v>
      </x:c>
      <x:c r="F40" s="3" t="str">
        <x:v>Giovanni Di Fratta</x:v>
      </x:c>
      <x:c r="G40" s="3" t="str">
        <x:v>harmonic maps / elliptic regularity</x:v>
      </x:c>
      <x:c r="H40" s="2" t="n">
        <x:v>59</x:v>
      </x:c>
      <x:c r="I40" s="36" t="n">
        <x:v>90.07</x:v>
      </x:c>
      <x:c r="J40" s="36" t="n">
        <x:v>90.4</x:v>
      </x:c>
      <x:c r="K40" s="36" t="n">
        <x:v>89.75</x:v>
      </x:c>
      <x:c r="L40" s="2" t="n">
        <x:v>92</x:v>
      </x:c>
      <x:c r="M40" s="2" t="n">
        <x:v>90</x:v>
      </x:c>
      <x:c r="N40" s="2" t="n">
        <x:v>91</x:v>
      </x:c>
      <x:c r="O40" s="2" t="n">
        <x:v>89</x:v>
      </x:c>
      <x:c r="P40" s="2" t="n">
        <x:v>91</x:v>
      </x:c>
      <x:c r="Q40" s="2" t="n">
        <x:v>87</x:v>
      </x:c>
      <x:c r="R40" s="2" t="n">
        <x:v>12</x:v>
      </x:c>
      <x:c r="S40" s="3" t="str">
        <x:v>https://arxiv.org/abs/2606.22468</x:v>
      </x:c>
      <x:c r="T40" s="3" t="str">
        <x:v>Elliptic regularity framework for almost harmonic maps and related systems.</x:v>
      </x:c>
    </x:row>
    <x:row r="41" ht="45" customHeight="1">
      <x:c r="A41" s="2" t="n">
        <x:v>40</x:v>
      </x:c>
      <x:c r="B41" s="2" t="n">
        <x:v>119</x:v>
      </x:c>
      <x:c r="C41" s="3" t="str">
        <x:v>2026-06</x:v>
      </x:c>
      <x:c r="D41" s="3" t="str">
        <x:v>2606.22777</x:v>
      </x:c>
      <x:c r="E41" s="3" t="str">
        <x:v>Weak Quadruple Comparison and Structure Theory Beyond Alexandrov Geometry</x:v>
      </x:c>
      <x:c r="F41" s="3" t="str">
        <x:v>Bang-Xian Han; Liming Yin</x:v>
      </x:c>
      <x:c r="G41" s="3" t="str">
        <x:v>metric geometry / Alexandrov-type spaces</x:v>
      </x:c>
      <x:c r="H41" s="2" t="n">
        <x:v>41</x:v>
      </x:c>
      <x:c r="I41" s="36" t="n">
        <x:v>90.07</x:v>
      </x:c>
      <x:c r="J41" s="36" t="n">
        <x:v>90.4</x:v>
      </x:c>
      <x:c r="K41" s="36" t="n">
        <x:v>89.75</x:v>
      </x:c>
      <x:c r="L41" s="2" t="n">
        <x:v>92</x:v>
      </x:c>
      <x:c r="M41" s="2" t="n">
        <x:v>90</x:v>
      </x:c>
      <x:c r="N41" s="2" t="n">
        <x:v>91</x:v>
      </x:c>
      <x:c r="O41" s="2" t="n">
        <x:v>89</x:v>
      </x:c>
      <x:c r="P41" s="2" t="n">
        <x:v>91</x:v>
      </x:c>
      <x:c r="Q41" s="2" t="n">
        <x:v>87</x:v>
      </x:c>
      <x:c r="R41" s="2" t="n">
        <x:v>12</x:v>
      </x:c>
      <x:c r="S41" s="3" t="str">
        <x:v>https://arxiv.org/abs/2606.22777</x:v>
      </x:c>
      <x:c r="T41" s="3" t="str">
        <x:v>Structure theory beyond Alexandrov geometry via weak quadruple comparison.</x:v>
      </x:c>
    </x:row>
    <x:row r="42" ht="45" customHeight="1">
      <x:c r="A42" s="2" t="n">
        <x:v>41</x:v>
      </x:c>
      <x:c r="B42" s="2" t="n">
        <x:v>120</x:v>
      </x:c>
      <x:c r="C42" s="3" t="str">
        <x:v>2026-06</x:v>
      </x:c>
      <x:c r="D42" s="3" t="str">
        <x:v>2606.14513</x:v>
      </x:c>
      <x:c r="E42" s="3" t="str">
        <x:v>Quasilinear Liouville equation on manifolds with nonnegative Ricci curvature</x:v>
      </x:c>
      <x:c r="F42" s="3" t="str">
        <x:v>Giovanni Catino; Dario Daniele Monticelli; Alberto Roncoroni</x:v>
      </x:c>
      <x:c r="G42" s="3" t="str">
        <x:v>Ricci curvature / Liouville equations</x:v>
      </x:c>
      <x:c r="H42" s="2" t="str">
        <x:v>-</x:v>
      </x:c>
      <x:c r="I42" s="36" t="n">
        <x:v>90</x:v>
      </x:c>
      <x:c r="J42" s="36" t="n">
        <x:v>90.4</x:v>
      </x:c>
      <x:c r="K42" s="36" t="n">
        <x:v>89.6</x:v>
      </x:c>
      <x:c r="L42" s="2" t="n">
        <x:v>92</x:v>
      </x:c>
      <x:c r="M42" s="2" t="n">
        <x:v>90</x:v>
      </x:c>
      <x:c r="N42" s="2" t="n">
        <x:v>91</x:v>
      </x:c>
      <x:c r="O42" s="2" t="n">
        <x:v>89</x:v>
      </x:c>
      <x:c r="P42" s="2" t="n">
        <x:v>91</x:v>
      </x:c>
      <x:c r="Q42" s="2" t="n">
        <x:v>87</x:v>
      </x:c>
      <x:c r="R42" s="2" t="n">
        <x:v>13</x:v>
      </x:c>
      <x:c r="S42" s="3" t="str">
        <x:v>https://arxiv.org/abs/2606.14513</x:v>
      </x:c>
      <x:c r="T42" s="3" t="str">
        <x:v>Liouville-type theorem under nonnegative Ricci curvature.</x:v>
      </x:c>
    </x:row>
    <x:row r="43" ht="45" customHeight="1">
      <x:c r="A43" s="2" t="n">
        <x:v>42</x:v>
      </x:c>
      <x:c r="B43" s="2" t="n">
        <x:v>121</x:v>
      </x:c>
      <x:c r="C43" s="3" t="str">
        <x:v>2026-06</x:v>
      </x:c>
      <x:c r="D43" s="3" t="str">
        <x:v>2606.15599</x:v>
      </x:c>
      <x:c r="E43" s="3" t="str">
        <x:v>Non-unital monoidal category of contact manifolds and Legendrian correspondence</x:v>
      </x:c>
      <x:c r="F43" s="3" t="str">
        <x:v>Yong-Geun Oh; Junhyuk Park</x:v>
      </x:c>
      <x:c r="G43" s="3" t="str">
        <x:v>contact geometry / categories</x:v>
      </x:c>
      <x:c r="H43" s="2" t="n">
        <x:v>67</x:v>
      </x:c>
      <x:c r="I43" s="36" t="n">
        <x:v>90</x:v>
      </x:c>
      <x:c r="J43" s="36" t="n">
        <x:v>90.4</x:v>
      </x:c>
      <x:c r="K43" s="36" t="n">
        <x:v>89.6</x:v>
      </x:c>
      <x:c r="L43" s="2" t="n">
        <x:v>92</x:v>
      </x:c>
      <x:c r="M43" s="2" t="n">
        <x:v>90</x:v>
      </x:c>
      <x:c r="N43" s="2" t="n">
        <x:v>91</x:v>
      </x:c>
      <x:c r="O43" s="2" t="n">
        <x:v>89</x:v>
      </x:c>
      <x:c r="P43" s="2" t="n">
        <x:v>91</x:v>
      </x:c>
      <x:c r="Q43" s="2" t="n">
        <x:v>87</x:v>
      </x:c>
      <x:c r="R43" s="2" t="n">
        <x:v>13</x:v>
      </x:c>
      <x:c r="S43" s="3" t="str">
        <x:v>https://arxiv.org/abs/2606.15599</x:v>
      </x:c>
      <x:c r="T43" s="3" t="str">
        <x:v>Categorical contact/Legendrian framework with high conceptual content.</x:v>
      </x:c>
    </x:row>
    <x:row r="44" ht="45" customHeight="1">
      <x:c r="A44" s="2" t="n">
        <x:v>43</x:v>
      </x:c>
      <x:c r="B44" s="2" t="n">
        <x:v>122</x:v>
      </x:c>
      <x:c r="C44" s="3" t="str">
        <x:v>2026-06</x:v>
      </x:c>
      <x:c r="D44" s="3" t="str">
        <x:v>2606.27155</x:v>
      </x:c>
      <x:c r="E44" s="3" t="str">
        <x:v>Riemannian Penrose Inequality for Manifolds with Corners via Non-Linear Potential Theory</x:v>
      </x:c>
      <x:c r="F44" s="3" t="str">
        <x:v>Virginia Agostiniani; Christina Karapiperi; Lorenzo Mazzieri</x:v>
      </x:c>
      <x:c r="G44" s="3" t="str">
        <x:v>Penrose inequality / corners</x:v>
      </x:c>
      <x:c r="H44" s="2" t="n">
        <x:v>22</x:v>
      </x:c>
      <x:c r="I44" s="36" t="n">
        <x:v>89.92</x:v>
      </x:c>
      <x:c r="J44" s="36" t="n">
        <x:v>90.25</x:v>
      </x:c>
      <x:c r="K44" s="36" t="n">
        <x:v>89.6</x:v>
      </x:c>
      <x:c r="L44" s="2" t="n">
        <x:v>92</x:v>
      </x:c>
      <x:c r="M44" s="2" t="n">
        <x:v>90</x:v>
      </x:c>
      <x:c r="N44" s="2" t="n">
        <x:v>91</x:v>
      </x:c>
      <x:c r="O44" s="2" t="n">
        <x:v>88</x:v>
      </x:c>
      <x:c r="P44" s="2" t="n">
        <x:v>91</x:v>
      </x:c>
      <x:c r="Q44" s="2" t="n">
        <x:v>87</x:v>
      </x:c>
      <x:c r="R44" s="2" t="n">
        <x:v>13</x:v>
      </x:c>
      <x:c r="S44" s="3" t="str">
        <x:v>https://arxiv.org/abs/2606.27155</x:v>
      </x:c>
      <x:c r="T44" s="3" t="str">
        <x:v>Riemannian Penrose inequality with corners using nonlinear potential theory.</x:v>
      </x:c>
    </x:row>
    <x:row r="45" ht="45" customHeight="1">
      <x:c r="A45" s="2" t="n">
        <x:v>44</x:v>
      </x:c>
      <x:c r="B45" s="2" t="n">
        <x:v>123</x:v>
      </x:c>
      <x:c r="C45" s="3" t="str">
        <x:v>2026-06</x:v>
      </x:c>
      <x:c r="D45" s="3" t="str">
        <x:v>2606.14021</x:v>
      </x:c>
      <x:c r="E45" s="3" t="str">
        <x:v>Some Foundational Results for Free Boundary Brakke Flows</x:v>
      </x:c>
      <x:c r="F45" s="3" t="str">
        <x:v>Yueheng Bao</x:v>
      </x:c>
      <x:c r="G45" s="3" t="str">
        <x:v>free boundary Brakke flows</x:v>
      </x:c>
      <x:c r="H45" s="2" t="str">
        <x:v>-</x:v>
      </x:c>
      <x:c r="I45" s="36" t="n">
        <x:v>89.78</x:v>
      </x:c>
      <x:c r="J45" s="36" t="n">
        <x:v>89.95</x:v>
      </x:c>
      <x:c r="K45" s="36" t="n">
        <x:v>89.6</x:v>
      </x:c>
      <x:c r="L45" s="2" t="n">
        <x:v>91</x:v>
      </x:c>
      <x:c r="M45" s="2" t="n">
        <x:v>90</x:v>
      </x:c>
      <x:c r="N45" s="2" t="n">
        <x:v>91</x:v>
      </x:c>
      <x:c r="O45" s="2" t="n">
        <x:v>88</x:v>
      </x:c>
      <x:c r="P45" s="2" t="n">
        <x:v>91</x:v>
      </x:c>
      <x:c r="Q45" s="2" t="n">
        <x:v>87</x:v>
      </x:c>
      <x:c r="R45" s="2" t="n">
        <x:v>13</x:v>
      </x:c>
      <x:c r="S45" s="3" t="str">
        <x:v>https://arxiv.org/abs/2606.14021</x:v>
      </x:c>
      <x:c r="T45" s="3" t="str">
        <x:v>Foundational free-boundary Brakke flow results.</x:v>
      </x:c>
    </x:row>
    <x:row r="46" ht="45" customHeight="1">
      <x:c r="A46" s="2" t="n">
        <x:v>45</x:v>
      </x:c>
      <x:c r="B46" s="2" t="n">
        <x:v>125</x:v>
      </x:c>
      <x:c r="C46" s="3" t="str">
        <x:v>2026-06</x:v>
      </x:c>
      <x:c r="D46" s="3" t="str">
        <x:v>2606.14082</x:v>
      </x:c>
      <x:c r="E46" s="3" t="str">
        <x:v>Inverse Hessian Curvature Flow in Minkowski Space I: Cocompact Hypersurfaces</x:v>
      </x:c>
      <x:c r="F46" s="3" t="str">
        <x:v>Dake Li; Zhizhang Wang; Shiqi Yin</x:v>
      </x:c>
      <x:c r="G46" s="3" t="str">
        <x:v>curvature flow</x:v>
      </x:c>
      <x:c r="H46" s="2" t="str">
        <x:v>-</x:v>
      </x:c>
      <x:c r="I46" s="36" t="n">
        <x:v>89.55</x:v>
      </x:c>
      <x:c r="J46" s="36" t="n">
        <x:v>89.7</x:v>
      </x:c>
      <x:c r="K46" s="36" t="n">
        <x:v>89.4</x:v>
      </x:c>
      <x:c r="L46" s="2" t="n">
        <x:v>91</x:v>
      </x:c>
      <x:c r="M46" s="2" t="n">
        <x:v>90</x:v>
      </x:c>
      <x:c r="N46" s="2" t="n">
        <x:v>90</x:v>
      </x:c>
      <x:c r="O46" s="2" t="n">
        <x:v>88</x:v>
      </x:c>
      <x:c r="P46" s="2" t="n">
        <x:v>91</x:v>
      </x:c>
      <x:c r="Q46" s="2" t="n">
        <x:v>87</x:v>
      </x:c>
      <x:c r="R46" s="2" t="n">
        <x:v>13</x:v>
      </x:c>
      <x:c r="S46" s="3" t="str">
        <x:v>https://arxiv.org/abs/2606.14082</x:v>
      </x:c>
      <x:c r="T46" s="3" t="str">
        <x:v>Inverse Hessian curvature flow in Minkowski space.</x:v>
      </x:c>
    </x:row>
    <x:row r="47" ht="45" customHeight="1">
      <x:c r="A47" s="2" t="n">
        <x:v>46</x:v>
      </x:c>
      <x:c r="B47" s="2" t="n">
        <x:v>126</x:v>
      </x:c>
      <x:c r="C47" s="3" t="str">
        <x:v>2026-06</x:v>
      </x:c>
      <x:c r="D47" s="3" t="str">
        <x:v>2606.14318</x:v>
      </x:c>
      <x:c r="E47" s="3" t="str">
        <x:v>Sectional Curvature for Kantorovich-Wasserstein and Hellinger-Kantorovich Geometries</x:v>
      </x:c>
      <x:c r="F47" s="3" t="str">
        <x:v>Karl-Theodor Sturm</x:v>
      </x:c>
      <x:c r="G47" s="3" t="str">
        <x:v>optimal transport geometry</x:v>
      </x:c>
      <x:c r="H47" s="2" t="str">
        <x:v>-</x:v>
      </x:c>
      <x:c r="I47" s="36" t="n">
        <x:v>89.55</x:v>
      </x:c>
      <x:c r="J47" s="36" t="n">
        <x:v>89.7</x:v>
      </x:c>
      <x:c r="K47" s="36" t="n">
        <x:v>89.4</x:v>
      </x:c>
      <x:c r="L47" s="2" t="n">
        <x:v>91</x:v>
      </x:c>
      <x:c r="M47" s="2" t="n">
        <x:v>90</x:v>
      </x:c>
      <x:c r="N47" s="2" t="n">
        <x:v>90</x:v>
      </x:c>
      <x:c r="O47" s="2" t="n">
        <x:v>88</x:v>
      </x:c>
      <x:c r="P47" s="2" t="n">
        <x:v>91</x:v>
      </x:c>
      <x:c r="Q47" s="2" t="n">
        <x:v>87</x:v>
      </x:c>
      <x:c r="R47" s="2" t="n">
        <x:v>13</x:v>
      </x:c>
      <x:c r="S47" s="3" t="str">
        <x:v>https://arxiv.org/abs/2606.14318</x:v>
      </x:c>
      <x:c r="T47" s="3" t="str">
        <x:v>Sectional curvature notions for Wasserstein and Hellinger-Kantorovich geometries.</x:v>
      </x:c>
    </x:row>
    <x:row r="48" ht="45" customHeight="1">
      <x:c r="A48" s="2" t="n">
        <x:v>47</x:v>
      </x:c>
      <x:c r="B48" s="2" t="n">
        <x:v>129</x:v>
      </x:c>
      <x:c r="C48" s="3" t="str">
        <x:v>2026-06</x:v>
      </x:c>
      <x:c r="D48" s="3" t="str">
        <x:v>2606.01153</x:v>
      </x:c>
      <x:c r="E48" s="3" t="str">
        <x:v>Scalar Curvature, Volumes and the Bergman Kernel</x:v>
      </x:c>
      <x:c r="F48" s="3" t="str">
        <x:v>Bo-Yong Chen; Yuanpu Xiong; Liyou Zhang</x:v>
      </x:c>
      <x:c r="G48" s="3" t="str">
        <x:v>scalar curvature / Bergman kernel</x:v>
      </x:c>
      <x:c r="H48" s="2" t="n">
        <x:v>34</x:v>
      </x:c>
      <x:c r="I48" s="36" t="n">
        <x:v>89.3</x:v>
      </x:c>
      <x:c r="J48" s="36" t="n">
        <x:v>89.7</x:v>
      </x:c>
      <x:c r="K48" s="36" t="n">
        <x:v>88.9</x:v>
      </x:c>
      <x:c r="L48" s="2" t="n">
        <x:v>92</x:v>
      </x:c>
      <x:c r="M48" s="2" t="n">
        <x:v>89</x:v>
      </x:c>
      <x:c r="N48" s="2" t="n">
        <x:v>90</x:v>
      </x:c>
      <x:c r="O48" s="2" t="n">
        <x:v>88</x:v>
      </x:c>
      <x:c r="P48" s="2" t="n">
        <x:v>91</x:v>
      </x:c>
      <x:c r="Q48" s="2" t="n">
        <x:v>86</x:v>
      </x:c>
      <x:c r="R48" s="2" t="n">
        <x:v>14</x:v>
      </x:c>
      <x:c r="S48" s="3" t="str">
        <x:v>https://arxiv.org/abs/2606.01153</x:v>
      </x:c>
      <x:c r="T48" s="3" t="str">
        <x:v>Links scalar curvature, volume, and Bergman kernel estimates.</x:v>
      </x:c>
    </x:row>
    <x:row r="49" ht="45" customHeight="1">
      <x:c r="A49" s="2" t="n">
        <x:v>48</x:v>
      </x:c>
      <x:c r="B49" s="2" t="n">
        <x:v>145</x:v>
      </x:c>
      <x:c r="C49" s="3" t="str">
        <x:v>2026-06</x:v>
      </x:c>
      <x:c r="D49" s="3" t="str">
        <x:v>2606.10443</x:v>
      </x:c>
      <x:c r="E49" s="3" t="str">
        <x:v>Geometry of gravitational instantons</x:v>
      </x:c>
      <x:c r="F49" s="3" t="str">
        <x:v>Mingyang Li; Song Sun</x:v>
      </x:c>
      <x:c r="G49" s="3" t="str">
        <x:v>gravitational instantons / survey</x:v>
      </x:c>
      <x:c r="H49" s="2" t="str">
        <x:v>-</x:v>
      </x:c>
      <x:c r="I49" s="36" t="n">
        <x:v>89.17</x:v>
      </x:c>
      <x:c r="J49" s="36" t="n">
        <x:v>89.7</x:v>
      </x:c>
      <x:c r="K49" s="36" t="n">
        <x:v>88.65</x:v>
      </x:c>
      <x:c r="L49" s="2" t="n">
        <x:v>91</x:v>
      </x:c>
      <x:c r="M49" s="2" t="n">
        <x:v>90</x:v>
      </x:c>
      <x:c r="N49" s="2" t="n">
        <x:v>90</x:v>
      </x:c>
      <x:c r="O49" s="2" t="n">
        <x:v>88</x:v>
      </x:c>
      <x:c r="P49" s="2" t="n">
        <x:v>91</x:v>
      </x:c>
      <x:c r="Q49" s="2" t="n">
        <x:v>87</x:v>
      </x:c>
      <x:c r="R49" s="2" t="n">
        <x:v>18</x:v>
      </x:c>
      <x:c r="S49" s="3" t="str">
        <x:v>https://arxiv.org/abs/2606.10443</x:v>
      </x:c>
      <x:c r="T49" s="3" t="str">
        <x:v>High-level survey on gravitational instanton geometry.</x:v>
      </x:c>
    </x:row>
    <x:row r="50" ht="45" customHeight="1">
      <x:c r="A50" s="2" t="n">
        <x:v>49</x:v>
      </x:c>
      <x:c r="B50" s="2" t="n">
        <x:v>148</x:v>
      </x:c>
      <x:c r="C50" s="3" t="str">
        <x:v>2026-06</x:v>
      </x:c>
      <x:c r="D50" s="3" t="str">
        <x:v>2606.00354</x:v>
      </x:c>
      <x:c r="E50" s="3" t="str">
        <x:v>Inequivalence of the various notions of completeness for Cartan geometries</x:v>
      </x:c>
      <x:c r="F50" s="3" t="str">
        <x:v>Jacob W. Erickson; Benjamin McKay</x:v>
      </x:c>
      <x:c r="G50" s="3" t="str">
        <x:v>Cartan geometry</x:v>
      </x:c>
      <x:c r="H50" s="2" t="n">
        <x:v>24</x:v>
      </x:c>
      <x:c r="I50" s="36" t="n">
        <x:v>89</x:v>
      </x:c>
      <x:c r="J50" s="36" t="n">
        <x:v>89.4</x:v>
      </x:c>
      <x:c r="K50" s="36" t="n">
        <x:v>88.6</x:v>
      </x:c>
      <x:c r="L50" s="2" t="n">
        <x:v>91</x:v>
      </x:c>
      <x:c r="M50" s="2" t="n">
        <x:v>89</x:v>
      </x:c>
      <x:c r="N50" s="2" t="n">
        <x:v>90</x:v>
      </x:c>
      <x:c r="O50" s="2" t="n">
        <x:v>88</x:v>
      </x:c>
      <x:c r="P50" s="2" t="n">
        <x:v>90</x:v>
      </x:c>
      <x:c r="Q50" s="2" t="n">
        <x:v>86</x:v>
      </x:c>
      <x:c r="R50" s="2" t="n">
        <x:v>14</x:v>
      </x:c>
      <x:c r="S50" s="3" t="str">
        <x:v>https://arxiv.org/abs/2606.00354</x:v>
      </x:c>
      <x:c r="T50" s="3" t="str">
        <x:v>Clarifies inequivalent completeness notions in Cartan geometry.</x:v>
      </x:c>
    </x:row>
    <x:row r="51" ht="45" customHeight="1">
      <x:c r="A51" s="2" t="n">
        <x:v>50</x:v>
      </x:c>
      <x:c r="B51" s="2" t="n">
        <x:v>149</x:v>
      </x:c>
      <x:c r="C51" s="3" t="str">
        <x:v>2026-06</x:v>
      </x:c>
      <x:c r="D51" s="3" t="str">
        <x:v>2606.01108</x:v>
      </x:c>
      <x:c r="E51" s="3" t="str">
        <x:v>Integral type Gauss-Green formula on non-collapsed RCD spaces and its applications</x:v>
      </x:c>
      <x:c r="F51" s="3" t="str">
        <x:v>Zhangkai Huang</x:v>
      </x:c>
      <x:c r="G51" s="3" t="str">
        <x:v>RCD spaces / metric geometry</x:v>
      </x:c>
      <x:c r="H51" s="2" t="str">
        <x:v>-</x:v>
      </x:c>
      <x:c r="I51" s="36" t="n">
        <x:v>89</x:v>
      </x:c>
      <x:c r="J51" s="36" t="n">
        <x:v>89.4</x:v>
      </x:c>
      <x:c r="K51" s="36" t="n">
        <x:v>88.6</x:v>
      </x:c>
      <x:c r="L51" s="2" t="n">
        <x:v>91</x:v>
      </x:c>
      <x:c r="M51" s="2" t="n">
        <x:v>89</x:v>
      </x:c>
      <x:c r="N51" s="2" t="n">
        <x:v>90</x:v>
      </x:c>
      <x:c r="O51" s="2" t="n">
        <x:v>88</x:v>
      </x:c>
      <x:c r="P51" s="2" t="n">
        <x:v>90</x:v>
      </x:c>
      <x:c r="Q51" s="2" t="n">
        <x:v>86</x:v>
      </x:c>
      <x:c r="R51" s="2" t="n">
        <x:v>14</x:v>
      </x:c>
      <x:c r="S51" s="3" t="str">
        <x:v>https://arxiv.org/abs/2606.01108</x:v>
      </x:c>
      <x:c r="T51" s="3" t="str">
        <x:v>Gauss-Green formula on non-collapsed RCD spaces.</x:v>
      </x:c>
    </x:row>
  </x:sheetData>
  <x:pageMargins left="0.7" right="0.7" top="0.75" bottom="0.75" header="0.3" footer="0.3"/>
  <x:tableParts count="1">
    <x:tablePart xmlns:r="http://schemas.openxmlformats.org/officeDocument/2006/relationships" r:id="Rfcd74a3151c34cba"/>
  </x:tableParts>
</x:worksheet>
</file>

<file path=xl/worksheets/sheet11.xml><?xml version="1.0" encoding="utf-8"?>
<x:worksheet xmlns:x="http://schemas.openxmlformats.org/spreadsheetml/2006/main">
  <x:sheetFormatPr defaultColWidth="9" defaultRowHeight="13.5"/>
  <x:cols>
    <x:col min="1" max="1" width="11" customWidth="1"/>
    <x:col min="2" max="2" width="15" customWidth="1"/>
    <x:col min="3" max="3" width="10" customWidth="1"/>
    <x:col min="4" max="4" width="12" customWidth="1"/>
    <x:col min="5" max="5" width="42" customWidth="1"/>
    <x:col min="6" max="6" width="28" customWidth="1"/>
    <x:col min="7" max="7" width="24" customWidth="1"/>
    <x:col min="8" max="11" width="8" customWidth="1"/>
    <x:col min="12" max="18" width="6" customWidth="1"/>
    <x:col min="19" max="19" width="34" customWidth="1"/>
    <x:col min="20" max="20" width="48" customWidth="1"/>
  </x:cols>
  <x:sheetData>
    <x:row r="1" ht="28" customHeight="1">
      <x:c r="A1" s="1" t="str">
        <x:v>MonthlyRank</x:v>
      </x:c>
      <x:c r="B1" s="1" t="str">
        <x:v>OverallRank_6_8</x:v>
      </x:c>
      <x:c r="C1" s="1" t="str">
        <x:v>Month</x:v>
      </x:c>
      <x:c r="D1" s="1" t="str">
        <x:v>arXiv</x:v>
      </x:c>
      <x:c r="E1" s="1" t="str">
        <x:v>Title</x:v>
      </x:c>
      <x:c r="F1" s="1" t="str">
        <x:v>Authors</x:v>
      </x:c>
      <x:c r="G1" s="1" t="str">
        <x:v>Theme</x:v>
      </x:c>
      <x:c r="H1" s="1" t="str">
        <x:v>Pages</x:v>
      </x:c>
      <x:c r="I1" s="1" t="str">
        <x:v>S_eq</x:v>
      </x:c>
      <x:c r="J1" s="1" t="str">
        <x:v>V</x:v>
      </x:c>
      <x:c r="K1" s="1" t="str">
        <x:v>S_H</x:v>
      </x:c>
      <x:c r="L1" s="1" t="str">
        <x:v>I</x:v>
      </x:c>
      <x:c r="M1" s="1" t="str">
        <x:v>O</x:v>
      </x:c>
      <x:c r="N1" s="1" t="str">
        <x:v>T</x:v>
      </x:c>
      <x:c r="O1" s="1" t="str">
        <x:v>B</x:v>
      </x:c>
      <x:c r="P1" s="1" t="str">
        <x:v>H</x:v>
      </x:c>
      <x:c r="Q1" s="1" t="str">
        <x:v>R</x:v>
      </x:c>
      <x:c r="R1" s="1" t="str">
        <x:v>AI_pct</x:v>
      </x:c>
      <x:c r="S1" s="1" t="str">
        <x:v>SourceURL</x:v>
      </x:c>
      <x:c r="T1" s="1" t="str">
        <x:v>综合判断</x:v>
      </x:c>
    </x:row>
    <x:row r="2" ht="45" customHeight="1">
      <x:c r="A2" s="2" t="n">
        <x:v>1</x:v>
      </x:c>
      <x:c r="B2" s="2" t="n">
        <x:v>5</x:v>
      </x:c>
      <x:c r="C2" s="3" t="str">
        <x:v>2026-07</x:v>
      </x:c>
      <x:c r="D2" s="3" t="str">
        <x:v>2607.07134</x:v>
      </x:c>
      <x:c r="E2" s="3" t="str">
        <x:v>Naked Singularities beyond Spherical Symmetry: Singular Inner Cauchy Horizons for the Einstein-Scalar Field System</x:v>
      </x:c>
      <x:c r="F2" s="3" t="str">
        <x:v>Xinliang An; Shengrong Wu</x:v>
      </x:c>
      <x:c r="G2" s="3" t="str">
        <x:v>Einstein equations / singularities</x:v>
      </x:c>
      <x:c r="H2" s="2" t="n">
        <x:v>116</x:v>
      </x:c>
      <x:c r="I2" s="36" t="n">
        <x:v>94.35</x:v>
      </x:c>
      <x:c r="J2" s="36" t="n">
        <x:v>94.7</x:v>
      </x:c>
      <x:c r="K2" s="36" t="n">
        <x:v>94</x:v>
      </x:c>
      <x:c r="L2" s="2" t="n">
        <x:v>97</x:v>
      </x:c>
      <x:c r="M2" s="2" t="n">
        <x:v>94</x:v>
      </x:c>
      <x:c r="N2" s="2" t="n">
        <x:v>97</x:v>
      </x:c>
      <x:c r="O2" s="2" t="n">
        <x:v>93</x:v>
      </x:c>
      <x:c r="P2" s="2" t="n">
        <x:v>97</x:v>
      </x:c>
      <x:c r="Q2" s="2" t="n">
        <x:v>86</x:v>
      </x:c>
      <x:c r="R2" s="2" t="n">
        <x:v>8</x:v>
      </x:c>
      <x:c r="S2" s="3" t="str">
        <x:v>https://arxiv.org/abs/2607.07134</x:v>
      </x:c>
      <x:c r="T2" s="3" t="str">
        <x:v>Major GR-PDE construction beyond spherical symmetry; strong geometric analysis relevance.</x:v>
      </x:c>
    </x:row>
    <x:row r="3" ht="45" customHeight="1">
      <x:c r="A3" s="2" t="n">
        <x:v>2</x:v>
      </x:c>
      <x:c r="B3" s="2" t="n">
        <x:v>6</x:v>
      </x:c>
      <x:c r="C3" s="3" t="str">
        <x:v>2026-07</x:v>
      </x:c>
      <x:c r="D3" s="3" t="str">
        <x:v>2607.13356</x:v>
      </x:c>
      <x:c r="E3" s="3" t="str">
        <x:v>Analysis of singularities of area-minimizing currents, Part III: branch points of planar frequency != 2, higher order asymptotics, and the local topology</x:v>
      </x:c>
      <x:c r="F3" s="3" t="str">
        <x:v>Brian Krummel; Neshan Wickramasekera</x:v>
      </x:c>
      <x:c r="G3" s="3" t="str">
        <x:v>minimal currents / singularity theory</x:v>
      </x:c>
      <x:c r="H3" s="2" t="n">
        <x:v>156</x:v>
      </x:c>
      <x:c r="I3" s="36" t="n">
        <x:v>94.35</x:v>
      </x:c>
      <x:c r="J3" s="36" t="n">
        <x:v>94.7</x:v>
      </x:c>
      <x:c r="K3" s="36" t="n">
        <x:v>94</x:v>
      </x:c>
      <x:c r="L3" s="2" t="n">
        <x:v>97</x:v>
      </x:c>
      <x:c r="M3" s="2" t="n">
        <x:v>94</x:v>
      </x:c>
      <x:c r="N3" s="2" t="n">
        <x:v>97</x:v>
      </x:c>
      <x:c r="O3" s="2" t="n">
        <x:v>93</x:v>
      </x:c>
      <x:c r="P3" s="2" t="n">
        <x:v>97</x:v>
      </x:c>
      <x:c r="Q3" s="2" t="n">
        <x:v>86</x:v>
      </x:c>
      <x:c r="R3" s="2" t="n">
        <x:v>8</x:v>
      </x:c>
      <x:c r="S3" s="3" t="str">
        <x:v>https://arxiv.org/abs/2607.13356</x:v>
      </x:c>
      <x:c r="T3" s="3" t="str">
        <x:v>Large-scale regularity/singularity analysis for area-minimizing currents; exceptional human proof complexity.</x:v>
      </x:c>
    </x:row>
    <x:row r="4" ht="45" customHeight="1">
      <x:c r="A4" s="2" t="n">
        <x:v>3</x:v>
      </x:c>
      <x:c r="B4" s="2" t="n">
        <x:v>10</x:v>
      </x:c>
      <x:c r="C4" s="3" t="str">
        <x:v>2026-07</x:v>
      </x:c>
      <x:c r="D4" s="3" t="str">
        <x:v>2607.15522</x:v>
      </x:c>
      <x:c r="E4" s="3" t="str">
        <x:v>Nonnegative Bakry--Émery Curvature on Bounded-Degree Graphs Implies Volume Doubling and Poincaré Inequalities</x:v>
      </x:c>
      <x:c r="F4" s="3" t="str">
        <x:v>Qi Guo; Xueping Huang; Yi C. Huang</x:v>
      </x:c>
      <x:c r="G4" s="3" t="str">
        <x:v>discrete Bakry-Émery curvature / graph heat flow</x:v>
      </x:c>
      <x:c r="H4" s="2" t="n">
        <x:v>34</x:v>
      </x:c>
      <x:c r="I4" s="36" t="n">
        <x:v>93.65</x:v>
      </x:c>
      <x:c r="J4" s="36" t="n">
        <x:v>94.3</x:v>
      </x:c>
      <x:c r="K4" s="36" t="n">
        <x:v>93</x:v>
      </x:c>
      <x:c r="L4" s="2" t="n">
        <x:v>96</x:v>
      </x:c>
      <x:c r="M4" s="2" t="n">
        <x:v>94</x:v>
      </x:c>
      <x:c r="N4" s="2" t="n">
        <x:v>95</x:v>
      </x:c>
      <x:c r="O4" s="2" t="n">
        <x:v>95</x:v>
      </x:c>
      <x:c r="P4" s="2" t="n">
        <x:v>95</x:v>
      </x:c>
      <x:c r="Q4" s="2" t="n">
        <x:v>87</x:v>
      </x:c>
      <x:c r="R4" s="2" t="n">
        <x:v>9</x:v>
      </x:c>
      <x:c r="S4" s="3" t="str">
        <x:v>https://arxiv.org/abs/2607.15522</x:v>
      </x:c>
      <x:c r="T4" s="3" t="str">
        <x:v>Bounded-degree CD(0,∞) graphs are uniformly volume doubling and satisfy a scale-invariant L2 Poincaré inequality; settles the Cushing-Liu-Peyerimhoff polynomial-growth conjecture in a stronger form.</x:v>
      </x:c>
    </x:row>
    <x:row r="5" ht="45" customHeight="1">
      <x:c r="A5" s="2" t="n">
        <x:v>4</x:v>
      </x:c>
      <x:c r="B5" s="2" t="n">
        <x:v>13</x:v>
      </x:c>
      <x:c r="C5" s="3" t="str">
        <x:v>2026-08</x:v>
      </x:c>
      <x:c r="D5" s="3" t="str">
        <x:v>2608.07240</x:v>
      </x:c>
      <x:c r="E5" s="3" t="str">
        <x:v>Critical Geller Equations on Complex Hyperbolic Space: Nondegeneracy, Geodesic Symmetry, and Global Compactness</x:v>
      </x:c>
      <x:c r="F5" s="3" t="str">
        <x:v>Jungang Li</x:v>
      </x:c>
      <x:c r="G5" s="3" t="str">
        <x:v>critical Geller equations / complex hyperbolic geometry</x:v>
      </x:c>
      <x:c r="H5" s="2" t="n">
        <x:v>59</x:v>
      </x:c>
      <x:c r="I5" s="36" t="n">
        <x:v>93.45</x:v>
      </x:c>
      <x:c r="J5" s="36" t="n">
        <x:v>94</x:v>
      </x:c>
      <x:c r="K5" s="36" t="n">
        <x:v>92.9</x:v>
      </x:c>
      <x:c r="L5" s="2" t="n">
        <x:v>95</x:v>
      </x:c>
      <x:c r="M5" s="2" t="n">
        <x:v>94</x:v>
      </x:c>
      <x:c r="N5" s="2" t="n">
        <x:v>96</x:v>
      </x:c>
      <x:c r="O5" s="2" t="n">
        <x:v>94</x:v>
      </x:c>
      <x:c r="P5" s="2" t="n">
        <x:v>95</x:v>
      </x:c>
      <x:c r="Q5" s="2" t="n">
        <x:v>86</x:v>
      </x:c>
      <x:c r="R5" s="2" t="n">
        <x:v>10</x:v>
      </x:c>
      <x:c r="S5" s="3" t="str">
        <x:v>https://arxiv.org/abs/2608.07240</x:v>
      </x:c>
      <x:c r="T5" s="3" t="str">
        <x:v>Builds a broad critical Geller/Brezis-Nirenberg theory: sharp constants and classification, invariant-sector profiles and stability, nondegeneracy, compactness, symmetry, asymptotics, and perturbative existence.</x:v>
      </x:c>
    </x:row>
    <x:row r="6" ht="45" customHeight="1">
      <x:c r="A6" s="2" t="n">
        <x:v>5</x:v>
      </x:c>
      <x:c r="B6" s="2" t="n">
        <x:v>15</x:v>
      </x:c>
      <x:c r="C6" s="3" t="str">
        <x:v>2026-07</x:v>
      </x:c>
      <x:c r="D6" s="3" t="str">
        <x:v>2607.03152</x:v>
      </x:c>
      <x:c r="E6" s="3" t="str">
        <x:v>Finite-Time Singularities of Lagrangian Mean Curvature Flow with Quantitatively Precise Dynamics</x:v>
      </x:c>
      <x:c r="F6" s="3" t="str">
        <x:v>Maxwell Stolarski; Wei-Bo Su</x:v>
      </x:c>
      <x:c r="G6" s="3" t="str">
        <x:v>Lagrangian mean curvature flow</x:v>
      </x:c>
      <x:c r="H6" s="2" t="n">
        <x:v>110</x:v>
      </x:c>
      <x:c r="I6" s="36" t="n">
        <x:v>93.325</x:v>
      </x:c>
      <x:c r="J6" s="36" t="n">
        <x:v>93.5</x:v>
      </x:c>
      <x:c r="K6" s="36" t="n">
        <x:v>93.15</x:v>
      </x:c>
      <x:c r="L6" s="2" t="n">
        <x:v>95</x:v>
      </x:c>
      <x:c r="M6" s="2" t="n">
        <x:v>93</x:v>
      </x:c>
      <x:c r="N6" s="2" t="n">
        <x:v>96</x:v>
      </x:c>
      <x:c r="O6" s="2" t="n">
        <x:v>92</x:v>
      </x:c>
      <x:c r="P6" s="2" t="n">
        <x:v>96</x:v>
      </x:c>
      <x:c r="Q6" s="2" t="n">
        <x:v>86</x:v>
      </x:c>
      <x:c r="R6" s="2" t="n">
        <x:v>9</x:v>
      </x:c>
      <x:c r="S6" s="3" t="str">
        <x:v>https://arxiv.org/abs/2607.03152</x:v>
      </x:c>
      <x:c r="T6" s="3" t="str">
        <x:v>Quantitative singularity dynamics for Lagrangian MCF; technically deep and reusable.</x:v>
      </x:c>
    </x:row>
    <x:row r="7" ht="45" customHeight="1">
      <x:c r="A7" s="2" t="n">
        <x:v>6</x:v>
      </x:c>
      <x:c r="B7" s="2" t="n">
        <x:v>16</x:v>
      </x:c>
      <x:c r="C7" s="3" t="str">
        <x:v>2026-07</x:v>
      </x:c>
      <x:c r="D7" s="3" t="str">
        <x:v>2607.03383</x:v>
      </x:c>
      <x:c r="E7" s="3" t="str">
        <x:v>Unique asymptotics of SO(k)xSO(n-k+1) symmetric ancient ovals of Ricci flow</x:v>
      </x:c>
      <x:c r="F7" s="3" t="str">
        <x:v>Panagiota Daskalopoulos; Wenkui Du; Natasa Sesum; Ziyi Zhao</x:v>
      </x:c>
      <x:c r="G7" s="3" t="str">
        <x:v>Ricci flow / ancient solutions</x:v>
      </x:c>
      <x:c r="H7" s="2" t="n">
        <x:v>78</x:v>
      </x:c>
      <x:c r="I7" s="36" t="n">
        <x:v>93.325</x:v>
      </x:c>
      <x:c r="J7" s="36" t="n">
        <x:v>93.5</x:v>
      </x:c>
      <x:c r="K7" s="36" t="n">
        <x:v>93.15</x:v>
      </x:c>
      <x:c r="L7" s="2" t="n">
        <x:v>95</x:v>
      </x:c>
      <x:c r="M7" s="2" t="n">
        <x:v>93</x:v>
      </x:c>
      <x:c r="N7" s="2" t="n">
        <x:v>96</x:v>
      </x:c>
      <x:c r="O7" s="2" t="n">
        <x:v>92</x:v>
      </x:c>
      <x:c r="P7" s="2" t="n">
        <x:v>96</x:v>
      </x:c>
      <x:c r="Q7" s="2" t="n">
        <x:v>86</x:v>
      </x:c>
      <x:c r="R7" s="2" t="n">
        <x:v>9</x:v>
      </x:c>
      <x:c r="S7" s="3" t="str">
        <x:v>https://arxiv.org/abs/2607.03383</x:v>
      </x:c>
      <x:c r="T7" s="3" t="str">
        <x:v>Ancient Ricci-flow asymptotics by leading flow techniques; high geometric PDE value.</x:v>
      </x:c>
    </x:row>
    <x:row r="8" ht="45" customHeight="1">
      <x:c r="A8" s="2" t="n">
        <x:v>7</x:v>
      </x:c>
      <x:c r="B8" s="2" t="n">
        <x:v>17</x:v>
      </x:c>
      <x:c r="C8" s="3" t="str">
        <x:v>2026-07</x:v>
      </x:c>
      <x:c r="D8" s="3" t="str">
        <x:v>2607.11236</x:v>
      </x:c>
      <x:c r="E8" s="3" t="str">
        <x:v>Formation of Trapped Surfaces from Spacelike Initial Data</x:v>
      </x:c>
      <x:c r="F8" s="3" t="str">
        <x:v>Xuantao Chen; Sergiu Klainerman</x:v>
      </x:c>
      <x:c r="G8" s="3" t="str">
        <x:v>general relativity / trapped surfaces</x:v>
      </x:c>
      <x:c r="H8" s="2" t="str">
        <x:v>-</x:v>
      </x:c>
      <x:c r="I8" s="36" t="n">
        <x:v>93.325</x:v>
      </x:c>
      <x:c r="J8" s="36" t="n">
        <x:v>93.5</x:v>
      </x:c>
      <x:c r="K8" s="36" t="n">
        <x:v>93.15</x:v>
      </x:c>
      <x:c r="L8" s="2" t="n">
        <x:v>95</x:v>
      </x:c>
      <x:c r="M8" s="2" t="n">
        <x:v>93</x:v>
      </x:c>
      <x:c r="N8" s="2" t="n">
        <x:v>96</x:v>
      </x:c>
      <x:c r="O8" s="2" t="n">
        <x:v>92</x:v>
      </x:c>
      <x:c r="P8" s="2" t="n">
        <x:v>96</x:v>
      </x:c>
      <x:c r="Q8" s="2" t="n">
        <x:v>86</x:v>
      </x:c>
      <x:c r="R8" s="2" t="n">
        <x:v>9</x:v>
      </x:c>
      <x:c r="S8" s="3" t="str">
        <x:v>https://arxiv.org/abs/2607.11236</x:v>
      </x:c>
      <x:c r="T8" s="3" t="str">
        <x:v>High-value trapped-surface formation result; long nonlinear geometric PDE proof architecture.</x:v>
      </x:c>
    </x:row>
    <x:row r="9" ht="45" customHeight="1">
      <x:c r="A9" s="2" t="n">
        <x:v>8</x:v>
      </x:c>
      <x:c r="B9" s="2" t="n">
        <x:v>18</x:v>
      </x:c>
      <x:c r="C9" s="3" t="str">
        <x:v>2026-08</x:v>
      </x:c>
      <x:c r="D9" s="3" t="str">
        <x:v>2608.05128</x:v>
      </x:c>
      <x:c r="E9" s="3" t="str">
        <x:v>Large mass limits of G_2 and Calabi-Yau monopoles: calibrated concentration, Higgs zeros, and abelianization</x:v>
      </x:c>
      <x:c r="F9" s="3" t="str">
        <x:v>Daniel Fadel; Gonçalo Oliveira</x:v>
      </x:c>
      <x:c r="G9" s="3" t="str">
        <x:v>G2/CY monopoles / calibrated geometry</x:v>
      </x:c>
      <x:c r="H9" s="2" t="n">
        <x:v>148</x:v>
      </x:c>
      <x:c r="I9" s="36" t="n">
        <x:v>93.325</x:v>
      </x:c>
      <x:c r="J9" s="36" t="n">
        <x:v>93.5</x:v>
      </x:c>
      <x:c r="K9" s="36" t="n">
        <x:v>93.15</x:v>
      </x:c>
      <x:c r="L9" s="2" t="n">
        <x:v>95</x:v>
      </x:c>
      <x:c r="M9" s="2" t="n">
        <x:v>93</x:v>
      </x:c>
      <x:c r="N9" s="2" t="n">
        <x:v>96</x:v>
      </x:c>
      <x:c r="O9" s="2" t="n">
        <x:v>92</x:v>
      </x:c>
      <x:c r="P9" s="2" t="n">
        <x:v>96</x:v>
      </x:c>
      <x:c r="Q9" s="2" t="n">
        <x:v>86</x:v>
      </x:c>
      <x:c r="R9" s="2" t="n">
        <x:v>9</x:v>
      </x:c>
      <x:c r="S9" s="3" t="str">
        <x:v>https://arxiv.org/abs/2608.05128</x:v>
      </x:c>
      <x:c r="T9" s="3" t="str">
        <x:v>Very large gauge/calibrated-geometry work; high human proof burden and structural value.</x:v>
      </x:c>
    </x:row>
    <x:row r="10" ht="45" customHeight="1">
      <x:c r="A10" s="2" t="n">
        <x:v>9</x:v>
      </x:c>
      <x:c r="B10" s="2" t="n">
        <x:v>22</x:v>
      </x:c>
      <x:c r="C10" s="3" t="str">
        <x:v>2026-08</x:v>
      </x:c>
      <x:c r="D10" s="3" t="str">
        <x:v>2608.06320</x:v>
      </x:c>
      <x:c r="E10" s="3" t="str">
        <x:v>Dihedral Rigidity for Convex Polytopes by Smooth Approximation</x:v>
      </x:c>
      <x:c r="F10" s="3" t="str">
        <x:v>Yuchen Bi</x:v>
      </x:c>
      <x:c r="G10" s="3" t="str">
        <x:v>polytope dihedral rigidity</x:v>
      </x:c>
      <x:c r="H10" s="2" t="n">
        <x:v>18</x:v>
      </x:c>
      <x:c r="I10" s="36" t="n">
        <x:v>93</x:v>
      </x:c>
      <x:c r="J10" s="36" t="n">
        <x:v>93.55</x:v>
      </x:c>
      <x:c r="K10" s="36" t="n">
        <x:v>92.45</x:v>
      </x:c>
      <x:c r="L10" s="2" t="n">
        <x:v>96</x:v>
      </x:c>
      <x:c r="M10" s="2" t="n">
        <x:v>93</x:v>
      </x:c>
      <x:c r="N10" s="2" t="n">
        <x:v>94</x:v>
      </x:c>
      <x:c r="O10" s="2" t="n">
        <x:v>93</x:v>
      </x:c>
      <x:c r="P10" s="2" t="n">
        <x:v>94</x:v>
      </x:c>
      <x:c r="Q10" s="2" t="n">
        <x:v>87</x:v>
      </x:c>
      <x:c r="R10" s="2" t="n">
        <x:v>8</x:v>
      </x:c>
      <x:c r="S10" s="3" t="str">
        <x:v>https://arxiv.org/abs/2608.06320</x:v>
      </x:c>
      <x:c r="T10" s="3" t="str">
        <x:v>Smooth-approximation proof of Gromov's dihedral rigidity conjecture for convex polytopes.</x:v>
      </x:c>
    </x:row>
    <x:row r="11" ht="45" customHeight="1">
      <x:c r="A11" s="2" t="n">
        <x:v>10</x:v>
      </x:c>
      <x:c r="B11" s="2" t="n">
        <x:v>23</x:v>
      </x:c>
      <x:c r="C11" s="3" t="str">
        <x:v>2026-08</x:v>
      </x:c>
      <x:c r="D11" s="3" t="str">
        <x:v>2608.07231</x:v>
      </x:c>
      <x:c r="E11" s="3" t="str">
        <x:v>Liouville Rigidity for Entire Strictly Spacelike Solutions of a Lorentzian Prescribed Mean Curvature Equation</x:v>
      </x:c>
      <x:c r="F11" s="3" t="str">
        <x:v>Xi-Nan Ma; Tian Wu; Wangzhe Wu; Bao Yu</x:v>
      </x:c>
      <x:c r="G11" s="3" t="str">
        <x:v>Lorentzian prescribed mean curvature / Liouville rigidity</x:v>
      </x:c>
      <x:c r="H11" s="2" t="n">
        <x:v>25</x:v>
      </x:c>
      <x:c r="I11" s="36" t="n">
        <x:v>92.725</x:v>
      </x:c>
      <x:c r="J11" s="36" t="n">
        <x:v>92.95</x:v>
      </x:c>
      <x:c r="K11" s="36" t="n">
        <x:v>92.5</x:v>
      </x:c>
      <x:c r="L11" s="2" t="n">
        <x:v>94</x:v>
      </x:c>
      <x:c r="M11" s="2" t="n">
        <x:v>93</x:v>
      </x:c>
      <x:c r="N11" s="2" t="n">
        <x:v>95</x:v>
      </x:c>
      <x:c r="O11" s="2" t="n">
        <x:v>92</x:v>
      </x:c>
      <x:c r="P11" s="2" t="n">
        <x:v>95</x:v>
      </x:c>
      <x:c r="Q11" s="2" t="n">
        <x:v>86</x:v>
      </x:c>
      <x:c r="R11" s="2" t="n">
        <x:v>10</x:v>
      </x:c>
      <x:c r="S11" s="3" t="str">
        <x:v>https://arxiv.org/abs/2608.07231</x:v>
      </x:c>
      <x:c r="T11" s="3" t="str">
        <x:v>Removes radial, decay, integrability, and uniform-gap assumptions in a subcritical Lorentzian prescribed-mean-curvature Liouville problem, using global Lorentz-factor bounds and new weighted tensor identities.</x:v>
      </x:c>
    </x:row>
    <x:row r="12" ht="45" customHeight="1">
      <x:c r="A12" s="2" t="n">
        <x:v>11</x:v>
      </x:c>
      <x:c r="B12" s="2" t="n">
        <x:v>26</x:v>
      </x:c>
      <x:c r="C12" s="3" t="str">
        <x:v>2026-08</x:v>
      </x:c>
      <x:c r="D12" s="3" t="str">
        <x:v>2608.03575</x:v>
      </x:c>
      <x:c r="E12" s="3" t="str">
        <x:v>A Gauss-Bonnet-Type Dichotomy for Unimodular Random Infinite Trivalent Hyperbolic Polyhedra</x:v>
      </x:c>
      <x:c r="F12" s="3" t="str">
        <x:v>Huabin Ge; Yangxiang Lu; Chuwen Wang; Tian Zhou</x:v>
      </x:c>
      <x:c r="G12" s="3" t="str">
        <x:v>random hyperbolic polyhedra / circle patterns</x:v>
      </x:c>
      <x:c r="H12" s="2" t="n">
        <x:v>39</x:v>
      </x:c>
      <x:c r="I12" s="36" t="n">
        <x:v>92.5</x:v>
      </x:c>
      <x:c r="J12" s="36" t="n">
        <x:v>92.9</x:v>
      </x:c>
      <x:c r="K12" s="36" t="n">
        <x:v>92.1</x:v>
      </x:c>
      <x:c r="L12" s="2" t="n">
        <x:v>93</x:v>
      </x:c>
      <x:c r="M12" s="2" t="n">
        <x:v>95</x:v>
      </x:c>
      <x:c r="N12" s="2" t="n">
        <x:v>94</x:v>
      </x:c>
      <x:c r="O12" s="2" t="n">
        <x:v>94</x:v>
      </x:c>
      <x:c r="P12" s="2" t="n">
        <x:v>94</x:v>
      </x:c>
      <x:c r="Q12" s="2" t="n">
        <x:v>84</x:v>
      </x:c>
      <x:c r="R12" s="2" t="n">
        <x:v>10</x:v>
      </x:c>
      <x:c r="S12" s="3" t="str">
        <x:v>https://arxiv.org/abs/2608.03575</x:v>
      </x:c>
      <x:c r="T12" s="3" t="str">
        <x:v>Unimodular Gauss-Bonnet dichotomy, finite-limit obstruction, a refined ring lemma, Poisson-boundary identification, and positive hyperbolic speed.</x:v>
      </x:c>
    </x:row>
    <x:row r="13" ht="45" customHeight="1">
      <x:c r="A13" s="2" t="n">
        <x:v>12</x:v>
      </x:c>
      <x:c r="B13" s="2" t="n">
        <x:v>27</x:v>
      </x:c>
      <x:c r="C13" s="3" t="str">
        <x:v>2026-07</x:v>
      </x:c>
      <x:c r="D13" s="3" t="str">
        <x:v>2607.03930</x:v>
      </x:c>
      <x:c r="E13" s="3" t="str">
        <x:v>De Giorgi varifold solutions to Mean Curvature Flow: a minimizing movements approach</x:v>
      </x:c>
      <x:c r="F13" s="3" t="str">
        <x:v>Tim Laux; Andrea Poiatti</x:v>
      </x:c>
      <x:c r="G13" s="3" t="str">
        <x:v>mean curvature flow / varifolds</x:v>
      </x:c>
      <x:c r="H13" s="2" t="str">
        <x:v>-</x:v>
      </x:c>
      <x:c r="I13" s="36" t="n">
        <x:v>92.45</x:v>
      </x:c>
      <x:c r="J13" s="36" t="n">
        <x:v>92.6</x:v>
      </x:c>
      <x:c r="K13" s="36" t="n">
        <x:v>92.3</x:v>
      </x:c>
      <x:c r="L13" s="2" t="n">
        <x:v>94</x:v>
      </x:c>
      <x:c r="M13" s="2" t="n">
        <x:v>92</x:v>
      </x:c>
      <x:c r="N13" s="2" t="n">
        <x:v>95</x:v>
      </x:c>
      <x:c r="O13" s="2" t="n">
        <x:v>91</x:v>
      </x:c>
      <x:c r="P13" s="2" t="n">
        <x:v>95</x:v>
      </x:c>
      <x:c r="Q13" s="2" t="n">
        <x:v>86</x:v>
      </x:c>
      <x:c r="R13" s="2" t="n">
        <x:v>10</x:v>
      </x:c>
      <x:c r="S13" s="3" t="str">
        <x:v>https://arxiv.org/abs/2607.03930</x:v>
      </x:c>
      <x:c r="T13" s="3" t="str">
        <x:v>Variational weak solution framework for MCF; high method transfer potential.</x:v>
      </x:c>
    </x:row>
    <x:row r="14" ht="45" customHeight="1">
      <x:c r="A14" s="2" t="n">
        <x:v>13</x:v>
      </x:c>
      <x:c r="B14" s="2" t="n">
        <x:v>28</x:v>
      </x:c>
      <x:c r="C14" s="3" t="str">
        <x:v>2026-07</x:v>
      </x:c>
      <x:c r="D14" s="3" t="str">
        <x:v>2607.06688</x:v>
      </x:c>
      <x:c r="E14" s="3" t="str">
        <x:v>Poisson K-stability and the semiclassical Yau-Tian-Donaldson correspondence</x:v>
      </x:c>
      <x:c r="F14" s="3" t="str">
        <x:v>Vestislav Apostolov; Brent Pym; Jeffrey Streets</x:v>
      </x:c>
      <x:c r="G14" s="3" t="str">
        <x:v>Poisson K-stability / YTD</x:v>
      </x:c>
      <x:c r="H14" s="2" t="str">
        <x:v>-</x:v>
      </x:c>
      <x:c r="I14" s="36" t="n">
        <x:v>92.45</x:v>
      </x:c>
      <x:c r="J14" s="36" t="n">
        <x:v>92.6</x:v>
      </x:c>
      <x:c r="K14" s="36" t="n">
        <x:v>92.3</x:v>
      </x:c>
      <x:c r="L14" s="2" t="n">
        <x:v>94</x:v>
      </x:c>
      <x:c r="M14" s="2" t="n">
        <x:v>92</x:v>
      </x:c>
      <x:c r="N14" s="2" t="n">
        <x:v>95</x:v>
      </x:c>
      <x:c r="O14" s="2" t="n">
        <x:v>91</x:v>
      </x:c>
      <x:c r="P14" s="2" t="n">
        <x:v>95</x:v>
      </x:c>
      <x:c r="Q14" s="2" t="n">
        <x:v>86</x:v>
      </x:c>
      <x:c r="R14" s="2" t="n">
        <x:v>10</x:v>
      </x:c>
      <x:c r="S14" s="3" t="str">
        <x:v>https://arxiv.org/abs/2607.06688</x:v>
      </x:c>
      <x:c r="T14" s="3" t="str">
        <x:v>Connects K-stability/YTD ideas with Poisson geometry; high conceptual breadth.</x:v>
      </x:c>
    </x:row>
    <x:row r="15" ht="45" customHeight="1">
      <x:c r="A15" s="2" t="n">
        <x:v>14</x:v>
      </x:c>
      <x:c r="B15" s="2" t="n">
        <x:v>29</x:v>
      </x:c>
      <x:c r="C15" s="3" t="str">
        <x:v>2026-07</x:v>
      </x:c>
      <x:c r="D15" s="3" t="str">
        <x:v>2607.20741</x:v>
      </x:c>
      <x:c r="E15" s="3" t="str">
        <x:v>The Penrose conjecture for initial data sets satisfying a 2-convexity condition</x:v>
      </x:c>
      <x:c r="F15" s="3" t="str">
        <x:v>Conghan Dong</x:v>
      </x:c>
      <x:c r="G15" s="3" t="str">
        <x:v>Penrose inequality / scalar curvature</x:v>
      </x:c>
      <x:c r="H15" s="2" t="str">
        <x:v>-</x:v>
      </x:c>
      <x:c r="I15" s="36" t="n">
        <x:v>92.45</x:v>
      </x:c>
      <x:c r="J15" s="36" t="n">
        <x:v>92.6</x:v>
      </x:c>
      <x:c r="K15" s="36" t="n">
        <x:v>92.3</x:v>
      </x:c>
      <x:c r="L15" s="2" t="n">
        <x:v>94</x:v>
      </x:c>
      <x:c r="M15" s="2" t="n">
        <x:v>92</x:v>
      </x:c>
      <x:c r="N15" s="2" t="n">
        <x:v>95</x:v>
      </x:c>
      <x:c r="O15" s="2" t="n">
        <x:v>91</x:v>
      </x:c>
      <x:c r="P15" s="2" t="n">
        <x:v>95</x:v>
      </x:c>
      <x:c r="Q15" s="2" t="n">
        <x:v>86</x:v>
      </x:c>
      <x:c r="R15" s="2" t="n">
        <x:v>10</x:v>
      </x:c>
      <x:c r="S15" s="3" t="str">
        <x:v>https://arxiv.org/abs/2607.20741</x:v>
      </x:c>
      <x:c r="T15" s="3" t="str">
        <x:v>Penrose-type result under geometric convexity; important in scalar-curvature/GR interface.</x:v>
      </x:c>
    </x:row>
    <x:row r="16" ht="45" customHeight="1">
      <x:c r="A16" s="2" t="n">
        <x:v>15</x:v>
      </x:c>
      <x:c r="B16" s="2" t="n">
        <x:v>30</x:v>
      </x:c>
      <x:c r="C16" s="3" t="str">
        <x:v>2026-07</x:v>
      </x:c>
      <x:c r="D16" s="3" t="str">
        <x:v>2607.23879</x:v>
      </x:c>
      <x:c r="E16" s="3" t="str">
        <x:v>Closed mean curvature flows with prescribed tangent flows</x:v>
      </x:c>
      <x:c r="F16" s="3" t="str">
        <x:v>Jingwen Chen; Tang-Kai Lee; Ao Sun; Xinrui Zhao</x:v>
      </x:c>
      <x:c r="G16" s="3" t="str">
        <x:v>mean curvature flow / tangent flows</x:v>
      </x:c>
      <x:c r="H16" s="2" t="n">
        <x:v>40</x:v>
      </x:c>
      <x:c r="I16" s="36" t="n">
        <x:v>92.45</x:v>
      </x:c>
      <x:c r="J16" s="36" t="n">
        <x:v>92.6</x:v>
      </x:c>
      <x:c r="K16" s="36" t="n">
        <x:v>92.3</x:v>
      </x:c>
      <x:c r="L16" s="2" t="n">
        <x:v>94</x:v>
      </x:c>
      <x:c r="M16" s="2" t="n">
        <x:v>92</x:v>
      </x:c>
      <x:c r="N16" s="2" t="n">
        <x:v>95</x:v>
      </x:c>
      <x:c r="O16" s="2" t="n">
        <x:v>91</x:v>
      </x:c>
      <x:c r="P16" s="2" t="n">
        <x:v>95</x:v>
      </x:c>
      <x:c r="Q16" s="2" t="n">
        <x:v>86</x:v>
      </x:c>
      <x:c r="R16" s="2" t="n">
        <x:v>10</x:v>
      </x:c>
      <x:c r="S16" s="3" t="str">
        <x:v>https://arxiv.org/abs/2607.23879</x:v>
      </x:c>
      <x:c r="T16" s="3" t="str">
        <x:v>Prescribed tangent-flow phenomena for closed MCF; strong singularity-theory relevance.</x:v>
      </x:c>
    </x:row>
    <x:row r="17" ht="45" customHeight="1">
      <x:c r="A17" s="2" t="n">
        <x:v>16</x:v>
      </x:c>
      <x:c r="B17" s="2" t="n">
        <x:v>31</x:v>
      </x:c>
      <x:c r="C17" s="3" t="str">
        <x:v>2026-07</x:v>
      </x:c>
      <x:c r="D17" s="3" t="str">
        <x:v>2607.25644</x:v>
      </x:c>
      <x:c r="E17" s="3" t="str">
        <x:v>Gromov-Hausdorff Limits of Noncollapsed Kähler-Ricci Flows and the Geometry of Ricci Shrinkers</x:v>
      </x:c>
      <x:c r="F17" s="3" t="str">
        <x:v>Yu Li; Junsheng Zhang</x:v>
      </x:c>
      <x:c r="G17" s="3" t="str">
        <x:v>Kähler-Ricci flow / Ricci shrinkers</x:v>
      </x:c>
      <x:c r="H17" s="2" t="n">
        <x:v>62</x:v>
      </x:c>
      <x:c r="I17" s="36" t="n">
        <x:v>92.45</x:v>
      </x:c>
      <x:c r="J17" s="36" t="n">
        <x:v>92.6</x:v>
      </x:c>
      <x:c r="K17" s="36" t="n">
        <x:v>92.3</x:v>
      </x:c>
      <x:c r="L17" s="2" t="n">
        <x:v>94</x:v>
      </x:c>
      <x:c r="M17" s="2" t="n">
        <x:v>92</x:v>
      </x:c>
      <x:c r="N17" s="2" t="n">
        <x:v>95</x:v>
      </x:c>
      <x:c r="O17" s="2" t="n">
        <x:v>91</x:v>
      </x:c>
      <x:c r="P17" s="2" t="n">
        <x:v>95</x:v>
      </x:c>
      <x:c r="Q17" s="2" t="n">
        <x:v>86</x:v>
      </x:c>
      <x:c r="R17" s="2" t="n">
        <x:v>10</x:v>
      </x:c>
      <x:c r="S17" s="3" t="str">
        <x:v>https://arxiv.org/abs/2607.25644</x:v>
      </x:c>
      <x:c r="T17" s="3" t="str">
        <x:v>Noncollapsed KRF limits and shrinker geometry; central geometric-flow problem area.</x:v>
      </x:c>
    </x:row>
    <x:row r="18" ht="45" customHeight="1">
      <x:c r="A18" s="2" t="n">
        <x:v>17</x:v>
      </x:c>
      <x:c r="B18" s="2" t="n">
        <x:v>32</x:v>
      </x:c>
      <x:c r="C18" s="3" t="str">
        <x:v>2026-07</x:v>
      </x:c>
      <x:c r="D18" s="3" t="str">
        <x:v>2607.29502</x:v>
      </x:c>
      <x:c r="E18" s="3" t="str">
        <x:v>A dichotomy for minimal submanifolds</x:v>
      </x:c>
      <x:c r="F18" s="3" t="str">
        <x:v>Tobias Holck Colding; William P. Minicozzi II</x:v>
      </x:c>
      <x:c r="G18" s="3" t="str">
        <x:v>minimal submanifolds</x:v>
      </x:c>
      <x:c r="H18" s="2" t="str">
        <x:v>-</x:v>
      </x:c>
      <x:c r="I18" s="36" t="n">
        <x:v>92.45</x:v>
      </x:c>
      <x:c r="J18" s="36" t="n">
        <x:v>92.6</x:v>
      </x:c>
      <x:c r="K18" s="36" t="n">
        <x:v>92.3</x:v>
      </x:c>
      <x:c r="L18" s="2" t="n">
        <x:v>94</x:v>
      </x:c>
      <x:c r="M18" s="2" t="n">
        <x:v>92</x:v>
      </x:c>
      <x:c r="N18" s="2" t="n">
        <x:v>95</x:v>
      </x:c>
      <x:c r="O18" s="2" t="n">
        <x:v>91</x:v>
      </x:c>
      <x:c r="P18" s="2" t="n">
        <x:v>95</x:v>
      </x:c>
      <x:c r="Q18" s="2" t="n">
        <x:v>86</x:v>
      </x:c>
      <x:c r="R18" s="2" t="n">
        <x:v>10</x:v>
      </x:c>
      <x:c r="S18" s="3" t="str">
        <x:v>https://arxiv.org/abs/2607.29502</x:v>
      </x:c>
      <x:c r="T18" s="3" t="str">
        <x:v>Conceptual dichotomy statement in minimal-submanifold theory by leading authors.</x:v>
      </x:c>
    </x:row>
    <x:row r="19" ht="45" customHeight="1">
      <x:c r="A19" s="2" t="n">
        <x:v>18</x:v>
      </x:c>
      <x:c r="B19" s="2" t="n">
        <x:v>33</x:v>
      </x:c>
      <x:c r="C19" s="3" t="str">
        <x:v>2026-07</x:v>
      </x:c>
      <x:c r="D19" s="3" t="str">
        <x:v>2607.29632</x:v>
      </x:c>
      <x:c r="E19" s="3" t="str">
        <x:v>Regularity of branched stable minimal immersed hypersurfaces</x:v>
      </x:c>
      <x:c r="F19" s="3" t="str">
        <x:v>Gaoming Wang; Xuwen Zhang</x:v>
      </x:c>
      <x:c r="G19" s="3" t="str">
        <x:v>minimal hypersurface regularity</x:v>
      </x:c>
      <x:c r="H19" s="2" t="n">
        <x:v>60</x:v>
      </x:c>
      <x:c r="I19" s="36" t="n">
        <x:v>92.45</x:v>
      </x:c>
      <x:c r="J19" s="36" t="n">
        <x:v>92.6</x:v>
      </x:c>
      <x:c r="K19" s="36" t="n">
        <x:v>92.3</x:v>
      </x:c>
      <x:c r="L19" s="2" t="n">
        <x:v>94</x:v>
      </x:c>
      <x:c r="M19" s="2" t="n">
        <x:v>92</x:v>
      </x:c>
      <x:c r="N19" s="2" t="n">
        <x:v>95</x:v>
      </x:c>
      <x:c r="O19" s="2" t="n">
        <x:v>91</x:v>
      </x:c>
      <x:c r="P19" s="2" t="n">
        <x:v>95</x:v>
      </x:c>
      <x:c r="Q19" s="2" t="n">
        <x:v>86</x:v>
      </x:c>
      <x:c r="R19" s="2" t="n">
        <x:v>10</x:v>
      </x:c>
      <x:c r="S19" s="3" t="str">
        <x:v>https://arxiv.org/abs/2607.29632</x:v>
      </x:c>
      <x:c r="T19" s="3" t="str">
        <x:v>Regularity theory for branched stable minimal hypersurfaces; substantial proof burden.</x:v>
      </x:c>
    </x:row>
    <x:row r="20" ht="45" customHeight="1">
      <x:c r="A20" s="2" t="n">
        <x:v>19</x:v>
      </x:c>
      <x:c r="B20" s="2" t="n">
        <x:v>34</x:v>
      </x:c>
      <x:c r="C20" s="3" t="str">
        <x:v>2026-08</x:v>
      </x:c>
      <x:c r="D20" s="3" t="str">
        <x:v>2608.01682</x:v>
      </x:c>
      <x:c r="E20" s="3" t="str">
        <x:v>Positive mass theorems for singular asymptotically hyperbolic manifolds</x:v>
      </x:c>
      <x:c r="F20" s="3" t="str">
        <x:v>Yuguang Shi; Chengzhang Sun; Zijun Wang</x:v>
      </x:c>
      <x:c r="G20" s="3" t="str">
        <x:v>positive mass theorem / singular AH manifolds</x:v>
      </x:c>
      <x:c r="H20" s="2" t="n">
        <x:v>42</x:v>
      </x:c>
      <x:c r="I20" s="36" t="n">
        <x:v>92.45</x:v>
      </x:c>
      <x:c r="J20" s="36" t="n">
        <x:v>92.6</x:v>
      </x:c>
      <x:c r="K20" s="36" t="n">
        <x:v>92.3</x:v>
      </x:c>
      <x:c r="L20" s="2" t="n">
        <x:v>94</x:v>
      </x:c>
      <x:c r="M20" s="2" t="n">
        <x:v>92</x:v>
      </x:c>
      <x:c r="N20" s="2" t="n">
        <x:v>95</x:v>
      </x:c>
      <x:c r="O20" s="2" t="n">
        <x:v>91</x:v>
      </x:c>
      <x:c r="P20" s="2" t="n">
        <x:v>95</x:v>
      </x:c>
      <x:c r="Q20" s="2" t="n">
        <x:v>86</x:v>
      </x:c>
      <x:c r="R20" s="2" t="n">
        <x:v>10</x:v>
      </x:c>
      <x:c r="S20" s="3" t="str">
        <x:v>https://arxiv.org/abs/2608.01682</x:v>
      </x:c>
      <x:c r="T20" s="3" t="str">
        <x:v>Positive mass theorem in singular asymptotically hyperbolic setting; strong geometric analysis.</x:v>
      </x:c>
    </x:row>
    <x:row r="21" ht="45" customHeight="1">
      <x:c r="A21" s="2" t="n">
        <x:v>20</x:v>
      </x:c>
      <x:c r="B21" s="2" t="n">
        <x:v>41</x:v>
      </x:c>
      <x:c r="C21" s="3" t="str">
        <x:v>2026-07</x:v>
      </x:c>
      <x:c r="D21" s="3" t="str">
        <x:v>2607.27162</x:v>
      </x:c>
      <x:c r="E21" s="3" t="str">
        <x:v>Pointwise subexponential growth and near-diffusive displacement on bounded-degree graphs with non-negative Ollivier--Ricci curvature</x:v>
      </x:c>
      <x:c r="F21" s="3" t="str">
        <x:v>Chiyu Zhou</x:v>
      </x:c>
      <x:c r="G21" s="3" t="str">
        <x:v>Ollivier-Ricci curvature / graph random walks</x:v>
      </x:c>
      <x:c r="H21" s="2" t="n">
        <x:v>23</x:v>
      </x:c>
      <x:c r="I21" s="36" t="n">
        <x:v>91.875</x:v>
      </x:c>
      <x:c r="J21" s="36" t="n">
        <x:v>92.1</x:v>
      </x:c>
      <x:c r="K21" s="36" t="n">
        <x:v>91.65</x:v>
      </x:c>
      <x:c r="L21" s="2" t="n">
        <x:v>93</x:v>
      </x:c>
      <x:c r="M21" s="2" t="n">
        <x:v>92</x:v>
      </x:c>
      <x:c r="N21" s="2" t="n">
        <x:v>94</x:v>
      </x:c>
      <x:c r="O21" s="2" t="n">
        <x:v>92</x:v>
      </x:c>
      <x:c r="P21" s="2" t="n">
        <x:v>94</x:v>
      </x:c>
      <x:c r="Q21" s="2" t="n">
        <x:v>85</x:v>
      </x:c>
      <x:c r="R21" s="2" t="n">
        <x:v>10</x:v>
      </x:c>
      <x:c r="S21" s="3" t="str">
        <x:v>https://arxiv.org/abs/2607.27162</x:v>
      </x:c>
      <x:c r="T21" s="3" t="str">
        <x:v>Near-diffusive displacement and pointwise subexponential volume growth for bounded-degree graphs with nonnegative Ollivier-Ricci curvature.</x:v>
      </x:c>
    </x:row>
    <x:row r="22" ht="45" customHeight="1">
      <x:c r="A22" s="2" t="n">
        <x:v>21</x:v>
      </x:c>
      <x:c r="B22" s="2" t="n">
        <x:v>44</x:v>
      </x:c>
      <x:c r="C22" s="3" t="str">
        <x:v>2026-08</x:v>
      </x:c>
      <x:c r="D22" s="3" t="str">
        <x:v>2608.07263</x:v>
      </x:c>
      <x:c r="E22" s="3" t="str">
        <x:v>Diagonalization of the Toda flow for arbitrary isospectral symmetric matrices</x:v>
      </x:c>
      <x:c r="F22" s="3" t="str">
        <x:v>David Martínez Torres; Carlos Tomei</x:v>
      </x:c>
      <x:c r="G22" s="3" t="str">
        <x:v>Toda flow / isospectral manifolds</x:v>
      </x:c>
      <x:c r="H22" s="2" t="n">
        <x:v>16</x:v>
      </x:c>
      <x:c r="I22" s="36" t="n">
        <x:v>91.5</x:v>
      </x:c>
      <x:c r="J22" s="36" t="n">
        <x:v>91.8</x:v>
      </x:c>
      <x:c r="K22" s="36" t="n">
        <x:v>91.2</x:v>
      </x:c>
      <x:c r="L22" s="2" t="n">
        <x:v>92</x:v>
      </x:c>
      <x:c r="M22" s="2" t="n">
        <x:v>94</x:v>
      </x:c>
      <x:c r="N22" s="2" t="n">
        <x:v>92</x:v>
      </x:c>
      <x:c r="O22" s="2" t="n">
        <x:v>92</x:v>
      </x:c>
      <x:c r="P22" s="2" t="n">
        <x:v>93</x:v>
      </x:c>
      <x:c r="Q22" s="2" t="n">
        <x:v>86</x:v>
      </x:c>
      <x:c r="R22" s="2" t="n">
        <x:v>12</x:v>
      </x:c>
      <x:c r="S22" s="3" t="str">
        <x:v>https://arxiv.org/abs/2608.07263</x:v>
      </x:c>
      <x:c r="T22" s="3" t="str">
        <x:v>Constructs a dense covering atlas that linearizes the Toda flow on arbitrary symmetric isospectral manifolds, based on a new constrained QLU factorization of independent interest.</x:v>
      </x:c>
    </x:row>
    <x:row r="23" ht="45" customHeight="1">
      <x:c r="A23" s="2" t="n">
        <x:v>22</x:v>
      </x:c>
      <x:c r="B23" s="2" t="n">
        <x:v>52</x:v>
      </x:c>
      <x:c r="C23" s="3" t="str">
        <x:v>2026-07</x:v>
      </x:c>
      <x:c r="D23" s="3" t="str">
        <x:v>2607.02067</x:v>
      </x:c>
      <x:c r="E23" s="3" t="str">
        <x:v>Higher regularity of the inverse anisotropic mean curvature flow</x:v>
      </x:c>
      <x:c r="F23" s="3" t="str">
        <x:v>Chaoqun Gao; Yong Wei; Rong Zhou</x:v>
      </x:c>
      <x:c r="G23" s="3" t="str">
        <x:v>inverse anisotropic mean curvature flow</x:v>
      </x:c>
      <x:c r="H23" s="2" t="n">
        <x:v>31</x:v>
      </x:c>
      <x:c r="I23" s="36" t="n">
        <x:v>91.05</x:v>
      </x:c>
      <x:c r="J23" s="36" t="n">
        <x:v>91.15</x:v>
      </x:c>
      <x:c r="K23" s="36" t="n">
        <x:v>90.95</x:v>
      </x:c>
      <x:c r="L23" s="2" t="n">
        <x:v>92</x:v>
      </x:c>
      <x:c r="M23" s="2" t="n">
        <x:v>91</x:v>
      </x:c>
      <x:c r="N23" s="2" t="n">
        <x:v>93</x:v>
      </x:c>
      <x:c r="O23" s="2" t="n">
        <x:v>90</x:v>
      </x:c>
      <x:c r="P23" s="2" t="n">
        <x:v>93</x:v>
      </x:c>
      <x:c r="Q23" s="2" t="n">
        <x:v>86</x:v>
      </x:c>
      <x:c r="R23" s="2" t="n">
        <x:v>11</x:v>
      </x:c>
      <x:c r="S23" s="3" t="str">
        <x:v>https://arxiv.org/abs/2607.02067</x:v>
      </x:c>
      <x:c r="T23" s="3" t="str">
        <x:v>Regularity upgrade for inverse anisotropic MCF; solid geometric flow result.</x:v>
      </x:c>
    </x:row>
    <x:row r="24" ht="45" customHeight="1">
      <x:c r="A24" s="2" t="n">
        <x:v>23</x:v>
      </x:c>
      <x:c r="B24" s="2" t="n">
        <x:v>53</x:v>
      </x:c>
      <x:c r="C24" s="3" t="str">
        <x:v>2026-07</x:v>
      </x:c>
      <x:c r="D24" s="3" t="str">
        <x:v>2607.02412</x:v>
      </x:c>
      <x:c r="E24" s="3" t="str">
        <x:v>Cartan's and Gauss's equations and rigidity theorems for isometric embeddings in low Sobolev regularity</x:v>
      </x:c>
      <x:c r="F24" s="3" t="str">
        <x:v>Isaac Newell; Luc Nguyen</x:v>
      </x:c>
      <x:c r="G24" s="3" t="str">
        <x:v>isometric embedding / low regularity</x:v>
      </x:c>
      <x:c r="H24" s="2" t="str">
        <x:v>-</x:v>
      </x:c>
      <x:c r="I24" s="36" t="n">
        <x:v>91.05</x:v>
      </x:c>
      <x:c r="J24" s="36" t="n">
        <x:v>91.15</x:v>
      </x:c>
      <x:c r="K24" s="36" t="n">
        <x:v>90.95</x:v>
      </x:c>
      <x:c r="L24" s="2" t="n">
        <x:v>92</x:v>
      </x:c>
      <x:c r="M24" s="2" t="n">
        <x:v>91</x:v>
      </x:c>
      <x:c r="N24" s="2" t="n">
        <x:v>93</x:v>
      </x:c>
      <x:c r="O24" s="2" t="n">
        <x:v>90</x:v>
      </x:c>
      <x:c r="P24" s="2" t="n">
        <x:v>93</x:v>
      </x:c>
      <x:c r="Q24" s="2" t="n">
        <x:v>86</x:v>
      </x:c>
      <x:c r="R24" s="2" t="n">
        <x:v>11</x:v>
      </x:c>
      <x:c r="S24" s="3" t="str">
        <x:v>https://arxiv.org/abs/2607.02412</x:v>
      </x:c>
      <x:c r="T24" s="3" t="str">
        <x:v>Low-Sobolev rigidity for isometric embeddings; high technical and analytic value.</x:v>
      </x:c>
    </x:row>
    <x:row r="25" ht="45" customHeight="1">
      <x:c r="A25" s="2" t="n">
        <x:v>24</x:v>
      </x:c>
      <x:c r="B25" s="2" t="n">
        <x:v>54</x:v>
      </x:c>
      <x:c r="C25" s="3" t="str">
        <x:v>2026-07</x:v>
      </x:c>
      <x:c r="D25" s="3" t="str">
        <x:v>2607.06698</x:v>
      </x:c>
      <x:c r="E25" s="3" t="str">
        <x:v>Infinity-harmonic functions and inverse mean curvature flow clusters</x:v>
      </x:c>
      <x:c r="F25" s="3" t="str">
        <x:v>Kai Xu</x:v>
      </x:c>
      <x:c r="G25" s="3" t="str">
        <x:v>infinity harmonic / IMCF clusters</x:v>
      </x:c>
      <x:c r="H25" s="2" t="n">
        <x:v>151</x:v>
      </x:c>
      <x:c r="I25" s="36" t="n">
        <x:v>91.05</x:v>
      </x:c>
      <x:c r="J25" s="36" t="n">
        <x:v>91.15</x:v>
      </x:c>
      <x:c r="K25" s="36" t="n">
        <x:v>90.95</x:v>
      </x:c>
      <x:c r="L25" s="2" t="n">
        <x:v>92</x:v>
      </x:c>
      <x:c r="M25" s="2" t="n">
        <x:v>91</x:v>
      </x:c>
      <x:c r="N25" s="2" t="n">
        <x:v>93</x:v>
      </x:c>
      <x:c r="O25" s="2" t="n">
        <x:v>90</x:v>
      </x:c>
      <x:c r="P25" s="2" t="n">
        <x:v>93</x:v>
      </x:c>
      <x:c r="Q25" s="2" t="n">
        <x:v>86</x:v>
      </x:c>
      <x:c r="R25" s="2" t="n">
        <x:v>11</x:v>
      </x:c>
      <x:c r="S25" s="3" t="str">
        <x:v>https://arxiv.org/abs/2607.06698</x:v>
      </x:c>
      <x:c r="T25" s="3" t="str">
        <x:v>Very long analysis of infinity-harmonic and IMCF cluster structures.</x:v>
      </x:c>
    </x:row>
    <x:row r="26" ht="45" customHeight="1">
      <x:c r="A26" s="2" t="n">
        <x:v>25</x:v>
      </x:c>
      <x:c r="B26" s="2" t="n">
        <x:v>55</x:v>
      </x:c>
      <x:c r="C26" s="3" t="str">
        <x:v>2026-07</x:v>
      </x:c>
      <x:c r="D26" s="3" t="str">
        <x:v>2607.08325</x:v>
      </x:c>
      <x:c r="E26" s="3" t="str">
        <x:v>Geometric smoothing by the Kähler-Ricci Flow</x:v>
      </x:c>
      <x:c r="F26" s="3" t="str">
        <x:v>Eleonora Di Nezza; Vincent Guedj; Chinh Hoang Lu</x:v>
      </x:c>
      <x:c r="G26" s="3" t="str">
        <x:v>Kähler-Ricci flow / smoothing</x:v>
      </x:c>
      <x:c r="H26" s="2" t="n">
        <x:v>30</x:v>
      </x:c>
      <x:c r="I26" s="36" t="n">
        <x:v>91.05</x:v>
      </x:c>
      <x:c r="J26" s="36" t="n">
        <x:v>91.15</x:v>
      </x:c>
      <x:c r="K26" s="36" t="n">
        <x:v>90.95</x:v>
      </x:c>
      <x:c r="L26" s="2" t="n">
        <x:v>92</x:v>
      </x:c>
      <x:c r="M26" s="2" t="n">
        <x:v>91</x:v>
      </x:c>
      <x:c r="N26" s="2" t="n">
        <x:v>93</x:v>
      </x:c>
      <x:c r="O26" s="2" t="n">
        <x:v>90</x:v>
      </x:c>
      <x:c r="P26" s="2" t="n">
        <x:v>93</x:v>
      </x:c>
      <x:c r="Q26" s="2" t="n">
        <x:v>86</x:v>
      </x:c>
      <x:c r="R26" s="2" t="n">
        <x:v>11</x:v>
      </x:c>
      <x:c r="S26" s="3" t="str">
        <x:v>https://arxiv.org/abs/2607.08325</x:v>
      </x:c>
      <x:c r="T26" s="3" t="str">
        <x:v>KRF smoothing in complex geometric analysis; useful technical input.</x:v>
      </x:c>
    </x:row>
    <x:row r="27" ht="45" customHeight="1">
      <x:c r="A27" s="2" t="n">
        <x:v>26</x:v>
      </x:c>
      <x:c r="B27" s="2" t="n">
        <x:v>56</x:v>
      </x:c>
      <x:c r="C27" s="3" t="str">
        <x:v>2026-07</x:v>
      </x:c>
      <x:c r="D27" s="3" t="str">
        <x:v>2607.08631</x:v>
      </x:c>
      <x:c r="E27" s="3" t="str">
        <x:v>Existence of two embedded minimal spheres in S^3 with an arbitrary metric</x:v>
      </x:c>
      <x:c r="F27" s="3" t="str">
        <x:v>Zhichao Wang; Xin Zhou</x:v>
      </x:c>
      <x:c r="G27" s="3" t="str">
        <x:v>minimal spheres / min-max</x:v>
      </x:c>
      <x:c r="H27" s="2" t="n">
        <x:v>32</x:v>
      </x:c>
      <x:c r="I27" s="36" t="n">
        <x:v>91.05</x:v>
      </x:c>
      <x:c r="J27" s="36" t="n">
        <x:v>91.15</x:v>
      </x:c>
      <x:c r="K27" s="36" t="n">
        <x:v>90.95</x:v>
      </x:c>
      <x:c r="L27" s="2" t="n">
        <x:v>92</x:v>
      </x:c>
      <x:c r="M27" s="2" t="n">
        <x:v>91</x:v>
      </x:c>
      <x:c r="N27" s="2" t="n">
        <x:v>93</x:v>
      </x:c>
      <x:c r="O27" s="2" t="n">
        <x:v>90</x:v>
      </x:c>
      <x:c r="P27" s="2" t="n">
        <x:v>93</x:v>
      </x:c>
      <x:c r="Q27" s="2" t="n">
        <x:v>86</x:v>
      </x:c>
      <x:c r="R27" s="2" t="n">
        <x:v>11</x:v>
      </x:c>
      <x:c r="S27" s="3" t="str">
        <x:v>https://arxiv.org/abs/2607.08631</x:v>
      </x:c>
      <x:c r="T27" s="3" t="str">
        <x:v>Existence result for embedded minimal spheres; strong min-max/geometric analysis value.</x:v>
      </x:c>
    </x:row>
    <x:row r="28" ht="45" customHeight="1">
      <x:c r="A28" s="2" t="n">
        <x:v>27</x:v>
      </x:c>
      <x:c r="B28" s="2" t="n">
        <x:v>57</x:v>
      </x:c>
      <x:c r="C28" s="3" t="str">
        <x:v>2026-07</x:v>
      </x:c>
      <x:c r="D28" s="3" t="str">
        <x:v>2607.12305</x:v>
      </x:c>
      <x:c r="E28" s="3" t="str">
        <x:v>Capillary prisms, Coxeter gluing, and the pi_2-systole of 3-manifolds with positive scalar curvature</x:v>
      </x:c>
      <x:c r="F28" s="3" t="str">
        <x:v>Shihang He; Chao Li</x:v>
      </x:c>
      <x:c r="G28" s="3" t="str">
        <x:v>positive scalar curvature / systoles</x:v>
      </x:c>
      <x:c r="H28" s="2" t="n">
        <x:v>64</x:v>
      </x:c>
      <x:c r="I28" s="36" t="n">
        <x:v>91.05</x:v>
      </x:c>
      <x:c r="J28" s="36" t="n">
        <x:v>91.15</x:v>
      </x:c>
      <x:c r="K28" s="36" t="n">
        <x:v>90.95</x:v>
      </x:c>
      <x:c r="L28" s="2" t="n">
        <x:v>92</x:v>
      </x:c>
      <x:c r="M28" s="2" t="n">
        <x:v>91</x:v>
      </x:c>
      <x:c r="N28" s="2" t="n">
        <x:v>93</x:v>
      </x:c>
      <x:c r="O28" s="2" t="n">
        <x:v>90</x:v>
      </x:c>
      <x:c r="P28" s="2" t="n">
        <x:v>93</x:v>
      </x:c>
      <x:c r="Q28" s="2" t="n">
        <x:v>86</x:v>
      </x:c>
      <x:c r="R28" s="2" t="n">
        <x:v>11</x:v>
      </x:c>
      <x:c r="S28" s="3" t="str">
        <x:v>https://arxiv.org/abs/2607.12305</x:v>
      </x:c>
      <x:c r="T28" s="3" t="str">
        <x:v>Positive scalar curvature, capillary geometry and systolic estimates; broad geometric interest.</x:v>
      </x:c>
    </x:row>
    <x:row r="29" ht="45" customHeight="1">
      <x:c r="A29" s="2" t="n">
        <x:v>28</x:v>
      </x:c>
      <x:c r="B29" s="2" t="n">
        <x:v>58</x:v>
      </x:c>
      <x:c r="C29" s="3" t="str">
        <x:v>2026-07</x:v>
      </x:c>
      <x:c r="D29" s="3" t="str">
        <x:v>2607.17459</x:v>
      </x:c>
      <x:c r="E29" s="3" t="str">
        <x:v>The deformed Vortex equations and equivariant stability conditions</x:v>
      </x:c>
      <x:c r="F29" s="3" t="str">
        <x:v>Tristan C. Collins; Yukai Zhang</x:v>
      </x:c>
      <x:c r="G29" s="3" t="str">
        <x:v>vortex equations / stability</x:v>
      </x:c>
      <x:c r="H29" s="2" t="n">
        <x:v>88</x:v>
      </x:c>
      <x:c r="I29" s="36" t="n">
        <x:v>91.05</x:v>
      </x:c>
      <x:c r="J29" s="36" t="n">
        <x:v>91.15</x:v>
      </x:c>
      <x:c r="K29" s="36" t="n">
        <x:v>90.95</x:v>
      </x:c>
      <x:c r="L29" s="2" t="n">
        <x:v>92</x:v>
      </x:c>
      <x:c r="M29" s="2" t="n">
        <x:v>91</x:v>
      </x:c>
      <x:c r="N29" s="2" t="n">
        <x:v>93</x:v>
      </x:c>
      <x:c r="O29" s="2" t="n">
        <x:v>90</x:v>
      </x:c>
      <x:c r="P29" s="2" t="n">
        <x:v>93</x:v>
      </x:c>
      <x:c r="Q29" s="2" t="n">
        <x:v>86</x:v>
      </x:c>
      <x:c r="R29" s="2" t="n">
        <x:v>11</x:v>
      </x:c>
      <x:c r="S29" s="3" t="str">
        <x:v>https://arxiv.org/abs/2607.17459</x:v>
      </x:c>
      <x:c r="T29" s="3" t="str">
        <x:v>Gauge/Kähler stability problem with substantial length and technical structure.</x:v>
      </x:c>
    </x:row>
    <x:row r="30" ht="45" customHeight="1">
      <x:c r="A30" s="2" t="n">
        <x:v>29</x:v>
      </x:c>
      <x:c r="B30" s="2" t="n">
        <x:v>59</x:v>
      </x:c>
      <x:c r="C30" s="3" t="str">
        <x:v>2026-07</x:v>
      </x:c>
      <x:c r="D30" s="3" t="str">
        <x:v>2607.18216</x:v>
      </x:c>
      <x:c r="E30" s="3" t="str">
        <x:v>Sharp Weitzenböck and PIC2 Estimates from Sectional-Scalar Curvature Pinching</x:v>
      </x:c>
      <x:c r="F30" s="3" t="str">
        <x:v>Jian Ge</x:v>
      </x:c>
      <x:c r="G30" s="3" t="str">
        <x:v>curvature pinching / PIC2</x:v>
      </x:c>
      <x:c r="H30" s="2" t="str">
        <x:v>-</x:v>
      </x:c>
      <x:c r="I30" s="36" t="n">
        <x:v>91.05</x:v>
      </x:c>
      <x:c r="J30" s="36" t="n">
        <x:v>91.15</x:v>
      </x:c>
      <x:c r="K30" s="36" t="n">
        <x:v>90.95</x:v>
      </x:c>
      <x:c r="L30" s="2" t="n">
        <x:v>92</x:v>
      </x:c>
      <x:c r="M30" s="2" t="n">
        <x:v>91</x:v>
      </x:c>
      <x:c r="N30" s="2" t="n">
        <x:v>93</x:v>
      </x:c>
      <x:c r="O30" s="2" t="n">
        <x:v>90</x:v>
      </x:c>
      <x:c r="P30" s="2" t="n">
        <x:v>93</x:v>
      </x:c>
      <x:c r="Q30" s="2" t="n">
        <x:v>86</x:v>
      </x:c>
      <x:c r="R30" s="2" t="n">
        <x:v>11</x:v>
      </x:c>
      <x:c r="S30" s="3" t="str">
        <x:v>https://arxiv.org/abs/2607.18216</x:v>
      </x:c>
      <x:c r="T30" s="3" t="str">
        <x:v>Sharp curvature estimates from mixed sectional-scalar pinching; strong comparison geometry.</x:v>
      </x:c>
    </x:row>
    <x:row r="31" ht="45" customHeight="1">
      <x:c r="A31" s="2" t="n">
        <x:v>30</x:v>
      </x:c>
      <x:c r="B31" s="2" t="n">
        <x:v>60</x:v>
      </x:c>
      <x:c r="C31" s="3" t="str">
        <x:v>2026-07</x:v>
      </x:c>
      <x:c r="D31" s="3" t="str">
        <x:v>2607.18792</x:v>
      </x:c>
      <x:c r="E31" s="3" t="str">
        <x:v>Existence of global W^{2,p}-isometric immersions for negatively curved surface metrics with unbounded second fundamental form</x:v>
      </x:c>
      <x:c r="F31" s="3" t="str">
        <x:v>Siran Li</x:v>
      </x:c>
      <x:c r="G31" s="3" t="str">
        <x:v>isometric immersion / negative curvature</x:v>
      </x:c>
      <x:c r="H31" s="2" t="n">
        <x:v>35</x:v>
      </x:c>
      <x:c r="I31" s="36" t="n">
        <x:v>91.05</x:v>
      </x:c>
      <x:c r="J31" s="36" t="n">
        <x:v>91.15</x:v>
      </x:c>
      <x:c r="K31" s="36" t="n">
        <x:v>90.95</x:v>
      </x:c>
      <x:c r="L31" s="2" t="n">
        <x:v>92</x:v>
      </x:c>
      <x:c r="M31" s="2" t="n">
        <x:v>91</x:v>
      </x:c>
      <x:c r="N31" s="2" t="n">
        <x:v>93</x:v>
      </x:c>
      <x:c r="O31" s="2" t="n">
        <x:v>90</x:v>
      </x:c>
      <x:c r="P31" s="2" t="n">
        <x:v>93</x:v>
      </x:c>
      <x:c r="Q31" s="2" t="n">
        <x:v>86</x:v>
      </x:c>
      <x:c r="R31" s="2" t="n">
        <x:v>11</x:v>
      </x:c>
      <x:c r="S31" s="3" t="str">
        <x:v>https://arxiv.org/abs/2607.18792</x:v>
      </x:c>
      <x:c r="T31" s="3" t="str">
        <x:v>Global low-regularity isometric immersion under negative curvature; strong PDE-geometry link.</x:v>
      </x:c>
    </x:row>
    <x:row r="32" ht="45" customHeight="1">
      <x:c r="A32" s="2" t="n">
        <x:v>31</x:v>
      </x:c>
      <x:c r="B32" s="2" t="n">
        <x:v>61</x:v>
      </x:c>
      <x:c r="C32" s="3" t="str">
        <x:v>2026-07</x:v>
      </x:c>
      <x:c r="D32" s="3" t="str">
        <x:v>2607.18989</x:v>
      </x:c>
      <x:c r="E32" s="3" t="str">
        <x:v>Diffeological non-Abelian Hodge theory: relative harmonic metrics and deformation theory</x:v>
      </x:c>
      <x:c r="F32" s="3" t="str">
        <x:v>Mahmud Azam; Steven Rayan</x:v>
      </x:c>
      <x:c r="G32" s="3" t="str">
        <x:v>non-Abelian Hodge theory</x:v>
      </x:c>
      <x:c r="H32" s="2" t="n">
        <x:v>103</x:v>
      </x:c>
      <x:c r="I32" s="36" t="n">
        <x:v>91.05</x:v>
      </x:c>
      <x:c r="J32" s="36" t="n">
        <x:v>91.15</x:v>
      </x:c>
      <x:c r="K32" s="36" t="n">
        <x:v>90.95</x:v>
      </x:c>
      <x:c r="L32" s="2" t="n">
        <x:v>92</x:v>
      </x:c>
      <x:c r="M32" s="2" t="n">
        <x:v>91</x:v>
      </x:c>
      <x:c r="N32" s="2" t="n">
        <x:v>93</x:v>
      </x:c>
      <x:c r="O32" s="2" t="n">
        <x:v>90</x:v>
      </x:c>
      <x:c r="P32" s="2" t="n">
        <x:v>93</x:v>
      </x:c>
      <x:c r="Q32" s="2" t="n">
        <x:v>86</x:v>
      </x:c>
      <x:c r="R32" s="2" t="n">
        <x:v>11</x:v>
      </x:c>
      <x:c r="S32" s="3" t="str">
        <x:v>https://arxiv.org/abs/2607.18989</x:v>
      </x:c>
      <x:c r="T32" s="3" t="str">
        <x:v>Large deformation/Hodge theory work with differential-geometric analytic component.</x:v>
      </x:c>
    </x:row>
    <x:row r="33" ht="45" customHeight="1">
      <x:c r="A33" s="2" t="n">
        <x:v>32</x:v>
      </x:c>
      <x:c r="B33" s="2" t="n">
        <x:v>62</x:v>
      </x:c>
      <x:c r="C33" s="3" t="str">
        <x:v>2026-07</x:v>
      </x:c>
      <x:c r="D33" s="3" t="str">
        <x:v>2607.19091</x:v>
      </x:c>
      <x:c r="E33" s="3" t="str">
        <x:v>On the sharp constants in curl-Sobolev inequalities on S^n</x:v>
      </x:c>
      <x:c r="F33" s="3" t="str">
        <x:v>Guofang Wang; Mingwei Zhang</x:v>
      </x:c>
      <x:c r="G33" s="3" t="str">
        <x:v>curl-Sobolev inequalities</x:v>
      </x:c>
      <x:c r="H33" s="2" t="n">
        <x:v>32</x:v>
      </x:c>
      <x:c r="I33" s="36" t="n">
        <x:v>91.05</x:v>
      </x:c>
      <x:c r="J33" s="36" t="n">
        <x:v>91.15</x:v>
      </x:c>
      <x:c r="K33" s="36" t="n">
        <x:v>90.95</x:v>
      </x:c>
      <x:c r="L33" s="2" t="n">
        <x:v>92</x:v>
      </x:c>
      <x:c r="M33" s="2" t="n">
        <x:v>91</x:v>
      </x:c>
      <x:c r="N33" s="2" t="n">
        <x:v>93</x:v>
      </x:c>
      <x:c r="O33" s="2" t="n">
        <x:v>90</x:v>
      </x:c>
      <x:c r="P33" s="2" t="n">
        <x:v>93</x:v>
      </x:c>
      <x:c r="Q33" s="2" t="n">
        <x:v>86</x:v>
      </x:c>
      <x:c r="R33" s="2" t="n">
        <x:v>11</x:v>
      </x:c>
      <x:c r="S33" s="3" t="str">
        <x:v>https://arxiv.org/abs/2607.19091</x:v>
      </x:c>
      <x:c r="T33" s="3" t="str">
        <x:v>Sharp inequality work on spheres; relevant across DG, AP and spectral theory.</x:v>
      </x:c>
    </x:row>
    <x:row r="34" ht="45" customHeight="1">
      <x:c r="A34" s="2" t="n">
        <x:v>33</x:v>
      </x:c>
      <x:c r="B34" s="2" t="n">
        <x:v>63</x:v>
      </x:c>
      <x:c r="C34" s="3" t="str">
        <x:v>2026-07</x:v>
      </x:c>
      <x:c r="D34" s="3" t="str">
        <x:v>2607.19320</x:v>
      </x:c>
      <x:c r="E34" s="3" t="str">
        <x:v>A spacetime positive mass theorem with corners via mollification</x:v>
      </x:c>
      <x:c r="F34" s="3" t="str">
        <x:v>Hyun Chul Jang; Aidan F. Wood</x:v>
      </x:c>
      <x:c r="G34" s="3" t="str">
        <x:v>positive mass theorem / corners</x:v>
      </x:c>
      <x:c r="H34" s="2" t="str">
        <x:v>-</x:v>
      </x:c>
      <x:c r="I34" s="36" t="n">
        <x:v>91.05</x:v>
      </x:c>
      <x:c r="J34" s="36" t="n">
        <x:v>91.15</x:v>
      </x:c>
      <x:c r="K34" s="36" t="n">
        <x:v>90.95</x:v>
      </x:c>
      <x:c r="L34" s="2" t="n">
        <x:v>92</x:v>
      </x:c>
      <x:c r="M34" s="2" t="n">
        <x:v>91</x:v>
      </x:c>
      <x:c r="N34" s="2" t="n">
        <x:v>93</x:v>
      </x:c>
      <x:c r="O34" s="2" t="n">
        <x:v>90</x:v>
      </x:c>
      <x:c r="P34" s="2" t="n">
        <x:v>93</x:v>
      </x:c>
      <x:c r="Q34" s="2" t="n">
        <x:v>86</x:v>
      </x:c>
      <x:c r="R34" s="2" t="n">
        <x:v>11</x:v>
      </x:c>
      <x:c r="S34" s="3" t="str">
        <x:v>https://arxiv.org/abs/2607.19320</x:v>
      </x:c>
      <x:c r="T34" s="3" t="str">
        <x:v>Positive mass theorem with corners; important low-regularity GR geometry theme.</x:v>
      </x:c>
    </x:row>
    <x:row r="35" ht="45" customHeight="1">
      <x:c r="A35" s="2" t="n">
        <x:v>34</x:v>
      </x:c>
      <x:c r="B35" s="2" t="n">
        <x:v>64</x:v>
      </x:c>
      <x:c r="C35" s="3" t="str">
        <x:v>2026-07</x:v>
      </x:c>
      <x:c r="D35" s="3" t="str">
        <x:v>2607.24281</x:v>
      </x:c>
      <x:c r="E35" s="3" t="str">
        <x:v>Calabi surgery for Z/2 harmonic 1-forms</x:v>
      </x:c>
      <x:c r="F35" s="3" t="str">
        <x:v>Jiahuang Chen; Siqi He; Dashen Yan</x:v>
      </x:c>
      <x:c r="G35" s="3" t="str">
        <x:v>harmonic forms / gauge geometry</x:v>
      </x:c>
      <x:c r="H35" s="2" t="n">
        <x:v>45</x:v>
      </x:c>
      <x:c r="I35" s="36" t="n">
        <x:v>91.05</x:v>
      </x:c>
      <x:c r="J35" s="36" t="n">
        <x:v>91.15</x:v>
      </x:c>
      <x:c r="K35" s="36" t="n">
        <x:v>90.95</x:v>
      </x:c>
      <x:c r="L35" s="2" t="n">
        <x:v>92</x:v>
      </x:c>
      <x:c r="M35" s="2" t="n">
        <x:v>91</x:v>
      </x:c>
      <x:c r="N35" s="2" t="n">
        <x:v>93</x:v>
      </x:c>
      <x:c r="O35" s="2" t="n">
        <x:v>90</x:v>
      </x:c>
      <x:c r="P35" s="2" t="n">
        <x:v>93</x:v>
      </x:c>
      <x:c r="Q35" s="2" t="n">
        <x:v>86</x:v>
      </x:c>
      <x:c r="R35" s="2" t="n">
        <x:v>11</x:v>
      </x:c>
      <x:c r="S35" s="3" t="str">
        <x:v>https://arxiv.org/abs/2607.24281</x:v>
      </x:c>
      <x:c r="T35" s="3" t="str">
        <x:v>Surgery construction for Z/2 harmonic 1-forms; relevant to gauge/geometric topology.</x:v>
      </x:c>
    </x:row>
    <x:row r="36" ht="45" customHeight="1">
      <x:c r="A36" s="2" t="n">
        <x:v>35</x:v>
      </x:c>
      <x:c r="B36" s="2" t="n">
        <x:v>65</x:v>
      </x:c>
      <x:c r="C36" s="3" t="str">
        <x:v>2026-07</x:v>
      </x:c>
      <x:c r="D36" s="3" t="str">
        <x:v>2607.24735</x:v>
      </x:c>
      <x:c r="E36" s="3" t="str">
        <x:v>Area-minimizing submanifolds are not generically smooth, except for geodesics, minimal surfaces, and minimal hypersurfaces</x:v>
      </x:c>
      <x:c r="F36" s="3" t="str">
        <x:v>Zhenhua Liu</x:v>
      </x:c>
      <x:c r="G36" s="3" t="str">
        <x:v>generic smoothness / minimizing submanifolds</x:v>
      </x:c>
      <x:c r="H36" s="2" t="str">
        <x:v>-</x:v>
      </x:c>
      <x:c r="I36" s="36" t="n">
        <x:v>91.05</x:v>
      </x:c>
      <x:c r="J36" s="36" t="n">
        <x:v>91.15</x:v>
      </x:c>
      <x:c r="K36" s="36" t="n">
        <x:v>90.95</x:v>
      </x:c>
      <x:c r="L36" s="2" t="n">
        <x:v>92</x:v>
      </x:c>
      <x:c r="M36" s="2" t="n">
        <x:v>91</x:v>
      </x:c>
      <x:c r="N36" s="2" t="n">
        <x:v>93</x:v>
      </x:c>
      <x:c r="O36" s="2" t="n">
        <x:v>90</x:v>
      </x:c>
      <x:c r="P36" s="2" t="n">
        <x:v>93</x:v>
      </x:c>
      <x:c r="Q36" s="2" t="n">
        <x:v>86</x:v>
      </x:c>
      <x:c r="R36" s="2" t="n">
        <x:v>11</x:v>
      </x:c>
      <x:c r="S36" s="3" t="str">
        <x:v>https://arxiv.org/abs/2607.24735</x:v>
      </x:c>
      <x:c r="T36" s="3" t="str">
        <x:v>Striking generic regularity/nonregularity statement for area minimizers.</x:v>
      </x:c>
    </x:row>
    <x:row r="37" ht="45" customHeight="1">
      <x:c r="A37" s="2" t="n">
        <x:v>36</x:v>
      </x:c>
      <x:c r="B37" s="2" t="n">
        <x:v>66</x:v>
      </x:c>
      <x:c r="C37" s="3" t="str">
        <x:v>2026-07</x:v>
      </x:c>
      <x:c r="D37" s="3" t="str">
        <x:v>2607.25015</x:v>
      </x:c>
      <x:c r="E37" s="3" t="str">
        <x:v>Topological Rigidity of Contractible 3-Manifolds and Handlebody Interiors under Nonnegative Scalar Curvature</x:v>
      </x:c>
      <x:c r="F37" s="3" t="str">
        <x:v>Jiangcheng You; Heng Zhang</x:v>
      </x:c>
      <x:c r="G37" s="3" t="str">
        <x:v>scalar curvature / 3-manifolds</x:v>
      </x:c>
      <x:c r="H37" s="2" t="n">
        <x:v>36</x:v>
      </x:c>
      <x:c r="I37" s="36" t="n">
        <x:v>91.05</x:v>
      </x:c>
      <x:c r="J37" s="36" t="n">
        <x:v>91.15</x:v>
      </x:c>
      <x:c r="K37" s="36" t="n">
        <x:v>90.95</x:v>
      </x:c>
      <x:c r="L37" s="2" t="n">
        <x:v>92</x:v>
      </x:c>
      <x:c r="M37" s="2" t="n">
        <x:v>91</x:v>
      </x:c>
      <x:c r="N37" s="2" t="n">
        <x:v>93</x:v>
      </x:c>
      <x:c r="O37" s="2" t="n">
        <x:v>90</x:v>
      </x:c>
      <x:c r="P37" s="2" t="n">
        <x:v>93</x:v>
      </x:c>
      <x:c r="Q37" s="2" t="n">
        <x:v>86</x:v>
      </x:c>
      <x:c r="R37" s="2" t="n">
        <x:v>11</x:v>
      </x:c>
      <x:c r="S37" s="3" t="str">
        <x:v>https://arxiv.org/abs/2607.25015</x:v>
      </x:c>
      <x:c r="T37" s="3" t="str">
        <x:v>Scalar-curvature rigidity for contractible 3-manifolds; strong geometric topology implications.</x:v>
      </x:c>
    </x:row>
    <x:row r="38" ht="45" customHeight="1">
      <x:c r="A38" s="2" t="n">
        <x:v>37</x:v>
      </x:c>
      <x:c r="B38" s="2" t="n">
        <x:v>67</x:v>
      </x:c>
      <x:c r="C38" s="3" t="str">
        <x:v>2026-07</x:v>
      </x:c>
      <x:c r="D38" s="3" t="str">
        <x:v>2607.26054</x:v>
      </x:c>
      <x:c r="E38" s="3" t="str">
        <x:v>Uniqueness of shrinking Kähler-Ricci solitons on resolutions of Kähler cones</x:v>
      </x:c>
      <x:c r="F38" s="3" t="str">
        <x:v>Ronan J. Conlon; Alix Deruelle</x:v>
      </x:c>
      <x:c r="G38" s="3" t="str">
        <x:v>Kähler-Ricci solitons</x:v>
      </x:c>
      <x:c r="H38" s="2" t="n">
        <x:v>29</x:v>
      </x:c>
      <x:c r="I38" s="36" t="n">
        <x:v>91.05</x:v>
      </x:c>
      <x:c r="J38" s="36" t="n">
        <x:v>91.15</x:v>
      </x:c>
      <x:c r="K38" s="36" t="n">
        <x:v>90.95</x:v>
      </x:c>
      <x:c r="L38" s="2" t="n">
        <x:v>92</x:v>
      </x:c>
      <x:c r="M38" s="2" t="n">
        <x:v>91</x:v>
      </x:c>
      <x:c r="N38" s="2" t="n">
        <x:v>93</x:v>
      </x:c>
      <x:c r="O38" s="2" t="n">
        <x:v>90</x:v>
      </x:c>
      <x:c r="P38" s="2" t="n">
        <x:v>93</x:v>
      </x:c>
      <x:c r="Q38" s="2" t="n">
        <x:v>86</x:v>
      </x:c>
      <x:c r="R38" s="2" t="n">
        <x:v>11</x:v>
      </x:c>
      <x:c r="S38" s="3" t="str">
        <x:v>https://arxiv.org/abs/2607.26054</x:v>
      </x:c>
      <x:c r="T38" s="3" t="str">
        <x:v>Uniqueness theorem for shrinking KRS in singular/conical resolution setting.</x:v>
      </x:c>
    </x:row>
    <x:row r="39" ht="45" customHeight="1">
      <x:c r="A39" s="2" t="n">
        <x:v>38</x:v>
      </x:c>
      <x:c r="B39" s="2" t="n">
        <x:v>68</x:v>
      </x:c>
      <x:c r="C39" s="3" t="str">
        <x:v>2026-07</x:v>
      </x:c>
      <x:c r="D39" s="3" t="str">
        <x:v>2607.27629</x:v>
      </x:c>
      <x:c r="E39" s="3" t="str">
        <x:v>Curved Kakeya problems and the projective geometry of paths</x:v>
      </x:c>
      <x:c r="F39" s="3" t="str">
        <x:v>Shaoming Guo; Larry Guth; Arian Nadjimzadah; Minxing Shen; Ruixiang Zhang</x:v>
      </x:c>
      <x:c r="G39" s="3" t="str">
        <x:v>curved Kakeya / projective geometry</x:v>
      </x:c>
      <x:c r="H39" s="2" t="n">
        <x:v>90</x:v>
      </x:c>
      <x:c r="I39" s="36" t="n">
        <x:v>91.05</x:v>
      </x:c>
      <x:c r="J39" s="36" t="n">
        <x:v>91.15</x:v>
      </x:c>
      <x:c r="K39" s="36" t="n">
        <x:v>90.95</x:v>
      </x:c>
      <x:c r="L39" s="2" t="n">
        <x:v>92</x:v>
      </x:c>
      <x:c r="M39" s="2" t="n">
        <x:v>91</x:v>
      </x:c>
      <x:c r="N39" s="2" t="n">
        <x:v>93</x:v>
      </x:c>
      <x:c r="O39" s="2" t="n">
        <x:v>90</x:v>
      </x:c>
      <x:c r="P39" s="2" t="n">
        <x:v>93</x:v>
      </x:c>
      <x:c r="Q39" s="2" t="n">
        <x:v>86</x:v>
      </x:c>
      <x:c r="R39" s="2" t="n">
        <x:v>11</x:v>
      </x:c>
      <x:c r="S39" s="3" t="str">
        <x:v>https://arxiv.org/abs/2607.27629</x:v>
      </x:c>
      <x:c r="T39" s="3" t="str">
        <x:v>Highly technical incidence/harmonic-analysis result with projective-geometric content.</x:v>
      </x:c>
    </x:row>
    <x:row r="40" ht="45" customHeight="1">
      <x:c r="A40" s="2" t="n">
        <x:v>39</x:v>
      </x:c>
      <x:c r="B40" s="2" t="n">
        <x:v>69</x:v>
      </x:c>
      <x:c r="C40" s="3" t="str">
        <x:v>2026-07</x:v>
      </x:c>
      <x:c r="D40" s="3" t="str">
        <x:v>2607.29447</x:v>
      </x:c>
      <x:c r="E40" s="3" t="str">
        <x:v>The Penrose inequality with charge for 2-convex initial data sets</x:v>
      </x:c>
      <x:c r="F40" s="3" t="str">
        <x:v>Tuan Dolmen</x:v>
      </x:c>
      <x:c r="G40" s="3" t="str">
        <x:v>charged Penrose inequality</x:v>
      </x:c>
      <x:c r="H40" s="2" t="str">
        <x:v>-</x:v>
      </x:c>
      <x:c r="I40" s="36" t="n">
        <x:v>91.05</x:v>
      </x:c>
      <x:c r="J40" s="36" t="n">
        <x:v>91.15</x:v>
      </x:c>
      <x:c r="K40" s="36" t="n">
        <x:v>90.95</x:v>
      </x:c>
      <x:c r="L40" s="2" t="n">
        <x:v>92</x:v>
      </x:c>
      <x:c r="M40" s="2" t="n">
        <x:v>91</x:v>
      </x:c>
      <x:c r="N40" s="2" t="n">
        <x:v>93</x:v>
      </x:c>
      <x:c r="O40" s="2" t="n">
        <x:v>90</x:v>
      </x:c>
      <x:c r="P40" s="2" t="n">
        <x:v>93</x:v>
      </x:c>
      <x:c r="Q40" s="2" t="n">
        <x:v>86</x:v>
      </x:c>
      <x:c r="R40" s="2" t="n">
        <x:v>11</x:v>
      </x:c>
      <x:c r="S40" s="3" t="str">
        <x:v>https://arxiv.org/abs/2607.29447</x:v>
      </x:c>
      <x:c r="T40" s="3" t="str">
        <x:v>Charged Penrose inequality under 2-convexity; strong GR geometry signal.</x:v>
      </x:c>
    </x:row>
    <x:row r="41" ht="45" customHeight="1">
      <x:c r="A41" s="2" t="n">
        <x:v>40</x:v>
      </x:c>
      <x:c r="B41" s="2" t="n">
        <x:v>70</x:v>
      </x:c>
      <x:c r="C41" s="3" t="str">
        <x:v>2026-07</x:v>
      </x:c>
      <x:c r="D41" s="3" t="str">
        <x:v>2607.29588</x:v>
      </x:c>
      <x:c r="E41" s="3" t="str">
        <x:v>A two-dimensional Allen-Cahn theory for interfaces with boundary</x:v>
      </x:c>
      <x:c r="F41" s="3" t="str">
        <x:v>Marco Badran; Manuel del Pino; Marco A. M. Guaraco</x:v>
      </x:c>
      <x:c r="G41" s="3" t="str">
        <x:v>Allen-Cahn / boundary interfaces</x:v>
      </x:c>
      <x:c r="H41" s="2" t="str">
        <x:v>-</x:v>
      </x:c>
      <x:c r="I41" s="36" t="n">
        <x:v>91.05</x:v>
      </x:c>
      <x:c r="J41" s="36" t="n">
        <x:v>91.15</x:v>
      </x:c>
      <x:c r="K41" s="36" t="n">
        <x:v>90.95</x:v>
      </x:c>
      <x:c r="L41" s="2" t="n">
        <x:v>92</x:v>
      </x:c>
      <x:c r="M41" s="2" t="n">
        <x:v>91</x:v>
      </x:c>
      <x:c r="N41" s="2" t="n">
        <x:v>93</x:v>
      </x:c>
      <x:c r="O41" s="2" t="n">
        <x:v>90</x:v>
      </x:c>
      <x:c r="P41" s="2" t="n">
        <x:v>93</x:v>
      </x:c>
      <x:c r="Q41" s="2" t="n">
        <x:v>86</x:v>
      </x:c>
      <x:c r="R41" s="2" t="n">
        <x:v>11</x:v>
      </x:c>
      <x:c r="S41" s="3" t="str">
        <x:v>https://arxiv.org/abs/2607.29588</x:v>
      </x:c>
      <x:c r="T41" s="3" t="str">
        <x:v>Boundary-interface Allen-Cahn theory with geometric variational content.</x:v>
      </x:c>
    </x:row>
    <x:row r="42" ht="45" customHeight="1">
      <x:c r="A42" s="2" t="n">
        <x:v>41</x:v>
      </x:c>
      <x:c r="B42" s="2" t="n">
        <x:v>71</x:v>
      </x:c>
      <x:c r="C42" s="3" t="str">
        <x:v>2026-08</x:v>
      </x:c>
      <x:c r="D42" s="3" t="str">
        <x:v>2608.00944</x:v>
      </x:c>
      <x:c r="E42" s="3" t="str">
        <x:v>McKean Rigidity for Cocompact Negatively Curved Manifolds and the p-Laplacian</x:v>
      </x:c>
      <x:c r="F42" s="3" t="str">
        <x:v>Kuntao Jin; Bo Zhu</x:v>
      </x:c>
      <x:c r="G42" s="3" t="str">
        <x:v>McKean rigidity / p-Laplacian</x:v>
      </x:c>
      <x:c r="H42" s="2" t="n">
        <x:v>56</x:v>
      </x:c>
      <x:c r="I42" s="36" t="n">
        <x:v>91.05</x:v>
      </x:c>
      <x:c r="J42" s="36" t="n">
        <x:v>91.15</x:v>
      </x:c>
      <x:c r="K42" s="36" t="n">
        <x:v>90.95</x:v>
      </x:c>
      <x:c r="L42" s="2" t="n">
        <x:v>92</x:v>
      </x:c>
      <x:c r="M42" s="2" t="n">
        <x:v>91</x:v>
      </x:c>
      <x:c r="N42" s="2" t="n">
        <x:v>93</x:v>
      </x:c>
      <x:c r="O42" s="2" t="n">
        <x:v>90</x:v>
      </x:c>
      <x:c r="P42" s="2" t="n">
        <x:v>93</x:v>
      </x:c>
      <x:c r="Q42" s="2" t="n">
        <x:v>86</x:v>
      </x:c>
      <x:c r="R42" s="2" t="n">
        <x:v>11</x:v>
      </x:c>
      <x:c r="S42" s="3" t="str">
        <x:v>https://arxiv.org/abs/2608.00944</x:v>
      </x:c>
      <x:c r="T42" s="3" t="str">
        <x:v>Rigidity theorem for negatively curved manifolds and p-Laplacian; high spectral-geometric value.</x:v>
      </x:c>
    </x:row>
    <x:row r="43" ht="45" customHeight="1">
      <x:c r="A43" s="2" t="n">
        <x:v>42</x:v>
      </x:c>
      <x:c r="B43" s="2" t="n">
        <x:v>72</x:v>
      </x:c>
      <x:c r="C43" s="3" t="str">
        <x:v>2026-08</x:v>
      </x:c>
      <x:c r="D43" s="3" t="str">
        <x:v>2608.03405</x:v>
      </x:c>
      <x:c r="E43" s="3" t="str">
        <x:v>Lower Bound for Weighted Intermediate Ricci Curvature and Tensorial Entropy Convexity</x:v>
      </x:c>
      <x:c r="F43" s="3" t="str">
        <x:v>Chao-Ming Lin; Kai-Hsiang Wang</x:v>
      </x:c>
      <x:c r="G43" s="3" t="str">
        <x:v>weighted intermediate Ricci / entropy convexity</x:v>
      </x:c>
      <x:c r="H43" s="2" t="n">
        <x:v>60</x:v>
      </x:c>
      <x:c r="I43" s="36" t="n">
        <x:v>91.05</x:v>
      </x:c>
      <x:c r="J43" s="36" t="n">
        <x:v>91.15</x:v>
      </x:c>
      <x:c r="K43" s="36" t="n">
        <x:v>90.95</x:v>
      </x:c>
      <x:c r="L43" s="2" t="n">
        <x:v>92</x:v>
      </x:c>
      <x:c r="M43" s="2" t="n">
        <x:v>91</x:v>
      </x:c>
      <x:c r="N43" s="2" t="n">
        <x:v>93</x:v>
      </x:c>
      <x:c r="O43" s="2" t="n">
        <x:v>90</x:v>
      </x:c>
      <x:c r="P43" s="2" t="n">
        <x:v>93</x:v>
      </x:c>
      <x:c r="Q43" s="2" t="n">
        <x:v>86</x:v>
      </x:c>
      <x:c r="R43" s="2" t="n">
        <x:v>11</x:v>
      </x:c>
      <x:c r="S43" s="3" t="str">
        <x:v>https://arxiv.org/abs/2608.03405</x:v>
      </x:c>
      <x:c r="T43" s="3" t="str">
        <x:v>Weighted curvature lower bounds and entropy convexity; strong synthetic/geometric analysis link.</x:v>
      </x:c>
    </x:row>
    <x:row r="44" ht="45" customHeight="1">
      <x:c r="A44" s="2" t="n">
        <x:v>43</x:v>
      </x:c>
      <x:c r="B44" s="2" t="n">
        <x:v>73</x:v>
      </x:c>
      <x:c r="C44" s="3" t="str">
        <x:v>2026-08</x:v>
      </x:c>
      <x:c r="D44" s="3" t="str">
        <x:v>2608.04364</x:v>
      </x:c>
      <x:c r="E44" s="3" t="str">
        <x:v>Calabi-Yau Conjecture for Minimal Hypersurfaces in R^4 with bounded geometry</x:v>
      </x:c>
      <x:c r="F44" s="3" t="str">
        <x:v>Shrey Aryan; Alexander D. McWeeney; Giuseppe Tinaglia</x:v>
      </x:c>
      <x:c r="G44" s="3" t="str">
        <x:v>minimal hypersurfaces / Calabi-Yau conjecture</x:v>
      </x:c>
      <x:c r="H44" s="2" t="n">
        <x:v>9</x:v>
      </x:c>
      <x:c r="I44" s="36" t="n">
        <x:v>91.05</x:v>
      </x:c>
      <x:c r="J44" s="36" t="n">
        <x:v>91.15</x:v>
      </x:c>
      <x:c r="K44" s="36" t="n">
        <x:v>90.95</x:v>
      </x:c>
      <x:c r="L44" s="2" t="n">
        <x:v>92</x:v>
      </x:c>
      <x:c r="M44" s="2" t="n">
        <x:v>91</x:v>
      </x:c>
      <x:c r="N44" s="2" t="n">
        <x:v>93</x:v>
      </x:c>
      <x:c r="O44" s="2" t="n">
        <x:v>90</x:v>
      </x:c>
      <x:c r="P44" s="2" t="n">
        <x:v>93</x:v>
      </x:c>
      <x:c r="Q44" s="2" t="n">
        <x:v>86</x:v>
      </x:c>
      <x:c r="R44" s="2" t="n">
        <x:v>11</x:v>
      </x:c>
      <x:c r="S44" s="3" t="str">
        <x:v>https://arxiv.org/abs/2608.04364</x:v>
      </x:c>
      <x:c r="T44" s="3" t="str">
        <x:v>Concise theorem around Calabi-Yau conjecture for minimal hypersurfaces.</x:v>
      </x:c>
    </x:row>
    <x:row r="45" ht="45" customHeight="1">
      <x:c r="A45" s="2" t="n">
        <x:v>44</x:v>
      </x:c>
      <x:c r="B45" s="2" t="n">
        <x:v>78</x:v>
      </x:c>
      <x:c r="C45" s="3" t="str">
        <x:v>2026-08</x:v>
      </x:c>
      <x:c r="D45" s="3" t="str">
        <x:v>2608.02405</x:v>
      </x:c>
      <x:c r="E45" s="3" t="str">
        <x:v>A Weighted Discretization of Riemannian Manifolds with Lower Ricci Bounds</x:v>
      </x:c>
      <x:c r="F45" s="3" t="str">
        <x:v>Aditya Tiwari</x:v>
      </x:c>
      <x:c r="G45" s="3" t="str">
        <x:v>weighted graph discretization / Ricci lower bounds</x:v>
      </x:c>
      <x:c r="H45" s="2" t="n">
        <x:v>16</x:v>
      </x:c>
      <x:c r="I45" s="36" t="n">
        <x:v>90.775</x:v>
      </x:c>
      <x:c r="J45" s="36" t="n">
        <x:v>91.2</x:v>
      </x:c>
      <x:c r="K45" s="36" t="n">
        <x:v>90.35</x:v>
      </x:c>
      <x:c r="L45" s="2" t="n">
        <x:v>92</x:v>
      </x:c>
      <x:c r="M45" s="2" t="n">
        <x:v>92</x:v>
      </x:c>
      <x:c r="N45" s="2" t="n">
        <x:v>92</x:v>
      </x:c>
      <x:c r="O45" s="2" t="n">
        <x:v>92</x:v>
      </x:c>
      <x:c r="P45" s="2" t="n">
        <x:v>92</x:v>
      </x:c>
      <x:c r="Q45" s="2" t="n">
        <x:v>84</x:v>
      </x:c>
      <x:c r="R45" s="2" t="n">
        <x:v>11</x:v>
      </x:c>
      <x:c r="S45" s="3" t="str">
        <x:v>https://arxiv.org/abs/2608.02405</x:v>
      </x:c>
      <x:c r="T45" s="3" t="str">
        <x:v>Weighted combinatorial Laplacian with spectral comparison independent of injectivity radius and stability under measured Gromov-Hausdorff convergence.</x:v>
      </x:c>
    </x:row>
    <x:row r="46" ht="45" customHeight="1">
      <x:c r="A46" s="2" t="n">
        <x:v>45</x:v>
      </x:c>
      <x:c r="B46" s="2" t="n">
        <x:v>79</x:v>
      </x:c>
      <x:c r="C46" s="3" t="str">
        <x:v>2026-08</x:v>
      </x:c>
      <x:c r="D46" s="3" t="str">
        <x:v>2608.06974</x:v>
      </x:c>
      <x:c r="E46" s="3" t="str">
        <x:v>Left-invariant metrics on step-two Carnot groups are uniformly doubling</x:v>
      </x:c>
      <x:c r="F46" s="3" t="str">
        <x:v>Cheng Bi; Ye Zhang</x:v>
      </x:c>
      <x:c r="G46" s="3" t="str">
        <x:v>Carnot groups / uniform doubling</x:v>
      </x:c>
      <x:c r="H46" s="2" t="n">
        <x:v>7</x:v>
      </x:c>
      <x:c r="I46" s="36" t="n">
        <x:v>90.725</x:v>
      </x:c>
      <x:c r="J46" s="36" t="n">
        <x:v>91.15</x:v>
      </x:c>
      <x:c r="K46" s="36" t="n">
        <x:v>90.3</x:v>
      </x:c>
      <x:c r="L46" s="2" t="n">
        <x:v>92</x:v>
      </x:c>
      <x:c r="M46" s="2" t="n">
        <x:v>92</x:v>
      </x:c>
      <x:c r="N46" s="2" t="n">
        <x:v>91</x:v>
      </x:c>
      <x:c r="O46" s="2" t="n">
        <x:v>92</x:v>
      </x:c>
      <x:c r="P46" s="2" t="n">
        <x:v>92</x:v>
      </x:c>
      <x:c r="Q46" s="2" t="n">
        <x:v>86</x:v>
      </x:c>
      <x:c r="R46" s="2" t="n">
        <x:v>12</x:v>
      </x:c>
      <x:c r="S46" s="3" t="str">
        <x:v>https://arxiv.org/abs/2608.06974</x:v>
      </x:c>
      <x:c r="T46" s="3" t="str">
        <x:v>Proves the sharp uniform doubling constant 2^Q for all left-invariant Riemannian metrics on every step-two Carnot group, together with a Bishop-Gromov-type estimate.</x:v>
      </x:c>
    </x:row>
    <x:row r="47" ht="45" customHeight="1">
      <x:c r="A47" s="2" t="n">
        <x:v>46</x:v>
      </x:c>
      <x:c r="B47" s="2" t="n">
        <x:v>80</x:v>
      </x:c>
      <x:c r="C47" s="3" t="str">
        <x:v>2026-07</x:v>
      </x:c>
      <x:c r="D47" s="3" t="str">
        <x:v>2607.29654</x:v>
      </x:c>
      <x:c r="E47" s="3" t="str">
        <x:v>Elastic Curves via Geometric Mechanics</x:v>
      </x:c>
      <x:c r="F47" s="3" t="str">
        <x:v>Oliver Gross; Rohit Jammula; Albert Chern</x:v>
      </x:c>
      <x:c r="G47" s="3" t="str">
        <x:v>discrete elastic curves / geometric mechanics</x:v>
      </x:c>
      <x:c r="H47" s="2" t="n">
        <x:v>23</x:v>
      </x:c>
      <x:c r="I47" s="36" t="n">
        <x:v>90.5</x:v>
      </x:c>
      <x:c r="J47" s="36" t="n">
        <x:v>90.95</x:v>
      </x:c>
      <x:c r="K47" s="36" t="n">
        <x:v>90.05</x:v>
      </x:c>
      <x:c r="L47" s="2" t="n">
        <x:v>91</x:v>
      </x:c>
      <x:c r="M47" s="2" t="n">
        <x:v>93</x:v>
      </x:c>
      <x:c r="N47" s="2" t="n">
        <x:v>91</x:v>
      </x:c>
      <x:c r="O47" s="2" t="n">
        <x:v>92</x:v>
      </x:c>
      <x:c r="P47" s="2" t="n">
        <x:v>91</x:v>
      </x:c>
      <x:c r="Q47" s="2" t="n">
        <x:v>85</x:v>
      </x:c>
      <x:c r="R47" s="2" t="n">
        <x:v>12</x:v>
      </x:c>
      <x:c r="S47" s="3" t="str">
        <x:v>https://arxiv.org/abs/2607.29654</x:v>
      </x:c>
      <x:c r="T47" s="3" t="str">
        <x:v>New isoperimetric characterization and exact structure-preserving polygonal theory; carries canonical symplectic dynamics to discrete curves.</x:v>
      </x:c>
    </x:row>
    <x:row r="48" ht="45" customHeight="1">
      <x:c r="A48" s="2" t="n">
        <x:v>47</x:v>
      </x:c>
      <x:c r="B48" s="2" t="n">
        <x:v>81</x:v>
      </x:c>
      <x:c r="C48" s="3" t="str">
        <x:v>2026-08</x:v>
      </x:c>
      <x:c r="D48" s="3" t="str">
        <x:v>2507.16794</x:v>
      </x:c>
      <x:c r="E48" s="3" t="str">
        <x:v>Spectral gaps for noncompact hyperbolic surfaces with linearly many cusps</x:v>
      </x:c>
      <x:c r="F48" s="3" t="str">
        <x:v>Qi Guo; Bobo Hua; Yang Shen</x:v>
      </x:c>
      <x:c r="G48" s="3" t="str">
        <x:v>spectral geometry / hyperbolic surfaces / expander graphs</x:v>
      </x:c>
      <x:c r="H48" s="2" t="n">
        <x:v>23</x:v>
      </x:c>
      <x:c r="I48" s="36" t="n">
        <x:v>90.4</x:v>
      </x:c>
      <x:c r="J48" s="36" t="n">
        <x:v>90.95</x:v>
      </x:c>
      <x:c r="K48" s="36" t="n">
        <x:v>89.85</x:v>
      </x:c>
      <x:c r="L48" s="2" t="n">
        <x:v>92</x:v>
      </x:c>
      <x:c r="M48" s="2" t="n">
        <x:v>93</x:v>
      </x:c>
      <x:c r="N48" s="2" t="n">
        <x:v>90</x:v>
      </x:c>
      <x:c r="O48" s="2" t="n">
        <x:v>91</x:v>
      </x:c>
      <x:c r="P48" s="2" t="n">
        <x:v>92</x:v>
      </x:c>
      <x:c r="Q48" s="2" t="n">
        <x:v>86</x:v>
      </x:c>
      <x:c r="R48" s="2" t="n">
        <x:v>15</x:v>
      </x:c>
      <x:c r="S48" s="3" t="str">
        <x:v>https://arxiv.org/abs/2507.16794</x:v>
      </x:c>
      <x:c r="T48" s="3" t="str">
        <x:v>Closes the linear-cusp existence regime through a quantitative expander-graph construction and proves a complementary Steklov obstruction for superlinear cusp growth.</x:v>
      </x:c>
    </x:row>
    <x:row r="49" ht="45" customHeight="1">
      <x:c r="A49" s="2" t="n">
        <x:v>48</x:v>
      </x:c>
      <x:c r="B49" s="2" t="n">
        <x:v>82</x:v>
      </x:c>
      <x:c r="C49" s="3" t="str">
        <x:v>2026-07</x:v>
      </x:c>
      <x:c r="D49" s="3" t="str">
        <x:v>2607.05023</x:v>
      </x:c>
      <x:c r="E49" s="3" t="str">
        <x:v>Rigidity on compact surfaces through hyperbolic symmetries</x:v>
      </x:c>
      <x:c r="F49" s="3" t="str">
        <x:v>Sean Dewar; Alison La Porta; Rebecca Monks; Anthony Nixon; Klara Stokes; Joannes Vermant</x:v>
      </x:c>
      <x:c r="G49" s="3" t="str">
        <x:v>surface rigidity / hyperbolic symmetries</x:v>
      </x:c>
      <x:c r="H49" s="2" t="n">
        <x:v>45</x:v>
      </x:c>
      <x:c r="I49" s="36" t="n">
        <x:v>90.4</x:v>
      </x:c>
      <x:c r="J49" s="36" t="n">
        <x:v>90.45</x:v>
      </x:c>
      <x:c r="K49" s="36" t="n">
        <x:v>90.35</x:v>
      </x:c>
      <x:c r="L49" s="2" t="n">
        <x:v>90</x:v>
      </x:c>
      <x:c r="M49" s="2" t="n">
        <x:v>93</x:v>
      </x:c>
      <x:c r="N49" s="2" t="n">
        <x:v>91</x:v>
      </x:c>
      <x:c r="O49" s="2" t="n">
        <x:v>90</x:v>
      </x:c>
      <x:c r="P49" s="2" t="n">
        <x:v>91</x:v>
      </x:c>
      <x:c r="Q49" s="2" t="n">
        <x:v>86</x:v>
      </x:c>
      <x:c r="R49" s="2" t="n">
        <x:v>11</x:v>
      </x:c>
      <x:c r="S49" s="3" t="str">
        <x:v>https://arxiv.org/abs/2607.05023</x:v>
      </x:c>
      <x:c r="T49" s="3" t="str">
        <x:v>First finite combinatorial characterization of generic rigidity for frameworks on compact surfaces of genus at least two, via hyperbolic symmetries and gain graphs.</x:v>
      </x:c>
    </x:row>
    <x:row r="50" ht="45" customHeight="1">
      <x:c r="A50" s="2" t="n">
        <x:v>49</x:v>
      </x:c>
      <x:c r="B50" s="2" t="n">
        <x:v>86</x:v>
      </x:c>
      <x:c r="C50" s="3" t="str">
        <x:v>2026-08</x:v>
      </x:c>
      <x:c r="D50" s="3" t="str">
        <x:v>2608.07351</x:v>
      </x:c>
      <x:c r="E50" s="3" t="str">
        <x:v>Finite-Rank Lie Algebroids for Singular Foliations of Prescribed Vanishing Order</x:v>
      </x:c>
      <x:c r="F50" s="3" t="str">
        <x:v>Austin Davis; Cheng-Yi Hung; Sangjun Ko; Kaichuan Qi</x:v>
      </x:c>
      <x:c r="G50" s="3" t="str">
        <x:v>singular foliations / Lie algebroids</x:v>
      </x:c>
      <x:c r="H50" s="2" t="n">
        <x:v>11</x:v>
      </x:c>
      <x:c r="I50" s="36" t="n">
        <x:v>90.175</x:v>
      </x:c>
      <x:c r="J50" s="36" t="n">
        <x:v>90.5</x:v>
      </x:c>
      <x:c r="K50" s="36" t="n">
        <x:v>89.85</x:v>
      </x:c>
      <x:c r="L50" s="2" t="n">
        <x:v>91</x:v>
      </x:c>
      <x:c r="M50" s="2" t="n">
        <x:v>94</x:v>
      </x:c>
      <x:c r="N50" s="2" t="n">
        <x:v>89</x:v>
      </x:c>
      <x:c r="O50" s="2" t="n">
        <x:v>91</x:v>
      </x:c>
      <x:c r="P50" s="2" t="n">
        <x:v>92</x:v>
      </x:c>
      <x:c r="Q50" s="2" t="n">
        <x:v>85</x:v>
      </x:c>
      <x:c r="R50" s="2" t="n">
        <x:v>14</x:v>
      </x:c>
      <x:c r="S50" s="3" t="str">
        <x:v>https://arxiv.org/abs/2608.07351</x:v>
      </x:c>
      <x:c r="T50" s="3" t="str">
        <x:v>Solves a finite-rank realizability problem for prescribed-order vanishing singular foliations via a new construction from left-symmetric and sub-adjacent Lie algebroids.</x:v>
      </x:c>
    </x:row>
    <x:row r="51" ht="45" customHeight="1">
      <x:c r="A51" s="2" t="n">
        <x:v>50</x:v>
      </x:c>
      <x:c r="B51" s="2" t="n">
        <x:v>87</x:v>
      </x:c>
      <x:c r="C51" s="3" t="str">
        <x:v>2026-07</x:v>
      </x:c>
      <x:c r="D51" s="3" t="str">
        <x:v>2607.02244</x:v>
      </x:c>
      <x:c r="E51" s="3" t="str">
        <x:v>Foliations by constant spacetime mean curvature surfaces for asymptotically hyperboloidal initial data sets</x:v>
      </x:c>
      <x:c r="F51" s="3" t="str">
        <x:v>Jacopo Tenan</x:v>
      </x:c>
      <x:c r="G51" s="3" t="str">
        <x:v>spacetime mean curvature foliations</x:v>
      </x:c>
      <x:c r="H51" s="2" t="str">
        <x:v>-</x:v>
      </x:c>
      <x:c r="I51" s="36" t="n">
        <x:v>90.175</x:v>
      </x:c>
      <x:c r="J51" s="36" t="n">
        <x:v>90.25</x:v>
      </x:c>
      <x:c r="K51" s="36" t="n">
        <x:v>90.1</x:v>
      </x:c>
      <x:c r="L51" s="2" t="n">
        <x:v>91</x:v>
      </x:c>
      <x:c r="M51" s="2" t="n">
        <x:v>90</x:v>
      </x:c>
      <x:c r="N51" s="2" t="n">
        <x:v>92</x:v>
      </x:c>
      <x:c r="O51" s="2" t="n">
        <x:v>89</x:v>
      </x:c>
      <x:c r="P51" s="2" t="n">
        <x:v>92</x:v>
      </x:c>
      <x:c r="Q51" s="2" t="n">
        <x:v>86</x:v>
      </x:c>
      <x:c r="R51" s="2" t="n">
        <x:v>12</x:v>
      </x:c>
      <x:c r="S51" s="3" t="str">
        <x:v>https://arxiv.org/abs/2607.02244</x:v>
      </x:c>
      <x:c r="T51" s="3" t="str">
        <x:v>Foliation result in asymptotically hyperboloidal GR geometry.</x:v>
      </x:c>
    </x:row>
  </x:sheetData>
  <x:pageMargins left="0.7" right="0.7" top="0.75" bottom="0.75" header="0.3" footer="0.3"/>
  <x:tableParts count="1">
    <x:tablePart xmlns:r="http://schemas.openxmlformats.org/officeDocument/2006/relationships" r:id="Rb9caf967569446b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10" hidden="0" customWidth="1"/>
    <x:col min="4" max="4" width="24" hidden="0" customWidth="1"/>
    <x:col min="5" max="5" width="25" hidden="0" customWidth="1"/>
    <x:col min="6" max="6" width="48" hidden="0" customWidth="1"/>
    <x:col min="7" max="7" width="32" hidden="0" customWidth="1"/>
    <x:col min="8" max="8" width="8" hidden="0" customWidth="1"/>
    <x:col min="9" max="9" width="31" hidden="0" customWidth="1"/>
    <x:col min="10" max="10" width="48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13" hidden="0" customWidth="1"/>
    <x:col min="23" max="23" width="13" hidden="0" customWidth="1"/>
    <x:col min="24" max="24" width="15" hidden="0" customWidth="1"/>
    <x:col min="25" max="25" width="10" hidden="0" customWidth="1"/>
    <x:col min="26" max="26" width="48" hidden="0" customWidth="1"/>
  </x:cols>
  <x:sheetData>
    <x:row r="1" ht="30" customHeight="1">
      <x:c r="A1" s="49" t="str">
        <x:v>DailyRank</x:v>
      </x:c>
      <x:c r="B1" s="50" t="str">
        <x:v>arXiv</x:v>
      </x:c>
      <x:c r="C1" s="50" t="str">
        <x:v>month</x:v>
      </x:c>
      <x:c r="D1" s="50" t="str">
        <x:v>DG_status</x:v>
      </x:c>
      <x:c r="E1" s="50" t="str">
        <x:v>theme</x:v>
      </x:c>
      <x:c r="F1" s="50" t="str">
        <x:v>title</x:v>
      </x:c>
      <x:c r="G1" s="50" t="str">
        <x:v>authors</x:v>
      </x:c>
      <x:c r="H1" s="50" t="str">
        <x:v>pages</x:v>
      </x:c>
      <x:c r="I1" s="50" t="str">
        <x:v>source_url</x:v>
      </x:c>
      <x:c r="J1" s="50" t="str">
        <x:v>screening_note</x:v>
      </x:c>
      <x:c r="K1" s="50" t="str">
        <x:v>I</x:v>
      </x:c>
      <x:c r="L1" s="50" t="str">
        <x:v>O</x:v>
      </x:c>
      <x:c r="M1" s="50" t="str">
        <x:v>T</x:v>
      </x:c>
      <x:c r="N1" s="50" t="str">
        <x:v>B</x:v>
      </x:c>
      <x:c r="O1" s="50" t="str">
        <x:v>H</x:v>
      </x:c>
      <x:c r="P1" s="50" t="str">
        <x:v>R</x:v>
      </x:c>
      <x:c r="Q1" s="50" t="str">
        <x:v>AI_pct</x:v>
      </x:c>
      <x:c r="R1" s="50" t="str">
        <x:v>AI_unc</x:v>
      </x:c>
      <x:c r="S1" s="50" t="str">
        <x:v>V</x:v>
      </x:c>
      <x:c r="T1" s="50" t="str">
        <x:v>S_H</x:v>
      </x:c>
      <x:c r="U1" s="50" t="str">
        <x:v>S_eq</x:v>
      </x:c>
      <x:c r="V1" s="50" t="str">
        <x:v>AugAssessedRank</x:v>
      </x:c>
      <x:c r="W1" s="50" t="str">
        <x:v>Selected30pct</x:v>
      </x:c>
      <x:c r="X1" s="50" t="str">
        <x:v>OverallRank_6_8</x:v>
      </x:c>
      <x:c r="Y1" s="50" t="str">
        <x:v>Top100</x:v>
      </x:c>
      <x:c r="Z1" s="51" t="str">
        <x:v>score_comments</x:v>
      </x:c>
    </x:row>
    <x:row r="2" ht="44" customHeight="1">
      <x:c r="A2" s="90" t="n">
        <x:v>1</x:v>
      </x:c>
      <x:c r="B2" s="91" t="str">
        <x:v>2608.07240</x:v>
      </x:c>
      <x:c r="C2" s="91" t="str">
        <x:v>2026-08</x:v>
      </x:c>
      <x:c r="D2" s="91" t="str">
        <x:v>math.AP/math.DG/math.FA</x:v>
      </x:c>
      <x:c r="E2" s="91" t="str">
        <x:v>critical Geller equations / complex hyperbolic geometry</x:v>
      </x:c>
      <x:c r="F2" s="91" t="str">
        <x:v>Critical Geller Equations on Complex Hyperbolic Space: Nondegeneracy, Geodesic Symmetry, and Global Compactness</x:v>
      </x:c>
      <x:c r="G2" s="91" t="str">
        <x:v>Jungang Li</x:v>
      </x:c>
      <x:c r="H2" s="91" t="n">
        <x:v>59</x:v>
      </x:c>
      <x:c r="I2" s="91" t="str">
        <x:v>https://arxiv.org/abs/2608.07240</x:v>
      </x:c>
      <x:c r="J2" s="91" t="str">
        <x:v>Builds a broad critical Geller/Brezis-Nirenberg theory: sharp constants and classification, invariant-sector profiles and stability, nondegeneracy, compactness, symmetry, asymptotics, and perturbative existence.</x:v>
      </x:c>
      <x:c r="K2" s="91" t="n">
        <x:v>95</x:v>
      </x:c>
      <x:c r="L2" s="91" t="n">
        <x:v>94</x:v>
      </x:c>
      <x:c r="M2" s="91" t="n">
        <x:v>96</x:v>
      </x:c>
      <x:c r="N2" s="91" t="n">
        <x:v>94</x:v>
      </x:c>
      <x:c r="O2" s="91" t="n">
        <x:v>95</x:v>
      </x:c>
      <x:c r="P2" s="91" t="n">
        <x:v>86</x:v>
      </x:c>
      <x:c r="Q2" s="91" t="n">
        <x:v>10</x:v>
      </x:c>
      <x:c r="R2" s="91" t="n">
        <x:v>5</x:v>
      </x:c>
      <x:c r="S2" s="92" t="n">
        <x:v>93.99999999999999</x:v>
      </x:c>
      <x:c r="T2" s="92" t="n">
        <x:v>92.9</x:v>
      </x:c>
      <x:c r="U2" s="92" t="n">
        <x:v>93.44999999999999</x:v>
      </x:c>
      <x:c r="V2" s="91" t="n">
        <x:v>1</x:v>
      </x:c>
      <x:c r="W2" s="91" t="str">
        <x:v>Yes</x:v>
      </x:c>
      <x:c r="X2" s="91" t="n">
        <x:v>13</x:v>
      </x:c>
      <x:c r="Y2" s="91" t="str">
        <x:v>Top100</x:v>
      </x:c>
      <x:c r="Z2" s="93" t="str">
        <x:v>默认主要结论正确；未逐篇逐行 correctness check。按 SARE 原则评估，V 与 S_H 等权，并扣除当前 AI 可替代部分。</x:v>
      </x:c>
    </x:row>
    <x:row r="3" ht="44" customHeight="1">
      <x:c r="A3" s="138" t="n">
        <x:v>2</x:v>
      </x:c>
      <x:c r="B3" s="139" t="str">
        <x:v>2608.07231</x:v>
      </x:c>
      <x:c r="C3" s="139" t="str">
        <x:v>2026-08</x:v>
      </x:c>
      <x:c r="D3" s="139" t="str">
        <x:v>math.AP/math.DG</x:v>
      </x:c>
      <x:c r="E3" s="139" t="str">
        <x:v>Lorentzian prescribed mean curvature / Liouville rigidity</x:v>
      </x:c>
      <x:c r="F3" s="139" t="str">
        <x:v>Liouville Rigidity for Entire Strictly Spacelike Solutions of a Lorentzian Prescribed Mean Curvature Equation</x:v>
      </x:c>
      <x:c r="G3" s="139" t="str">
        <x:v>Xi-Nan Ma; Tian Wu; Wangzhe Wu; Bao Yu</x:v>
      </x:c>
      <x:c r="H3" s="139" t="n">
        <x:v>25</x:v>
      </x:c>
      <x:c r="I3" s="139" t="str">
        <x:v>https://arxiv.org/abs/2608.07231</x:v>
      </x:c>
      <x:c r="J3" s="139" t="str">
        <x:v>Removes radial, decay, integrability, and uniform-gap assumptions in a subcritical Lorentzian prescribed-mean-curvature Liouville problem, using global Lorentz-factor bounds and new weighted tensor identities.</x:v>
      </x:c>
      <x:c r="K3" s="139" t="n">
        <x:v>94</x:v>
      </x:c>
      <x:c r="L3" s="139" t="n">
        <x:v>93</x:v>
      </x:c>
      <x:c r="M3" s="139" t="n">
        <x:v>95</x:v>
      </x:c>
      <x:c r="N3" s="139" t="n">
        <x:v>92</x:v>
      </x:c>
      <x:c r="O3" s="139" t="n">
        <x:v>95</x:v>
      </x:c>
      <x:c r="P3" s="139" t="n">
        <x:v>86</x:v>
      </x:c>
      <x:c r="Q3" s="139" t="n">
        <x:v>10</x:v>
      </x:c>
      <x:c r="R3" s="139" t="n">
        <x:v>5</x:v>
      </x:c>
      <x:c r="S3" s="140" t="n">
        <x:v>92.94999999999999</x:v>
      </x:c>
      <x:c r="T3" s="140" t="n">
        <x:v>92.5</x:v>
      </x:c>
      <x:c r="U3" s="140" t="n">
        <x:v>92.725</x:v>
      </x:c>
      <x:c r="V3" s="139" t="n">
        <x:v>4</x:v>
      </x:c>
      <x:c r="W3" s="139" t="str">
        <x:v>Yes</x:v>
      </x:c>
      <x:c r="X3" s="139" t="n">
        <x:v>23</x:v>
      </x:c>
      <x:c r="Y3" s="139" t="str">
        <x:v>Top100</x:v>
      </x:c>
      <x:c r="Z3" s="141" t="str">
        <x:v>默认主要结论正确；未逐篇逐行 correctness check。按 SARE 原则评估，V 与 S_H 等权，并扣除当前 AI 可替代部分。</x:v>
      </x:c>
    </x:row>
    <x:row r="4" ht="44" customHeight="1">
      <x:c r="A4" s="94" t="n">
        <x:v>3</x:v>
      </x:c>
      <x:c r="B4" s="95" t="str">
        <x:v>2608.07263</x:v>
      </x:c>
      <x:c r="C4" s="95" t="str">
        <x:v>2026-08</x:v>
      </x:c>
      <x:c r="D4" s="95" t="str">
        <x:v>math.DG</x:v>
      </x:c>
      <x:c r="E4" s="95" t="str">
        <x:v>Toda flow / isospectral manifolds</x:v>
      </x:c>
      <x:c r="F4" s="95" t="str">
        <x:v>Diagonalization of the Toda flow for arbitrary isospectral symmetric matrices</x:v>
      </x:c>
      <x:c r="G4" s="95" t="str">
        <x:v>David Martínez Torres; Carlos Tomei</x:v>
      </x:c>
      <x:c r="H4" s="95" t="n">
        <x:v>16</x:v>
      </x:c>
      <x:c r="I4" s="95" t="str">
        <x:v>https://arxiv.org/abs/2608.07263</x:v>
      </x:c>
      <x:c r="J4" s="95" t="str">
        <x:v>Constructs a dense covering atlas that linearizes the Toda flow on arbitrary symmetric isospectral manifolds, based on a new constrained QLU factorization of independent interest.</x:v>
      </x:c>
      <x:c r="K4" s="95" t="n">
        <x:v>92</x:v>
      </x:c>
      <x:c r="L4" s="95" t="n">
        <x:v>94</x:v>
      </x:c>
      <x:c r="M4" s="95" t="n">
        <x:v>92</x:v>
      </x:c>
      <x:c r="N4" s="95" t="n">
        <x:v>92</x:v>
      </x:c>
      <x:c r="O4" s="95" t="n">
        <x:v>93</x:v>
      </x:c>
      <x:c r="P4" s="95" t="n">
        <x:v>86</x:v>
      </x:c>
      <x:c r="Q4" s="95" t="n">
        <x:v>12</x:v>
      </x:c>
      <x:c r="R4" s="95" t="n">
        <x:v>6</x:v>
      </x:c>
      <x:c r="S4" s="96" t="n">
        <x:v>91.8</x:v>
      </x:c>
      <x:c r="T4" s="96" t="n">
        <x:v>91.2</x:v>
      </x:c>
      <x:c r="U4" s="96" t="n">
        <x:v>91.5</x:v>
      </x:c>
      <x:c r="V4" s="95" t="n">
        <x:v>7</x:v>
      </x:c>
      <x:c r="W4" s="95" t="str">
        <x:v>Yes</x:v>
      </x:c>
      <x:c r="X4" s="95" t="n">
        <x:v>44</x:v>
      </x:c>
      <x:c r="Y4" s="95" t="str">
        <x:v>Top100</x:v>
      </x:c>
      <x:c r="Z4" s="97" t="str">
        <x:v>默认主要结论正确；未逐篇逐行 correctness check。按 SARE 原则评估，V 与 S_H 等权，并扣除当前 AI 可替代部分。</x:v>
      </x:c>
    </x:row>
    <x:row r="5" ht="44" customHeight="1">
      <x:c r="A5" s="138" t="n">
        <x:v>4</x:v>
      </x:c>
      <x:c r="B5" s="139" t="str">
        <x:v>2608.06974</x:v>
      </x:c>
      <x:c r="C5" s="139" t="str">
        <x:v>2026-08</x:v>
      </x:c>
      <x:c r="D5" s="139" t="str">
        <x:v>math.DG</x:v>
      </x:c>
      <x:c r="E5" s="139" t="str">
        <x:v>Carnot groups / uniform doubling</x:v>
      </x:c>
      <x:c r="F5" s="139" t="str">
        <x:v>Left-invariant metrics on step-two Carnot groups are uniformly doubling</x:v>
      </x:c>
      <x:c r="G5" s="139" t="str">
        <x:v>Cheng Bi; Ye Zhang</x:v>
      </x:c>
      <x:c r="H5" s="139" t="n">
        <x:v>7</x:v>
      </x:c>
      <x:c r="I5" s="139" t="str">
        <x:v>https://arxiv.org/abs/2608.06974</x:v>
      </x:c>
      <x:c r="J5" s="139" t="str">
        <x:v>Proves the sharp uniform doubling constant 2^Q for all left-invariant Riemannian metrics on every step-two Carnot group, together with a Bishop-Gromov-type estimate.</x:v>
      </x:c>
      <x:c r="K5" s="139" t="n">
        <x:v>92</x:v>
      </x:c>
      <x:c r="L5" s="139" t="n">
        <x:v>92</x:v>
      </x:c>
      <x:c r="M5" s="139" t="n">
        <x:v>91</x:v>
      </x:c>
      <x:c r="N5" s="139" t="n">
        <x:v>92</x:v>
      </x:c>
      <x:c r="O5" s="139" t="n">
        <x:v>92</x:v>
      </x:c>
      <x:c r="P5" s="139" t="n">
        <x:v>86</x:v>
      </x:c>
      <x:c r="Q5" s="139" t="n">
        <x:v>12</x:v>
      </x:c>
      <x:c r="R5" s="139" t="n">
        <x:v>6</x:v>
      </x:c>
      <x:c r="S5" s="140" t="n">
        <x:v>91.14999999999999</x:v>
      </x:c>
      <x:c r="T5" s="140" t="n">
        <x:v>90.30000000000001</x:v>
      </x:c>
      <x:c r="U5" s="140" t="n">
        <x:v>90.725</x:v>
      </x:c>
      <x:c r="V5" s="139" t="n">
        <x:v>12</x:v>
      </x:c>
      <x:c r="W5" s="139" t="str">
        <x:v>Yes</x:v>
      </x:c>
      <x:c r="X5" s="139" t="n">
        <x:v>79</x:v>
      </x:c>
      <x:c r="Y5" s="139" t="str">
        <x:v>Top100</x:v>
      </x:c>
      <x:c r="Z5" s="141" t="str">
        <x:v>默认主要结论正确；未逐篇逐行 correctness check。按 SARE 原则评估，V 与 S_H 等权，并扣除当前 AI 可替代部分。</x:v>
      </x:c>
    </x:row>
    <x:row r="6" ht="44" customHeight="1">
      <x:c r="A6" s="94" t="n">
        <x:v>5</x:v>
      </x:c>
      <x:c r="B6" s="95" t="str">
        <x:v>2608.07351</x:v>
      </x:c>
      <x:c r="C6" s="95" t="str">
        <x:v>2026-08</x:v>
      </x:c>
      <x:c r="D6" s="95" t="str">
        <x:v>math.DG/math.SG</x:v>
      </x:c>
      <x:c r="E6" s="95" t="str">
        <x:v>singular foliations / Lie algebroids</x:v>
      </x:c>
      <x:c r="F6" s="95" t="str">
        <x:v>Finite-Rank Lie Algebroids for Singular Foliations of Prescribed Vanishing Order</x:v>
      </x:c>
      <x:c r="G6" s="95" t="str">
        <x:v>Austin Davis; Cheng-Yi Hung; Sangjun Ko; Kaichuan Qi</x:v>
      </x:c>
      <x:c r="H6" s="95" t="n">
        <x:v>11</x:v>
      </x:c>
      <x:c r="I6" s="95" t="str">
        <x:v>https://arxiv.org/abs/2608.07351</x:v>
      </x:c>
      <x:c r="J6" s="95" t="str">
        <x:v>Solves a finite-rank realizability problem for prescribed-order vanishing singular foliations via a new construction from left-symmetric and sub-adjacent Lie algebroids.</x:v>
      </x:c>
      <x:c r="K6" s="95" t="n">
        <x:v>91</x:v>
      </x:c>
      <x:c r="L6" s="95" t="n">
        <x:v>94</x:v>
      </x:c>
      <x:c r="M6" s="95" t="n">
        <x:v>89</x:v>
      </x:c>
      <x:c r="N6" s="95" t="n">
        <x:v>91</x:v>
      </x:c>
      <x:c r="O6" s="95" t="n">
        <x:v>92</x:v>
      </x:c>
      <x:c r="P6" s="95" t="n">
        <x:v>85</x:v>
      </x:c>
      <x:c r="Q6" s="95" t="n">
        <x:v>14</x:v>
      </x:c>
      <x:c r="R6" s="95" t="n">
        <x:v>6</x:v>
      </x:c>
      <x:c r="S6" s="96" t="n">
        <x:v>90.5</x:v>
      </x:c>
      <x:c r="T6" s="96" t="n">
        <x:v>89.85000000000001</x:v>
      </x:c>
      <x:c r="U6" s="96" t="n">
        <x:v>90.17500000000001</x:v>
      </x:c>
      <x:c r="V6" s="95" t="n">
        <x:v>13</x:v>
      </x:c>
      <x:c r="W6" s="95" t="str">
        <x:v>Yes</x:v>
      </x:c>
      <x:c r="X6" s="95" t="n">
        <x:v>86</x:v>
      </x:c>
      <x:c r="Y6" s="95" t="str">
        <x:v>Top100</x:v>
      </x:c>
      <x:c r="Z6" s="97" t="str">
        <x:v>默认主要结论正确；未逐篇逐行 correctness check。按 SARE 原则评估，V 与 S_H 等权，并扣除当前 AI 可替代部分。</x:v>
      </x:c>
    </x:row>
    <x:row r="7" ht="44" customHeight="1">
      <x:c r="A7" s="138" t="n">
        <x:v>6</x:v>
      </x:c>
      <x:c r="B7" s="139" t="str">
        <x:v>2608.07021</x:v>
      </x:c>
      <x:c r="C7" s="139" t="str">
        <x:v>2026-08</x:v>
      </x:c>
      <x:c r="D7" s="139" t="str">
        <x:v>math.DG/math-ph/math.NA/math.PR</x:v>
      </x:c>
      <x:c r="E7" s="139" t="str">
        <x:v>symplectic geometry / determinantal Monte Carlo</x:v>
      </x:c>
      <x:c r="F7" s="139" t="str">
        <x:v>Monte Carlo methods on compact symplectic manifolds</x:v>
      </x:c>
      <x:c r="G7" s="139" t="str">
        <x:v>Yuri A. Kordyukov</x:v>
      </x:c>
      <x:c r="H7" s="139" t="n">
        <x:v>16</x:v>
      </x:c>
      <x:c r="I7" s="139" t="str">
        <x:v>https://arxiv.org/abs/2608.07021</x:v>
      </x:c>
      <x:c r="J7" s="139" t="str">
        <x:v>Transfers determinantal-point-process quadrature to prequantized compact symplectic manifolds and proves a central limit theorem with optimal worst-case mean-square-error decay.</x:v>
      </x:c>
      <x:c r="K7" s="139" t="n">
        <x:v>90</x:v>
      </x:c>
      <x:c r="L7" s="139" t="n">
        <x:v>91</x:v>
      </x:c>
      <x:c r="M7" s="139" t="n">
        <x:v>90</x:v>
      </x:c>
      <x:c r="N7" s="139" t="n">
        <x:v>92</x:v>
      </x:c>
      <x:c r="O7" s="139" t="n">
        <x:v>90</x:v>
      </x:c>
      <x:c r="P7" s="139" t="n">
        <x:v>86</x:v>
      </x:c>
      <x:c r="Q7" s="139" t="n">
        <x:v>14</x:v>
      </x:c>
      <x:c r="R7" s="139" t="n">
        <x:v>7</x:v>
      </x:c>
      <x:c r="S7" s="140" t="n">
        <x:v>90.1</x:v>
      </x:c>
      <x:c r="T7" s="140" t="n">
        <x:v>89.00000000000001</x:v>
      </x:c>
      <x:c r="U7" s="140" t="n">
        <x:v>89.55000000000001</x:v>
      </x:c>
      <x:c r="V7" s="139" t="n">
        <x:v>17</x:v>
      </x:c>
      <x:c r="W7" s="139" t="str">
        <x:v>Yes</x:v>
      </x:c>
      <x:c r="X7" s="139" t="n">
        <x:v>124</x:v>
      </x:c>
      <x:c r="Y7" s="139"/>
      <x:c r="Z7" s="141" t="str">
        <x:v>默认主要结论正确；未逐篇逐行 correctness check。按 SARE 原则评估，V 与 S_H 等权，并扣除当前 AI 可替代部分。</x:v>
      </x:c>
    </x:row>
    <x:row r="8" ht="44" customHeight="1">
      <x:c r="A8" s="94" t="n">
        <x:v>7</x:v>
      </x:c>
      <x:c r="B8" s="95" t="str">
        <x:v>2608.06678</x:v>
      </x:c>
      <x:c r="C8" s="95" t="str">
        <x:v>2026-08</x:v>
      </x:c>
      <x:c r="D8" s="95" t="str">
        <x:v>math.DG</x:v>
      </x:c>
      <x:c r="E8" s="95" t="str">
        <x:v>Lorentzian foliations / transverse causality</x:v>
      </x:c>
      <x:c r="F8" s="95" t="str">
        <x:v>Transverse stable causality in Lorentzian foliations</x:v>
      </x:c>
      <x:c r="G8" s="95" t="str">
        <x:v>Henrique Amador Puel Martins; Ivan Pontual Costa e Silva; Victor Luis Espinoza</x:v>
      </x:c>
      <x:c r="H8" s="95" t="n">
        <x:v>37</x:v>
      </x:c>
      <x:c r="I8" s="95" t="str">
        <x:v>https://arxiv.org/abs/2608.06678</x:v>
      </x:c>
      <x:c r="J8" s="95" t="str">
        <x:v>Introduces transverse stable causality for Lorentzian foliations, proves several structural implications and near-equivalence for simple foliations; the full general equivalence remains open.</x:v>
      </x:c>
      <x:c r="K8" s="95" t="n">
        <x:v>89</x:v>
      </x:c>
      <x:c r="L8" s="95" t="n">
        <x:v>92</x:v>
      </x:c>
      <x:c r="M8" s="95" t="n">
        <x:v>90</x:v>
      </x:c>
      <x:c r="N8" s="95" t="n">
        <x:v>89</x:v>
      </x:c>
      <x:c r="O8" s="95" t="n">
        <x:v>91</x:v>
      </x:c>
      <x:c r="P8" s="95" t="n">
        <x:v>84</x:v>
      </x:c>
      <x:c r="Q8" s="95" t="n">
        <x:v>15</x:v>
      </x:c>
      <x:c r="R8" s="95" t="n">
        <x:v>7</x:v>
      </x:c>
      <x:c r="S8" s="96" t="n">
        <x:v>89.35</x:v>
      </x:c>
      <x:c r="T8" s="96" t="n">
        <x:v>89.05</x:v>
      </x:c>
      <x:c r="U8" s="96" t="n">
        <x:v>89.19999999999999</x:v>
      </x:c>
      <x:c r="V8" s="95" t="n">
        <x:v>18</x:v>
      </x:c>
      <x:c r="W8" s="95" t="str">
        <x:v>Yes</x:v>
      </x:c>
      <x:c r="X8" s="95" t="n">
        <x:v>130</x:v>
      </x:c>
      <x:c r="Y8" s="95"/>
      <x:c r="Z8" s="97" t="str">
        <x:v>默认主要结论正确；未逐篇逐行 correctness check。按 SARE 原则评估，V 与 S_H 等权，并扣除当前 AI 可替代部分。</x:v>
      </x:c>
    </x:row>
    <x:row r="9" ht="44" customHeight="1">
      <x:c r="A9" s="138" t="n">
        <x:v>8</x:v>
      </x:c>
      <x:c r="B9" s="139" t="str">
        <x:v>2608.06935</x:v>
      </x:c>
      <x:c r="C9" s="139" t="str">
        <x:v>2026-08</x:v>
      </x:c>
      <x:c r="D9" s="139" t="str">
        <x:v>math.DG</x:v>
      </x:c>
      <x:c r="E9" s="139" t="str">
        <x:v>scalar curvature / spin fill-in rigidity</x:v>
      </x:c>
      <x:c r="F9" s="139" t="str">
        <x:v>Rigidity for spin fill-ins with scalar curvature bounded from below</x:v>
      </x:c>
      <x:c r="G9" s="139" t="str">
        <x:v>Bernd Ammann; Samuel Lockman</x:v>
      </x:c>
      <x:c r="H9" s="139" t="n">
        <x:v>6</x:v>
      </x:c>
      <x:c r="I9" s="139" t="str">
        <x:v>https://arxiv.org/abs/2608.06935</x:v>
      </x:c>
      <x:c r="J9" s="139" t="str">
        <x:v>Establishes equality rigidity in the hyperspherical-radius bound for spin fill-ins, characterizing hyperbolic geodesic balls; a concise extension built on strong spinorial inputs.</x:v>
      </x:c>
      <x:c r="K9" s="139" t="n">
        <x:v>91</x:v>
      </x:c>
      <x:c r="L9" s="139" t="n">
        <x:v>89</x:v>
      </x:c>
      <x:c r="M9" s="139" t="n">
        <x:v>88</x:v>
      </x:c>
      <x:c r="N9" s="139" t="n">
        <x:v>89</x:v>
      </x:c>
      <x:c r="O9" s="139" t="n">
        <x:v>89</x:v>
      </x:c>
      <x:c r="P9" s="139" t="n">
        <x:v>87</x:v>
      </x:c>
      <x:c r="Q9" s="139" t="n">
        <x:v>15</x:v>
      </x:c>
      <x:c r="R9" s="139" t="n">
        <x:v>6</x:v>
      </x:c>
      <x:c r="S9" s="140" t="n">
        <x:v>89.14999999999999</x:v>
      </x:c>
      <x:c r="T9" s="140" t="n">
        <x:v>87.89999999999999</x:v>
      </x:c>
      <x:c r="U9" s="140" t="n">
        <x:v>88.52499999999999</x:v>
      </x:c>
      <x:c r="V9" s="139" t="n">
        <x:v>26</x:v>
      </x:c>
      <x:c r="W9" s="139" t="str">
        <x:v>No</x:v>
      </x:c>
      <x:c r="X9" s="139"/>
      <x:c r="Y9" s="139"/>
      <x:c r="Z9" s="141" t="str">
        <x:v>默认主要结论正确；未逐篇逐行 correctness check。按 SARE 原则评估，V 与 S_H 等权，并扣除当前 AI 可替代部分。</x:v>
      </x:c>
    </x:row>
    <x:row r="10" ht="44" customHeight="1">
      <x:c r="A10" s="94" t="n">
        <x:v>9</x:v>
      </x:c>
      <x:c r="B10" s="95" t="str">
        <x:v>2608.07227</x:v>
      </x:c>
      <x:c r="C10" s="95" t="str">
        <x:v>2026-08</x:v>
      </x:c>
      <x:c r="D10" s="95" t="str">
        <x:v>math.AT/math.DG</x:v>
      </x:c>
      <x:c r="E10" s="95" t="str">
        <x:v>multicomplexes / model categories</x:v>
      </x:c>
      <x:c r="F10" s="95" t="str">
        <x:v>Quillen equivalences for truncated multicomplexes</x:v>
      </x:c>
      <x:c r="G10" s="95" t="str">
        <x:v>Jiahao Hu</x:v>
      </x:c>
      <x:c r="H10" s="95" t="n">
        <x:v>14</x:v>
      </x:c>
      <x:c r="I10" s="95" t="str">
        <x:v>https://arxiv.org/abs/2608.07227</x:v>
      </x:c>
      <x:c r="J10" s="95" t="str">
        <x:v>Proves Quillen equivalences between successive truncations of multicomplexes and answers a model-category question relevant to comparisons between almost-complex and complex geometry.</x:v>
      </x:c>
      <x:c r="K10" s="95" t="n">
        <x:v>89</x:v>
      </x:c>
      <x:c r="L10" s="95" t="n">
        <x:v>90</x:v>
      </x:c>
      <x:c r="M10" s="95" t="n">
        <x:v>89</x:v>
      </x:c>
      <x:c r="N10" s="95" t="n">
        <x:v>88</x:v>
      </x:c>
      <x:c r="O10" s="95" t="n">
        <x:v>89</x:v>
      </x:c>
      <x:c r="P10" s="95" t="n">
        <x:v>85</x:v>
      </x:c>
      <x:c r="Q10" s="95" t="n">
        <x:v>16</x:v>
      </x:c>
      <x:c r="R10" s="95" t="n">
        <x:v>7</x:v>
      </x:c>
      <x:c r="S10" s="96" t="n">
        <x:v>88.65</x:v>
      </x:c>
      <x:c r="T10" s="96" t="n">
        <x:v>87.85</x:v>
      </x:c>
      <x:c r="U10" s="96" t="n">
        <x:v>88.25</x:v>
      </x:c>
      <x:c r="V10" s="95" t="n">
        <x:v>27</x:v>
      </x:c>
      <x:c r="W10" s="95" t="str">
        <x:v>No</x:v>
      </x:c>
      <x:c r="X10" s="95"/>
      <x:c r="Y10" s="95"/>
      <x:c r="Z10" s="97" t="str">
        <x:v>默认主要结论正确；未逐篇逐行 correctness check。按 SARE 原则评估，V 与 S_H 等权，并扣除当前 AI 可替代部分。</x:v>
      </x:c>
    </x:row>
    <x:row r="11" ht="44" customHeight="1">
      <x:c r="A11" s="138" t="n">
        <x:v>10</x:v>
      </x:c>
      <x:c r="B11" s="139" t="str">
        <x:v>2608.06645</x:v>
      </x:c>
      <x:c r="C11" s="139" t="str">
        <x:v>2026-08</x:v>
      </x:c>
      <x:c r="D11" s="139" t="str">
        <x:v>math.DG</x:v>
      </x:c>
      <x:c r="E11" s="139" t="str">
        <x:v>pseudo-Riemannian submanifolds / contact order</x:v>
      </x:c>
      <x:c r="F11" s="139" t="str">
        <x:v>Causal Invariance of the Contact Number of Pseudo-Riemannian Submanifolds</x:v>
      </x:c>
      <x:c r="G11" s="139" t="str">
        <x:v>Juan S. Gómez</x:v>
      </x:c>
      <x:c r="H11" s="139" t="n">
        <x:v>17</x:v>
      </x:c>
      <x:c r="I11" s="139" t="str">
        <x:v>https://arxiv.org/abs/2608.06645</x:v>
      </x:c>
      <x:c r="J11" s="139" t="str">
        <x:v>Proves that ordinary, spacelike, and timelike contact numbers agree at every finite order and gives an explicit Lorentzian contact-six example; a specialized finite-order extension.</x:v>
      </x:c>
      <x:c r="K11" s="139" t="n">
        <x:v>87</x:v>
      </x:c>
      <x:c r="L11" s="139" t="n">
        <x:v>88</x:v>
      </x:c>
      <x:c r="M11" s="139" t="n">
        <x:v>88</x:v>
      </x:c>
      <x:c r="N11" s="139" t="n">
        <x:v>86</x:v>
      </x:c>
      <x:c r="O11" s="139" t="n">
        <x:v>88</x:v>
      </x:c>
      <x:c r="P11" s="139" t="n">
        <x:v>85</x:v>
      </x:c>
      <x:c r="Q11" s="139" t="n">
        <x:v>17</x:v>
      </x:c>
      <x:c r="R11" s="139" t="n">
        <x:v>7</x:v>
      </x:c>
      <x:c r="S11" s="140" t="n">
        <x:v>87.10000000000001</x:v>
      </x:c>
      <x:c r="T11" s="140" t="n">
        <x:v>86.8</x:v>
      </x:c>
      <x:c r="U11" s="140" t="n">
        <x:v>86.95</x:v>
      </x:c>
      <x:c r="V11" s="139" t="n">
        <x:v>28</x:v>
      </x:c>
      <x:c r="W11" s="139" t="str">
        <x:v>No</x:v>
      </x:c>
      <x:c r="X11" s="139"/>
      <x:c r="Y11" s="139"/>
      <x:c r="Z11" s="141" t="str">
        <x:v>默认主要结论正确；未逐篇逐行 correctness check。按 SARE 原则评估，V 与 S_H 等权，并扣除当前 AI 可替代部分。</x:v>
      </x:c>
    </x:row>
    <x:row r="12" ht="44" customHeight="1">
      <x:c r="A12" s="98" t="n">
        <x:v>11</x:v>
      </x:c>
      <x:c r="B12" s="99" t="str">
        <x:v>2608.06855</x:v>
      </x:c>
      <x:c r="C12" s="99" t="str">
        <x:v>2026-08</x:v>
      </x:c>
      <x:c r="D12" s="99" t="str">
        <x:v>math.AG/math.CT/math.DG</x:v>
      </x:c>
      <x:c r="E12" s="99" t="str">
        <x:v>tangent categories / schemes</x:v>
      </x:c>
      <x:c r="F12" s="99" t="str">
        <x:v>A Deep Dive Into the Tangent Category of Schemes</x:v>
      </x:c>
      <x:c r="G12" s="99" t="str">
        <x:v>Geoff Vooys</x:v>
      </x:c>
      <x:c r="H12" s="99" t="n">
        <x:v>74</x:v>
      </x:c>
      <x:c r="I12" s="99" t="str">
        <x:v>https://arxiv.org/abs/2608.06855</x:v>
      </x:c>
      <x:c r="J12" s="99" t="str">
        <x:v>A detailed, largely expository construction of the tangent category of schemes, with an original differential-bundle reconstruction theorem; originality is discounted because most of the paper is expository.</x:v>
      </x:c>
      <x:c r="K12" s="99" t="n">
        <x:v>86</x:v>
      </x:c>
      <x:c r="L12" s="99" t="n">
        <x:v>87</x:v>
      </x:c>
      <x:c r="M12" s="99" t="n">
        <x:v>87</x:v>
      </x:c>
      <x:c r="N12" s="99" t="n">
        <x:v>90</x:v>
      </x:c>
      <x:c r="O12" s="99" t="n">
        <x:v>87</x:v>
      </x:c>
      <x:c r="P12" s="99" t="n">
        <x:v>84</x:v>
      </x:c>
      <x:c r="Q12" s="99" t="n">
        <x:v>20</x:v>
      </x:c>
      <x:c r="R12" s="99" t="n">
        <x:v>8</x:v>
      </x:c>
      <x:c r="S12" s="100" t="n">
        <x:v>86.85000000000001</x:v>
      </x:c>
      <x:c r="T12" s="100" t="n">
        <x:v>85.5</x:v>
      </x:c>
      <x:c r="U12" s="100" t="n">
        <x:v>86.17500000000001</x:v>
      </x:c>
      <x:c r="V12" s="99" t="n">
        <x:v>29</x:v>
      </x:c>
      <x:c r="W12" s="99" t="str">
        <x:v>No</x:v>
      </x:c>
      <x:c r="X12" s="99"/>
      <x:c r="Y12" s="99"/>
      <x:c r="Z12" s="101" t="str">
        <x:v>默认主要结论正确；未逐篇逐行 correctness check。按 SARE 原则评估，V 与 S_H 等权，并扣除当前 AI 可替代部分。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0" hidden="0" customWidth="1"/>
    <x:col min="4" max="4" width="24" hidden="0" customWidth="1"/>
    <x:col min="5" max="5" width="24" hidden="0" customWidth="1"/>
    <x:col min="6" max="6" width="25" hidden="0" customWidth="1"/>
    <x:col min="7" max="7" width="48" hidden="0" customWidth="1"/>
    <x:col min="8" max="8" width="32" hidden="0" customWidth="1"/>
    <x:col min="9" max="9" width="8" hidden="0" customWidth="1"/>
    <x:col min="10" max="10" width="31" hidden="0" customWidth="1"/>
    <x:col min="11" max="11" width="48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13" hidden="0" customWidth="1"/>
    <x:col min="24" max="24" width="11" hidden="0" customWidth="1"/>
    <x:col min="25" max="25" width="15" hidden="0" customWidth="1"/>
    <x:col min="26" max="26" width="10" hidden="0" customWidth="1"/>
    <x:col min="27" max="27" width="48" hidden="0" customWidth="1"/>
  </x:cols>
  <x:sheetData>
    <x:row r="1" ht="30" customHeight="1">
      <x:c r="A1" s="49" t="str">
        <x:v>AssessedRank</x:v>
      </x:c>
      <x:c r="B1" s="50" t="str">
        <x:v>arXiv</x:v>
      </x:c>
      <x:c r="C1" s="50" t="str">
        <x:v>month</x:v>
      </x:c>
      <x:c r="D1" s="50" t="str">
        <x:v>Batch</x:v>
      </x:c>
      <x:c r="E1" s="50" t="str">
        <x:v>DG_status</x:v>
      </x:c>
      <x:c r="F1" s="50" t="str">
        <x:v>theme</x:v>
      </x:c>
      <x:c r="G1" s="50" t="str">
        <x:v>title</x:v>
      </x:c>
      <x:c r="H1" s="50" t="str">
        <x:v>authors</x:v>
      </x:c>
      <x:c r="I1" s="50" t="str">
        <x:v>pages</x:v>
      </x:c>
      <x:c r="J1" s="50" t="str">
        <x:v>source_url</x:v>
      </x:c>
      <x:c r="K1" s="50" t="str">
        <x:v>screening_note</x:v>
      </x:c>
      <x:c r="L1" s="50" t="str">
        <x:v>I</x:v>
      </x:c>
      <x:c r="M1" s="50" t="str">
        <x:v>O</x:v>
      </x:c>
      <x:c r="N1" s="50" t="str">
        <x:v>T</x:v>
      </x:c>
      <x:c r="O1" s="50" t="str">
        <x:v>B</x:v>
      </x:c>
      <x:c r="P1" s="50" t="str">
        <x:v>H</x:v>
      </x:c>
      <x:c r="Q1" s="50" t="str">
        <x:v>R</x:v>
      </x:c>
      <x:c r="R1" s="50" t="str">
        <x:v>AI_pct</x:v>
      </x:c>
      <x:c r="S1" s="50" t="str">
        <x:v>AI_unc</x:v>
      </x:c>
      <x:c r="T1" s="50" t="str">
        <x:v>V</x:v>
      </x:c>
      <x:c r="U1" s="50" t="str">
        <x:v>S_H</x:v>
      </x:c>
      <x:c r="V1" s="50" t="str">
        <x:v>S_eq</x:v>
      </x:c>
      <x:c r="W1" s="50" t="str">
        <x:v>Selected30pct</x:v>
      </x:c>
      <x:c r="X1" s="50" t="str">
        <x:v>MonthlyRank</x:v>
      </x:c>
      <x:c r="Y1" s="50" t="str">
        <x:v>OverallRank_6_8</x:v>
      </x:c>
      <x:c r="Z1" s="50" t="str">
        <x:v>Top100</x:v>
      </x:c>
      <x:c r="AA1" s="51" t="str">
        <x:v>score_comments</x:v>
      </x:c>
    </x:row>
    <x:row r="2" ht="44" customHeight="1">
      <x:c r="A2" s="90" t="n">
        <x:v>1</x:v>
      </x:c>
      <x:c r="B2" s="91" t="str">
        <x:v>2608.07240</x:v>
      </x:c>
      <x:c r="C2" s="91" t="str">
        <x:v>2026-08</x:v>
      </x:c>
      <x:c r="D2" s="91" t="str">
        <x:v>2026-08-10 new/cross-list</x:v>
      </x:c>
      <x:c r="E2" s="91" t="str">
        <x:v>math.AP/math.DG/math.FA</x:v>
      </x:c>
      <x:c r="F2" s="91" t="str">
        <x:v>critical Geller equations / complex hyperbolic geometry</x:v>
      </x:c>
      <x:c r="G2" s="91" t="str">
        <x:v>Critical Geller Equations on Complex Hyperbolic Space: Nondegeneracy, Geodesic Symmetry, and Global Compactness</x:v>
      </x:c>
      <x:c r="H2" s="91" t="str">
        <x:v>Jungang Li</x:v>
      </x:c>
      <x:c r="I2" s="91" t="n">
        <x:v>59</x:v>
      </x:c>
      <x:c r="J2" s="91" t="str">
        <x:v>https://arxiv.org/abs/2608.07240</x:v>
      </x:c>
      <x:c r="K2" s="91" t="str">
        <x:v>Builds a broad critical Geller/Brezis-Nirenberg theory: sharp constants and classification, invariant-sector profiles and stability, nondegeneracy, compactness, symmetry, asymptotics, and perturbative existence.</x:v>
      </x:c>
      <x:c r="L2" s="91" t="n">
        <x:v>95</x:v>
      </x:c>
      <x:c r="M2" s="91" t="n">
        <x:v>94</x:v>
      </x:c>
      <x:c r="N2" s="91" t="n">
        <x:v>96</x:v>
      </x:c>
      <x:c r="O2" s="91" t="n">
        <x:v>94</x:v>
      </x:c>
      <x:c r="P2" s="91" t="n">
        <x:v>95</x:v>
      </x:c>
      <x:c r="Q2" s="91" t="n">
        <x:v>86</x:v>
      </x:c>
      <x:c r="R2" s="91" t="n">
        <x:v>10</x:v>
      </x:c>
      <x:c r="S2" s="91" t="n">
        <x:v>5</x:v>
      </x:c>
      <x:c r="T2" s="92" t="n">
        <x:v>93.99999999999999</x:v>
      </x:c>
      <x:c r="U2" s="92" t="n">
        <x:v>92.9</x:v>
      </x:c>
      <x:c r="V2" s="92" t="n">
        <x:v>93.44999999999999</x:v>
      </x:c>
      <x:c r="W2" s="91" t="str">
        <x:v>Yes</x:v>
      </x:c>
      <x:c r="X2" s="91" t="n">
        <x:v>1</x:v>
      </x:c>
      <x:c r="Y2" s="91" t="n">
        <x:v>13</x:v>
      </x:c>
      <x:c r="Z2" s="91" t="str">
        <x:v>Top100</x:v>
      </x:c>
      <x:c r="AA2" s="93" t="str">
        <x:v>默认主要结论正确；未逐篇逐行 correctness check。按 SARE 原则评估，V 与 S_H 等权，并扣除当前 AI 可替代部分。</x:v>
      </x:c>
    </x:row>
    <x:row r="3" ht="44" customHeight="1">
      <x:c r="A3" s="138" t="n">
        <x:v>2</x:v>
      </x:c>
      <x:c r="B3" s="139" t="str">
        <x:v>2608.05128</x:v>
      </x:c>
      <x:c r="C3" s="139" t="str">
        <x:v>2026-08</x:v>
      </x:c>
      <x:c r="D3" s="139" t="str">
        <x:v>prior August batch</x:v>
      </x:c>
      <x:c r="E3" s="139" t="str">
        <x:v>math.DG</x:v>
      </x:c>
      <x:c r="F3" s="139" t="str">
        <x:v>G2/CY monopoles / calibrated geometry</x:v>
      </x:c>
      <x:c r="G3" s="139" t="str">
        <x:v>Large mass limits of G_2 and Calabi-Yau monopoles: calibrated concentration, Higgs zeros, and abelianization</x:v>
      </x:c>
      <x:c r="H3" s="139" t="str">
        <x:v>Daniel Fadel; Gonçalo Oliveira</x:v>
      </x:c>
      <x:c r="I3" s="139" t="n">
        <x:v>148</x:v>
      </x:c>
      <x:c r="J3" s="139" t="str">
        <x:v>https://arxiv.org/abs/2608.05128</x:v>
      </x:c>
      <x:c r="K3" s="139" t="str">
        <x:v>Very large gauge/calibrated-geometry work; high human proof burden and structural value.</x:v>
      </x:c>
      <x:c r="L3" s="139" t="n">
        <x:v>95</x:v>
      </x:c>
      <x:c r="M3" s="139" t="n">
        <x:v>93</x:v>
      </x:c>
      <x:c r="N3" s="139" t="n">
        <x:v>96</x:v>
      </x:c>
      <x:c r="O3" s="139" t="n">
        <x:v>92</x:v>
      </x:c>
      <x:c r="P3" s="139" t="n">
        <x:v>96</x:v>
      </x:c>
      <x:c r="Q3" s="139" t="n">
        <x:v>86</x:v>
      </x:c>
      <x:c r="R3" s="139" t="n">
        <x:v>9</x:v>
      </x:c>
      <x:c r="S3" s="139" t="n">
        <x:v>5</x:v>
      </x:c>
      <x:c r="T3" s="140" t="n">
        <x:v>93.49999999999999</x:v>
      </x:c>
      <x:c r="U3" s="140" t="n">
        <x:v>93.15</x:v>
      </x:c>
      <x:c r="V3" s="140" t="n">
        <x:v>93.32499999999999</x:v>
      </x:c>
      <x:c r="W3" s="139" t="str">
        <x:v>Yes</x:v>
      </x:c>
      <x:c r="X3" s="139" t="n">
        <x:v>2</x:v>
      </x:c>
      <x:c r="Y3" s="139" t="n">
        <x:v>18</x:v>
      </x:c>
      <x:c r="Z3" s="139" t="str">
        <x:v>Top100</x:v>
      </x:c>
      <x:c r="AA3" s="141" t="str">
        <x:v>默认主要结论正确；未逐篇逐行 correctness check。</x:v>
      </x:c>
    </x:row>
    <x:row r="4" ht="44" customHeight="1">
      <x:c r="A4" s="94" t="n">
        <x:v>3</x:v>
      </x:c>
      <x:c r="B4" s="95" t="str">
        <x:v>2608.06320</x:v>
      </x:c>
      <x:c r="C4" s="95" t="str">
        <x:v>2026-08</x:v>
      </x:c>
      <x:c r="D4" s="95" t="str">
        <x:v>prior August batch</x:v>
      </x:c>
      <x:c r="E4" s="95" t="str">
        <x:v>math.DG</x:v>
      </x:c>
      <x:c r="F4" s="95" t="str">
        <x:v>polytope dihedral rigidity</x:v>
      </x:c>
      <x:c r="G4" s="95" t="str">
        <x:v>Dihedral Rigidity for Convex Polytopes by Smooth Approximation</x:v>
      </x:c>
      <x:c r="H4" s="95" t="str">
        <x:v>Yuchen Bi</x:v>
      </x:c>
      <x:c r="I4" s="95" t="n">
        <x:v>18</x:v>
      </x:c>
      <x:c r="J4" s="95" t="str">
        <x:v>https://arxiv.org/abs/2608.06320</x:v>
      </x:c>
      <x:c r="K4" s="95" t="str">
        <x:v>Smooth-approximation proof of Gromov's dihedral rigidity conjecture for convex polytopes.</x:v>
      </x:c>
      <x:c r="L4" s="95" t="n">
        <x:v>96</x:v>
      </x:c>
      <x:c r="M4" s="95" t="n">
        <x:v>93</x:v>
      </x:c>
      <x:c r="N4" s="95" t="n">
        <x:v>94</x:v>
      </x:c>
      <x:c r="O4" s="95" t="n">
        <x:v>93</x:v>
      </x:c>
      <x:c r="P4" s="95" t="n">
        <x:v>94</x:v>
      </x:c>
      <x:c r="Q4" s="95" t="n">
        <x:v>87</x:v>
      </x:c>
      <x:c r="R4" s="95" t="n">
        <x:v>8</x:v>
      </x:c>
      <x:c r="S4" s="95" t="n">
        <x:v>5</x:v>
      </x:c>
      <x:c r="T4" s="96" t="n">
        <x:v>93.55000000000001</x:v>
      </x:c>
      <x:c r="U4" s="96" t="n">
        <x:v>92.44999999999999</x:v>
      </x:c>
      <x:c r="V4" s="96" t="n">
        <x:v>93</x:v>
      </x:c>
      <x:c r="W4" s="95" t="str">
        <x:v>Yes</x:v>
      </x:c>
      <x:c r="X4" s="95" t="n">
        <x:v>3</x:v>
      </x:c>
      <x:c r="Y4" s="95" t="n">
        <x:v>22</x:v>
      </x:c>
      <x:c r="Z4" s="95" t="str">
        <x:v>Top100</x:v>
      </x:c>
      <x:c r="AA4" s="97" t="str">
        <x:v>默认主要结论正确；未逐篇逐行 correctness check。离散微分几何补检后评分。</x:v>
      </x:c>
    </x:row>
    <x:row r="5" ht="44" customHeight="1">
      <x:c r="A5" s="138" t="n">
        <x:v>4</x:v>
      </x:c>
      <x:c r="B5" s="139" t="str">
        <x:v>2608.07231</x:v>
      </x:c>
      <x:c r="C5" s="139" t="str">
        <x:v>2026-08</x:v>
      </x:c>
      <x:c r="D5" s="139" t="str">
        <x:v>2026-08-10 new/cross-list</x:v>
      </x:c>
      <x:c r="E5" s="139" t="str">
        <x:v>math.AP/math.DG</x:v>
      </x:c>
      <x:c r="F5" s="139" t="str">
        <x:v>Lorentzian prescribed mean curvature / Liouville rigidity</x:v>
      </x:c>
      <x:c r="G5" s="139" t="str">
        <x:v>Liouville Rigidity for Entire Strictly Spacelike Solutions of a Lorentzian Prescribed Mean Curvature Equation</x:v>
      </x:c>
      <x:c r="H5" s="139" t="str">
        <x:v>Xi-Nan Ma; Tian Wu; Wangzhe Wu; Bao Yu</x:v>
      </x:c>
      <x:c r="I5" s="139" t="n">
        <x:v>25</x:v>
      </x:c>
      <x:c r="J5" s="139" t="str">
        <x:v>https://arxiv.org/abs/2608.07231</x:v>
      </x:c>
      <x:c r="K5" s="139" t="str">
        <x:v>Removes radial, decay, integrability, and uniform-gap assumptions in a subcritical Lorentzian prescribed-mean-curvature Liouville problem, using global Lorentz-factor bounds and new weighted tensor identities.</x:v>
      </x:c>
      <x:c r="L5" s="139" t="n">
        <x:v>94</x:v>
      </x:c>
      <x:c r="M5" s="139" t="n">
        <x:v>93</x:v>
      </x:c>
      <x:c r="N5" s="139" t="n">
        <x:v>95</x:v>
      </x:c>
      <x:c r="O5" s="139" t="n">
        <x:v>92</x:v>
      </x:c>
      <x:c r="P5" s="139" t="n">
        <x:v>95</x:v>
      </x:c>
      <x:c r="Q5" s="139" t="n">
        <x:v>86</x:v>
      </x:c>
      <x:c r="R5" s="139" t="n">
        <x:v>10</x:v>
      </x:c>
      <x:c r="S5" s="139" t="n">
        <x:v>5</x:v>
      </x:c>
      <x:c r="T5" s="140" t="n">
        <x:v>92.94999999999999</x:v>
      </x:c>
      <x:c r="U5" s="140" t="n">
        <x:v>92.5</x:v>
      </x:c>
      <x:c r="V5" s="140" t="n">
        <x:v>92.725</x:v>
      </x:c>
      <x:c r="W5" s="139" t="str">
        <x:v>Yes</x:v>
      </x:c>
      <x:c r="X5" s="139" t="n">
        <x:v>4</x:v>
      </x:c>
      <x:c r="Y5" s="139" t="n">
        <x:v>23</x:v>
      </x:c>
      <x:c r="Z5" s="139" t="str">
        <x:v>Top100</x:v>
      </x:c>
      <x:c r="AA5" s="141" t="str">
        <x:v>默认主要结论正确；未逐篇逐行 correctness check。按 SARE 原则评估，V 与 S_H 等权，并扣除当前 AI 可替代部分。</x:v>
      </x:c>
    </x:row>
    <x:row r="6" ht="44" customHeight="1">
      <x:c r="A6" s="94" t="n">
        <x:v>5</x:v>
      </x:c>
      <x:c r="B6" s="95" t="str">
        <x:v>2608.03575</x:v>
      </x:c>
      <x:c r="C6" s="95" t="str">
        <x:v>2026-08</x:v>
      </x:c>
      <x:c r="D6" s="95" t="str">
        <x:v>prior August batch</x:v>
      </x:c>
      <x:c r="E6" s="95" t="str">
        <x:v>math.PR/math.DG/math.GT</x:v>
      </x:c>
      <x:c r="F6" s="95" t="str">
        <x:v>random hyperbolic polyhedra / circle patterns</x:v>
      </x:c>
      <x:c r="G6" s="95" t="str">
        <x:v>A Gauss-Bonnet-Type Dichotomy for Unimodular Random Infinite Trivalent Hyperbolic Polyhedra</x:v>
      </x:c>
      <x:c r="H6" s="95" t="str">
        <x:v>Huabin Ge; Yangxiang Lu; Chuwen Wang; Tian Zhou</x:v>
      </x:c>
      <x:c r="I6" s="95" t="n">
        <x:v>39</x:v>
      </x:c>
      <x:c r="J6" s="95" t="str">
        <x:v>https://arxiv.org/abs/2608.03575</x:v>
      </x:c>
      <x:c r="K6" s="95" t="str">
        <x:v>Unimodular Gauss-Bonnet dichotomy, finite-limit obstruction, a refined ring lemma, Poisson-boundary identification, and positive hyperbolic speed.</x:v>
      </x:c>
      <x:c r="L6" s="95" t="n">
        <x:v>93</x:v>
      </x:c>
      <x:c r="M6" s="95" t="n">
        <x:v>95</x:v>
      </x:c>
      <x:c r="N6" s="95" t="n">
        <x:v>94</x:v>
      </x:c>
      <x:c r="O6" s="95" t="n">
        <x:v>94</x:v>
      </x:c>
      <x:c r="P6" s="95" t="n">
        <x:v>94</x:v>
      </x:c>
      <x:c r="Q6" s="95" t="n">
        <x:v>84</x:v>
      </x:c>
      <x:c r="R6" s="95" t="n">
        <x:v>10</x:v>
      </x:c>
      <x:c r="S6" s="95" t="n">
        <x:v>6</x:v>
      </x:c>
      <x:c r="T6" s="96" t="n">
        <x:v>92.9</x:v>
      </x:c>
      <x:c r="U6" s="96" t="n">
        <x:v>92.1</x:v>
      </x:c>
      <x:c r="V6" s="96" t="n">
        <x:v>92.5</x:v>
      </x:c>
      <x:c r="W6" s="95" t="str">
        <x:v>Yes</x:v>
      </x:c>
      <x:c r="X6" s="95" t="n">
        <x:v>5</x:v>
      </x:c>
      <x:c r="Y6" s="95" t="n">
        <x:v>26</x:v>
      </x:c>
      <x:c r="Z6" s="95" t="str">
        <x:v>Top100</x:v>
      </x:c>
      <x:c r="AA6" s="97" t="str">
        <x:v>默认主要结论正确；未逐篇逐行 correctness check。离散微分几何补检后评分。</x:v>
      </x:c>
    </x:row>
    <x:row r="7" ht="44" customHeight="1">
      <x:c r="A7" s="138" t="n">
        <x:v>6</x:v>
      </x:c>
      <x:c r="B7" s="139" t="str">
        <x:v>2608.01682</x:v>
      </x:c>
      <x:c r="C7" s="139" t="str">
        <x:v>2026-08</x:v>
      </x:c>
      <x:c r="D7" s="139" t="str">
        <x:v>prior August batch</x:v>
      </x:c>
      <x:c r="E7" s="139" t="str">
        <x:v>math.DG</x:v>
      </x:c>
      <x:c r="F7" s="139" t="str">
        <x:v>positive mass theorem / singular AH manifolds</x:v>
      </x:c>
      <x:c r="G7" s="139" t="str">
        <x:v>Positive mass theorems for singular asymptotically hyperbolic manifolds</x:v>
      </x:c>
      <x:c r="H7" s="139" t="str">
        <x:v>Yuguang Shi; Chengzhang Sun; Zijun Wang</x:v>
      </x:c>
      <x:c r="I7" s="139" t="n">
        <x:v>42</x:v>
      </x:c>
      <x:c r="J7" s="139" t="str">
        <x:v>https://arxiv.org/abs/2608.01682</x:v>
      </x:c>
      <x:c r="K7" s="139" t="str">
        <x:v>Positive mass theorem in singular asymptotically hyperbolic setting; strong geometric analysis.</x:v>
      </x:c>
      <x:c r="L7" s="139" t="n">
        <x:v>94</x:v>
      </x:c>
      <x:c r="M7" s="139" t="n">
        <x:v>92</x:v>
      </x:c>
      <x:c r="N7" s="139" t="n">
        <x:v>95</x:v>
      </x:c>
      <x:c r="O7" s="139" t="n">
        <x:v>91</x:v>
      </x:c>
      <x:c r="P7" s="139" t="n">
        <x:v>95</x:v>
      </x:c>
      <x:c r="Q7" s="139" t="n">
        <x:v>86</x:v>
      </x:c>
      <x:c r="R7" s="139" t="n">
        <x:v>10</x:v>
      </x:c>
      <x:c r="S7" s="139" t="n">
        <x:v>5</x:v>
      </x:c>
      <x:c r="T7" s="140" t="n">
        <x:v>92.6</x:v>
      </x:c>
      <x:c r="U7" s="140" t="n">
        <x:v>92.30000000000001</x:v>
      </x:c>
      <x:c r="V7" s="140" t="n">
        <x:v>92.45</x:v>
      </x:c>
      <x:c r="W7" s="139" t="str">
        <x:v>Yes</x:v>
      </x:c>
      <x:c r="X7" s="139" t="n">
        <x:v>6</x:v>
      </x:c>
      <x:c r="Y7" s="139" t="n">
        <x:v>34</x:v>
      </x:c>
      <x:c r="Z7" s="139" t="str">
        <x:v>Top100</x:v>
      </x:c>
      <x:c r="AA7" s="141" t="str">
        <x:v>默认主要结论正确；未逐篇逐行 correctness check。</x:v>
      </x:c>
    </x:row>
    <x:row r="8" ht="44" customHeight="1">
      <x:c r="A8" s="94" t="n">
        <x:v>7</x:v>
      </x:c>
      <x:c r="B8" s="95" t="str">
        <x:v>2608.07263</x:v>
      </x:c>
      <x:c r="C8" s="95" t="str">
        <x:v>2026-08</x:v>
      </x:c>
      <x:c r="D8" s="95" t="str">
        <x:v>2026-08-10 new/cross-list</x:v>
      </x:c>
      <x:c r="E8" s="95" t="str">
        <x:v>math.DG</x:v>
      </x:c>
      <x:c r="F8" s="95" t="str">
        <x:v>Toda flow / isospectral manifolds</x:v>
      </x:c>
      <x:c r="G8" s="95" t="str">
        <x:v>Diagonalization of the Toda flow for arbitrary isospectral symmetric matrices</x:v>
      </x:c>
      <x:c r="H8" s="95" t="str">
        <x:v>David Martínez Torres; Carlos Tomei</x:v>
      </x:c>
      <x:c r="I8" s="95" t="n">
        <x:v>16</x:v>
      </x:c>
      <x:c r="J8" s="95" t="str">
        <x:v>https://arxiv.org/abs/2608.07263</x:v>
      </x:c>
      <x:c r="K8" s="95" t="str">
        <x:v>Constructs a dense covering atlas that linearizes the Toda flow on arbitrary symmetric isospectral manifolds, based on a new constrained QLU factorization of independent interest.</x:v>
      </x:c>
      <x:c r="L8" s="95" t="n">
        <x:v>92</x:v>
      </x:c>
      <x:c r="M8" s="95" t="n">
        <x:v>94</x:v>
      </x:c>
      <x:c r="N8" s="95" t="n">
        <x:v>92</x:v>
      </x:c>
      <x:c r="O8" s="95" t="n">
        <x:v>92</x:v>
      </x:c>
      <x:c r="P8" s="95" t="n">
        <x:v>93</x:v>
      </x:c>
      <x:c r="Q8" s="95" t="n">
        <x:v>86</x:v>
      </x:c>
      <x:c r="R8" s="95" t="n">
        <x:v>12</x:v>
      </x:c>
      <x:c r="S8" s="95" t="n">
        <x:v>6</x:v>
      </x:c>
      <x:c r="T8" s="96" t="n">
        <x:v>91.8</x:v>
      </x:c>
      <x:c r="U8" s="96" t="n">
        <x:v>91.2</x:v>
      </x:c>
      <x:c r="V8" s="96" t="n">
        <x:v>91.5</x:v>
      </x:c>
      <x:c r="W8" s="95" t="str">
        <x:v>Yes</x:v>
      </x:c>
      <x:c r="X8" s="95" t="n">
        <x:v>7</x:v>
      </x:c>
      <x:c r="Y8" s="95" t="n">
        <x:v>44</x:v>
      </x:c>
      <x:c r="Z8" s="95" t="str">
        <x:v>Top100</x:v>
      </x:c>
      <x:c r="AA8" s="97" t="str">
        <x:v>默认主要结论正确；未逐篇逐行 correctness check。按 SARE 原则评估，V 与 S_H 等权，并扣除当前 AI 可替代部分。</x:v>
      </x:c>
    </x:row>
    <x:row r="9" ht="44" customHeight="1">
      <x:c r="A9" s="138" t="n">
        <x:v>8</x:v>
      </x:c>
      <x:c r="B9" s="139" t="str">
        <x:v>2608.00944</x:v>
      </x:c>
      <x:c r="C9" s="139" t="str">
        <x:v>2026-08</x:v>
      </x:c>
      <x:c r="D9" s="139" t="str">
        <x:v>prior August batch</x:v>
      </x:c>
      <x:c r="E9" s="139" t="str">
        <x:v>math.DG</x:v>
      </x:c>
      <x:c r="F9" s="139" t="str">
        <x:v>McKean rigidity / p-Laplacian</x:v>
      </x:c>
      <x:c r="G9" s="139" t="str">
        <x:v>McKean Rigidity for Cocompact Negatively Curved Manifolds and the p-Laplacian</x:v>
      </x:c>
      <x:c r="H9" s="139" t="str">
        <x:v>Kuntao Jin; Bo Zhu</x:v>
      </x:c>
      <x:c r="I9" s="139" t="n">
        <x:v>56</x:v>
      </x:c>
      <x:c r="J9" s="139" t="str">
        <x:v>https://arxiv.org/abs/2608.00944</x:v>
      </x:c>
      <x:c r="K9" s="139" t="str">
        <x:v>Rigidity theorem for negatively curved manifolds and p-Laplacian; high spectral-geometric value.</x:v>
      </x:c>
      <x:c r="L9" s="139" t="n">
        <x:v>92</x:v>
      </x:c>
      <x:c r="M9" s="139" t="n">
        <x:v>91</x:v>
      </x:c>
      <x:c r="N9" s="139" t="n">
        <x:v>93</x:v>
      </x:c>
      <x:c r="O9" s="139" t="n">
        <x:v>90</x:v>
      </x:c>
      <x:c r="P9" s="139" t="n">
        <x:v>93</x:v>
      </x:c>
      <x:c r="Q9" s="139" t="n">
        <x:v>86</x:v>
      </x:c>
      <x:c r="R9" s="139" t="n">
        <x:v>11</x:v>
      </x:c>
      <x:c r="S9" s="139" t="n">
        <x:v>5</x:v>
      </x:c>
      <x:c r="T9" s="140" t="n">
        <x:v>91.14999999999999</x:v>
      </x:c>
      <x:c r="U9" s="140" t="n">
        <x:v>90.95</x:v>
      </x:c>
      <x:c r="V9" s="140" t="n">
        <x:v>91.05</x:v>
      </x:c>
      <x:c r="W9" s="139" t="str">
        <x:v>Yes</x:v>
      </x:c>
      <x:c r="X9" s="139" t="n">
        <x:v>8</x:v>
      </x:c>
      <x:c r="Y9" s="139" t="n">
        <x:v>71</x:v>
      </x:c>
      <x:c r="Z9" s="139" t="str">
        <x:v>Top100</x:v>
      </x:c>
      <x:c r="AA9" s="141" t="str">
        <x:v>默认主要结论正确；未逐篇逐行 correctness check。</x:v>
      </x:c>
    </x:row>
    <x:row r="10" ht="44" customHeight="1">
      <x:c r="A10" s="94" t="n">
        <x:v>9</x:v>
      </x:c>
      <x:c r="B10" s="95" t="str">
        <x:v>2608.03405</x:v>
      </x:c>
      <x:c r="C10" s="95" t="str">
        <x:v>2026-08</x:v>
      </x:c>
      <x:c r="D10" s="95" t="str">
        <x:v>prior August batch</x:v>
      </x:c>
      <x:c r="E10" s="95" t="str">
        <x:v>math.DG</x:v>
      </x:c>
      <x:c r="F10" s="95" t="str">
        <x:v>weighted intermediate Ricci / entropy convexity</x:v>
      </x:c>
      <x:c r="G10" s="95" t="str">
        <x:v>Lower Bound for Weighted Intermediate Ricci Curvature and Tensorial Entropy Convexity</x:v>
      </x:c>
      <x:c r="H10" s="95" t="str">
        <x:v>Chao-Ming Lin; Kai-Hsiang Wang</x:v>
      </x:c>
      <x:c r="I10" s="95" t="n">
        <x:v>60</x:v>
      </x:c>
      <x:c r="J10" s="95" t="str">
        <x:v>https://arxiv.org/abs/2608.03405</x:v>
      </x:c>
      <x:c r="K10" s="95" t="str">
        <x:v>Weighted curvature lower bounds and entropy convexity; strong synthetic/geometric analysis link.</x:v>
      </x:c>
      <x:c r="L10" s="95" t="n">
        <x:v>92</x:v>
      </x:c>
      <x:c r="M10" s="95" t="n">
        <x:v>91</x:v>
      </x:c>
      <x:c r="N10" s="95" t="n">
        <x:v>93</x:v>
      </x:c>
      <x:c r="O10" s="95" t="n">
        <x:v>90</x:v>
      </x:c>
      <x:c r="P10" s="95" t="n">
        <x:v>93</x:v>
      </x:c>
      <x:c r="Q10" s="95" t="n">
        <x:v>86</x:v>
      </x:c>
      <x:c r="R10" s="95" t="n">
        <x:v>11</x:v>
      </x:c>
      <x:c r="S10" s="95" t="n">
        <x:v>5</x:v>
      </x:c>
      <x:c r="T10" s="96" t="n">
        <x:v>91.14999999999999</x:v>
      </x:c>
      <x:c r="U10" s="96" t="n">
        <x:v>90.95</x:v>
      </x:c>
      <x:c r="V10" s="96" t="n">
        <x:v>91.05</x:v>
      </x:c>
      <x:c r="W10" s="95" t="str">
        <x:v>Yes</x:v>
      </x:c>
      <x:c r="X10" s="95" t="n">
        <x:v>9</x:v>
      </x:c>
      <x:c r="Y10" s="95" t="n">
        <x:v>72</x:v>
      </x:c>
      <x:c r="Z10" s="95" t="str">
        <x:v>Top100</x:v>
      </x:c>
      <x:c r="AA10" s="97" t="str">
        <x:v>默认主要结论正确；未逐篇逐行 correctness check。</x:v>
      </x:c>
    </x:row>
    <x:row r="11" ht="44" customHeight="1">
      <x:c r="A11" s="138" t="n">
        <x:v>10</x:v>
      </x:c>
      <x:c r="B11" s="139" t="str">
        <x:v>2608.04364</x:v>
      </x:c>
      <x:c r="C11" s="139" t="str">
        <x:v>2026-08</x:v>
      </x:c>
      <x:c r="D11" s="139" t="str">
        <x:v>prior August batch</x:v>
      </x:c>
      <x:c r="E11" s="139" t="str">
        <x:v>math.DG</x:v>
      </x:c>
      <x:c r="F11" s="139" t="str">
        <x:v>minimal hypersurfaces / Calabi-Yau conjecture</x:v>
      </x:c>
      <x:c r="G11" s="139" t="str">
        <x:v>Calabi-Yau Conjecture for Minimal Hypersurfaces in R^4 with bounded geometry</x:v>
      </x:c>
      <x:c r="H11" s="139" t="str">
        <x:v>Shrey Aryan; Alexander D. McWeeney; Giuseppe Tinaglia</x:v>
      </x:c>
      <x:c r="I11" s="139" t="n">
        <x:v>9</x:v>
      </x:c>
      <x:c r="J11" s="139" t="str">
        <x:v>https://arxiv.org/abs/2608.04364</x:v>
      </x:c>
      <x:c r="K11" s="139" t="str">
        <x:v>Concise theorem around Calabi-Yau conjecture for minimal hypersurfaces.</x:v>
      </x:c>
      <x:c r="L11" s="139" t="n">
        <x:v>92</x:v>
      </x:c>
      <x:c r="M11" s="139" t="n">
        <x:v>91</x:v>
      </x:c>
      <x:c r="N11" s="139" t="n">
        <x:v>93</x:v>
      </x:c>
      <x:c r="O11" s="139" t="n">
        <x:v>90</x:v>
      </x:c>
      <x:c r="P11" s="139" t="n">
        <x:v>93</x:v>
      </x:c>
      <x:c r="Q11" s="139" t="n">
        <x:v>86</x:v>
      </x:c>
      <x:c r="R11" s="139" t="n">
        <x:v>11</x:v>
      </x:c>
      <x:c r="S11" s="139" t="n">
        <x:v>5</x:v>
      </x:c>
      <x:c r="T11" s="140" t="n">
        <x:v>91.14999999999999</x:v>
      </x:c>
      <x:c r="U11" s="140" t="n">
        <x:v>90.95</x:v>
      </x:c>
      <x:c r="V11" s="140" t="n">
        <x:v>91.05</x:v>
      </x:c>
      <x:c r="W11" s="139" t="str">
        <x:v>Yes</x:v>
      </x:c>
      <x:c r="X11" s="139" t="n">
        <x:v>10</x:v>
      </x:c>
      <x:c r="Y11" s="139" t="n">
        <x:v>73</x:v>
      </x:c>
      <x:c r="Z11" s="139" t="str">
        <x:v>Top100</x:v>
      </x:c>
      <x:c r="AA11" s="141" t="str">
        <x:v>默认主要结论正确；未逐篇逐行 correctness check。</x:v>
      </x:c>
    </x:row>
    <x:row r="12" ht="44" customHeight="1">
      <x:c r="A12" s="94" t="n">
        <x:v>11</x:v>
      </x:c>
      <x:c r="B12" s="95" t="str">
        <x:v>2608.02405</x:v>
      </x:c>
      <x:c r="C12" s="95" t="str">
        <x:v>2026-08</x:v>
      </x:c>
      <x:c r="D12" s="95" t="str">
        <x:v>prior August batch</x:v>
      </x:c>
      <x:c r="E12" s="95" t="str">
        <x:v>math.SP/math.DG</x:v>
      </x:c>
      <x:c r="F12" s="95" t="str">
        <x:v>weighted graph discretization / Ricci lower bounds</x:v>
      </x:c>
      <x:c r="G12" s="95" t="str">
        <x:v>A Weighted Discretization of Riemannian Manifolds with Lower Ricci Bounds</x:v>
      </x:c>
      <x:c r="H12" s="95" t="str">
        <x:v>Aditya Tiwari</x:v>
      </x:c>
      <x:c r="I12" s="95" t="n">
        <x:v>16</x:v>
      </x:c>
      <x:c r="J12" s="95" t="str">
        <x:v>https://arxiv.org/abs/2608.02405</x:v>
      </x:c>
      <x:c r="K12" s="95" t="str">
        <x:v>Weighted combinatorial Laplacian with spectral comparison independent of injectivity radius and stability under measured Gromov-Hausdorff convergence.</x:v>
      </x:c>
      <x:c r="L12" s="95" t="n">
        <x:v>92</x:v>
      </x:c>
      <x:c r="M12" s="95" t="n">
        <x:v>92</x:v>
      </x:c>
      <x:c r="N12" s="95" t="n">
        <x:v>92</x:v>
      </x:c>
      <x:c r="O12" s="95" t="n">
        <x:v>92</x:v>
      </x:c>
      <x:c r="P12" s="95" t="n">
        <x:v>92</x:v>
      </x:c>
      <x:c r="Q12" s="95" t="n">
        <x:v>84</x:v>
      </x:c>
      <x:c r="R12" s="95" t="n">
        <x:v>11</x:v>
      </x:c>
      <x:c r="S12" s="95" t="n">
        <x:v>7</x:v>
      </x:c>
      <x:c r="T12" s="96" t="n">
        <x:v>91.2</x:v>
      </x:c>
      <x:c r="U12" s="96" t="n">
        <x:v>90.35</x:v>
      </x:c>
      <x:c r="V12" s="96" t="n">
        <x:v>90.775</x:v>
      </x:c>
      <x:c r="W12" s="95" t="str">
        <x:v>Yes</x:v>
      </x:c>
      <x:c r="X12" s="95" t="n">
        <x:v>11</x:v>
      </x:c>
      <x:c r="Y12" s="95" t="n">
        <x:v>78</x:v>
      </x:c>
      <x:c r="Z12" s="95" t="str">
        <x:v>Top100</x:v>
      </x:c>
      <x:c r="AA12" s="97" t="str">
        <x:v>默认主要结论正确；未逐篇逐行 correctness check。离散微分几何补检后评分。</x:v>
      </x:c>
    </x:row>
    <x:row r="13" ht="44" customHeight="1">
      <x:c r="A13" s="138" t="n">
        <x:v>12</x:v>
      </x:c>
      <x:c r="B13" s="139" t="str">
        <x:v>2608.06974</x:v>
      </x:c>
      <x:c r="C13" s="139" t="str">
        <x:v>2026-08</x:v>
      </x:c>
      <x:c r="D13" s="139" t="str">
        <x:v>2026-08-10 new/cross-list</x:v>
      </x:c>
      <x:c r="E13" s="139" t="str">
        <x:v>math.DG</x:v>
      </x:c>
      <x:c r="F13" s="139" t="str">
        <x:v>Carnot groups / uniform doubling</x:v>
      </x:c>
      <x:c r="G13" s="139" t="str">
        <x:v>Left-invariant metrics on step-two Carnot groups are uniformly doubling</x:v>
      </x:c>
      <x:c r="H13" s="139" t="str">
        <x:v>Cheng Bi; Ye Zhang</x:v>
      </x:c>
      <x:c r="I13" s="139" t="n">
        <x:v>7</x:v>
      </x:c>
      <x:c r="J13" s="139" t="str">
        <x:v>https://arxiv.org/abs/2608.06974</x:v>
      </x:c>
      <x:c r="K13" s="139" t="str">
        <x:v>Proves the sharp uniform doubling constant 2^Q for all left-invariant Riemannian metrics on every step-two Carnot group, together with a Bishop-Gromov-type estimate.</x:v>
      </x:c>
      <x:c r="L13" s="139" t="n">
        <x:v>92</x:v>
      </x:c>
      <x:c r="M13" s="139" t="n">
        <x:v>92</x:v>
      </x:c>
      <x:c r="N13" s="139" t="n">
        <x:v>91</x:v>
      </x:c>
      <x:c r="O13" s="139" t="n">
        <x:v>92</x:v>
      </x:c>
      <x:c r="P13" s="139" t="n">
        <x:v>92</x:v>
      </x:c>
      <x:c r="Q13" s="139" t="n">
        <x:v>86</x:v>
      </x:c>
      <x:c r="R13" s="139" t="n">
        <x:v>12</x:v>
      </x:c>
      <x:c r="S13" s="139" t="n">
        <x:v>6</x:v>
      </x:c>
      <x:c r="T13" s="140" t="n">
        <x:v>91.14999999999999</x:v>
      </x:c>
      <x:c r="U13" s="140" t="n">
        <x:v>90.30000000000001</x:v>
      </x:c>
      <x:c r="V13" s="140" t="n">
        <x:v>90.725</x:v>
      </x:c>
      <x:c r="W13" s="139" t="str">
        <x:v>Yes</x:v>
      </x:c>
      <x:c r="X13" s="139" t="n">
        <x:v>12</x:v>
      </x:c>
      <x:c r="Y13" s="139" t="n">
        <x:v>79</x:v>
      </x:c>
      <x:c r="Z13" s="139" t="str">
        <x:v>Top100</x:v>
      </x:c>
      <x:c r="AA13" s="141" t="str">
        <x:v>默认主要结论正确；未逐篇逐行 correctness check。按 SARE 原则评估，V 与 S_H 等权，并扣除当前 AI 可替代部分。</x:v>
      </x:c>
    </x:row>
    <x:row r="14" ht="44" customHeight="1">
      <x:c r="A14" s="94" t="n">
        <x:v>13</x:v>
      </x:c>
      <x:c r="B14" s="95" t="str">
        <x:v>2608.07351</x:v>
      </x:c>
      <x:c r="C14" s="95" t="str">
        <x:v>2026-08</x:v>
      </x:c>
      <x:c r="D14" s="95" t="str">
        <x:v>2026-08-10 new/cross-list</x:v>
      </x:c>
      <x:c r="E14" s="95" t="str">
        <x:v>math.DG/math.SG</x:v>
      </x:c>
      <x:c r="F14" s="95" t="str">
        <x:v>singular foliations / Lie algebroids</x:v>
      </x:c>
      <x:c r="G14" s="95" t="str">
        <x:v>Finite-Rank Lie Algebroids for Singular Foliations of Prescribed Vanishing Order</x:v>
      </x:c>
      <x:c r="H14" s="95" t="str">
        <x:v>Austin Davis; Cheng-Yi Hung; Sangjun Ko; Kaichuan Qi</x:v>
      </x:c>
      <x:c r="I14" s="95" t="n">
        <x:v>11</x:v>
      </x:c>
      <x:c r="J14" s="95" t="str">
        <x:v>https://arxiv.org/abs/2608.07351</x:v>
      </x:c>
      <x:c r="K14" s="95" t="str">
        <x:v>Solves a finite-rank realizability problem for prescribed-order vanishing singular foliations via a new construction from left-symmetric and sub-adjacent Lie algebroids.</x:v>
      </x:c>
      <x:c r="L14" s="95" t="n">
        <x:v>91</x:v>
      </x:c>
      <x:c r="M14" s="95" t="n">
        <x:v>94</x:v>
      </x:c>
      <x:c r="N14" s="95" t="n">
        <x:v>89</x:v>
      </x:c>
      <x:c r="O14" s="95" t="n">
        <x:v>91</x:v>
      </x:c>
      <x:c r="P14" s="95" t="n">
        <x:v>92</x:v>
      </x:c>
      <x:c r="Q14" s="95" t="n">
        <x:v>85</x:v>
      </x:c>
      <x:c r="R14" s="95" t="n">
        <x:v>14</x:v>
      </x:c>
      <x:c r="S14" s="95" t="n">
        <x:v>6</x:v>
      </x:c>
      <x:c r="T14" s="96" t="n">
        <x:v>90.5</x:v>
      </x:c>
      <x:c r="U14" s="96" t="n">
        <x:v>89.85000000000001</x:v>
      </x:c>
      <x:c r="V14" s="96" t="n">
        <x:v>90.17500000000001</x:v>
      </x:c>
      <x:c r="W14" s="95" t="str">
        <x:v>Yes</x:v>
      </x:c>
      <x:c r="X14" s="95" t="n">
        <x:v>13</x:v>
      </x:c>
      <x:c r="Y14" s="95" t="n">
        <x:v>86</x:v>
      </x:c>
      <x:c r="Z14" s="95" t="str">
        <x:v>Top100</x:v>
      </x:c>
      <x:c r="AA14" s="97" t="str">
        <x:v>默认主要结论正确；未逐篇逐行 correctness check。按 SARE 原则评估，V 与 S_H 等权，并扣除当前 AI 可替代部分。</x:v>
      </x:c>
    </x:row>
    <x:row r="15" ht="44" customHeight="1">
      <x:c r="A15" s="138" t="n">
        <x:v>14</x:v>
      </x:c>
      <x:c r="B15" s="139" t="str">
        <x:v>2608.03442</x:v>
      </x:c>
      <x:c r="C15" s="139" t="str">
        <x:v>2026-08</x:v>
      </x:c>
      <x:c r="D15" s="139" t="str">
        <x:v>prior August batch</x:v>
      </x:c>
      <x:c r="E15" s="139" t="str">
        <x:v>math.MG/math.AP/math.DG</x:v>
      </x:c>
      <x:c r="F15" s="139" t="str">
        <x:v>RCD spaces / harmonic map heat flow</x:v>
      </x:c>
      <x:c r="G15" s="139" t="str">
        <x:v>Lipschitz regularity of harmonic map heat flows from RCD spaces into CAT(0) spaces</x:v>
      </x:c>
      <x:c r="H15" s="139" t="str">
        <x:v>Bang-Xian Han; Hui-Chun Zhang; Xi-Ping Zhu</x:v>
      </x:c>
      <x:c r="I15" s="139" t="str">
        <x:v>-</x:v>
      </x:c>
      <x:c r="J15" s="139" t="str">
        <x:v>https://arxiv.org/abs/2608.03442</x:v>
      </x:c>
      <x:c r="K15" s="139" t="str">
        <x:v>Regularity of harmonic map heat flows in nonsmooth target/source geometry.</x:v>
      </x:c>
      <x:c r="L15" s="139" t="n">
        <x:v>91</x:v>
      </x:c>
      <x:c r="M15" s="139" t="n">
        <x:v>90</x:v>
      </x:c>
      <x:c r="N15" s="139" t="n">
        <x:v>92</x:v>
      </x:c>
      <x:c r="O15" s="139" t="n">
        <x:v>89</x:v>
      </x:c>
      <x:c r="P15" s="139" t="n">
        <x:v>92</x:v>
      </x:c>
      <x:c r="Q15" s="139" t="n">
        <x:v>86</x:v>
      </x:c>
      <x:c r="R15" s="139" t="n">
        <x:v>12</x:v>
      </x:c>
      <x:c r="S15" s="139" t="n">
        <x:v>5</x:v>
      </x:c>
      <x:c r="T15" s="140" t="n">
        <x:v>90.24999999999999</x:v>
      </x:c>
      <x:c r="U15" s="140" t="n">
        <x:v>90.10000000000001</x:v>
      </x:c>
      <x:c r="V15" s="140" t="n">
        <x:v>90.175</x:v>
      </x:c>
      <x:c r="W15" s="139" t="str">
        <x:v>Yes</x:v>
      </x:c>
      <x:c r="X15" s="139" t="n">
        <x:v>14</x:v>
      </x:c>
      <x:c r="Y15" s="139" t="n">
        <x:v>114</x:v>
      </x:c>
      <x:c r="Z15" s="139"/>
      <x:c r="AA15" s="141" t="str">
        <x:v>默认主要结论正确；未逐篇逐行 correctness check。</x:v>
      </x:c>
    </x:row>
    <x:row r="16" ht="44" customHeight="1">
      <x:c r="A16" s="94" t="n">
        <x:v>15</x:v>
      </x:c>
      <x:c r="B16" s="95" t="str">
        <x:v>2608.03572</x:v>
      </x:c>
      <x:c r="C16" s="95" t="str">
        <x:v>2026-08</x:v>
      </x:c>
      <x:c r="D16" s="95" t="str">
        <x:v>prior August batch</x:v>
      </x:c>
      <x:c r="E16" s="95" t="str">
        <x:v>math.DG</x:v>
      </x:c>
      <x:c r="F16" s="95" t="str">
        <x:v>cscK metrics / birational geometry</x:v>
      </x:c>
      <x:c r="G16" s="95" t="str">
        <x:v>CscK metrics on birational models of projective varieties</x:v>
      </x:c>
      <x:c r="H16" s="95" t="str">
        <x:v>Zakarias Sjöström Dyrefelt</x:v>
      </x:c>
      <x:c r="I16" s="95" t="n">
        <x:v>30</x:v>
      </x:c>
      <x:c r="J16" s="95" t="str">
        <x:v>https://arxiv.org/abs/2608.03572</x:v>
      </x:c>
      <x:c r="K16" s="95" t="str">
        <x:v>cscK existence on birational models; central Kähler geometry theme.</x:v>
      </x:c>
      <x:c r="L16" s="95" t="n">
        <x:v>91</x:v>
      </x:c>
      <x:c r="M16" s="95" t="n">
        <x:v>90</x:v>
      </x:c>
      <x:c r="N16" s="95" t="n">
        <x:v>92</x:v>
      </x:c>
      <x:c r="O16" s="95" t="n">
        <x:v>89</x:v>
      </x:c>
      <x:c r="P16" s="95" t="n">
        <x:v>92</x:v>
      </x:c>
      <x:c r="Q16" s="95" t="n">
        <x:v>86</x:v>
      </x:c>
      <x:c r="R16" s="95" t="n">
        <x:v>12</x:v>
      </x:c>
      <x:c r="S16" s="95" t="n">
        <x:v>5</x:v>
      </x:c>
      <x:c r="T16" s="96" t="n">
        <x:v>90.24999999999999</x:v>
      </x:c>
      <x:c r="U16" s="96" t="n">
        <x:v>90.10000000000001</x:v>
      </x:c>
      <x:c r="V16" s="96" t="n">
        <x:v>90.175</x:v>
      </x:c>
      <x:c r="W16" s="95" t="str">
        <x:v>Yes</x:v>
      </x:c>
      <x:c r="X16" s="95" t="n">
        <x:v>15</x:v>
      </x:c>
      <x:c r="Y16" s="95" t="n">
        <x:v>115</x:v>
      </x:c>
      <x:c r="Z16" s="95"/>
      <x:c r="AA16" s="97" t="str">
        <x:v>默认主要结论正确；未逐篇逐行 correctness check。</x:v>
      </x:c>
    </x:row>
    <x:row r="17" ht="44" customHeight="1">
      <x:c r="A17" s="138" t="n">
        <x:v>16</x:v>
      </x:c>
      <x:c r="B17" s="139" t="str">
        <x:v>2608.04718</x:v>
      </x:c>
      <x:c r="C17" s="139" t="str">
        <x:v>2026-08</x:v>
      </x:c>
      <x:c r="D17" s="139" t="str">
        <x:v>prior August batch</x:v>
      </x:c>
      <x:c r="E17" s="139" t="str">
        <x:v>math.DG</x:v>
      </x:c>
      <x:c r="F17" s="139" t="str">
        <x:v>Lorentzian geometry / Schwarzschild</x:v>
      </x:c>
      <x:c r="G17" s="139" t="str">
        <x:v>Ideal points, directed completion and the case of the maximally extended Schwarzschild spacetime</x:v>
      </x:c>
      <x:c r="H17" s="139" t="str">
        <x:v>Nicola Gigli; Argam Ohanyan; Marco Picerni; Zhe-Feng Xu; Matteo Zanardini</x:v>
      </x:c>
      <x:c r="I17" s="139" t="n">
        <x:v>26</x:v>
      </x:c>
      <x:c r="J17" s="139" t="str">
        <x:v>https://arxiv.org/abs/2608.04718</x:v>
      </x:c>
      <x:c r="K17" s="139" t="str">
        <x:v>Metric completion viewpoint on Schwarzschild spacetime; good Lorentzian-geometry contribution.</x:v>
      </x:c>
      <x:c r="L17" s="139" t="n">
        <x:v>91</x:v>
      </x:c>
      <x:c r="M17" s="139" t="n">
        <x:v>90</x:v>
      </x:c>
      <x:c r="N17" s="139" t="n">
        <x:v>92</x:v>
      </x:c>
      <x:c r="O17" s="139" t="n">
        <x:v>89</x:v>
      </x:c>
      <x:c r="P17" s="139" t="n">
        <x:v>92</x:v>
      </x:c>
      <x:c r="Q17" s="139" t="n">
        <x:v>86</x:v>
      </x:c>
      <x:c r="R17" s="139" t="n">
        <x:v>12</x:v>
      </x:c>
      <x:c r="S17" s="139" t="n">
        <x:v>5</x:v>
      </x:c>
      <x:c r="T17" s="140" t="n">
        <x:v>90.24999999999999</x:v>
      </x:c>
      <x:c r="U17" s="140" t="n">
        <x:v>90.10000000000001</x:v>
      </x:c>
      <x:c r="V17" s="140" t="n">
        <x:v>90.175</x:v>
      </x:c>
      <x:c r="W17" s="139" t="str">
        <x:v>Yes</x:v>
      </x:c>
      <x:c r="X17" s="139" t="n">
        <x:v>16</x:v>
      </x:c>
      <x:c r="Y17" s="139" t="n">
        <x:v>116</x:v>
      </x:c>
      <x:c r="Z17" s="139"/>
      <x:c r="AA17" s="141" t="str">
        <x:v>默认主要结论正确；未逐篇逐行 correctness check。</x:v>
      </x:c>
    </x:row>
    <x:row r="18" ht="44" customHeight="1">
      <x:c r="A18" s="94" t="n">
        <x:v>17</x:v>
      </x:c>
      <x:c r="B18" s="95" t="str">
        <x:v>2608.07021</x:v>
      </x:c>
      <x:c r="C18" s="95" t="str">
        <x:v>2026-08</x:v>
      </x:c>
      <x:c r="D18" s="95" t="str">
        <x:v>2026-08-10 new/cross-list</x:v>
      </x:c>
      <x:c r="E18" s="95" t="str">
        <x:v>math.DG/math-ph/math.NA/math.PR</x:v>
      </x:c>
      <x:c r="F18" s="95" t="str">
        <x:v>symplectic geometry / determinantal Monte Carlo</x:v>
      </x:c>
      <x:c r="G18" s="95" t="str">
        <x:v>Monte Carlo methods on compact symplectic manifolds</x:v>
      </x:c>
      <x:c r="H18" s="95" t="str">
        <x:v>Yuri A. Kordyukov</x:v>
      </x:c>
      <x:c r="I18" s="95" t="n">
        <x:v>16</x:v>
      </x:c>
      <x:c r="J18" s="95" t="str">
        <x:v>https://arxiv.org/abs/2608.07021</x:v>
      </x:c>
      <x:c r="K18" s="95" t="str">
        <x:v>Transfers determinantal-point-process quadrature to prequantized compact symplectic manifolds and proves a central limit theorem with optimal worst-case mean-square-error decay.</x:v>
      </x:c>
      <x:c r="L18" s="95" t="n">
        <x:v>90</x:v>
      </x:c>
      <x:c r="M18" s="95" t="n">
        <x:v>91</x:v>
      </x:c>
      <x:c r="N18" s="95" t="n">
        <x:v>90</x:v>
      </x:c>
      <x:c r="O18" s="95" t="n">
        <x:v>92</x:v>
      </x:c>
      <x:c r="P18" s="95" t="n">
        <x:v>90</x:v>
      </x:c>
      <x:c r="Q18" s="95" t="n">
        <x:v>86</x:v>
      </x:c>
      <x:c r="R18" s="95" t="n">
        <x:v>14</x:v>
      </x:c>
      <x:c r="S18" s="95" t="n">
        <x:v>7</x:v>
      </x:c>
      <x:c r="T18" s="96" t="n">
        <x:v>90.1</x:v>
      </x:c>
      <x:c r="U18" s="96" t="n">
        <x:v>89.00000000000001</x:v>
      </x:c>
      <x:c r="V18" s="96" t="n">
        <x:v>89.55000000000001</x:v>
      </x:c>
      <x:c r="W18" s="95" t="str">
        <x:v>Yes</x:v>
      </x:c>
      <x:c r="X18" s="95" t="n">
        <x:v>17</x:v>
      </x:c>
      <x:c r="Y18" s="95" t="n">
        <x:v>124</x:v>
      </x:c>
      <x:c r="Z18" s="95"/>
      <x:c r="AA18" s="97" t="str">
        <x:v>默认主要结论正确；未逐篇逐行 correctness check。按 SARE 原则评估，V 与 S_H 等权，并扣除当前 AI 可替代部分。</x:v>
      </x:c>
    </x:row>
    <x:row r="19" ht="44" customHeight="1">
      <x:c r="A19" s="138" t="n">
        <x:v>18</x:v>
      </x:c>
      <x:c r="B19" s="139" t="str">
        <x:v>2608.06678</x:v>
      </x:c>
      <x:c r="C19" s="139" t="str">
        <x:v>2026-08</x:v>
      </x:c>
      <x:c r="D19" s="139" t="str">
        <x:v>2026-08-10 new/cross-list</x:v>
      </x:c>
      <x:c r="E19" s="139" t="str">
        <x:v>math.DG</x:v>
      </x:c>
      <x:c r="F19" s="139" t="str">
        <x:v>Lorentzian foliations / transverse causality</x:v>
      </x:c>
      <x:c r="G19" s="139" t="str">
        <x:v>Transverse stable causality in Lorentzian foliations</x:v>
      </x:c>
      <x:c r="H19" s="139" t="str">
        <x:v>Henrique Amador Puel Martins; Ivan Pontual Costa e Silva; Victor Luis Espinoza</x:v>
      </x:c>
      <x:c r="I19" s="139" t="n">
        <x:v>37</x:v>
      </x:c>
      <x:c r="J19" s="139" t="str">
        <x:v>https://arxiv.org/abs/2608.06678</x:v>
      </x:c>
      <x:c r="K19" s="139" t="str">
        <x:v>Introduces transverse stable causality for Lorentzian foliations, proves several structural implications and near-equivalence for simple foliations; the full general equivalence remains open.</x:v>
      </x:c>
      <x:c r="L19" s="139" t="n">
        <x:v>89</x:v>
      </x:c>
      <x:c r="M19" s="139" t="n">
        <x:v>92</x:v>
      </x:c>
      <x:c r="N19" s="139" t="n">
        <x:v>90</x:v>
      </x:c>
      <x:c r="O19" s="139" t="n">
        <x:v>89</x:v>
      </x:c>
      <x:c r="P19" s="139" t="n">
        <x:v>91</x:v>
      </x:c>
      <x:c r="Q19" s="139" t="n">
        <x:v>84</x:v>
      </x:c>
      <x:c r="R19" s="139" t="n">
        <x:v>15</x:v>
      </x:c>
      <x:c r="S19" s="139" t="n">
        <x:v>7</x:v>
      </x:c>
      <x:c r="T19" s="140" t="n">
        <x:v>89.35</x:v>
      </x:c>
      <x:c r="U19" s="140" t="n">
        <x:v>89.05</x:v>
      </x:c>
      <x:c r="V19" s="140" t="n">
        <x:v>89.19999999999999</x:v>
      </x:c>
      <x:c r="W19" s="139" t="str">
        <x:v>Yes</x:v>
      </x:c>
      <x:c r="X19" s="139" t="n">
        <x:v>18</x:v>
      </x:c>
      <x:c r="Y19" s="139" t="n">
        <x:v>130</x:v>
      </x:c>
      <x:c r="Z19" s="139"/>
      <x:c r="AA19" s="141" t="str">
        <x:v>默认主要结论正确；未逐篇逐行 correctness check。按 SARE 原则评估，V 与 S_H 等权，并扣除当前 AI 可替代部分。</x:v>
      </x:c>
    </x:row>
    <x:row r="20" ht="44" customHeight="1">
      <x:c r="A20" s="94" t="n">
        <x:v>19</x:v>
      </x:c>
      <x:c r="B20" s="95" t="str">
        <x:v>2608.02370</x:v>
      </x:c>
      <x:c r="C20" s="95" t="str">
        <x:v>2026-08</x:v>
      </x:c>
      <x:c r="D20" s="95" t="str">
        <x:v>prior August batch</x:v>
      </x:c>
      <x:c r="E20" s="95" t="str">
        <x:v>math.DG</x:v>
      </x:c>
      <x:c r="F20" s="95" t="str">
        <x:v>minimal products / dynamics</x:v>
      </x:c>
      <x:c r="G20" s="95" t="str">
        <x:v>The Geometry and Dynamics of Spiral Minimal Products</x:v>
      </x:c>
      <x:c r="H20" s="95" t="str">
        <x:v>Haizhong Li; Yongsheng Zhang</x:v>
      </x:c>
      <x:c r="I20" s="95" t="n">
        <x:v>54</x:v>
      </x:c>
      <x:c r="J20" s="95" t="str">
        <x:v>https://arxiv.org/abs/2608.02370</x:v>
      </x:c>
      <x:c r="K20" s="95" t="str">
        <x:v>Spiral minimal products; strengthens earlier results with geometric dynamics.</x:v>
      </x:c>
      <x:c r="L20" s="95" t="n">
        <x:v>90</x:v>
      </x:c>
      <x:c r="M20" s="95" t="n">
        <x:v>89</x:v>
      </x:c>
      <x:c r="N20" s="95" t="n">
        <x:v>91</x:v>
      </x:c>
      <x:c r="O20" s="95" t="n">
        <x:v>88</x:v>
      </x:c>
      <x:c r="P20" s="95" t="n">
        <x:v>91</x:v>
      </x:c>
      <x:c r="Q20" s="95" t="n">
        <x:v>85</x:v>
      </x:c>
      <x:c r="R20" s="95" t="n">
        <x:v>13</x:v>
      </x:c>
      <x:c r="S20" s="95" t="n">
        <x:v>6</x:v>
      </x:c>
      <x:c r="T20" s="96" t="n">
        <x:v>89.25</x:v>
      </x:c>
      <x:c r="U20" s="96" t="n">
        <x:v>89.1</x:v>
      </x:c>
      <x:c r="V20" s="96" t="n">
        <x:v>89.175</x:v>
      </x:c>
      <x:c r="W20" s="95" t="str">
        <x:v>Yes</x:v>
      </x:c>
      <x:c r="X20" s="95" t="n">
        <x:v>19</x:v>
      </x:c>
      <x:c r="Y20" s="95" t="n">
        <x:v>142</x:v>
      </x:c>
      <x:c r="Z20" s="95"/>
      <x:c r="AA20" s="97" t="str">
        <x:v>默认主要结论正确；未逐篇逐行 correctness check。</x:v>
      </x:c>
    </x:row>
    <x:row r="21" ht="44" customHeight="1">
      <x:c r="A21" s="138" t="n">
        <x:v>20</x:v>
      </x:c>
      <x:c r="B21" s="139" t="str">
        <x:v>2608.02840</x:v>
      </x:c>
      <x:c r="C21" s="139" t="str">
        <x:v>2026-08</x:v>
      </x:c>
      <x:c r="D21" s="139" t="str">
        <x:v>prior August batch</x:v>
      </x:c>
      <x:c r="E21" s="139" t="str">
        <x:v>math.DG</x:v>
      </x:c>
      <x:c r="F21" s="139" t="str">
        <x:v>Ricci flow / homogeneous spaces</x:v>
      </x:c>
      <x:c r="G21" s="139" t="str">
        <x:v>Homogeneous spaces with two equivalent isotropy summands develop positive Ricci curvature under Ricci flow</x:v>
      </x:c>
      <x:c r="H21" s="139" t="str">
        <x:v>Eric Cochran; Arseny Mingajev; Lawrence Mouillé; Nazia Valiyakath</x:v>
      </x:c>
      <x:c r="I21" s="139" t="str">
        <x:v>-</x:v>
      </x:c>
      <x:c r="J21" s="139" t="str">
        <x:v>https://arxiv.org/abs/2608.02840</x:v>
      </x:c>
      <x:c r="K21" s="139" t="str">
        <x:v>Ricci-flow positivity result for homogeneous spaces.</x:v>
      </x:c>
      <x:c r="L21" s="139" t="n">
        <x:v>90</x:v>
      </x:c>
      <x:c r="M21" s="139" t="n">
        <x:v>89</x:v>
      </x:c>
      <x:c r="N21" s="139" t="n">
        <x:v>91</x:v>
      </x:c>
      <x:c r="O21" s="139" t="n">
        <x:v>88</x:v>
      </x:c>
      <x:c r="P21" s="139" t="n">
        <x:v>91</x:v>
      </x:c>
      <x:c r="Q21" s="139" t="n">
        <x:v>85</x:v>
      </x:c>
      <x:c r="R21" s="139" t="n">
        <x:v>13</x:v>
      </x:c>
      <x:c r="S21" s="139" t="n">
        <x:v>6</x:v>
      </x:c>
      <x:c r="T21" s="140" t="n">
        <x:v>89.25</x:v>
      </x:c>
      <x:c r="U21" s="140" t="n">
        <x:v>89.1</x:v>
      </x:c>
      <x:c r="V21" s="140" t="n">
        <x:v>89.175</x:v>
      </x:c>
      <x:c r="W21" s="139" t="str">
        <x:v>Yes</x:v>
      </x:c>
      <x:c r="X21" s="139" t="n">
        <x:v>20</x:v>
      </x:c>
      <x:c r="Y21" s="139" t="n">
        <x:v>143</x:v>
      </x:c>
      <x:c r="Z21" s="139"/>
      <x:c r="AA21" s="141" t="str">
        <x:v>默认主要结论正确；未逐篇逐行 correctness check。</x:v>
      </x:c>
    </x:row>
    <x:row r="22" ht="44" customHeight="1">
      <x:c r="A22" s="94" t="n">
        <x:v>21</x:v>
      </x:c>
      <x:c r="B22" s="95" t="str">
        <x:v>2608.03982</x:v>
      </x:c>
      <x:c r="C22" s="95" t="str">
        <x:v>2026-08</x:v>
      </x:c>
      <x:c r="D22" s="95" t="str">
        <x:v>prior August batch</x:v>
      </x:c>
      <x:c r="E22" s="95" t="str">
        <x:v>math.DG/math.MG</x:v>
      </x:c>
      <x:c r="F22" s="95" t="str">
        <x:v>surfaces with bounded integral curvature</x:v>
      </x:c>
      <x:c r="G22" s="95" t="str">
        <x:v>Analysis on surfaces with locally bounded integral curvature</x:v>
      </x:c>
      <x:c r="H22" s="95" t="str">
        <x:v>Sebastian Boldt; Batu Güneysu; Maxime Marot</x:v>
      </x:c>
      <x:c r="I22" s="95" t="str">
        <x:v>-</x:v>
      </x:c>
      <x:c r="J22" s="95" t="str">
        <x:v>https://arxiv.org/abs/2608.03982</x:v>
      </x:c>
      <x:c r="K22" s="95" t="str">
        <x:v>Analysis framework on surfaces with bounded integral curvature.</x:v>
      </x:c>
      <x:c r="L22" s="95" t="n">
        <x:v>90</x:v>
      </x:c>
      <x:c r="M22" s="95" t="n">
        <x:v>89</x:v>
      </x:c>
      <x:c r="N22" s="95" t="n">
        <x:v>91</x:v>
      </x:c>
      <x:c r="O22" s="95" t="n">
        <x:v>88</x:v>
      </x:c>
      <x:c r="P22" s="95" t="n">
        <x:v>91</x:v>
      </x:c>
      <x:c r="Q22" s="95" t="n">
        <x:v>85</x:v>
      </x:c>
      <x:c r="R22" s="95" t="n">
        <x:v>13</x:v>
      </x:c>
      <x:c r="S22" s="95" t="n">
        <x:v>6</x:v>
      </x:c>
      <x:c r="T22" s="96" t="n">
        <x:v>89.25</x:v>
      </x:c>
      <x:c r="U22" s="96" t="n">
        <x:v>89.1</x:v>
      </x:c>
      <x:c r="V22" s="96" t="n">
        <x:v>89.175</x:v>
      </x:c>
      <x:c r="W22" s="95" t="str">
        <x:v>Yes</x:v>
      </x:c>
      <x:c r="X22" s="95" t="n">
        <x:v>21</x:v>
      </x:c>
      <x:c r="Y22" s="95" t="n">
        <x:v>144</x:v>
      </x:c>
      <x:c r="Z22" s="95"/>
      <x:c r="AA22" s="97" t="str">
        <x:v>默认主要结论正确；未逐篇逐行 correctness check。</x:v>
      </x:c>
    </x:row>
    <x:row r="23" ht="44" customHeight="1">
      <x:c r="A23" s="138" t="n">
        <x:v>22</x:v>
      </x:c>
      <x:c r="B23" s="139" t="str">
        <x:v>2608.04729</x:v>
      </x:c>
      <x:c r="C23" s="139" t="str">
        <x:v>2026-08</x:v>
      </x:c>
      <x:c r="D23" s="139" t="str">
        <x:v>prior August batch</x:v>
      </x:c>
      <x:c r="E23" s="139" t="str">
        <x:v>math.DG</x:v>
      </x:c>
      <x:c r="F23" s="139" t="str">
        <x:v>holonomy / quartic differentials</x:v>
      </x:c>
      <x:c r="G23" s="139" t="str">
        <x:v>Holonomy Asymptotics along Quartic Differential Rays</x:v>
      </x:c>
      <x:c r="H23" s="139" t="str">
        <x:v>Weihan Ma</x:v>
      </x:c>
      <x:c r="I23" s="139" t="n">
        <x:v>75</x:v>
      </x:c>
      <x:c r="J23" s="139" t="str">
        <x:v>https://arxiv.org/abs/2608.04729</x:v>
      </x:c>
      <x:c r="K23" s="139" t="str">
        <x:v>Long holonomy asymptotics paper with higher Teichmüller/geometric content.</x:v>
      </x:c>
      <x:c r="L23" s="139" t="n">
        <x:v>90</x:v>
      </x:c>
      <x:c r="M23" s="139" t="n">
        <x:v>89</x:v>
      </x:c>
      <x:c r="N23" s="139" t="n">
        <x:v>91</x:v>
      </x:c>
      <x:c r="O23" s="139" t="n">
        <x:v>88</x:v>
      </x:c>
      <x:c r="P23" s="139" t="n">
        <x:v>91</x:v>
      </x:c>
      <x:c r="Q23" s="139" t="n">
        <x:v>85</x:v>
      </x:c>
      <x:c r="R23" s="139" t="n">
        <x:v>13</x:v>
      </x:c>
      <x:c r="S23" s="139" t="n">
        <x:v>6</x:v>
      </x:c>
      <x:c r="T23" s="140" t="n">
        <x:v>89.25</x:v>
      </x:c>
      <x:c r="U23" s="140" t="n">
        <x:v>89.1</x:v>
      </x:c>
      <x:c r="V23" s="140" t="n">
        <x:v>89.175</x:v>
      </x:c>
      <x:c r="W23" s="139" t="str">
        <x:v>No</x:v>
      </x:c>
      <x:c r="X23" s="139"/>
      <x:c r="Y23" s="139"/>
      <x:c r="Z23" s="139"/>
      <x:c r="AA23" s="141" t="str">
        <x:v>默认主要结论正确；未逐篇逐行 correctness check。</x:v>
      </x:c>
    </x:row>
    <x:row r="24" ht="44" customHeight="1">
      <x:c r="A24" s="94" t="n">
        <x:v>23</x:v>
      </x:c>
      <x:c r="B24" s="95" t="str">
        <x:v>2608.04952</x:v>
      </x:c>
      <x:c r="C24" s="95" t="str">
        <x:v>2026-08</x:v>
      </x:c>
      <x:c r="D24" s="95" t="str">
        <x:v>prior August batch</x:v>
      </x:c>
      <x:c r="E24" s="95" t="str">
        <x:v>math.DG</x:v>
      </x:c>
      <x:c r="F24" s="95" t="str">
        <x:v>Einstein metrics / harmonic maps</x:v>
      </x:c>
      <x:c r="G24" s="95" t="str">
        <x:v>Einstein Metrics and Equivariant Harmonic Maps: The Einstein Detection Principle</x:v>
      </x:c>
      <x:c r="H24" s="95" t="str">
        <x:v>Anna Siffert</x:v>
      </x:c>
      <x:c r="I24" s="95" t="str">
        <x:v>-</x:v>
      </x:c>
      <x:c r="J24" s="95" t="str">
        <x:v>https://arxiv.org/abs/2608.04952</x:v>
      </x:c>
      <x:c r="K24" s="95" t="str">
        <x:v>Equivariant harmonic map method for detecting Einstein metrics.</x:v>
      </x:c>
      <x:c r="L24" s="95" t="n">
        <x:v>90</x:v>
      </x:c>
      <x:c r="M24" s="95" t="n">
        <x:v>89</x:v>
      </x:c>
      <x:c r="N24" s="95" t="n">
        <x:v>91</x:v>
      </x:c>
      <x:c r="O24" s="95" t="n">
        <x:v>88</x:v>
      </x:c>
      <x:c r="P24" s="95" t="n">
        <x:v>91</x:v>
      </x:c>
      <x:c r="Q24" s="95" t="n">
        <x:v>85</x:v>
      </x:c>
      <x:c r="R24" s="95" t="n">
        <x:v>13</x:v>
      </x:c>
      <x:c r="S24" s="95" t="n">
        <x:v>6</x:v>
      </x:c>
      <x:c r="T24" s="96" t="n">
        <x:v>89.25</x:v>
      </x:c>
      <x:c r="U24" s="96" t="n">
        <x:v>89.1</x:v>
      </x:c>
      <x:c r="V24" s="96" t="n">
        <x:v>89.175</x:v>
      </x:c>
      <x:c r="W24" s="95" t="str">
        <x:v>No</x:v>
      </x:c>
      <x:c r="X24" s="95"/>
      <x:c r="Y24" s="95"/>
      <x:c r="Z24" s="95"/>
      <x:c r="AA24" s="97" t="str">
        <x:v>默认主要结论正确；未逐篇逐行 correctness check。</x:v>
      </x:c>
    </x:row>
    <x:row r="25" ht="44" customHeight="1">
      <x:c r="A25" s="138" t="n">
        <x:v>24</x:v>
      </x:c>
      <x:c r="B25" s="139" t="str">
        <x:v>2608.05390</x:v>
      </x:c>
      <x:c r="C25" s="139" t="str">
        <x:v>2026-08</x:v>
      </x:c>
      <x:c r="D25" s="139" t="str">
        <x:v>prior August batch</x:v>
      </x:c>
      <x:c r="E25" s="139" t="str">
        <x:v>math.MG/math.DG</x:v>
      </x:c>
      <x:c r="F25" s="139" t="str">
        <x:v>Gaussian Brunn-Minkowski</x:v>
      </x:c>
      <x:c r="G25" s="139" t="str">
        <x:v>The Brunn--Minkowski inequality for the Gaussian measure</x:v>
      </x:c>
      <x:c r="H25" s="139" t="str">
        <x:v>Kai-Wen Yang</x:v>
      </x:c>
      <x:c r="I25" s="139" t="n">
        <x:v>41</x:v>
      </x:c>
      <x:c r="J25" s="139" t="str">
        <x:v>https://arxiv.org/abs/2608.05390</x:v>
      </x:c>
      <x:c r="K25" s="139" t="str">
        <x:v>Sharp Gaussian Brunn-Minkowski exponent via radial-tangential localization and Laguerre spectral analysis.</x:v>
      </x:c>
      <x:c r="L25" s="139" t="n">
        <x:v>90</x:v>
      </x:c>
      <x:c r="M25" s="139" t="n">
        <x:v>89</x:v>
      </x:c>
      <x:c r="N25" s="139" t="n">
        <x:v>91</x:v>
      </x:c>
      <x:c r="O25" s="139" t="n">
        <x:v>88</x:v>
      </x:c>
      <x:c r="P25" s="139" t="n">
        <x:v>91</x:v>
      </x:c>
      <x:c r="Q25" s="139" t="n">
        <x:v>85</x:v>
      </x:c>
      <x:c r="R25" s="139" t="n">
        <x:v>13</x:v>
      </x:c>
      <x:c r="S25" s="139" t="n">
        <x:v>6</x:v>
      </x:c>
      <x:c r="T25" s="140" t="n">
        <x:v>89.25</x:v>
      </x:c>
      <x:c r="U25" s="140" t="n">
        <x:v>89.1</x:v>
      </x:c>
      <x:c r="V25" s="140" t="n">
        <x:v>89.175</x:v>
      </x:c>
      <x:c r="W25" s="139" t="str">
        <x:v>No</x:v>
      </x:c>
      <x:c r="X25" s="139"/>
      <x:c r="Y25" s="139"/>
      <x:c r="Z25" s="139"/>
      <x:c r="AA25" s="141" t="str">
        <x:v>元数据纠正：原表误写为 2608.03575，正确 arXiv 编号为 2608.05390。默认主要结论正确；未逐篇逐行 correctness check。</x:v>
      </x:c>
    </x:row>
    <x:row r="26" ht="44" customHeight="1">
      <x:c r="A26" s="94" t="n">
        <x:v>25</x:v>
      </x:c>
      <x:c r="B26" s="95" t="str">
        <x:v>2608.05939</x:v>
      </x:c>
      <x:c r="C26" s="95" t="str">
        <x:v>2026-08</x:v>
      </x:c>
      <x:c r="D26" s="95" t="str">
        <x:v>prior August batch</x:v>
      </x:c>
      <x:c r="E26" s="95" t="str">
        <x:v>math.DG/math.AP/math.CO</x:v>
      </x:c>
      <x:c r="F26" s="95" t="str">
        <x:v>LLY/Ollivier curvature on weighted graphs</x:v>
      </x:c>
      <x:c r="G26" s="95" t="str">
        <x:v>Equivalence of Lin--Lu--Yau curvature and 1/2-Ollivier curvature on weighted graphs</x:v>
      </x:c>
      <x:c r="H26" s="95" t="str">
        <x:v>Shiping Liu; Yunyan Yang</x:v>
      </x:c>
      <x:c r="I26" s="95" t="n">
        <x:v>9</x:v>
      </x:c>
      <x:c r="J26" s="95" t="str">
        <x:v>https://arxiv.org/abs/2608.05939</x:v>
      </x:c>
      <x:c r="K26" s="95" t="str">
        <x:v>Sharp p&gt;=1/2 equivalence and a short global existence-uniqueness proof for Lin-Lu-Yau curvature flow.</x:v>
      </x:c>
      <x:c r="L26" s="95" t="n">
        <x:v>89</x:v>
      </x:c>
      <x:c r="M26" s="95" t="n">
        <x:v>91</x:v>
      </x:c>
      <x:c r="N26" s="95" t="n">
        <x:v>88</x:v>
      </x:c>
      <x:c r="O26" s="95" t="n">
        <x:v>89</x:v>
      </x:c>
      <x:c r="P26" s="95" t="n">
        <x:v>88</x:v>
      </x:c>
      <x:c r="Q26" s="95" t="n">
        <x:v>86</x:v>
      </x:c>
      <x:c r="R26" s="95" t="n">
        <x:v>10</x:v>
      </x:c>
      <x:c r="S26" s="95" t="n">
        <x:v>6</x:v>
      </x:c>
      <x:c r="T26" s="96" t="n">
        <x:v>88.85</x:v>
      </x:c>
      <x:c r="U26" s="96" t="n">
        <x:v>88.60000000000001</x:v>
      </x:c>
      <x:c r="V26" s="96" t="n">
        <x:v>88.725</x:v>
      </x:c>
      <x:c r="W26" s="95" t="str">
        <x:v>No</x:v>
      </x:c>
      <x:c r="X26" s="95"/>
      <x:c r="Y26" s="95"/>
      <x:c r="Z26" s="95"/>
      <x:c r="AA26" s="97" t="str">
        <x:v>默认主要结论正确；未逐篇逐行 correctness check。离散微分几何补检后评分。</x:v>
      </x:c>
    </x:row>
    <x:row r="27" ht="44" customHeight="1">
      <x:c r="A27" s="138" t="n">
        <x:v>26</x:v>
      </x:c>
      <x:c r="B27" s="139" t="str">
        <x:v>2608.06935</x:v>
      </x:c>
      <x:c r="C27" s="139" t="str">
        <x:v>2026-08</x:v>
      </x:c>
      <x:c r="D27" s="139" t="str">
        <x:v>2026-08-10 new/cross-list</x:v>
      </x:c>
      <x:c r="E27" s="139" t="str">
        <x:v>math.DG</x:v>
      </x:c>
      <x:c r="F27" s="139" t="str">
        <x:v>scalar curvature / spin fill-in rigidity</x:v>
      </x:c>
      <x:c r="G27" s="139" t="str">
        <x:v>Rigidity for spin fill-ins with scalar curvature bounded from below</x:v>
      </x:c>
      <x:c r="H27" s="139" t="str">
        <x:v>Bernd Ammann; Samuel Lockman</x:v>
      </x:c>
      <x:c r="I27" s="139" t="n">
        <x:v>6</x:v>
      </x:c>
      <x:c r="J27" s="139" t="str">
        <x:v>https://arxiv.org/abs/2608.06935</x:v>
      </x:c>
      <x:c r="K27" s="139" t="str">
        <x:v>Establishes equality rigidity in the hyperspherical-radius bound for spin fill-ins, characterizing hyperbolic geodesic balls; a concise extension built on strong spinorial inputs.</x:v>
      </x:c>
      <x:c r="L27" s="139" t="n">
        <x:v>91</x:v>
      </x:c>
      <x:c r="M27" s="139" t="n">
        <x:v>89</x:v>
      </x:c>
      <x:c r="N27" s="139" t="n">
        <x:v>88</x:v>
      </x:c>
      <x:c r="O27" s="139" t="n">
        <x:v>89</x:v>
      </x:c>
      <x:c r="P27" s="139" t="n">
        <x:v>89</x:v>
      </x:c>
      <x:c r="Q27" s="139" t="n">
        <x:v>87</x:v>
      </x:c>
      <x:c r="R27" s="139" t="n">
        <x:v>15</x:v>
      </x:c>
      <x:c r="S27" s="139" t="n">
        <x:v>6</x:v>
      </x:c>
      <x:c r="T27" s="140" t="n">
        <x:v>89.14999999999999</x:v>
      </x:c>
      <x:c r="U27" s="140" t="n">
        <x:v>87.89999999999999</x:v>
      </x:c>
      <x:c r="V27" s="140" t="n">
        <x:v>88.52499999999999</x:v>
      </x:c>
      <x:c r="W27" s="139" t="str">
        <x:v>No</x:v>
      </x:c>
      <x:c r="X27" s="139"/>
      <x:c r="Y27" s="139"/>
      <x:c r="Z27" s="139"/>
      <x:c r="AA27" s="141" t="str">
        <x:v>默认主要结论正确；未逐篇逐行 correctness check。按 SARE 原则评估，V 与 S_H 等权，并扣除当前 AI 可替代部分。</x:v>
      </x:c>
    </x:row>
    <x:row r="28" ht="44" customHeight="1">
      <x:c r="A28" s="94" t="n">
        <x:v>27</x:v>
      </x:c>
      <x:c r="B28" s="95" t="str">
        <x:v>2608.07227</x:v>
      </x:c>
      <x:c r="C28" s="95" t="str">
        <x:v>2026-08</x:v>
      </x:c>
      <x:c r="D28" s="95" t="str">
        <x:v>2026-08-10 new/cross-list</x:v>
      </x:c>
      <x:c r="E28" s="95" t="str">
        <x:v>math.AT/math.DG</x:v>
      </x:c>
      <x:c r="F28" s="95" t="str">
        <x:v>multicomplexes / model categories</x:v>
      </x:c>
      <x:c r="G28" s="95" t="str">
        <x:v>Quillen equivalences for truncated multicomplexes</x:v>
      </x:c>
      <x:c r="H28" s="95" t="str">
        <x:v>Jiahao Hu</x:v>
      </x:c>
      <x:c r="I28" s="95" t="n">
        <x:v>14</x:v>
      </x:c>
      <x:c r="J28" s="95" t="str">
        <x:v>https://arxiv.org/abs/2608.07227</x:v>
      </x:c>
      <x:c r="K28" s="95" t="str">
        <x:v>Proves Quillen equivalences between successive truncations of multicomplexes and answers a model-category question relevant to comparisons between almost-complex and complex geometry.</x:v>
      </x:c>
      <x:c r="L28" s="95" t="n">
        <x:v>89</x:v>
      </x:c>
      <x:c r="M28" s="95" t="n">
        <x:v>90</x:v>
      </x:c>
      <x:c r="N28" s="95" t="n">
        <x:v>89</x:v>
      </x:c>
      <x:c r="O28" s="95" t="n">
        <x:v>88</x:v>
      </x:c>
      <x:c r="P28" s="95" t="n">
        <x:v>89</x:v>
      </x:c>
      <x:c r="Q28" s="95" t="n">
        <x:v>85</x:v>
      </x:c>
      <x:c r="R28" s="95" t="n">
        <x:v>16</x:v>
      </x:c>
      <x:c r="S28" s="95" t="n">
        <x:v>7</x:v>
      </x:c>
      <x:c r="T28" s="96" t="n">
        <x:v>88.65</x:v>
      </x:c>
      <x:c r="U28" s="96" t="n">
        <x:v>87.85</x:v>
      </x:c>
      <x:c r="V28" s="96" t="n">
        <x:v>88.25</x:v>
      </x:c>
      <x:c r="W28" s="95" t="str">
        <x:v>No</x:v>
      </x:c>
      <x:c r="X28" s="95"/>
      <x:c r="Y28" s="95"/>
      <x:c r="Z28" s="95"/>
      <x:c r="AA28" s="97" t="str">
        <x:v>默认主要结论正确；未逐篇逐行 correctness check。按 SARE 原则评估，V 与 S_H 等权，并扣除当前 AI 可替代部分。</x:v>
      </x:c>
    </x:row>
    <x:row r="29" ht="44" customHeight="1">
      <x:c r="A29" s="138" t="n">
        <x:v>28</x:v>
      </x:c>
      <x:c r="B29" s="139" t="str">
        <x:v>2608.06645</x:v>
      </x:c>
      <x:c r="C29" s="139" t="str">
        <x:v>2026-08</x:v>
      </x:c>
      <x:c r="D29" s="139" t="str">
        <x:v>2026-08-10 new/cross-list</x:v>
      </x:c>
      <x:c r="E29" s="139" t="str">
        <x:v>math.DG</x:v>
      </x:c>
      <x:c r="F29" s="139" t="str">
        <x:v>pseudo-Riemannian submanifolds / contact order</x:v>
      </x:c>
      <x:c r="G29" s="139" t="str">
        <x:v>Causal Invariance of the Contact Number of Pseudo-Riemannian Submanifolds</x:v>
      </x:c>
      <x:c r="H29" s="139" t="str">
        <x:v>Juan S. Gómez</x:v>
      </x:c>
      <x:c r="I29" s="139" t="n">
        <x:v>17</x:v>
      </x:c>
      <x:c r="J29" s="139" t="str">
        <x:v>https://arxiv.org/abs/2608.06645</x:v>
      </x:c>
      <x:c r="K29" s="139" t="str">
        <x:v>Proves that ordinary, spacelike, and timelike contact numbers agree at every finite order and gives an explicit Lorentzian contact-six example; a specialized finite-order extension.</x:v>
      </x:c>
      <x:c r="L29" s="139" t="n">
        <x:v>87</x:v>
      </x:c>
      <x:c r="M29" s="139" t="n">
        <x:v>88</x:v>
      </x:c>
      <x:c r="N29" s="139" t="n">
        <x:v>88</x:v>
      </x:c>
      <x:c r="O29" s="139" t="n">
        <x:v>86</x:v>
      </x:c>
      <x:c r="P29" s="139" t="n">
        <x:v>88</x:v>
      </x:c>
      <x:c r="Q29" s="139" t="n">
        <x:v>85</x:v>
      </x:c>
      <x:c r="R29" s="139" t="n">
        <x:v>17</x:v>
      </x:c>
      <x:c r="S29" s="139" t="n">
        <x:v>7</x:v>
      </x:c>
      <x:c r="T29" s="140" t="n">
        <x:v>87.10000000000001</x:v>
      </x:c>
      <x:c r="U29" s="140" t="n">
        <x:v>86.8</x:v>
      </x:c>
      <x:c r="V29" s="140" t="n">
        <x:v>86.95</x:v>
      </x:c>
      <x:c r="W29" s="139" t="str">
        <x:v>No</x:v>
      </x:c>
      <x:c r="X29" s="139"/>
      <x:c r="Y29" s="139"/>
      <x:c r="Z29" s="139"/>
      <x:c r="AA29" s="141" t="str">
        <x:v>默认主要结论正确；未逐篇逐行 correctness check。按 SARE 原则评估，V 与 S_H 等权，并扣除当前 AI 可替代部分。</x:v>
      </x:c>
    </x:row>
    <x:row r="30" ht="44" customHeight="1">
      <x:c r="A30" s="98" t="n">
        <x:v>29</x:v>
      </x:c>
      <x:c r="B30" s="99" t="str">
        <x:v>2608.06855</x:v>
      </x:c>
      <x:c r="C30" s="99" t="str">
        <x:v>2026-08</x:v>
      </x:c>
      <x:c r="D30" s="99" t="str">
        <x:v>2026-08-10 new/cross-list</x:v>
      </x:c>
      <x:c r="E30" s="99" t="str">
        <x:v>math.AG/math.CT/math.DG</x:v>
      </x:c>
      <x:c r="F30" s="99" t="str">
        <x:v>tangent categories / schemes</x:v>
      </x:c>
      <x:c r="G30" s="99" t="str">
        <x:v>A Deep Dive Into the Tangent Category of Schemes</x:v>
      </x:c>
      <x:c r="H30" s="99" t="str">
        <x:v>Geoff Vooys</x:v>
      </x:c>
      <x:c r="I30" s="99" t="n">
        <x:v>74</x:v>
      </x:c>
      <x:c r="J30" s="99" t="str">
        <x:v>https://arxiv.org/abs/2608.06855</x:v>
      </x:c>
      <x:c r="K30" s="99" t="str">
        <x:v>A detailed, largely expository construction of the tangent category of schemes, with an original differential-bundle reconstruction theorem; originality is discounted because most of the paper is expository.</x:v>
      </x:c>
      <x:c r="L30" s="99" t="n">
        <x:v>86</x:v>
      </x:c>
      <x:c r="M30" s="99" t="n">
        <x:v>87</x:v>
      </x:c>
      <x:c r="N30" s="99" t="n">
        <x:v>87</x:v>
      </x:c>
      <x:c r="O30" s="99" t="n">
        <x:v>90</x:v>
      </x:c>
      <x:c r="P30" s="99" t="n">
        <x:v>87</x:v>
      </x:c>
      <x:c r="Q30" s="99" t="n">
        <x:v>84</x:v>
      </x:c>
      <x:c r="R30" s="99" t="n">
        <x:v>20</x:v>
      </x:c>
      <x:c r="S30" s="99" t="n">
        <x:v>8</x:v>
      </x:c>
      <x:c r="T30" s="100" t="n">
        <x:v>86.85000000000001</x:v>
      </x:c>
      <x:c r="U30" s="100" t="n">
        <x:v>85.5</x:v>
      </x:c>
      <x:c r="V30" s="100" t="n">
        <x:v>86.17500000000001</x:v>
      </x:c>
      <x:c r="W30" s="99" t="str">
        <x:v>No</x:v>
      </x:c>
      <x:c r="X30" s="99"/>
      <x:c r="Y30" s="99"/>
      <x:c r="Z30" s="99"/>
      <x:c r="AA30" s="101" t="str">
        <x:v>默认主要结论正确；未逐篇逐行 correctness check。按 SARE 原则评估，V 与 S_H 等权，并扣除当前 AI 可替代部分。</x:v>
      </x:c>
    </x:row>
  </x:sheetData>
  <x:pageMargins left="0.7" right="0.7" top="0.75" bottom="0.75" header="0.3" footer="0.3"/>
</x:worksheet>
</file>