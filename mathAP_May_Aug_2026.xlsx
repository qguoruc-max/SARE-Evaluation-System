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9baabdf8c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统计" sheetId="1" r:id="R8a528af9f8c74cef"/>
    <x:sheet xmlns:r="http://schemas.openxmlformats.org/officeDocument/2006/relationships" name="评分口径" sheetId="2" r:id="Rd9fc51512260430e"/>
    <x:sheet xmlns:r="http://schemas.openxmlformats.org/officeDocument/2006/relationships" name="May_AP_scored" sheetId="3" r:id="R5753ce3cd2f940a9"/>
    <x:sheet xmlns:r="http://schemas.openxmlformats.org/officeDocument/2006/relationships" name="Top50" sheetId="4" r:id="R67c30f241812493c"/>
    <x:sheet xmlns:r="http://schemas.openxmlformats.org/officeDocument/2006/relationships" name="Jun_说明统计" sheetId="5" r:id="R452a60c1c8ae4ad4"/>
    <x:sheet xmlns:r="http://schemas.openxmlformats.org/officeDocument/2006/relationships" name="Jun_AP_scored30pct" sheetId="6" r:id="R337e4240ef8e419d"/>
    <x:sheet xmlns:r="http://schemas.openxmlformats.org/officeDocument/2006/relationships" name="Jun_Top50" sheetId="7" r:id="R440a17ffa34d4aa8"/>
    <x:sheet xmlns:r="http://schemas.openxmlformats.org/officeDocument/2006/relationships" name="ReScore_Summary" sheetId="8" r:id="R271710ca709d4961"/>
    <x:sheet xmlns:r="http://schemas.openxmlformats.org/officeDocument/2006/relationships" name="MultiRound_All" sheetId="9" r:id="R2b7b9d76cbbe438f"/>
    <x:sheet xmlns:r="http://schemas.openxmlformats.org/officeDocument/2006/relationships" name="Combined_Top100" sheetId="10" r:id="Rf6c9d270a8894778"/>
    <x:sheet xmlns:r="http://schemas.openxmlformats.org/officeDocument/2006/relationships" name="Top50_Recheck_Log" sheetId="11" r:id="R522cdaca1e334327"/>
    <x:sheet xmlns:r="http://schemas.openxmlformats.org/officeDocument/2006/relationships" name="Round_Rubric" sheetId="12" r:id="R14de4d09280f42ef"/>
    <x:sheet xmlns:r="http://schemas.openxmlformats.org/officeDocument/2006/relationships" name="JulAug_说明统计" sheetId="13" r:id="R3daa7290f5dd402d"/>
    <x:sheet xmlns:r="http://schemas.openxmlformats.org/officeDocument/2006/relationships" name="JulAug_Rubric" sheetId="14" r:id="Rb6f67559dbdb4848"/>
    <x:sheet xmlns:r="http://schemas.openxmlformats.org/officeDocument/2006/relationships" name="Jul_AP_scored30pct" sheetId="15" r:id="R8f40e19f809e48c8"/>
    <x:sheet xmlns:r="http://schemas.openxmlformats.org/officeDocument/2006/relationships" name="Aug_AP_scored30pct" sheetId="16" r:id="Rb5c70bccd40343bb"/>
    <x:sheet xmlns:r="http://schemas.openxmlformats.org/officeDocument/2006/relationships" name="JulAug_Top50" sheetId="17" r:id="R8093a481327f481d"/>
    <x:sheet xmlns:r="http://schemas.openxmlformats.org/officeDocument/2006/relationships" name="May_Aug_Combined_Top100" sheetId="18" r:id="R66c885d7a3a14076"/>
    <x:sheet xmlns:r="http://schemas.openxmlformats.org/officeDocument/2006/relationships" name="May_Aug_AllRank" sheetId="19" r:id="R34b298c842ec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%"/>
    <x:numFmt numFmtId="203" formatCode="0.00"/>
  </x:numFmts>
  <x:fonts count="1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b/>
      <x:sz val="9"/>
      <x:color rgb="FF1F2937"/>
      <x:name val="Carlito"/>
    </x:font>
    <x:font>
      <x:sz val="9"/>
      <x:color rgb="FF1F2937"/>
      <x:name val="Carlito"/>
    </x:font>
    <x:font>
      <x:b/>
      <x:sz val="8"/>
      <x:color rgb="FF1F2937"/>
      <x:name val="Carlito"/>
    </x:font>
    <x:font>
      <x:sz val="8"/>
      <x:color rgb="FF1F2937"/>
      <x:name val="Carlito"/>
    </x:font>
    <x:font>
      <x:b/>
      <x:sz val="9"/>
      <x:color rgb="FFFFFFFF"/>
      <x:name val="Carlito"/>
    </x:font>
    <x:font>
      <x:b/>
      <x:sz val="10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7FB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4FB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horizontal="center" vertical="top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3" fillId="8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 vertical="top" wrapText="1"/>
    </x:xf>
    <x:xf numFmtId="0" fontId="1" fillId="10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left" wrapText="1"/>
    </x:xf>
    <x:xf numFmtId="0" fontId="8" fillId="11" borderId="0" xfId="0" applyNumberFormat="1" applyFont="1" applyFill="1" applyBorder="1" applyAlignment="1">
      <x:alignment horizontal="left" wrapText="1"/>
    </x:xf>
    <x:xf numFmtId="0" fontId="7" fillId="11" borderId="0" xfId="0" applyNumberFormat="1" applyFont="1" applyFill="1" applyBorder="1" applyAlignment="1">
      <x:alignment horizontal="left" vertical="center" wrapText="1"/>
    </x:xf>
    <x:xf numFmtId="0" fontId="8" fillId="11" borderId="0" xfId="0" applyNumberFormat="1" applyFont="1" applyFill="1" applyBorder="1" applyAlignment="1">
      <x:alignment horizontal="left" vertical="center" wrapText="1"/>
    </x:xf>
    <x:xf numFmtId="0" fontId="2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left" wrapText="1"/>
    </x:xf>
    <x:xf numFmtId="0" fontId="10" fillId="12" borderId="0" xfId="0" applyNumberFormat="1" applyFont="1" applyFill="1" applyBorder="1" applyAlignment="1">
      <x:alignment horizontal="left" wrapText="1"/>
    </x:xf>
    <x:xf numFmtId="0" fontId="9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horizontal="left" vertical="center" wrapText="1"/>
    </x:xf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203" fontId="10" fillId="0" borderId="0" xfId="0" applyNumberFormat="1" applyFont="1" applyFill="1" applyBorder="1" applyAlignment="1">
      <x:alignment horizontal="center" vertical="top"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203" fontId="8" fillId="0" borderId="0" xfId="0" applyNumberFormat="1" applyFont="1" applyFill="1" applyBorder="1" applyAlignment="1">
      <x:alignment horizontal="center" vertical="top" wrapText="1"/>
    </x:xf>
    <x:xf numFmtId="201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horizontal="center" vertical="top" wrapText="1"/>
    </x:xf>
    <x:xf numFmtId="200" fontId="8" fillId="0" borderId="0" xfId="0" applyNumberFormat="1" applyFont="1" applyFill="1" applyBorder="1" applyAlignment="1">
      <x:alignment horizontal="center" vertical="top" wrapText="1"/>
    </x:xf>
    <x:xf numFmtId="0" fontId="3" fillId="10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12" fillId="10" borderId="0" xfId="0" applyNumberFormat="1" applyFont="1" applyFill="1" applyBorder="1" applyAlignment="1">
      <x:alignment horizontal="center" vertical="top" wrapText="1"/>
    </x:xf>
    <x:xf numFmtId="203" fontId="8" fillId="0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horizontal="left"/>
    </x:xf>
    <x:xf numFmtId="0" fontId="12" fillId="1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BF7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a27de2a8a495b" /><Relationship Type="http://schemas.openxmlformats.org/officeDocument/2006/relationships/theme" Target="/xl/theme/theme1.xml" Id="R855b54c85ecc4b4a" /><Relationship Type="http://schemas.openxmlformats.org/officeDocument/2006/relationships/sharedStrings" Target="/xl/sharedStrings.xml" Id="Rdc1bbc9554aa4a41" /><Relationship Type="http://schemas.openxmlformats.org/officeDocument/2006/relationships/worksheet" Target="/xl/worksheets/sheet1.xml" Id="R8a528af9f8c74cef" /><Relationship Type="http://schemas.openxmlformats.org/officeDocument/2006/relationships/worksheet" Target="/xl/worksheets/sheet2.xml" Id="Rd9fc51512260430e" /><Relationship Type="http://schemas.openxmlformats.org/officeDocument/2006/relationships/worksheet" Target="/xl/worksheets/sheet3.xml" Id="R5753ce3cd2f940a9" /><Relationship Type="http://schemas.openxmlformats.org/officeDocument/2006/relationships/worksheet" Target="/xl/worksheets/sheet4.xml" Id="R67c30f241812493c" /><Relationship Type="http://schemas.openxmlformats.org/officeDocument/2006/relationships/worksheet" Target="/xl/worksheets/sheet5.xml" Id="R452a60c1c8ae4ad4" /><Relationship Type="http://schemas.openxmlformats.org/officeDocument/2006/relationships/worksheet" Target="/xl/worksheets/sheet6.xml" Id="R337e4240ef8e419d" /><Relationship Type="http://schemas.openxmlformats.org/officeDocument/2006/relationships/worksheet" Target="/xl/worksheets/sheet7.xml" Id="R440a17ffa34d4aa8" /><Relationship Type="http://schemas.openxmlformats.org/officeDocument/2006/relationships/worksheet" Target="/xl/worksheets/sheet8.xml" Id="R271710ca709d4961" /><Relationship Type="http://schemas.openxmlformats.org/officeDocument/2006/relationships/worksheet" Target="/xl/worksheets/sheet9.xml" Id="R2b7b9d76cbbe438f" /><Relationship Type="http://schemas.openxmlformats.org/officeDocument/2006/relationships/worksheet" Target="/xl/worksheets/sheet10.xml" Id="Rf6c9d270a8894778" /><Relationship Type="http://schemas.openxmlformats.org/officeDocument/2006/relationships/worksheet" Target="/xl/worksheets/sheet11.xml" Id="R522cdaca1e334327" /><Relationship Type="http://schemas.openxmlformats.org/officeDocument/2006/relationships/worksheet" Target="/xl/worksheets/sheet12.xml" Id="R14de4d09280f42ef" /><Relationship Type="http://schemas.openxmlformats.org/officeDocument/2006/relationships/worksheet" Target="/xl/worksheets/sheet13.xml" Id="R3daa7290f5dd402d" /><Relationship Type="http://schemas.openxmlformats.org/officeDocument/2006/relationships/worksheet" Target="/xl/worksheets/sheet14.xml" Id="Rb6f67559dbdb4848" /><Relationship Type="http://schemas.openxmlformats.org/officeDocument/2006/relationships/worksheet" Target="/xl/worksheets/sheet15.xml" Id="R8f40e19f809e48c8" /><Relationship Type="http://schemas.openxmlformats.org/officeDocument/2006/relationships/worksheet" Target="/xl/worksheets/sheet16.xml" Id="Rb5c70bccd40343bb" /><Relationship Type="http://schemas.openxmlformats.org/officeDocument/2006/relationships/worksheet" Target="/xl/worksheets/sheet17.xml" Id="R8093a481327f481d" /><Relationship Type="http://schemas.openxmlformats.org/officeDocument/2006/relationships/worksheet" Target="/xl/worksheets/sheet18.xml" Id="R66c885d7a3a14076" /><Relationship Type="http://schemas.openxmlformats.org/officeDocument/2006/relationships/worksheet" Target="/xl/worksheets/sheet19.xml" Id="R34b298c842ec41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c6d9fb378140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Combined Top100 month count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Top100 count</c:v>
          </c:tx>
          <c:cat>
            <c:strRef>
              <c:f>'ReScore_Summary'!$G$2:$G$3</c:f>
              <c:strCache>
                <c:ptCount val="0"/>
              </c:strCache>
            </c:strRef>
          </c:cat>
          <c:val>
            <c:numRef>
              <c:f>'ReScore_Summary'!$H$2:$H$3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c6d9fb378140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yAPScoreTable" displayName="MayAPScoreTable" ref="A1:V93" headerRowCount="1" totalsRowCount="0" totalsRowShown="0">
  <x:tableColumns count="22">
    <x:tableColumn id="1" name="rank_formula"/>
    <x:tableColumn id="2" name="arXiv"/>
    <x:tableColumn id="3" name="month"/>
    <x:tableColumn id="4" name="AP_status"/>
    <x:tableColumn id="5" name="theme"/>
    <x:tableColumn id="6" name="title"/>
    <x:tableColumn id="7" name="authors"/>
    <x:tableColumn id="8" name="pages"/>
    <x:tableColumn id="9" name="source_url"/>
    <x:tableColumn id="10" name="screening_note"/>
    <x:tableColumn id="11" name="I"/>
    <x:tableColumn id="12" name="O"/>
    <x:tableColumn id="13" name="T"/>
    <x:tableColumn id="14" name="B"/>
    <x:tableColumn id="15" name="H"/>
    <x:tableColumn id="16" name="R"/>
    <x:tableColumn id="17" name="AI_pct"/>
    <x:tableColumn id="18" name="AI_unc"/>
    <x:tableColumn id="19" name="V"/>
    <x:tableColumn id="20" name="S_H"/>
    <x:tableColumn id="21" name="S_eq"/>
    <x:tableColumn id="22" name="Top50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50MayAPTable" displayName="Top50MayAPTable" ref="A1:V51" headerRowCount="1" totalsRowCount="0" totalsRowShown="0">
  <x:tableColumns count="22">
    <x:tableColumn id="1" name="rank_formula"/>
    <x:tableColumn id="2" name="arXiv"/>
    <x:tableColumn id="3" name="month"/>
    <x:tableColumn id="4" name="AP_status"/>
    <x:tableColumn id="5" name="theme"/>
    <x:tableColumn id="6" name="title"/>
    <x:tableColumn id="7" name="authors"/>
    <x:tableColumn id="8" name="pages"/>
    <x:tableColumn id="9" name="source_url"/>
    <x:tableColumn id="10" name="screening_note"/>
    <x:tableColumn id="11" name="I"/>
    <x:tableColumn id="12" name="O"/>
    <x:tableColumn id="13" name="T"/>
    <x:tableColumn id="14" name="B"/>
    <x:tableColumn id="15" name="H"/>
    <x:tableColumn id="16" name="R"/>
    <x:tableColumn id="17" name="AI_pct"/>
    <x:tableColumn id="18" name="AI_unc"/>
    <x:tableColumn id="19" name="V"/>
    <x:tableColumn id="20" name="S_H"/>
    <x:tableColumn id="21" name="S_eq"/>
    <x:tableColumn id="22" name="Top50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unAPScored30pct" displayName="JunAPScored30pct" ref="A1:V211" headerRowCount="1" totalsRowCount="0" totalsRowShown="0">
  <x:tableColumns count="22">
    <x:tableColumn id="1" name="arXiv"/>
    <x:tableColumn id="2" name="month"/>
    <x:tableColumn id="3" name="AP_status"/>
    <x:tableColumn id="4" name="theme"/>
    <x:tableColumn id="5" name="title"/>
    <x:tableColumn id="6" name="authors"/>
    <x:tableColumn id="7" name="pages"/>
    <x:tableColumn id="8" name="source_url"/>
    <x:tableColumn id="9" name="screening_note"/>
    <x:tableColumn id="10" name="I"/>
    <x:tableColumn id="11" name="O"/>
    <x:tableColumn id="12" name="T"/>
    <x:tableColumn id="13" name="B"/>
    <x:tableColumn id="14" name="H"/>
    <x:tableColumn id="15" name="R"/>
    <x:tableColumn id="16" name="AI_pct"/>
    <x:tableColumn id="17" name="AI_unc"/>
    <x:tableColumn id="18" name="V"/>
    <x:tableColumn id="19" name="S_H"/>
    <x:tableColumn id="20" name="S_eq"/>
    <x:tableColumn id="21" name="rank_formula"/>
    <x:tableColumn id="22" name="Top50_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unAPTop50" displayName="JunAPTop50" ref="A1:P51" headerRowCount="1" totalsRowCount="0" totalsRowShown="0">
  <x:tableColumns count="16">
    <x:tableColumn id="1" name="Rank"/>
    <x:tableColumn id="2" name="arXiv"/>
    <x:tableColumn id="3" name="Pages"/>
    <x:tableColumn id="4" name="AI%"/>
    <x:tableColumn id="5" name="I"/>
    <x:tableColumn id="6" name="O"/>
    <x:tableColumn id="7" name="T"/>
    <x:tableColumn id="8" name="B"/>
    <x:tableColumn id="9" name="H"/>
    <x:tableColumn id="10" name="R"/>
    <x:tableColumn id="11" name="V"/>
    <x:tableColumn id="12" name="S_H"/>
    <x:tableColumn id="13" name="S_eq"/>
    <x:tableColumn id="14" name="Title / Authors"/>
    <x:tableColumn id="15" name="综合判断"/>
    <x:tableColumn id="16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ultiRoundAllTable" displayName="MultiRoundAllTable" ref="A1:BI303" headerRowCount="1" totalsRowCount="0" totalsRowShown="0">
  <x:tableColumns count="61">
    <x:tableColumn id="1" name="FinalRank"/>
    <x:tableColumn id="2" name="OriginalCombinedRank"/>
    <x:tableColumn id="3" name="Month"/>
    <x:tableColumn id="4" name="OldMonthRank"/>
    <x:tableColumn id="5" name="arXiv"/>
    <x:tableColumn id="6" name="Title"/>
    <x:tableColumn id="7" name="Authors"/>
    <x:tableColumn id="8" name="Theme"/>
    <x:tableColumn id="9" name="Pages"/>
    <x:tableColumn id="10" name="SourceURL"/>
    <x:tableColumn id="11" name="Old_I"/>
    <x:tableColumn id="12" name="Old_O"/>
    <x:tableColumn id="13" name="Old_T"/>
    <x:tableColumn id="14" name="Old_B"/>
    <x:tableColumn id="15" name="Old_H"/>
    <x:tableColumn id="16" name="Old_R"/>
    <x:tableColumn id="17" name="Old_AI_pct"/>
    <x:tableColumn id="18" name="Old_AI_unc"/>
    <x:tableColumn id="19" name="Old_V"/>
    <x:tableColumn id="20" name="Old_S_H"/>
    <x:tableColumn id="21" name="Old_S_eq"/>
    <x:tableColumn id="22" name="R1_I"/>
    <x:tableColumn id="23" name="R1_O"/>
    <x:tableColumn id="24" name="R1_T"/>
    <x:tableColumn id="25" name="R1_B"/>
    <x:tableColumn id="26" name="R1_H"/>
    <x:tableColumn id="27" name="R1_R"/>
    <x:tableColumn id="28" name="R1_AI_pct"/>
    <x:tableColumn id="29" name="R1_S_eq"/>
    <x:tableColumn id="30" name="R2_I"/>
    <x:tableColumn id="31" name="R2_O"/>
    <x:tableColumn id="32" name="R2_T"/>
    <x:tableColumn id="33" name="R2_B"/>
    <x:tableColumn id="34" name="R2_H"/>
    <x:tableColumn id="35" name="R2_R"/>
    <x:tableColumn id="36" name="R2_AI_pct"/>
    <x:tableColumn id="37" name="R2_S_eq"/>
    <x:tableColumn id="38" name="R3_I"/>
    <x:tableColumn id="39" name="R3_O"/>
    <x:tableColumn id="40" name="R3_T"/>
    <x:tableColumn id="41" name="R3_B"/>
    <x:tableColumn id="42" name="R3_H"/>
    <x:tableColumn id="43" name="R3_R"/>
    <x:tableColumn id="44" name="R3_AI_pct"/>
    <x:tableColumn id="45" name="R3_S_eq"/>
    <x:tableColumn id="46" name="Final_I"/>
    <x:tableColumn id="47" name="Final_O"/>
    <x:tableColumn id="48" name="Final_T"/>
    <x:tableColumn id="49" name="Final_B"/>
    <x:tableColumn id="50" name="Final_H"/>
    <x:tableColumn id="51" name="Final_R"/>
    <x:tableColumn id="52" name="Final_AI_pct"/>
    <x:tableColumn id="53" name="Final_AI_unc"/>
    <x:tableColumn id="54" name="Final_V"/>
    <x:tableColumn id="55" name="Final_S_H"/>
    <x:tableColumn id="56" name="Final_S_eq"/>
    <x:tableColumn id="57" name="Delta_S_eq"/>
    <x:tableColumn id="58" name="Score_SD"/>
    <x:tableColumn id="59" name="Top100Flag"/>
    <x:tableColumn id="60" name="RecheckLevel"/>
    <x:tableColumn id="61" name="Recheck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binedTop100Table" displayName="CombinedTop100Table" ref="A1:X101" headerRowCount="1" totalsRowCount="0" totalsRowShown="0">
  <x:tableColumns count="24">
    <x:tableColumn id="1" name="Rank"/>
    <x:tableColumn id="2" name="Month"/>
    <x:tableColumn id="3" name="OldMonthRank"/>
    <x:tableColumn id="4" name="OldCombinedRank"/>
    <x:tableColumn id="5" name="arXiv"/>
    <x:tableColumn id="6" name="Title"/>
    <x:tableColumn id="7" name="Authors"/>
    <x:tableColumn id="8" name="Theme"/>
    <x:tableColumn id="9" name="Pages"/>
    <x:tableColumn id="10" name="Final_S_eq"/>
    <x:tableColumn id="11" name="Final_V"/>
    <x:tableColumn id="12" name="Final_S_H"/>
    <x:tableColumn id="13" name="Final_I"/>
    <x:tableColumn id="14" name="Final_O"/>
    <x:tableColumn id="15" name="Final_T"/>
    <x:tableColumn id="16" name="Final_B"/>
    <x:tableColumn id="17" name="Final_H"/>
    <x:tableColumn id="18" name="Final_R"/>
    <x:tableColumn id="19" name="Final_AI%"/>
    <x:tableColumn id="20" name="Delta_vs_old"/>
    <x:tableColumn id="21" name="Score_SD"/>
    <x:tableColumn id="22" name="RecheckLevel"/>
    <x:tableColumn id="23" name="RecheckNote"/>
    <x:tableColumn id="24" name="Source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op50RecheckLogTable" displayName="Top50RecheckLogTable" ref="A1:R103" headerRowCount="1" totalsRowCount="0" totalsRowShown="0">
  <x:tableColumns count="18">
    <x:tableColumn id="1" name="Month"/>
    <x:tableColumn id="2" name="OldMonthRank"/>
    <x:tableColumn id="3" name="OldCombinedRank"/>
    <x:tableColumn id="4" name="FinalRank"/>
    <x:tableColumn id="5" name="RankChange"/>
    <x:tableColumn id="6" name="arXiv"/>
    <x:tableColumn id="7" name="Title"/>
    <x:tableColumn id="8" name="Authors"/>
    <x:tableColumn id="9" name="Old_S_eq"/>
    <x:tableColumn id="10" name="R1_S_eq"/>
    <x:tableColumn id="11" name="R2_S_eq"/>
    <x:tableColumn id="12" name="R3_S_eq"/>
    <x:tableColumn id="13" name="Final_S_eq"/>
    <x:tableColumn id="14" name="Delta_vs_old"/>
    <x:tableColumn id="15" name="Score_SD"/>
    <x:tableColumn id="16" name="Decision"/>
    <x:tableColumn id="17" name="RecheckNote"/>
    <x:tableColumn id="18" name="Source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JulAugSummaryTable" displayName="JulAugSummaryTable" ref="A1:E10" headerRowCount="1" totalsRowCount="0" totalsRowShown="0">
  <x:tableColumns count="5">
    <x:tableColumn id="1" name="项目"/>
    <x:tableColumn id="2" name="数值"/>
    <x:tableColumn id="3" name="说明"/>
    <x:tableColumn id="4" name="公式/口径"/>
    <x:tableColumn id="5" name="来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JulAugRubricTable" displayName="JulAugRubricTable" ref="A1:C9" headerRowCount="1" totalsRowCount="0" totalsRowShown="0">
  <x:tableColumns count="3">
    <x:tableColumn id="1" name="Field"/>
    <x:tableColumn id="2" name="Meaning"/>
    <x:tableColumn id="3" name="Scale/u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JulAPScored30pct" displayName="JulAPScored30pct" ref="A1:Y222" headerRowCount="1" totalsRowCount="0" totalsRowShown="0">
  <x:tableColumns count="25">
    <x:tableColumn id="1" name="arXiv"/>
    <x:tableColumn id="2" name="month"/>
    <x:tableColumn id="3" name="AP_status"/>
    <x:tableColumn id="4" name="theme"/>
    <x:tableColumn id="5" name="title"/>
    <x:tableColumn id="6" name="authors"/>
    <x:tableColumn id="7" name="pages"/>
    <x:tableColumn id="8" name="source_url"/>
    <x:tableColumn id="9" name="screening_note"/>
    <x:tableColumn id="10" name="I"/>
    <x:tableColumn id="11" name="O"/>
    <x:tableColumn id="12" name="T"/>
    <x:tableColumn id="13" name="B"/>
    <x:tableColumn id="14" name="H"/>
    <x:tableColumn id="15" name="R"/>
    <x:tableColumn id="16" name="AI_pct"/>
    <x:tableColumn id="17" name="AI_unc"/>
    <x:tableColumn id="18" name="V"/>
    <x:tableColumn id="19" name="S_H"/>
    <x:tableColumn id="20" name="S_eq"/>
    <x:tableColumn id="21" name="rank_formula"/>
    <x:tableColumn id="22" name="exact_bibliography"/>
    <x:tableColumn id="23" name="Top50_flag"/>
    <x:tableColumn id="24" name="source_batch"/>
    <x:tableColumn id="25" name="score_comment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ugAPScored30pct" displayName="AugAPScored30pct" ref="A1:Y52" headerRowCount="1" totalsRowCount="0" totalsRowShown="0">
  <x:tableColumns count="25">
    <x:tableColumn id="1" name="arXiv"/>
    <x:tableColumn id="2" name="month"/>
    <x:tableColumn id="3" name="AP_status"/>
    <x:tableColumn id="4" name="theme"/>
    <x:tableColumn id="5" name="title"/>
    <x:tableColumn id="6" name="authors"/>
    <x:tableColumn id="7" name="pages"/>
    <x:tableColumn id="8" name="source_url"/>
    <x:tableColumn id="9" name="screening_note"/>
    <x:tableColumn id="10" name="I"/>
    <x:tableColumn id="11" name="O"/>
    <x:tableColumn id="12" name="T"/>
    <x:tableColumn id="13" name="B"/>
    <x:tableColumn id="14" name="H"/>
    <x:tableColumn id="15" name="R"/>
    <x:tableColumn id="16" name="AI_pct"/>
    <x:tableColumn id="17" name="AI_unc"/>
    <x:tableColumn id="18" name="V"/>
    <x:tableColumn id="19" name="S_H"/>
    <x:tableColumn id="20" name="S_eq"/>
    <x:tableColumn id="21" name="rank_formula"/>
    <x:tableColumn id="22" name="exact_bibliography"/>
    <x:tableColumn id="23" name="Top50_flag"/>
    <x:tableColumn id="24" name="source_batch"/>
    <x:tableColumn id="25" name="score_comment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JulAugTop50" displayName="JulAugTop50" ref="A1:S51" headerRowCount="1" totalsRowCount="0" totalsRowShown="0">
  <x:tableColumns count="19">
    <x:tableColumn id="1" name="Rank"/>
    <x:tableColumn id="2" name="Month"/>
    <x:tableColumn id="3" name="arXiv"/>
    <x:tableColumn id="4" name="Title"/>
    <x:tableColumn id="5" name="Authors"/>
    <x:tableColumn id="6" name="Theme"/>
    <x:tableColumn id="7" name="Pages"/>
    <x:tableColumn id="8" name="AI%"/>
    <x:tableColumn id="9" name="I"/>
    <x:tableColumn id="10" name="O"/>
    <x:tableColumn id="11" name="T"/>
    <x:tableColumn id="12" name="B"/>
    <x:tableColumn id="13" name="H"/>
    <x:tableColumn id="14" name="R"/>
    <x:tableColumn id="15" name="V"/>
    <x:tableColumn id="16" name="S_H"/>
    <x:tableColumn id="17" name="S_eq"/>
    <x:tableColumn id="18" name="SourceURL"/>
    <x:tableColumn id="19" name="综合判断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ayAugCombinedTop100" displayName="MayAugCombinedTop100" ref="A1:S101" headerRowCount="1" totalsRowCount="0" totalsRowShown="0">
  <x:tableColumns count="19">
    <x:tableColumn id="1" name="Rank"/>
    <x:tableColumn id="2" name="Month"/>
    <x:tableColumn id="3" name="arXiv"/>
    <x:tableColumn id="4" name="Title"/>
    <x:tableColumn id="5" name="Authors"/>
    <x:tableColumn id="6" name="Theme"/>
    <x:tableColumn id="7" name="Pages"/>
    <x:tableColumn id="8" name="Final_S_eq"/>
    <x:tableColumn id="9" name="Final_V"/>
    <x:tableColumn id="10" name="Final_S_H"/>
    <x:tableColumn id="11" name="Final_I"/>
    <x:tableColumn id="12" name="Final_O"/>
    <x:tableColumn id="13" name="Final_T"/>
    <x:tableColumn id="14" name="Final_B"/>
    <x:tableColumn id="15" name="Final_H"/>
    <x:tableColumn id="16" name="Final_R"/>
    <x:tableColumn id="17" name="Final_AI%"/>
    <x:tableColumn id="18" name="SourceURL"/>
    <x:tableColumn id="19" name="Recheck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156cc8d821b4b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c2c3b46300545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8370695f2b34b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c6b630d46974f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80680274daf54e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f238181afea243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df9cc784375845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da36696fdf484e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b41b417bfb7e4e3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a794ac9c95be462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eeb27e812d164d6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f123ac815bf143c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39f17d38029c46f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bb71d63277ef498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4" max="4" width="48" hidden="0" customWidth="1"/>
    <x:col min="5" max="5" width="30" hidden="0" customWidth="1"/>
    <x:col min="3" max="3" width="14" hidden="0" customWidth="1"/>
    <x:col min="6" max="6" width="25" hidden="0" customWidth="1"/>
    <x:col min="7" max="7" width="8" hidden="0" customWidth="1"/>
    <x:col min="8" max="8" width="10" hidden="0" customWidth="1"/>
    <x:col min="9" max="9" width="10" hidden="0" customWidth="1"/>
    <x:col min="10" max="10" width="10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30" hidden="0" customWidth="1"/>
    <x:col min="19" max="19" width="48" hidden="0" customWidth="1"/>
  </x:cols>
  <x:sheetData>
    <x:row r="1" ht="30" hidden="0" customHeight="1">
      <x:c r="A1" s="125"/>
      <x:c r="B1" s="125"/>
      <x:c r="C1" s="138"/>
      <x:c r="D1" s="85" t="str">
        <x:v>2026年5-8月 arXiv math.AP 综合 Top 100</x:v>
      </x:c>
      <x:c r="E1" s="125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</x:row>
    <x:row r="2" ht="26" hidden="0" customHeight="1">
      <x:c r="A2" s="96" t="str">
        <x:v>总排名基于5月92篇、6月210篇、7月221篇、8月51篇精评池，共574篇；May-June采用多轮复核后的 Final 分数，July-August沿用原评分。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  <x:c r="S2" s="97"/>
    </x:row>
    <x:row r="3" ht="30" hidden="0" customHeight="1">
      <x:c r="A3" s="106" t="str">
        <x:v>Top100月度分布：5月 25，6月 34，7月 31，8月 10；第100名 S_eq = 89.35。评分公式：V=0.30I+0.20O+0.25T+0.15B+0.10R；S_H=0.30H+0.20T+0.20O+0.15R+0.15(100-AI_pct)；S_eq=(V+S_H)/2。</x:v>
      </x:c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  <x:c r="Q3" s="107"/>
      <x:c r="R3" s="107"/>
      <x:c r="S3" s="107"/>
    </x:row>
    <x:row r="4" ht="6" hidden="0" customHeight="1">
      <x:c r="A4" s="13"/>
      <x:c r="B4" s="14"/>
      <x:c r="D4" s="14"/>
      <x:c r="E4" s="14"/>
    </x:row>
    <x:row r="5" ht="28" hidden="0" customHeight="1">
      <x:c r="A5" s="113" t="str">
        <x:v>OverallRank_5_8</x:v>
      </x:c>
      <x:c r="B5" s="113" t="str">
        <x:v>Month</x:v>
      </x:c>
      <x:c r="C5" s="113" t="str">
        <x:v>arXiv</x:v>
      </x:c>
      <x:c r="D5" s="113" t="str">
        <x:v>Title</x:v>
      </x:c>
      <x:c r="E5" s="113" t="str">
        <x:v>Authors</x:v>
      </x:c>
      <x:c r="F5" s="113" t="str">
        <x:v>Theme</x:v>
      </x:c>
      <x:c r="G5" s="113" t="str">
        <x:v>Pages</x:v>
      </x:c>
      <x:c r="H5" s="113" t="str">
        <x:v>Final_S_eq</x:v>
      </x:c>
      <x:c r="I5" s="113" t="str">
        <x:v>Final_V</x:v>
      </x:c>
      <x:c r="J5" s="113" t="str">
        <x:v>Final_S_H</x:v>
      </x:c>
      <x:c r="K5" s="113" t="str">
        <x:v>Final_I</x:v>
      </x:c>
      <x:c r="L5" s="113" t="str">
        <x:v>Final_O</x:v>
      </x:c>
      <x:c r="M5" s="113" t="str">
        <x:v>Final_T</x:v>
      </x:c>
      <x:c r="N5" s="113" t="str">
        <x:v>Final_B</x:v>
      </x:c>
      <x:c r="O5" s="113" t="str">
        <x:v>Final_H</x:v>
      </x:c>
      <x:c r="P5" s="113" t="str">
        <x:v>Final_R</x:v>
      </x:c>
      <x:c r="Q5" s="113" t="str">
        <x:v>Final_AI%</x:v>
      </x:c>
      <x:c r="R5" s="113" t="str">
        <x:v>SourceURL</x:v>
      </x:c>
      <x:c r="S5" s="113" t="str">
        <x:v>RecheckNote</x:v>
      </x:c>
    </x:row>
    <x:row r="6" ht="34" hidden="0" customHeight="1">
      <x:c r="A6" s="119" t="n">
        <x:v>1</x:v>
      </x:c>
      <x:c r="B6" s="120" t="str">
        <x:v>2026-06</x:v>
      </x:c>
      <x:c r="C6" s="120" t="str">
        <x:v>2606.28008</x:v>
      </x:c>
      <x:c r="D6" s="118" t="str">
        <x:v>(Non-)Linear waves on asymptotically flat spacetimes. II: trapping, bound states, nonlinear applications</x:v>
      </x:c>
      <x:c r="E6" s="118" t="str">
        <x:v>Peter Hintz</x:v>
      </x:c>
      <x:c r="F6" s="118" t="str">
        <x:v>GR/nonlinear waves</x:v>
      </x:c>
      <x:c r="G6" s="120" t="str">
        <x:v>285</x:v>
      </x:c>
      <x:c r="H6" s="121" t="n">
        <x:v>95.8</x:v>
      </x:c>
      <x:c r="I6" s="121" t="n">
        <x:v>96.17</x:v>
      </x:c>
      <x:c r="J6" s="121" t="n">
        <x:v>95.43</x:v>
      </x:c>
      <x:c r="K6" s="121" t="str">
        <x:v>99</x:v>
      </x:c>
      <x:c r="L6" s="121" t="str">
        <x:v>95.7</x:v>
      </x:c>
      <x:c r="M6" s="121" t="str">
        <x:v>99.3</x:v>
      </x:c>
      <x:c r="N6" s="121" t="str">
        <x:v>92.7</x:v>
      </x:c>
      <x:c r="O6" s="121" t="str">
        <x:v>99.1</x:v>
      </x:c>
      <x:c r="P6" s="121" t="str">
        <x:v>86</x:v>
      </x:c>
      <x:c r="Q6" s="121" t="str">
        <x:v>8</x:v>
      </x:c>
      <x:c r="R6" s="118" t="str">
        <x:v>https://arxiv.org/abs/2606.28008</x:v>
      </x:c>
      <x:c r="S6" s="118" t="str">
        <x:v>系列/续篇按重叠性校准；285页大型框架，仍为六月第一；因系列论文属性轻微压低原创性/广度。</x:v>
      </x:c>
    </x:row>
    <x:row r="7" ht="34" hidden="0" customHeight="1">
      <x:c r="A7" s="119" t="n">
        <x:v>2</x:v>
      </x:c>
      <x:c r="B7" s="120" t="str">
        <x:v>2026-05</x:v>
      </x:c>
      <x:c r="C7" s="120" t="str">
        <x:v>2605.00808</x:v>
      </x:c>
      <x:c r="D7" s="118" t="str">
        <x:v>Smooth and stable Euler implosions</x:v>
      </x:c>
      <x:c r="E7" s="118" t="str">
        <x:v>Jiajie Chen; Steve Shkoller; Vlad Vicol</x:v>
      </x:c>
      <x:c r="F7" s="118" t="str">
        <x:v>Fluid singularities / Euler</x:v>
      </x:c>
      <x:c r="G7" s="120" t="str">
        <x:v>153</x:v>
      </x:c>
      <x:c r="H7" s="121" t="n">
        <x:v>95.36</x:v>
      </x:c>
      <x:c r="I7" s="121" t="n">
        <x:v>95.98</x:v>
      </x:c>
      <x:c r="J7" s="121" t="n">
        <x:v>94.74</x:v>
      </x:c>
      <x:c r="K7" s="121" t="str">
        <x:v>99.2</x:v>
      </x:c>
      <x:c r="L7" s="121" t="str">
        <x:v>96.1</x:v>
      </x:c>
      <x:c r="M7" s="121" t="str">
        <x:v>98.3</x:v>
      </x:c>
      <x:c r="N7" s="121" t="str">
        <x:v>92.2</x:v>
      </x:c>
      <x:c r="O7" s="121" t="str">
        <x:v>98.2</x:v>
      </x:c>
      <x:c r="P7" s="121" t="str">
        <x:v>86</x:v>
      </x:c>
      <x:c r="Q7" s="121" t="str">
        <x:v>10</x:v>
      </x:c>
      <x:c r="R7" s="118" t="str">
        <x:v>https://arxiv.org/abs/2605.00808</x:v>
      </x:c>
      <x:c r="S7" s="118" t="str">
        <x:v>稳定光滑Euler implosion构造在跨月比较中保持最高层级。</x:v>
      </x:c>
    </x:row>
    <x:row r="8" ht="34" hidden="0" customHeight="1">
      <x:c r="A8" s="119" t="n">
        <x:v>3</x:v>
      </x:c>
      <x:c r="B8" s="120" t="str">
        <x:v>2026-05</x:v>
      </x:c>
      <x:c r="C8" s="120" t="str">
        <x:v>2605.15130</x:v>
      </x:c>
      <x:c r="D8" s="118" t="str">
        <x:v>Asymptotically Self-Similar Blowup for 3D Incompressible Euler with C^{1,1/3-} Velocity II: 3D Profiles, Blowup, and Limiting Behavior</x:v>
      </x:c>
      <x:c r="E8" s="118" t="str">
        <x:v>Jiajie Chen</x:v>
      </x:c>
      <x:c r="F8" s="118" t="str">
        <x:v>Fluid singularities / Euler</x:v>
      </x:c>
      <x:c r="G8" s="120" t="str">
        <x:v>133</x:v>
      </x:c>
      <x:c r="H8" s="121" t="n">
        <x:v>94.32</x:v>
      </x:c>
      <x:c r="I8" s="121" t="n">
        <x:v>94.82</x:v>
      </x:c>
      <x:c r="J8" s="121" t="n">
        <x:v>93.81</x:v>
      </x:c>
      <x:c r="K8" s="121" t="str">
        <x:v>98.1</x:v>
      </x:c>
      <x:c r="L8" s="121" t="str">
        <x:v>94.7</x:v>
      </x:c>
      <x:c r="M8" s="121" t="str">
        <x:v>97.3</x:v>
      </x:c>
      <x:c r="N8" s="121" t="str">
        <x:v>90.8</x:v>
      </x:c>
      <x:c r="O8" s="121" t="str">
        <x:v>97.2</x:v>
      </x:c>
      <x:c r="P8" s="121" t="str">
        <x:v>85</x:v>
      </x:c>
      <x:c r="Q8" s="121" t="str">
        <x:v>10</x:v>
      </x:c>
      <x:c r="R8" s="118" t="str">
        <x:v>https://arxiv.org/abs/2605.15130</x:v>
      </x:c>
      <x:c r="S8" s="118" t="str">
        <x:v>系列/续篇按重叠性校准；Part II 属于大型Euler blow-up program，略按系列重叠校准。</x:v>
      </x:c>
    </x:row>
    <x:row r="9" ht="34" hidden="0" customHeight="1">
      <x:c r="A9" s="119" t="n">
        <x:v>4</x:v>
      </x:c>
      <x:c r="B9" s="120" t="str">
        <x:v>2026-06</x:v>
      </x:c>
      <x:c r="C9" s="120" t="str">
        <x:v>2606.27658</x:v>
      </x:c>
      <x:c r="D9" s="118" t="str">
        <x:v>Constraint damping on subextremal Kerr spacetimes</x:v>
      </x:c>
      <x:c r="E9" s="118" t="str">
        <x:v>Peter Hintz</x:v>
      </x:c>
      <x:c r="F9" s="118" t="str">
        <x:v>Kerr/GR hyperbolic PDE</x:v>
      </x:c>
      <x:c r="G9" s="120" t="str">
        <x:v>100</x:v>
      </x:c>
      <x:c r="H9" s="121" t="n">
        <x:v>94.22</x:v>
      </x:c>
      <x:c r="I9" s="121" t="n">
        <x:v>94.48</x:v>
      </x:c>
      <x:c r="J9" s="121" t="n">
        <x:v>93.95</x:v>
      </x:c>
      <x:c r="K9" s="121" t="str">
        <x:v>97.1</x:v>
      </x:c>
      <x:c r="L9" s="121" t="str">
        <x:v>94</x:v>
      </x:c>
      <x:c r="M9" s="121" t="str">
        <x:v>97.2</x:v>
      </x:c>
      <x:c r="N9" s="121" t="str">
        <x:v>91</x:v>
      </x:c>
      <x:c r="O9" s="121" t="str">
        <x:v>97.2</x:v>
      </x:c>
      <x:c r="P9" s="121" t="str">
        <x:v>86</x:v>
      </x:c>
      <x:c r="Q9" s="121" t="str">
        <x:v>9</x:v>
      </x:c>
      <x:c r="R9" s="118" t="str">
        <x:v>https://arxiv.org/abs/2606.27658</x:v>
      </x:c>
      <x:c r="S9" s="118" t="str">
        <x:v>三轮复核后与原表基本一致</x:v>
      </x:c>
    </x:row>
    <x:row r="10" ht="34" customHeight="1">
      <x:c r="A10" s="120" t="n">
        <x:v>5</x:v>
      </x:c>
      <x:c r="B10" s="120" t="str">
        <x:v>2026-06</x:v>
      </x:c>
      <x:c r="C10" s="120" t="str">
        <x:v>2606.04449</x:v>
      </x:c>
      <x:c r="D10" s="118" t="str">
        <x:v>Construction of multi-bubble solutions for the energy-critical wave equation in dimension four</x:v>
      </x:c>
      <x:c r="E10" s="118" t="str">
        <x:v>Jingyuan Gu; Jacek Jendrej; Lifeng Zhao</x:v>
      </x:c>
      <x:c r="F10" s="118" t="str">
        <x:v>nonlinear wave blow-up</x:v>
      </x:c>
      <x:c r="G10" s="120" t="str">
        <x:v>90</x:v>
      </x:c>
      <x:c r="H10" s="121" t="n">
        <x:v>93.96</x:v>
      </x:c>
      <x:c r="I10" s="121" t="n">
        <x:v>94.01</x:v>
      </x:c>
      <x:c r="J10" s="121" t="n">
        <x:v>93.9</x:v>
      </x:c>
      <x:c r="K10" s="121" t="str">
        <x:v>96.1</x:v>
      </x:c>
      <x:c r="L10" s="121" t="str">
        <x:v>94</x:v>
      </x:c>
      <x:c r="M10" s="121" t="str">
        <x:v>97.1</x:v>
      </x:c>
      <x:c r="N10" s="121" t="str">
        <x:v>90</x:v>
      </x:c>
      <x:c r="O10" s="121" t="str">
        <x:v>97.1</x:v>
      </x:c>
      <x:c r="P10" s="121" t="str">
        <x:v>86</x:v>
      </x:c>
      <x:c r="Q10" s="121" t="str">
        <x:v>9</x:v>
      </x:c>
      <x:c r="R10" s="118" t="str">
        <x:v>https://arxiv.org/abs/2606.04449</x:v>
      </x:c>
      <x:c r="S10" s="118" t="str">
        <x:v>三轮复核后与原表基本一致</x:v>
      </x:c>
    </x:row>
    <x:row r="11" ht="34" customHeight="1">
      <x:c r="A11" s="120" t="n">
        <x:v>6</x:v>
      </x:c>
      <x:c r="B11" s="120" t="str">
        <x:v>2026-05</x:v>
      </x:c>
      <x:c r="C11" s="120" t="str">
        <x:v>2605.19143</x:v>
      </x:c>
      <x:c r="D11" s="118" t="str">
        <x:v>Weak cosmic censorship for the circularly symmetric Einstein-scalar field system in 2+1 dimensions</x:v>
      </x:c>
      <x:c r="E11" s="118" t="str">
        <x:v>Serban Cicortas</x:v>
      </x:c>
      <x:c r="F11" s="118" t="str">
        <x:v>Geometric hyperbolic PDE / GR</x:v>
      </x:c>
      <x:c r="G11" s="120" t="str">
        <x:v>65</x:v>
      </x:c>
      <x:c r="H11" s="121" t="n">
        <x:v>93.76</x:v>
      </x:c>
      <x:c r="I11" s="121" t="n">
        <x:v>94.27</x:v>
      </x:c>
      <x:c r="J11" s="121" t="n">
        <x:v>93.24</x:v>
      </x:c>
      <x:c r="K11" s="121" t="str">
        <x:v>98</x:v>
      </x:c>
      <x:c r="L11" s="121" t="str">
        <x:v>94.1</x:v>
      </x:c>
      <x:c r="M11" s="121" t="str">
        <x:v>96.1</x:v>
      </x:c>
      <x:c r="N11" s="121" t="str">
        <x:v>90.8</x:v>
      </x:c>
      <x:c r="O11" s="121" t="str">
        <x:v>96</x:v>
      </x:c>
      <x:c r="P11" s="121" t="str">
        <x:v>84</x:v>
      </x:c>
      <x:c r="Q11" s="121" t="str">
        <x:v>8</x:v>
      </x:c>
      <x:c r="R11" s="118" t="str">
        <x:v>https://arxiv.org/abs/2605.19143</x:v>
      </x:c>
      <x:c r="S11" s="118" t="str">
        <x:v>弱宇宙监督问题价值很高；因2+1圆对称模型范围略调低广度。</x:v>
      </x:c>
    </x:row>
    <x:row r="12" ht="34" customHeight="1">
      <x:c r="A12" s="120" t="n">
        <x:v>7</x:v>
      </x:c>
      <x:c r="B12" s="120" t="str">
        <x:v>2026-07</x:v>
      </x:c>
      <x:c r="C12" s="120" t="str">
        <x:v>2607.10686</x:v>
      </x:c>
      <x:c r="D12" s="118" t="str">
        <x:v>Singular mean-field limits via a multiscale mollification metric</x:v>
      </x:c>
      <x:c r="E12" s="118" t="str">
        <x:v>Quoc Hung Nguyen; Sylvia Serfaty</x:v>
      </x:c>
      <x:c r="F12" s="118" t="str">
        <x:v>mean-field limits / Coulomb-type PDE</x:v>
      </x:c>
      <x:c r="G12" s="120" t="n">
        <x:v>105</x:v>
      </x:c>
      <x:c r="H12" s="121" t="n">
        <x:v>93.6</x:v>
      </x:c>
      <x:c r="I12" s="121" t="n">
        <x:v>94</x:v>
      </x:c>
      <x:c r="J12" s="121" t="n">
        <x:v>93.2</x:v>
      </x:c>
      <x:c r="K12" s="121" t="n">
        <x:v>96</x:v>
      </x:c>
      <x:c r="L12" s="121" t="n">
        <x:v>94</x:v>
      </x:c>
      <x:c r="M12" s="121" t="n">
        <x:v>96</x:v>
      </x:c>
      <x:c r="N12" s="121" t="n">
        <x:v>92</x:v>
      </x:c>
      <x:c r="O12" s="121" t="n">
        <x:v>96</x:v>
      </x:c>
      <x:c r="P12" s="121" t="n">
        <x:v>86</x:v>
      </x:c>
      <x:c r="Q12" s="121" t="n">
        <x:v>10</x:v>
      </x:c>
      <x:c r="R12" s="118" t="str">
        <x:v>https://arxiv.org/abs/2607.10686</x:v>
      </x:c>
      <x:c r="S12" s="118" t="str">
        <x:v>Large-scale singular mean-field limit framework; broad PDE/probability transfer.</x:v>
      </x:c>
    </x:row>
    <x:row r="13" ht="34" customHeight="1">
      <x:c r="A13" s="120" t="n">
        <x:v>8</x:v>
      </x:c>
      <x:c r="B13" s="120" t="str">
        <x:v>2026-05</x:v>
      </x:c>
      <x:c r="C13" s="120" t="str">
        <x:v>2605.05041</x:v>
      </x:c>
      <x:c r="D13" s="118" t="str">
        <x:v>An Optimal Regularity Theory for Immersed Stable Minimal Hypersurfaces with Small Singular Set</x:v>
      </x:c>
      <x:c r="E13" s="118" t="str">
        <x:v>Paul Minter; Zhengyi Xiao</x:v>
      </x:c>
      <x:c r="F13" s="118" t="str">
        <x:v>Minimal hypersurfaces / regularity</x:v>
      </x:c>
      <x:c r="G13" s="120" t="str">
        <x:v>65</x:v>
      </x:c>
      <x:c r="H13" s="121" t="n">
        <x:v>93.19</x:v>
      </x:c>
      <x:c r="I13" s="121" t="n">
        <x:v>93.43</x:v>
      </x:c>
      <x:c r="J13" s="121" t="n">
        <x:v>92.95</x:v>
      </x:c>
      <x:c r="K13" s="121" t="str">
        <x:v>96.2</x:v>
      </x:c>
      <x:c r="L13" s="121" t="str">
        <x:v>93.1</x:v>
      </x:c>
      <x:c r="M13" s="121" t="str">
        <x:v>95.2</x:v>
      </x:c>
      <x:c r="N13" s="121" t="str">
        <x:v>90.3</x:v>
      </x:c>
      <x:c r="O13" s="121" t="str">
        <x:v>95.3</x:v>
      </x:c>
      <x:c r="P13" s="121" t="str">
        <x:v>86</x:v>
      </x:c>
      <x:c r="Q13" s="121" t="str">
        <x:v>8</x:v>
      </x:c>
      <x:c r="R13" s="118" t="str">
        <x:v>https://arxiv.org/abs/2605.05041</x:v>
      </x:c>
      <x:c r="S13" s="118" t="str">
        <x:v>小奇异集稳定极小超曲面最优正则性，跨方向影响上调。</x:v>
      </x:c>
    </x:row>
    <x:row r="14" ht="34" customHeight="1">
      <x:c r="A14" s="120" t="n">
        <x:v>9</x:v>
      </x:c>
      <x:c r="B14" s="120" t="str">
        <x:v>2026-05</x:v>
      </x:c>
      <x:c r="C14" s="120" t="str">
        <x:v>2605.15149</x:v>
      </x:c>
      <x:c r="D14" s="118" t="str">
        <x:v>Asymptotically Self-Similar Blowup for 3D Incompressible Euler with C^{1,1/3-} Velocity I: C^infty 1D Limiting Profiles</x:v>
      </x:c>
      <x:c r="E14" s="118" t="str">
        <x:v>Jiajie Chen</x:v>
      </x:c>
      <x:c r="F14" s="118" t="str">
        <x:v>Fluid singularities / Euler</x:v>
      </x:c>
      <x:c r="G14" s="120" t="str">
        <x:v>92</x:v>
      </x:c>
      <x:c r="H14" s="121" t="n">
        <x:v>93.09</x:v>
      </x:c>
      <x:c r="I14" s="121" t="n">
        <x:v>93.18</x:v>
      </x:c>
      <x:c r="J14" s="121" t="n">
        <x:v>92.99</x:v>
      </x:c>
      <x:c r="K14" s="121" t="str">
        <x:v>96</x:v>
      </x:c>
      <x:c r="L14" s="121" t="str">
        <x:v>93.6</x:v>
      </x:c>
      <x:c r="M14" s="121" t="str">
        <x:v>96.1</x:v>
      </x:c>
      <x:c r="N14" s="121" t="str">
        <x:v>87.6</x:v>
      </x:c>
      <x:c r="O14" s="121" t="str">
        <x:v>96</x:v>
      </x:c>
      <x:c r="P14" s="121" t="str">
        <x:v>85</x:v>
      </x:c>
      <x:c r="Q14" s="121" t="str">
        <x:v>10</x:v>
      </x:c>
      <x:c r="R14" s="118" t="str">
        <x:v>https://arxiv.org/abs/2605.15149</x:v>
      </x:c>
      <x:c r="S14" s="118" t="str">
        <x:v>系列/续篇按重叠性校准；Part I/1D profile component按系列重叠轻微下调。</x:v>
      </x:c>
    </x:row>
    <x:row r="15" ht="34" customHeight="1">
      <x:c r="A15" s="120" t="n">
        <x:v>10</x:v>
      </x:c>
      <x:c r="B15" s="120" t="str">
        <x:v>2026-06</x:v>
      </x:c>
      <x:c r="C15" s="120" t="str">
        <x:v>2606.00538</x:v>
      </x:c>
      <x:c r="D15" s="118" t="str">
        <x:v>Classification of blow-ups for the Alt--Phillips problem in three dimensions</x:v>
      </x:c>
      <x:c r="E15" s="118" t="str">
        <x:v>Xavier Fernandez-Real</x:v>
      </x:c>
      <x:c r="F15" s="118" t="str">
        <x:v>free boundary/regularity</x:v>
      </x:c>
      <x:c r="G15" s="120"/>
      <x:c r="H15" s="121" t="n">
        <x:v>93.05</x:v>
      </x:c>
      <x:c r="I15" s="121" t="n">
        <x:v>93.43</x:v>
      </x:c>
      <x:c r="J15" s="121" t="n">
        <x:v>92.67</x:v>
      </x:c>
      <x:c r="K15" s="121" t="str">
        <x:v>96</x:v>
      </x:c>
      <x:c r="L15" s="121" t="str">
        <x:v>93.2</x:v>
      </x:c>
      <x:c r="M15" s="121" t="str">
        <x:v>94</x:v>
      </x:c>
      <x:c r="N15" s="121" t="str">
        <x:v>91.3</x:v>
      </x:c>
      <x:c r="O15" s="121" t="str">
        <x:v>95.1</x:v>
      </x:c>
      <x:c r="P15" s="121" t="str">
        <x:v>88</x:v>
      </x:c>
      <x:c r="Q15" s="121" t="str">
        <x:v>10</x:v>
      </x:c>
      <x:c r="R15" s="118" t="str">
        <x:v>https://arxiv.org/abs/2606.00538</x:v>
      </x:c>
      <x:c r="S15" s="118" t="str">
        <x:v>三维Alt--Phillips blow-up分类保持Top层级，广度略上调。</x:v>
      </x:c>
    </x:row>
    <x:row r="16" ht="34" customHeight="1">
      <x:c r="A16" s="120" t="n">
        <x:v>11</x:v>
      </x:c>
      <x:c r="B16" s="120" t="str">
        <x:v>2026-05</x:v>
      </x:c>
      <x:c r="C16" s="120" t="str">
        <x:v>2605.20426</x:v>
      </x:c>
      <x:c r="D16" s="118" t="str">
        <x:v>Pointwise bounds and obstructions to blowup for the Landau and Boltzmann equations</x:v>
      </x:c>
      <x:c r="E16" s="118" t="str">
        <x:v>William Golding; Christopher Henderson; Luis Silvestre</x:v>
      </x:c>
      <x:c r="F16" s="118" t="str">
        <x:v>Kinetic PDE</x:v>
      </x:c>
      <x:c r="G16" s="120" t="str">
        <x:v>23</x:v>
      </x:c>
      <x:c r="H16" s="121" t="n">
        <x:v>92.8</x:v>
      </x:c>
      <x:c r="I16" s="121" t="n">
        <x:v>93.32</x:v>
      </x:c>
      <x:c r="J16" s="121" t="n">
        <x:v>92.28</x:v>
      </x:c>
      <x:c r="K16" s="121" t="str">
        <x:v>96.3</x:v>
      </x:c>
      <x:c r="L16" s="121" t="str">
        <x:v>93.1</x:v>
      </x:c>
      <x:c r="M16" s="121" t="str">
        <x:v>94.3</x:v>
      </x:c>
      <x:c r="N16" s="121" t="str">
        <x:v>90.2</x:v>
      </x:c>
      <x:c r="O16" s="121" t="str">
        <x:v>94.2</x:v>
      </x:c>
      <x:c r="P16" s="121" t="str">
        <x:v>87</x:v>
      </x:c>
      <x:c r="Q16" s="121" t="str">
        <x:v>10.1</x:v>
      </x:c>
      <x:c r="R16" s="118" t="str">
        <x:v>https://arxiv.org/abs/2605.20426</x:v>
      </x:c>
      <x:c r="S16" s="118" t="str">
        <x:v>Landau/Boltzmann blow-up obstruction的可迁移估计价值上调。</x:v>
      </x:c>
    </x:row>
    <x:row r="17" ht="34" customHeight="1">
      <x:c r="A17" s="120" t="n">
        <x:v>12</x:v>
      </x:c>
      <x:c r="B17" s="120" t="str">
        <x:v>2026-08</x:v>
      </x:c>
      <x:c r="C17" s="120" t="str">
        <x:v>2608.00802</x:v>
      </x:c>
      <x:c r="D17" s="118" t="str">
        <x:v>Counterexamples to Landis' conjecture in dimensions three and higher</x:v>
      </x:c>
      <x:c r="E17" s="118" t="str">
        <x:v>Rupert L. Frank; Paata Ivanisvili</x:v>
      </x:c>
      <x:c r="F17" s="118" t="str">
        <x:v>unique continuation/counterexamples</x:v>
      </x:c>
      <x:c r="G17" s="120" t="n">
        <x:v>34</x:v>
      </x:c>
      <x:c r="H17" s="121" t="n">
        <x:v>92.65</x:v>
      </x:c>
      <x:c r="I17" s="121" t="n">
        <x:v>93</x:v>
      </x:c>
      <x:c r="J17" s="121" t="n">
        <x:v>92.3</x:v>
      </x:c>
      <x:c r="K17" s="121" t="n">
        <x:v>95</x:v>
      </x:c>
      <x:c r="L17" s="121" t="n">
        <x:v>94</x:v>
      </x:c>
      <x:c r="M17" s="121" t="n">
        <x:v>93</x:v>
      </x:c>
      <x:c r="N17" s="121" t="n">
        <x:v>91</x:v>
      </x:c>
      <x:c r="O17" s="121" t="n">
        <x:v>93</x:v>
      </x:c>
      <x:c r="P17" s="121" t="n">
        <x:v>88</x:v>
      </x:c>
      <x:c r="Q17" s="121" t="n">
        <x:v>8</x:v>
      </x:c>
      <x:c r="R17" s="118" t="str">
        <x:v>https://arxiv.org/abs/2608.00802</x:v>
      </x:c>
      <x:c r="S17" s="118" t="str">
        <x:v>Major counterexample to a famous unique-continuation conjecture; concise and high impact.</x:v>
      </x:c>
    </x:row>
    <x:row r="18" ht="34" customHeight="1">
      <x:c r="A18" s="120" t="n">
        <x:v>13</x:v>
      </x:c>
      <x:c r="B18" s="120" t="str">
        <x:v>2026-06</x:v>
      </x:c>
      <x:c r="C18" s="120" t="str">
        <x:v>2606.01331</x:v>
      </x:c>
      <x:c r="D18" s="118" t="str">
        <x:v>Sharp H_x^s Ill-posedness of the Hard-sphere Boltzmann Equation</x:v>
      </x:c>
      <x:c r="E18" s="118" t="str">
        <x:v>Xuwen Chen; Yan Guo; Shunlin Shen; Zhifei Zhang</x:v>
      </x:c>
      <x:c r="F18" s="118" t="str">
        <x:v>kinetic PDE</x:v>
      </x:c>
      <x:c r="G18" s="120"/>
      <x:c r="H18" s="121" t="n">
        <x:v>92.55</x:v>
      </x:c>
      <x:c r="I18" s="121" t="n">
        <x:v>92.7</x:v>
      </x:c>
      <x:c r="J18" s="121" t="n">
        <x:v>92.4</x:v>
      </x:c>
      <x:c r="K18" s="121" t="str">
        <x:v>95.1</x:v>
      </x:c>
      <x:c r="L18" s="121" t="str">
        <x:v>92.1</x:v>
      </x:c>
      <x:c r="M18" s="121" t="str">
        <x:v>95.1</x:v>
      </x:c>
      <x:c r="N18" s="121" t="str">
        <x:v>89.2</x:v>
      </x:c>
      <x:c r="O18" s="121" t="str">
        <x:v>95.2</x:v>
      </x:c>
      <x:c r="P18" s="121" t="str">
        <x:v>86</x:v>
      </x:c>
      <x:c r="Q18" s="121" t="str">
        <x:v>10</x:v>
      </x:c>
      <x:c r="R18" s="118" t="str">
        <x:v>https://arxiv.org/abs/2606.01331</x:v>
      </x:c>
      <x:c r="S18" s="118" t="str">
        <x:v>三轮复核后与原表基本一致</x:v>
      </x:c>
    </x:row>
    <x:row r="19" ht="34" customHeight="1">
      <x:c r="A19" s="120" t="n">
        <x:v>14</x:v>
      </x:c>
      <x:c r="B19" s="120" t="str">
        <x:v>2026-06</x:v>
      </x:c>
      <x:c r="C19" s="120" t="str">
        <x:v>2606.12192</x:v>
      </x:c>
      <x:c r="D19" s="118" t="str">
        <x:v>A Generalized Framework for L^r Convex Integration and its Application to Geophysical Models</x:v>
      </x:c>
      <x:c r="E19" s="118" t="str">
        <x:v>Daniel W. Boutros; Simon Markfelder; Edriss S. Titi</x:v>
      </x:c>
      <x:c r="F19" s="118" t="str">
        <x:v>convex integration/geophysical PDE</x:v>
      </x:c>
      <x:c r="G19" s="120" t="str">
        <x:v>90</x:v>
      </x:c>
      <x:c r="H19" s="121" t="n">
        <x:v>92.45</x:v>
      </x:c>
      <x:c r="I19" s="121" t="n">
        <x:v>92.58</x:v>
      </x:c>
      <x:c r="J19" s="121" t="n">
        <x:v>92.31</x:v>
      </x:c>
      <x:c r="K19" s="121" t="str">
        <x:v>94</x:v>
      </x:c>
      <x:c r="L19" s="121" t="str">
        <x:v>93.3</x:v>
      </x:c>
      <x:c r="M19" s="121" t="str">
        <x:v>95.1</x:v>
      </x:c>
      <x:c r="N19" s="121" t="str">
        <x:v>90.3</x:v>
      </x:c>
      <x:c r="O19" s="121" t="str">
        <x:v>95.1</x:v>
      </x:c>
      <x:c r="P19" s="121" t="str">
        <x:v>84</x:v>
      </x:c>
      <x:c r="Q19" s="121" t="str">
        <x:v>10</x:v>
      </x:c>
      <x:c r="R19" s="118" t="str">
        <x:v>https://arxiv.org/abs/2606.12192</x:v>
      </x:c>
      <x:c r="S19" s="118" t="str">
        <x:v>convex integration general framework 有广度，略上调。</x:v>
      </x:c>
    </x:row>
    <x:row r="20" ht="34" customHeight="1">
      <x:c r="A20" s="120" t="n">
        <x:v>15</x:v>
      </x:c>
      <x:c r="B20" s="120" t="str">
        <x:v>2026-05</x:v>
      </x:c>
      <x:c r="C20" s="120" t="str">
        <x:v>2605.24200</x:v>
      </x:c>
      <x:c r="D20" s="118" t="str">
        <x:v>Refined asymptotics of the steady Navier Stokes equation around small Landau solutions</x:v>
      </x:c>
      <x:c r="E20" s="118" t="str">
        <x:v>Hao Jia; Vladimir Sverak</x:v>
      </x:c>
      <x:c r="F20" s="118" t="str">
        <x:v>Navier-Stokes / asymptotics</x:v>
      </x:c>
      <x:c r="G20" s="120" t="str">
        <x:v>50</x:v>
      </x:c>
      <x:c r="H20" s="121" t="n">
        <x:v>92.13</x:v>
      </x:c>
      <x:c r="I20" s="121" t="n">
        <x:v>92.25</x:v>
      </x:c>
      <x:c r="J20" s="121" t="n">
        <x:v>92</x:v>
      </x:c>
      <x:c r="K20" s="121" t="str">
        <x:v>95</x:v>
      </x:c>
      <x:c r="L20" s="121" t="str">
        <x:v>91.1</x:v>
      </x:c>
      <x:c r="M20" s="121" t="str">
        <x:v>94.1</x:v>
      </x:c>
      <x:c r="N20" s="121" t="str">
        <x:v>88</x:v>
      </x:c>
      <x:c r="O20" s="121" t="str">
        <x:v>94.2</x:v>
      </x:c>
      <x:c r="P20" s="121" t="str">
        <x:v>88</x:v>
      </x:c>
      <x:c r="Q20" s="121" t="str">
        <x:v>10</x:v>
      </x:c>
      <x:c r="R20" s="118" t="str">
        <x:v>https://arxiv.org/abs/2605.24200</x:v>
      </x:c>
      <x:c r="S20" s="118" t="str">
        <x:v>范围偏专门，广度轻微回调</x:v>
      </x:c>
    </x:row>
    <x:row r="21" ht="34" customHeight="1">
      <x:c r="A21" s="120" t="n">
        <x:v>16</x:v>
      </x:c>
      <x:c r="B21" s="120" t="str">
        <x:v>2026-06</x:v>
      </x:c>
      <x:c r="C21" s="120" t="str">
        <x:v>2606.01359</x:v>
      </x:c>
      <x:c r="D21" s="118" t="str">
        <x:v>Intrinsic Schauder estimates at nearly linear growth</x:v>
      </x:c>
      <x:c r="E21" s="118" t="str">
        <x:v>Cristiana De Filippis; Filomena De Filippis; Peter Hasto</x:v>
      </x:c>
      <x:c r="F21" s="118" t="str">
        <x:v>regularity theory</x:v>
      </x:c>
      <x:c r="G21" s="120" t="str">
        <x:v>42</x:v>
      </x:c>
      <x:c r="H21" s="121" t="n">
        <x:v>92.08</x:v>
      </x:c>
      <x:c r="I21" s="121" t="n">
        <x:v>92.26</x:v>
      </x:c>
      <x:c r="J21" s="121" t="n">
        <x:v>91.89</x:v>
      </x:c>
      <x:c r="K21" s="121" t="str">
        <x:v>94.1</x:v>
      </x:c>
      <x:c r="L21" s="121" t="str">
        <x:v>91.3</x:v>
      </x:c>
      <x:c r="M21" s="121" t="str">
        <x:v>94.1</x:v>
      </x:c>
      <x:c r="N21" s="121" t="str">
        <x:v>90.3</x:v>
      </x:c>
      <x:c r="O21" s="121" t="str">
        <x:v>94.2</x:v>
      </x:c>
      <x:c r="P21" s="121" t="str">
        <x:v>87</x:v>
      </x:c>
      <x:c r="Q21" s="121" t="str">
        <x:v>10</x:v>
      </x:c>
      <x:c r="R21" s="118" t="str">
        <x:v>https://arxiv.org/abs/2606.01359</x:v>
      </x:c>
      <x:c r="S21" s="118" t="str">
        <x:v>nearly linear growth Schauder估计可迁移性强，略上调。</x:v>
      </x:c>
    </x:row>
    <x:row r="22" ht="34" customHeight="1">
      <x:c r="A22" s="120" t="n">
        <x:v>17</x:v>
      </x:c>
      <x:c r="B22" s="120" t="str">
        <x:v>2026-05</x:v>
      </x:c>
      <x:c r="C22" s="120" t="str">
        <x:v>2605.02561</x:v>
      </x:c>
      <x:c r="D22" s="118" t="str">
        <x:v>Quantitative homogenization of elliptic equations with infinitely many scales</x:v>
      </x:c>
      <x:c r="E22" s="118" t="str">
        <x:v>Zhongwei Shen; Yao Xu; Jinping Zhuge</x:v>
      </x:c>
      <x:c r="F22" s="118" t="str">
        <x:v>Homogenization</x:v>
      </x:c>
      <x:c r="G22" s="120" t="str">
        <x:v>57</x:v>
      </x:c>
      <x:c r="H22" s="121" t="n">
        <x:v>92.07</x:v>
      </x:c>
      <x:c r="I22" s="121" t="n">
        <x:v>92.6</x:v>
      </x:c>
      <x:c r="J22" s="121" t="n">
        <x:v>91.55</x:v>
      </x:c>
      <x:c r="K22" s="121" t="str">
        <x:v>94</x:v>
      </x:c>
      <x:c r="L22" s="121" t="str">
        <x:v>92.1</x:v>
      </x:c>
      <x:c r="M22" s="121" t="str">
        <x:v>94</x:v>
      </x:c>
      <x:c r="N22" s="121" t="str">
        <x:v>91.2</x:v>
      </x:c>
      <x:c r="O22" s="121" t="str">
        <x:v>93.1</x:v>
      </x:c>
      <x:c r="P22" s="121" t="str">
        <x:v>88</x:v>
      </x:c>
      <x:c r="Q22" s="121" t="str">
        <x:v>12</x:v>
      </x:c>
      <x:c r="R22" s="118" t="str">
        <x:v>https://arxiv.org/abs/2605.02561</x:v>
      </x:c>
      <x:c r="S22" s="118" t="str">
        <x:v>三轮复核后与原表基本一致</x:v>
      </x:c>
    </x:row>
    <x:row r="23" ht="34" customHeight="1">
      <x:c r="A23" s="120" t="n">
        <x:v>18</x:v>
      </x:c>
      <x:c r="B23" s="120" t="str">
        <x:v>2026-08</x:v>
      </x:c>
      <x:c r="C23" s="120" t="str">
        <x:v>2608.00268</x:v>
      </x:c>
      <x:c r="D23" s="118" t="str">
        <x:v>A good commutator approach to global asymptotics for Schrodinger equation with variable coefficients</x:v>
      </x:c>
      <x:c r="E23" s="118" t="str">
        <x:v>Sung-Jin Oh; Federico Pasqualotto; Ning Tang</x:v>
      </x:c>
      <x:c r="F23" s="118" t="str">
        <x:v>Schrodinger asymptotics</x:v>
      </x:c>
      <x:c r="G23" s="120" t="n">
        <x:v>68</x:v>
      </x:c>
      <x:c r="H23" s="121" t="n">
        <x:v>92</x:v>
      </x:c>
      <x:c r="I23" s="121" t="n">
        <x:v>92.2</x:v>
      </x:c>
      <x:c r="J23" s="121" t="n">
        <x:v>91.8</x:v>
      </x:c>
      <x:c r="K23" s="121" t="n">
        <x:v>94</x:v>
      </x:c>
      <x:c r="L23" s="121" t="n">
        <x:v>92</x:v>
      </x:c>
      <x:c r="M23" s="121" t="n">
        <x:v>94</x:v>
      </x:c>
      <x:c r="N23" s="121" t="n">
        <x:v>90</x:v>
      </x:c>
      <x:c r="O23" s="121" t="n">
        <x:v>94</x:v>
      </x:c>
      <x:c r="P23" s="121" t="n">
        <x:v>86</x:v>
      </x:c>
      <x:c r="Q23" s="121" t="n">
        <x:v>10</x:v>
      </x:c>
      <x:c r="R23" s="118" t="str">
        <x:v>https://arxiv.org/abs/2608.00268</x:v>
      </x:c>
      <x:c r="S23" s="118" t="str">
        <x:v>Long global asymptotic analysis by leading dispersive/PDE authors.</x:v>
      </x:c>
    </x:row>
    <x:row r="24" ht="34" customHeight="1">
      <x:c r="A24" s="120" t="n">
        <x:v>19</x:v>
      </x:c>
      <x:c r="B24" s="120" t="str">
        <x:v>2026-05</x:v>
      </x:c>
      <x:c r="C24" s="120" t="str">
        <x:v>2605.28677</x:v>
      </x:c>
      <x:c r="D24" s="118" t="str">
        <x:v>Weak universality for stochastic reaction-diffusion models with long-range correlated noise</x:v>
      </x:c>
      <x:c r="E24" s="118" t="str">
        <x:v>Simon Gabriel; Markus Tempelmayr</x:v>
      </x:c>
      <x:c r="F24" s="118" t="str">
        <x:v>Singular stochastic PDE</x:v>
      </x:c>
      <x:c r="G24" s="120" t="str">
        <x:v>66</x:v>
      </x:c>
      <x:c r="H24" s="121" t="n">
        <x:v>91.98</x:v>
      </x:c>
      <x:c r="I24" s="121" t="n">
        <x:v>92.4</x:v>
      </x:c>
      <x:c r="J24" s="121" t="n">
        <x:v>91.55</x:v>
      </x:c>
      <x:c r="K24" s="121" t="str">
        <x:v>94</x:v>
      </x:c>
      <x:c r="L24" s="121" t="str">
        <x:v>92.1</x:v>
      </x:c>
      <x:c r="M24" s="121" t="str">
        <x:v>94</x:v>
      </x:c>
      <x:c r="N24" s="121" t="str">
        <x:v>91.2</x:v>
      </x:c>
      <x:c r="O24" s="121" t="str">
        <x:v>94.1</x:v>
      </x:c>
      <x:c r="P24" s="121" t="str">
        <x:v>86</x:v>
      </x:c>
      <x:c r="Q24" s="121" t="str">
        <x:v>12</x:v>
      </x:c>
      <x:c r="R24" s="118" t="str">
        <x:v>https://arxiv.org/abs/2605.28677</x:v>
      </x:c>
      <x:c r="S24" s="118" t="str">
        <x:v>三轮复核后与原表基本一致</x:v>
      </x:c>
    </x:row>
    <x:row r="25" ht="34" customHeight="1">
      <x:c r="A25" s="120" t="n">
        <x:v>20</x:v>
      </x:c>
      <x:c r="B25" s="120" t="str">
        <x:v>2026-05</x:v>
      </x:c>
      <x:c r="C25" s="120" t="str">
        <x:v>2605.02058</x:v>
      </x:c>
      <x:c r="D25" s="118" t="str">
        <x:v>Quantitative Estimates for Mean-Field Limits and Correlation Functions through a Duality Framework</x:v>
      </x:c>
      <x:c r="E25" s="118" t="str">
        <x:v>Nadia Khoury; Pierre-Emmanuel Jabin</x:v>
      </x:c>
      <x:c r="F25" s="118" t="str">
        <x:v>Mean-field limits</x:v>
      </x:c>
      <x:c r="G25" s="120" t="str">
        <x:v>42</x:v>
      </x:c>
      <x:c r="H25" s="121" t="n">
        <x:v>91.9</x:v>
      </x:c>
      <x:c r="I25" s="121" t="n">
        <x:v>92.4</x:v>
      </x:c>
      <x:c r="J25" s="121" t="n">
        <x:v>91.4</x:v>
      </x:c>
      <x:c r="K25" s="121" t="str">
        <x:v>94.1</x:v>
      </x:c>
      <x:c r="L25" s="121" t="str">
        <x:v>92.1</x:v>
      </x:c>
      <x:c r="M25" s="121" t="str">
        <x:v>93.1</x:v>
      </x:c>
      <x:c r="N25" s="121" t="str">
        <x:v>91.2</x:v>
      </x:c>
      <x:c r="O25" s="121" t="str">
        <x:v>93.2</x:v>
      </x:c>
      <x:c r="P25" s="121" t="str">
        <x:v>88</x:v>
      </x:c>
      <x:c r="Q25" s="121" t="str">
        <x:v>12</x:v>
      </x:c>
      <x:c r="R25" s="118" t="str">
        <x:v>https://arxiv.org/abs/2605.02058</x:v>
      </x:c>
      <x:c r="S25" s="118" t="str">
        <x:v>三轮复核后与原表基本一致</x:v>
      </x:c>
    </x:row>
    <x:row r="26" ht="34" customHeight="1">
      <x:c r="A26" s="120" t="n">
        <x:v>21</x:v>
      </x:c>
      <x:c r="B26" s="120" t="str">
        <x:v>2026-07</x:v>
      </x:c>
      <x:c r="C26" s="120" t="str">
        <x:v>2607.00891</x:v>
      </x:c>
      <x:c r="D26" s="118" t="str">
        <x:v>Low-regularity a priori estimates, blow-up criterion, and self-intersection singularities for free-boundary ideal magnetohydrodynamics with surface tension</x:v>
      </x:c>
      <x:c r="E26" s="118" t="str">
        <x:v>Tao Luo; Siqi Yang</x:v>
      </x:c>
      <x:c r="F26" s="118" t="str">
        <x:v>free-boundary MHD</x:v>
      </x:c>
      <x:c r="G26" s="120" t="n">
        <x:v>48</x:v>
      </x:c>
      <x:c r="H26" s="121" t="n">
        <x:v>91.9</x:v>
      </x:c>
      <x:c r="I26" s="121" t="n">
        <x:v>92</x:v>
      </x:c>
      <x:c r="J26" s="121" t="n">
        <x:v>91.8</x:v>
      </x:c>
      <x:c r="K26" s="121" t="n">
        <x:v>94</x:v>
      </x:c>
      <x:c r="L26" s="121" t="n">
        <x:v>91</x:v>
      </x:c>
      <x:c r="M26" s="121" t="n">
        <x:v>95</x:v>
      </x:c>
      <x:c r="N26" s="121" t="n">
        <x:v>89</x:v>
      </x:c>
      <x:c r="O26" s="121" t="n">
        <x:v>95</x:v>
      </x:c>
      <x:c r="P26" s="121" t="n">
        <x:v>85</x:v>
      </x:c>
      <x:c r="Q26" s="121" t="n">
        <x:v>11</x:v>
      </x:c>
      <x:c r="R26" s="118" t="str">
        <x:v>https://arxiv.org/abs/2607.00891</x:v>
      </x:c>
      <x:c r="S26" s="118" t="str">
        <x:v>Difficult free-boundary MHD estimates and singularity criteria.</x:v>
      </x:c>
    </x:row>
    <x:row r="27" ht="34" customHeight="1">
      <x:c r="A27" s="120" t="n">
        <x:v>22</x:v>
      </x:c>
      <x:c r="B27" s="120" t="str">
        <x:v>2026-07</x:v>
      </x:c>
      <x:c r="C27" s="120" t="str">
        <x:v>2607.15256</x:v>
      </x:c>
      <x:c r="D27" s="118" t="str">
        <x:v>Analytic finite-rank corrections for singularly weighted estimates in a computer-assisted proof of 3D Euler singularity</x:v>
      </x:c>
      <x:c r="E27" s="118" t="str">
        <x:v>Jiajie Chen; Thomas Y. Hou</x:v>
      </x:c>
      <x:c r="F27" s="118" t="str">
        <x:v>Euler singularity / computer-assisted analysis</x:v>
      </x:c>
      <x:c r="G27" s="120" t="n">
        <x:v>24</x:v>
      </x:c>
      <x:c r="H27" s="121" t="n">
        <x:v>91.78</x:v>
      </x:c>
      <x:c r="I27" s="121" t="n">
        <x:v>92.95</x:v>
      </x:c>
      <x:c r="J27" s="121" t="n">
        <x:v>90.6</x:v>
      </x:c>
      <x:c r="K27" s="121" t="n">
        <x:v>95</x:v>
      </x:c>
      <x:c r="L27" s="121" t="n">
        <x:v>94</x:v>
      </x:c>
      <x:c r="M27" s="121" t="n">
        <x:v>95</x:v>
      </x:c>
      <x:c r="N27" s="121" t="n">
        <x:v>90</x:v>
      </x:c>
      <x:c r="O27" s="121" t="n">
        <x:v>95</x:v>
      </x:c>
      <x:c r="P27" s="121" t="n">
        <x:v>84</x:v>
      </x:c>
      <x:c r="Q27" s="121" t="n">
        <x:v>22</x:v>
      </x:c>
      <x:c r="R27" s="118" t="str">
        <x:v>https://arxiv.org/abs/2607.15256</x:v>
      </x:c>
      <x:c r="S27" s="118" t="str">
        <x:v>Major correction/certification component in 3D Euler singularity program; high value but partly computational.</x:v>
      </x:c>
    </x:row>
    <x:row r="28" ht="34" customHeight="1">
      <x:c r="A28" s="120" t="n">
        <x:v>23</x:v>
      </x:c>
      <x:c r="B28" s="120" t="str">
        <x:v>2026-05</x:v>
      </x:c>
      <x:c r="C28" s="120" t="str">
        <x:v>2605.24443</x:v>
      </x:c>
      <x:c r="D28" s="118" t="str">
        <x:v>A dimension-free interpolation of Caffarelli's contraction theorem</x:v>
      </x:c>
      <x:c r="E28" s="118" t="str">
        <x:v>Bader Ammari; Alessio Figalli</x:v>
      </x:c>
      <x:c r="F28" s="118" t="str">
        <x:v>Optimal transport / convexity</x:v>
      </x:c>
      <x:c r="G28" s="120"/>
      <x:c r="H28" s="121" t="n">
        <x:v>91.77</x:v>
      </x:c>
      <x:c r="I28" s="121" t="n">
        <x:v>92.12</x:v>
      </x:c>
      <x:c r="J28" s="121" t="n">
        <x:v>91.42</x:v>
      </x:c>
      <x:c r="K28" s="121" t="str">
        <x:v>93.2</x:v>
      </x:c>
      <x:c r="L28" s="121" t="str">
        <x:v>93.3</x:v>
      </x:c>
      <x:c r="M28" s="121" t="str">
        <x:v>92</x:v>
      </x:c>
      <x:c r="N28" s="121" t="str">
        <x:v>91.3</x:v>
      </x:c>
      <x:c r="O28" s="121" t="str">
        <x:v>92.2</x:v>
      </x:c>
      <x:c r="P28" s="121" t="str">
        <x:v>88</x:v>
      </x:c>
      <x:c r="Q28" s="121" t="str">
        <x:v>10</x:v>
      </x:c>
      <x:c r="R28" s="118" t="str">
        <x:v>https://arxiv.org/abs/2605.24443</x:v>
      </x:c>
      <x:c r="S28" s="118" t="str">
        <x:v>dimension-free Caffarelli contraction interpolation 的概念价值上调。</x:v>
      </x:c>
    </x:row>
    <x:row r="29" ht="34" customHeight="1">
      <x:c r="A29" s="120" t="n">
        <x:v>24</x:v>
      </x:c>
      <x:c r="B29" s="120" t="str">
        <x:v>2026-06</x:v>
      </x:c>
      <x:c r="C29" s="120" t="str">
        <x:v>2606.03680</x:v>
      </x:c>
      <x:c r="D29" s="118" t="str">
        <x:v>Global regularity of the 2D fractional Boussinesq equations with subcritical dissipation</x:v>
      </x:c>
      <x:c r="E29" s="118" t="str">
        <x:v>Atanas Stefanov; Jiahong Wu; Xiaojing Xu; Zhuan Ye</x:v>
      </x:c>
      <x:c r="F29" s="118" t="str">
        <x:v>fluid regularity</x:v>
      </x:c>
      <x:c r="G29" s="120" t="str">
        <x:v>43</x:v>
      </x:c>
      <x:c r="H29" s="121" t="n">
        <x:v>91.7</x:v>
      </x:c>
      <x:c r="I29" s="121" t="n">
        <x:v>91.74</x:v>
      </x:c>
      <x:c r="J29" s="121" t="n">
        <x:v>91.65</x:v>
      </x:c>
      <x:c r="K29" s="121" t="str">
        <x:v>94</x:v>
      </x:c>
      <x:c r="L29" s="121" t="str">
        <x:v>91.1</x:v>
      </x:c>
      <x:c r="M29" s="121" t="str">
        <x:v>93.1</x:v>
      </x:c>
      <x:c r="N29" s="121" t="str">
        <x:v>89</x:v>
      </x:c>
      <x:c r="O29" s="121" t="str">
        <x:v>94.2</x:v>
      </x:c>
      <x:c r="P29" s="121" t="str">
        <x:v>87</x:v>
      </x:c>
      <x:c r="Q29" s="121" t="str">
        <x:v>10</x:v>
      </x:c>
      <x:c r="R29" s="118" t="str">
        <x:v>https://arxiv.org/abs/2606.03680</x:v>
      </x:c>
      <x:c r="S29" s="118" t="str">
        <x:v>范围偏专门，广度轻微回调</x:v>
      </x:c>
    </x:row>
    <x:row r="30" ht="34" customHeight="1">
      <x:c r="A30" s="120" t="n">
        <x:v>25</x:v>
      </x:c>
      <x:c r="B30" s="120" t="str">
        <x:v>2026-06</x:v>
      </x:c>
      <x:c r="C30" s="120" t="str">
        <x:v>2606.27691</x:v>
      </x:c>
      <x:c r="D30" s="118" t="str">
        <x:v>Singular Limits for Three-Dimensional Global Minimizers of Ginzburg-Landau-Type Functionals: Uniform Estimates and Singular Sets</x:v>
      </x:c>
      <x:c r="E30" s="118" t="str">
        <x:v>Giacomo Canevari; Haotong Fu; Wei Wang</x:v>
      </x:c>
      <x:c r="F30" s="118" t="str">
        <x:v>variational/singular limits</x:v>
      </x:c>
      <x:c r="G30" s="120" t="str">
        <x:v>72</x:v>
      </x:c>
      <x:c r="H30" s="121" t="n">
        <x:v>91.7</x:v>
      </x:c>
      <x:c r="I30" s="121" t="n">
        <x:v>91.9</x:v>
      </x:c>
      <x:c r="J30" s="121" t="n">
        <x:v>91.5</x:v>
      </x:c>
      <x:c r="K30" s="121" t="str">
        <x:v>94.1</x:v>
      </x:c>
      <x:c r="L30" s="121" t="str">
        <x:v>91</x:v>
      </x:c>
      <x:c r="M30" s="121" t="str">
        <x:v>94.1</x:v>
      </x:c>
      <x:c r="N30" s="121" t="str">
        <x:v>89</x:v>
      </x:c>
      <x:c r="O30" s="121" t="str">
        <x:v>94.1</x:v>
      </x:c>
      <x:c r="P30" s="121" t="str">
        <x:v>86</x:v>
      </x:c>
      <x:c r="Q30" s="121" t="str">
        <x:v>11</x:v>
      </x:c>
      <x:c r="R30" s="118" t="str">
        <x:v>https://arxiv.org/abs/2606.27691</x:v>
      </x:c>
      <x:c r="S30" s="118" t="str">
        <x:v>三轮复核后与原表基本一致</x:v>
      </x:c>
    </x:row>
    <x:row r="31" ht="34" customHeight="1">
      <x:c r="A31" s="120" t="n">
        <x:v>26</x:v>
      </x:c>
      <x:c r="B31" s="120" t="str">
        <x:v>2026-05</x:v>
      </x:c>
      <x:c r="C31" s="120" t="str">
        <x:v>2605.19574</x:v>
      </x:c>
      <x:c r="D31" s="118" t="str">
        <x:v>Flowing to free boundary minimal surfaces</x:v>
      </x:c>
      <x:c r="E31" s="118" t="str">
        <x:v>Melanie Rupflin; Michael Struwe; Christopher Wright</x:v>
      </x:c>
      <x:c r="F31" s="118" t="str">
        <x:v>Geometric PDE / minimal surfaces</x:v>
      </x:c>
      <x:c r="G31" s="120"/>
      <x:c r="H31" s="121" t="n">
        <x:v>91.65</x:v>
      </x:c>
      <x:c r="I31" s="121" t="n">
        <x:v>91.7</x:v>
      </x:c>
      <x:c r="J31" s="121" t="n">
        <x:v>91.6</x:v>
      </x:c>
      <x:c r="K31" s="121" t="str">
        <x:v>94</x:v>
      </x:c>
      <x:c r="L31" s="121" t="str">
        <x:v>91</x:v>
      </x:c>
      <x:c r="M31" s="121" t="str">
        <x:v>94</x:v>
      </x:c>
      <x:c r="N31" s="121" t="str">
        <x:v>88</x:v>
      </x:c>
      <x:c r="O31" s="121" t="str">
        <x:v>94</x:v>
      </x:c>
      <x:c r="P31" s="121" t="str">
        <x:v>86</x:v>
      </x:c>
      <x:c r="Q31" s="121" t="str">
        <x:v>10</x:v>
      </x:c>
      <x:c r="R31" s="118" t="str">
        <x:v>https://arxiv.org/abs/2605.19574</x:v>
      </x:c>
      <x:c r="S31" s="118" t="str">
        <x:v>三轮复核后与原表基本一致</x:v>
      </x:c>
    </x:row>
    <x:row r="32" ht="34" customHeight="1">
      <x:c r="A32" s="120" t="n">
        <x:v>27</x:v>
      </x:c>
      <x:c r="B32" s="120" t="str">
        <x:v>2026-05</x:v>
      </x:c>
      <x:c r="C32" s="120" t="str">
        <x:v>2605.19716</x:v>
      </x:c>
      <x:c r="D32" s="118" t="str">
        <x:v>Self-similar blow-up solutions of d-dimensional incompressible Euler equations with C^{1,(1-2/d)-} velocity</x:v>
      </x:c>
      <x:c r="E32" s="118" t="str">
        <x:v>Feng Shao; Dongyi Wei; Ping Zhang; Zhifei Zhang</x:v>
      </x:c>
      <x:c r="F32" s="118" t="str">
        <x:v>Fluid singularities / Euler</x:v>
      </x:c>
      <x:c r="G32" s="120" t="str">
        <x:v>103</x:v>
      </x:c>
      <x:c r="H32" s="121" t="n">
        <x:v>91.62</x:v>
      </x:c>
      <x:c r="I32" s="121" t="n">
        <x:v>92.08</x:v>
      </x:c>
      <x:c r="J32" s="121" t="n">
        <x:v>91.15</x:v>
      </x:c>
      <x:c r="K32" s="121" t="str">
        <x:v>95.1</x:v>
      </x:c>
      <x:c r="L32" s="121" t="str">
        <x:v>92</x:v>
      </x:c>
      <x:c r="M32" s="121" t="str">
        <x:v>94.2</x:v>
      </x:c>
      <x:c r="N32" s="121" t="str">
        <x:v>88</x:v>
      </x:c>
      <x:c r="O32" s="121" t="str">
        <x:v>94.2</x:v>
      </x:c>
      <x:c r="P32" s="121" t="str">
        <x:v>84</x:v>
      </x:c>
      <x:c r="Q32" s="121" t="str">
        <x:v>13</x:v>
      </x:c>
      <x:c r="R32" s="118" t="str">
        <x:v>https://arxiv.org/abs/2605.19716</x:v>
      </x:c>
      <x:c r="S32" s="118" t="str">
        <x:v>三轮复核后与原表基本一致</x:v>
      </x:c>
    </x:row>
    <x:row r="33" ht="34" customHeight="1">
      <x:c r="A33" s="120" t="n">
        <x:v>28</x:v>
      </x:c>
      <x:c r="B33" s="120" t="str">
        <x:v>2026-05</x:v>
      </x:c>
      <x:c r="C33" s="120" t="str">
        <x:v>2605.24392</x:v>
      </x:c>
      <x:c r="D33" s="118" t="str">
        <x:v>Hydrodynamic Limit of the Boltzmann Equation toward Generic Riemann Solutions with Shocks</x:v>
      </x:c>
      <x:c r="E33" s="118" t="str">
        <x:v>Mingi Choe; Moon-jin Kang; Chanwoo Kim</x:v>
      </x:c>
      <x:c r="F33" s="118" t="str">
        <x:v>Kinetic theory / hydrodynamic limits</x:v>
      </x:c>
      <x:c r="G33" s="120"/>
      <x:c r="H33" s="121" t="n">
        <x:v>91.56</x:v>
      </x:c>
      <x:c r="I33" s="121" t="n">
        <x:v>91.83</x:v>
      </x:c>
      <x:c r="J33" s="121" t="n">
        <x:v>91.29</x:v>
      </x:c>
      <x:c r="K33" s="121" t="str">
        <x:v>94.3</x:v>
      </x:c>
      <x:c r="L33" s="121" t="str">
        <x:v>91.1</x:v>
      </x:c>
      <x:c r="M33" s="121" t="str">
        <x:v>94.3</x:v>
      </x:c>
      <x:c r="N33" s="121" t="str">
        <x:v>88.3</x:v>
      </x:c>
      <x:c r="O33" s="121" t="str">
        <x:v>94.2</x:v>
      </x:c>
      <x:c r="P33" s="121" t="str">
        <x:v>85</x:v>
      </x:c>
      <x:c r="Q33" s="121" t="str">
        <x:v>12</x:v>
      </x:c>
      <x:c r="R33" s="118" t="str">
        <x:v>https://arxiv.org/abs/2605.24392</x:v>
      </x:c>
      <x:c r="S33" s="118" t="str">
        <x:v>带激波Riemann解的Boltzmann流体极限，广度和技术性上调。</x:v>
      </x:c>
    </x:row>
    <x:row r="34" ht="34" customHeight="1">
      <x:c r="A34" s="120" t="n">
        <x:v>29</x:v>
      </x:c>
      <x:c r="B34" s="120" t="str">
        <x:v>2026-07</x:v>
      </x:c>
      <x:c r="C34" s="120" t="str">
        <x:v>2607.08685</x:v>
      </x:c>
      <x:c r="D34" s="118" t="str">
        <x:v>A Short Proof of Optimal Regularity for minimizers of the Alt-Phillips Problem</x:v>
      </x:c>
      <x:c r="E34" s="118" t="str">
        <x:v>Kunyi Ma</x:v>
      </x:c>
      <x:c r="F34" s="118" t="str">
        <x:v>free boundary</x:v>
      </x:c>
      <x:c r="G34" s="120" t="str">
        <x:v>-</x:v>
      </x:c>
      <x:c r="H34" s="121" t="n">
        <x:v>91.53</x:v>
      </x:c>
      <x:c r="I34" s="121" t="n">
        <x:v>91.65</x:v>
      </x:c>
      <x:c r="J34" s="121" t="n">
        <x:v>91.4</x:v>
      </x:c>
      <x:c r="K34" s="121" t="n">
        <x:v>93</x:v>
      </x:c>
      <x:c r="L34" s="121" t="n">
        <x:v>90</x:v>
      </x:c>
      <x:c r="M34" s="121" t="n">
        <x:v>94</x:v>
      </x:c>
      <x:c r="N34" s="121" t="n">
        <x:v>89</x:v>
      </x:c>
      <x:c r="O34" s="121" t="n">
        <x:v>94</x:v>
      </x:c>
      <x:c r="P34" s="121" t="n">
        <x:v>89</x:v>
      </x:c>
      <x:c r="Q34" s="121" t="n">
        <x:v>13</x:v>
      </x:c>
      <x:c r="R34" s="118" t="str">
        <x:v>https://arxiv.org/abs/2607.08685</x:v>
      </x:c>
      <x:c r="S34" s="118" t="str">
        <x:v>Scored candidate from official July math.AP list; correctness not checked.</x:v>
      </x:c>
    </x:row>
    <x:row r="35" ht="34" customHeight="1">
      <x:c r="A35" s="120" t="n">
        <x:v>30</x:v>
      </x:c>
      <x:c r="B35" s="120" t="str">
        <x:v>2026-05</x:v>
      </x:c>
      <x:c r="C35" s="120" t="str">
        <x:v>2605.24214</x:v>
      </x:c>
      <x:c r="D35" s="118" t="str">
        <x:v>Variational formulation of hyperbolic conservation laws</x:v>
      </x:c>
      <x:c r="E35" s="118" t="str">
        <x:v>Eitan Tadmor</x:v>
      </x:c>
      <x:c r="F35" s="118" t="str">
        <x:v>Conservation laws</x:v>
      </x:c>
      <x:c r="G35" s="120"/>
      <x:c r="H35" s="121" t="n">
        <x:v>91.41</x:v>
      </x:c>
      <x:c r="I35" s="121" t="n">
        <x:v>92.21</x:v>
      </x:c>
      <x:c r="J35" s="121" t="n">
        <x:v>90.62</x:v>
      </x:c>
      <x:c r="K35" s="121" t="str">
        <x:v>94.3</x:v>
      </x:c>
      <x:c r="L35" s="121" t="str">
        <x:v>93.4</x:v>
      </x:c>
      <x:c r="M35" s="121" t="str">
        <x:v>90.9</x:v>
      </x:c>
      <x:c r="N35" s="121" t="str">
        <x:v>91.4</x:v>
      </x:c>
      <x:c r="O35" s="121" t="str">
        <x:v>91.2</x:v>
      </x:c>
      <x:c r="P35" s="121" t="str">
        <x:v>88</x:v>
      </x:c>
      <x:c r="Q35" s="121" t="str">
        <x:v>12</x:v>
      </x:c>
      <x:c r="R35" s="118" t="str">
        <x:v>https://arxiv.org/abs/2605.24214</x:v>
      </x:c>
      <x:c r="S35" s="118" t="str">
        <x:v>概念性变分框架广度上调，证明深度轻微回调。</x:v>
      </x:c>
    </x:row>
    <x:row r="36" ht="34" customHeight="1">
      <x:c r="A36" s="120" t="n">
        <x:v>31</x:v>
      </x:c>
      <x:c r="B36" s="120" t="str">
        <x:v>2026-06</x:v>
      </x:c>
      <x:c r="C36" s="120" t="str">
        <x:v>2606.05098</x:v>
      </x:c>
      <x:c r="D36" s="118" t="str">
        <x:v>Quantitative Homogenization Theory for Lame-Stokes Coupled Systems</x:v>
      </x:c>
      <x:c r="E36" s="118" t="str">
        <x:v>Beichen Wang</x:v>
      </x:c>
      <x:c r="F36" s="118" t="str">
        <x:v>homogenization</x:v>
      </x:c>
      <x:c r="G36" s="120" t="str">
        <x:v>92</x:v>
      </x:c>
      <x:c r="H36" s="121" t="n">
        <x:v>91.4</x:v>
      </x:c>
      <x:c r="I36" s="121" t="n">
        <x:v>91.65</x:v>
      </x:c>
      <x:c r="J36" s="121" t="n">
        <x:v>91.15</x:v>
      </x:c>
      <x:c r="K36" s="121" t="str">
        <x:v>93</x:v>
      </x:c>
      <x:c r="L36" s="121" t="str">
        <x:v>90.1</x:v>
      </x:c>
      <x:c r="M36" s="121" t="str">
        <x:v>94</x:v>
      </x:c>
      <x:c r="N36" s="121" t="str">
        <x:v>90.2</x:v>
      </x:c>
      <x:c r="O36" s="121" t="str">
        <x:v>93.1</x:v>
      </x:c>
      <x:c r="P36" s="121" t="str">
        <x:v>87</x:v>
      </x:c>
      <x:c r="Q36" s="121" t="str">
        <x:v>11</x:v>
      </x:c>
      <x:c r="R36" s="118" t="str">
        <x:v>https://arxiv.org/abs/2606.05098</x:v>
      </x:c>
      <x:c r="S36" s="118" t="str">
        <x:v>三轮复核后与原表基本一致</x:v>
      </x:c>
    </x:row>
    <x:row r="37" ht="34" customHeight="1">
      <x:c r="A37" s="120" t="n">
        <x:v>32</x:v>
      </x:c>
      <x:c r="B37" s="120" t="str">
        <x:v>2026-07</x:v>
      </x:c>
      <x:c r="C37" s="120" t="str">
        <x:v>2607.02493</x:v>
      </x:c>
      <x:c r="D37" s="118" t="str">
        <x:v>Stability of global self-similar solutions to the cubic wave equation and the wave maps equation</x:v>
      </x:c>
      <x:c r="E37" s="118" t="str">
        <x:v>Akansha Sanwal; Birgit Schörkhuber; David Wallauch</x:v>
      </x:c>
      <x:c r="F37" s="118" t="str">
        <x:v>nonlinear waves / stability</x:v>
      </x:c>
      <x:c r="G37" s="120" t="n">
        <x:v>91</x:v>
      </x:c>
      <x:c r="H37" s="121" t="n">
        <x:v>91.38</x:v>
      </x:c>
      <x:c r="I37" s="121" t="n">
        <x:v>91.6</x:v>
      </x:c>
      <x:c r="J37" s="121" t="n">
        <x:v>91.15</x:v>
      </x:c>
      <x:c r="K37" s="121" t="n">
        <x:v>94</x:v>
      </x:c>
      <x:c r="L37" s="121" t="n">
        <x:v>91</x:v>
      </x:c>
      <x:c r="M37" s="121" t="n">
        <x:v>94</x:v>
      </x:c>
      <x:c r="N37" s="121" t="n">
        <x:v>88</x:v>
      </x:c>
      <x:c r="O37" s="121" t="n">
        <x:v>94</x:v>
      </x:c>
      <x:c r="P37" s="121" t="n">
        <x:v>85</x:v>
      </x:c>
      <x:c r="Q37" s="121" t="n">
        <x:v>12</x:v>
      </x:c>
      <x:c r="R37" s="118" t="str">
        <x:v>https://arxiv.org/abs/2607.02493</x:v>
      </x:c>
      <x:c r="S37" s="118" t="str">
        <x:v>Long nonlinear stability analysis of self-similar wave profiles.</x:v>
      </x:c>
    </x:row>
    <x:row r="38" ht="34" customHeight="1">
      <x:c r="A38" s="120" t="n">
        <x:v>33</x:v>
      </x:c>
      <x:c r="B38" s="120" t="str">
        <x:v>2026-07</x:v>
      </x:c>
      <x:c r="C38" s="120" t="str">
        <x:v>2607.07154</x:v>
      </x:c>
      <x:c r="D38" s="118" t="str">
        <x:v>Nonlocal minimal surfaces are generically unique, and smooth in one extra dimension</x:v>
      </x:c>
      <x:c r="E38" s="118" t="str">
        <x:v>Serena Dipierro; Xavier Fernández-Real; Enrico Valdinoci</x:v>
      </x:c>
      <x:c r="F38" s="118" t="str">
        <x:v>nonlocal minimal surfaces</x:v>
      </x:c>
      <x:c r="G38" s="120" t="str">
        <x:v>-</x:v>
      </x:c>
      <x:c r="H38" s="121" t="n">
        <x:v>91.2</x:v>
      </x:c>
      <x:c r="I38" s="121" t="n">
        <x:v>91.3</x:v>
      </x:c>
      <x:c r="J38" s="121" t="n">
        <x:v>91.1</x:v>
      </x:c>
      <x:c r="K38" s="121" t="n">
        <x:v>93</x:v>
      </x:c>
      <x:c r="L38" s="121" t="n">
        <x:v>91</x:v>
      </x:c>
      <x:c r="M38" s="121" t="n">
        <x:v>93</x:v>
      </x:c>
      <x:c r="N38" s="121" t="n">
        <x:v>89</x:v>
      </x:c>
      <x:c r="O38" s="121" t="n">
        <x:v>93</x:v>
      </x:c>
      <x:c r="P38" s="121" t="n">
        <x:v>86</x:v>
      </x:c>
      <x:c r="Q38" s="121" t="n">
        <x:v>10</x:v>
      </x:c>
      <x:c r="R38" s="118" t="str">
        <x:v>https://arxiv.org/abs/2607.07154</x:v>
      </x:c>
      <x:c r="S38" s="118" t="str">
        <x:v>Conceptual regularity/generic uniqueness result in nonlocal geometric PDE.</x:v>
      </x:c>
    </x:row>
    <x:row r="39" ht="34" customHeight="1">
      <x:c r="A39" s="120" t="n">
        <x:v>34</x:v>
      </x:c>
      <x:c r="B39" s="120" t="str">
        <x:v>2026-06</x:v>
      </x:c>
      <x:c r="C39" s="120" t="str">
        <x:v>2606.09614</x:v>
      </x:c>
      <x:c r="D39" s="118" t="str">
        <x:v>The L^p Neumann problem for parabolic operators with coefficients satisfying small Carleson condition</x:v>
      </x:c>
      <x:c r="E39" s="118" t="str">
        <x:v>Martin Dindos; Linhan Li; Jill Pipher</x:v>
      </x:c>
      <x:c r="F39" s="118" t="str">
        <x:v>parabolic boundary value</x:v>
      </x:c>
      <x:c r="G39" s="120" t="str">
        <x:v>100</x:v>
      </x:c>
      <x:c r="H39" s="121" t="n">
        <x:v>91.19</x:v>
      </x:c>
      <x:c r="I39" s="121" t="n">
        <x:v>91.37</x:v>
      </x:c>
      <x:c r="J39" s="121" t="n">
        <x:v>91</x:v>
      </x:c>
      <x:c r="K39" s="121" t="str">
        <x:v>93</x:v>
      </x:c>
      <x:c r="L39" s="121" t="str">
        <x:v>90</x:v>
      </x:c>
      <x:c r="M39" s="121" t="str">
        <x:v>94.1</x:v>
      </x:c>
      <x:c r="N39" s="121" t="str">
        <x:v>89</x:v>
      </x:c>
      <x:c r="O39" s="121" t="str">
        <x:v>93.1</x:v>
      </x:c>
      <x:c r="P39" s="121" t="str">
        <x:v>86</x:v>
      </x:c>
      <x:c r="Q39" s="121" t="str">
        <x:v>11</x:v>
      </x:c>
      <x:c r="R39" s="118" t="str">
        <x:v>https://arxiv.org/abs/2606.09614</x:v>
      </x:c>
      <x:c r="S39" s="118" t="str">
        <x:v>三轮复核后与原表基本一致</x:v>
      </x:c>
    </x:row>
    <x:row r="40" ht="34" customHeight="1">
      <x:c r="A40" s="120" t="n">
        <x:v>35</x:v>
      </x:c>
      <x:c r="B40" s="120" t="str">
        <x:v>2026-06</x:v>
      </x:c>
      <x:c r="C40" s="120" t="str">
        <x:v>2606.28211</x:v>
      </x:c>
      <x:c r="D40" s="118" t="str">
        <x:v>A regularity theorem for stationary measures</x:v>
      </x:c>
      <x:c r="E40" s="118" t="str">
        <x:v>Luigi Ambrosio; Giovanni Siclari</x:v>
      </x:c>
      <x:c r="F40" s="118" t="str">
        <x:v>measure/PDE regularity</x:v>
      </x:c>
      <x:c r="G40" s="120"/>
      <x:c r="H40" s="121" t="n">
        <x:v>91.15</x:v>
      </x:c>
      <x:c r="I40" s="121" t="n">
        <x:v>91.29</x:v>
      </x:c>
      <x:c r="J40" s="121" t="n">
        <x:v>91</x:v>
      </x:c>
      <x:c r="K40" s="121" t="str">
        <x:v>92.9</x:v>
      </x:c>
      <x:c r="L40" s="121" t="str">
        <x:v>91.1</x:v>
      </x:c>
      <x:c r="M40" s="121" t="str">
        <x:v>93</x:v>
      </x:c>
      <x:c r="N40" s="121" t="str">
        <x:v>89</x:v>
      </x:c>
      <x:c r="O40" s="121" t="str">
        <x:v>93.1</x:v>
      </x:c>
      <x:c r="P40" s="121" t="str">
        <x:v>86</x:v>
      </x:c>
      <x:c r="Q40" s="121" t="str">
        <x:v>11</x:v>
      </x:c>
      <x:c r="R40" s="118" t="str">
        <x:v>https://arxiv.org/abs/2606.28211</x:v>
      </x:c>
      <x:c r="S40" s="118" t="str">
        <x:v>范围偏专门，广度轻微回调</x:v>
      </x:c>
    </x:row>
    <x:row r="41" ht="34" customHeight="1">
      <x:c r="A41" s="120" t="n">
        <x:v>36</x:v>
      </x:c>
      <x:c r="B41" s="120" t="str">
        <x:v>2026-06</x:v>
      </x:c>
      <x:c r="C41" s="120" t="str">
        <x:v>2606.07010</x:v>
      </x:c>
      <x:c r="D41" s="118" t="str">
        <x:v>Gauge transforms, random averaging operator ansatz and improved probabilistic well-posedness for the radial NLS on the 3d ball</x:v>
      </x:c>
      <x:c r="E41" s="118" t="str">
        <x:v>Nicolas Burq; Nicolas Camps; Chenmin Sun; Nikolay Tzvetkov</x:v>
      </x:c>
      <x:c r="F41" s="118" t="str">
        <x:v>probabilistic dispersive PDE</x:v>
      </x:c>
      <x:c r="G41" s="120" t="str">
        <x:v>75</x:v>
      </x:c>
      <x:c r="H41" s="121" t="n">
        <x:v>91.1</x:v>
      </x:c>
      <x:c r="I41" s="121" t="n">
        <x:v>91.19</x:v>
      </x:c>
      <x:c r="J41" s="121" t="n">
        <x:v>91</x:v>
      </x:c>
      <x:c r="K41" s="121" t="str">
        <x:v>92.9</x:v>
      </x:c>
      <x:c r="L41" s="121" t="str">
        <x:v>92</x:v>
      </x:c>
      <x:c r="M41" s="121" t="str">
        <x:v>93</x:v>
      </x:c>
      <x:c r="N41" s="121" t="str">
        <x:v>87.8</x:v>
      </x:c>
      <x:c r="O41" s="121" t="str">
        <x:v>93</x:v>
      </x:c>
      <x:c r="P41" s="121" t="str">
        <x:v>85</x:v>
      </x:c>
      <x:c r="Q41" s="121" t="str">
        <x:v>11</x:v>
      </x:c>
      <x:c r="R41" s="118" t="str">
        <x:v>https://arxiv.org/abs/2606.07010</x:v>
      </x:c>
      <x:c r="S41" s="118" t="str">
        <x:v>范围偏专门，广度轻微回调</x:v>
      </x:c>
    </x:row>
    <x:row r="42" ht="34" customHeight="1">
      <x:c r="A42" s="120" t="n">
        <x:v>37</x:v>
      </x:c>
      <x:c r="B42" s="120" t="str">
        <x:v>2026-08</x:v>
      </x:c>
      <x:c r="C42" s="120" t="str">
        <x:v>2608.01440</x:v>
      </x:c>
      <x:c r="D42" s="118" t="str">
        <x:v>Local smoothing for rough wave equations</x:v>
      </x:c>
      <x:c r="E42" s="118" t="str">
        <x:v>Jan Rozendaal; Robert Schippa</x:v>
      </x:c>
      <x:c r="F42" s="118" t="str">
        <x:v>wave equations/harmonic analysis</x:v>
      </x:c>
      <x:c r="G42" s="120" t="n">
        <x:v>57</x:v>
      </x:c>
      <x:c r="H42" s="121" t="n">
        <x:v>91.05</x:v>
      </x:c>
      <x:c r="I42" s="121" t="n">
        <x:v>91</x:v>
      </x:c>
      <x:c r="J42" s="121" t="n">
        <x:v>91.1</x:v>
      </x:c>
      <x:c r="K42" s="121" t="n">
        <x:v>92</x:v>
      </x:c>
      <x:c r="L42" s="121" t="n">
        <x:v>91</x:v>
      </x:c>
      <x:c r="M42" s="121" t="n">
        <x:v>93</x:v>
      </x:c>
      <x:c r="N42" s="121" t="n">
        <x:v>89</x:v>
      </x:c>
      <x:c r="O42" s="121" t="n">
        <x:v>93</x:v>
      </x:c>
      <x:c r="P42" s="121" t="n">
        <x:v>86</x:v>
      </x:c>
      <x:c r="Q42" s="121" t="n">
        <x:v>10</x:v>
      </x:c>
      <x:c r="R42" s="118" t="str">
        <x:v>https://arxiv.org/abs/2608.01440</x:v>
      </x:c>
      <x:c r="S42" s="118" t="str">
        <x:v>Rough-coefficient local smoothing; broad dispersive and microlocal relevance.</x:v>
      </x:c>
    </x:row>
    <x:row r="43" ht="34" customHeight="1">
      <x:c r="A43" s="120" t="n">
        <x:v>38</x:v>
      </x:c>
      <x:c r="B43" s="120" t="str">
        <x:v>2026-05</x:v>
      </x:c>
      <x:c r="C43" s="120" t="str">
        <x:v>2605.07913</x:v>
      </x:c>
      <x:c r="D43" s="118" t="str">
        <x:v>Finite index solutions to the Bernoulli problem in three dimensions are axially symmetric</x:v>
      </x:c>
      <x:c r="E43" s="118" t="str">
        <x:v>Xavier Fernandez-Real; Enric Florit-Simon; Joaquim Serra</x:v>
      </x:c>
      <x:c r="F43" s="118" t="str">
        <x:v>Free boundary regularity</x:v>
      </x:c>
      <x:c r="G43" s="120"/>
      <x:c r="H43" s="121" t="n">
        <x:v>91.03</x:v>
      </x:c>
      <x:c r="I43" s="121" t="n">
        <x:v>90.95</x:v>
      </x:c>
      <x:c r="J43" s="121" t="n">
        <x:v>91.1</x:v>
      </x:c>
      <x:c r="K43" s="121" t="str">
        <x:v>93</x:v>
      </x:c>
      <x:c r="L43" s="121" t="str">
        <x:v>90.1</x:v>
      </x:c>
      <x:c r="M43" s="121" t="str">
        <x:v>93</x:v>
      </x:c>
      <x:c r="N43" s="121" t="str">
        <x:v>87.2</x:v>
      </x:c>
      <x:c r="O43" s="121" t="str">
        <x:v>93.1</x:v>
      </x:c>
      <x:c r="P43" s="121" t="str">
        <x:v>87</x:v>
      </x:c>
      <x:c r="Q43" s="121" t="str">
        <x:v>10</x:v>
      </x:c>
      <x:c r="R43" s="118" t="str">
        <x:v>https://arxiv.org/abs/2605.07913</x:v>
      </x:c>
      <x:c r="S43" s="118" t="str">
        <x:v>三轮复核后与原表基本一致</x:v>
      </x:c>
    </x:row>
    <x:row r="44" ht="34" customHeight="1">
      <x:c r="A44" s="120" t="n">
        <x:v>39</x:v>
      </x:c>
      <x:c r="B44" s="120" t="str">
        <x:v>2026-06</x:v>
      </x:c>
      <x:c r="C44" s="120" t="str">
        <x:v>2606.10185</x:v>
      </x:c>
      <x:c r="D44" s="118" t="str">
        <x:v>Boundary Harnack estimates of optimal order for kinetic Fokker-Planck equations</x:v>
      </x:c>
      <x:c r="E44" s="118" t="str">
        <x:v>Kyeongbae Kim; Marvin Weidner</x:v>
      </x:c>
      <x:c r="F44" s="118" t="str">
        <x:v>kinetic regularity</x:v>
      </x:c>
      <x:c r="G44" s="120" t="str">
        <x:v>59</x:v>
      </x:c>
      <x:c r="H44" s="121" t="n">
        <x:v>91.03</x:v>
      </x:c>
      <x:c r="I44" s="121" t="n">
        <x:v>91.05</x:v>
      </x:c>
      <x:c r="J44" s="121" t="n">
        <x:v>91</x:v>
      </x:c>
      <x:c r="K44" s="121" t="str">
        <x:v>92</x:v>
      </x:c>
      <x:c r="L44" s="121" t="str">
        <x:v>91.1</x:v>
      </x:c>
      <x:c r="M44" s="121" t="str">
        <x:v>93</x:v>
      </x:c>
      <x:c r="N44" s="121" t="str">
        <x:v>89.2</x:v>
      </x:c>
      <x:c r="O44" s="121" t="str">
        <x:v>93.1</x:v>
      </x:c>
      <x:c r="P44" s="121" t="str">
        <x:v>86</x:v>
      </x:c>
      <x:c r="Q44" s="121" t="str">
        <x:v>11</x:v>
      </x:c>
      <x:c r="R44" s="118" t="str">
        <x:v>https://arxiv.org/abs/2606.10185</x:v>
      </x:c>
      <x:c r="S44" s="118" t="str">
        <x:v>三轮复核后与原表基本一致</x:v>
      </x:c>
    </x:row>
    <x:row r="45" ht="34" customHeight="1">
      <x:c r="A45" s="120" t="n">
        <x:v>40</x:v>
      </x:c>
      <x:c r="B45" s="120" t="str">
        <x:v>2026-07</x:v>
      </x:c>
      <x:c r="C45" s="120" t="str">
        <x:v>2607.07618</x:v>
      </x:c>
      <x:c r="D45" s="118" t="str">
        <x:v>Fourier restriction norm method adapted to controlled paths: stochastic wave equations</x:v>
      </x:c>
      <x:c r="E45" s="118" t="str">
        <x:v>Andreia Chapouto; Jiawei Li; Tadahiro Oh</x:v>
      </x:c>
      <x:c r="F45" s="118" t="str">
        <x:v>stochastic dispersive PDE</x:v>
      </x:c>
      <x:c r="G45" s="120" t="n">
        <x:v>100</x:v>
      </x:c>
      <x:c r="H45" s="121" t="n">
        <x:v>91.03</x:v>
      </x:c>
      <x:c r="I45" s="121" t="n">
        <x:v>91.2</x:v>
      </x:c>
      <x:c r="J45" s="121" t="n">
        <x:v>90.85</x:v>
      </x:c>
      <x:c r="K45" s="121" t="n">
        <x:v>93</x:v>
      </x:c>
      <x:c r="L45" s="121" t="n">
        <x:v>91</x:v>
      </x:c>
      <x:c r="M45" s="121" t="n">
        <x:v>94</x:v>
      </x:c>
      <x:c r="N45" s="121" t="n">
        <x:v>88</x:v>
      </x:c>
      <x:c r="O45" s="121" t="n">
        <x:v>94</x:v>
      </x:c>
      <x:c r="P45" s="121" t="n">
        <x:v>84</x:v>
      </x:c>
      <x:c r="Q45" s="121" t="n">
        <x:v>13</x:v>
      </x:c>
      <x:c r="R45" s="118" t="str">
        <x:v>https://arxiv.org/abs/2607.07618</x:v>
      </x:c>
      <x:c r="S45" s="118" t="str">
        <x:v>Develops controlled-path restriction framework for stochastic waves.</x:v>
      </x:c>
    </x:row>
    <x:row r="46" ht="34" customHeight="1">
      <x:c r="A46" s="120" t="n">
        <x:v>41</x:v>
      </x:c>
      <x:c r="B46" s="120" t="str">
        <x:v>2026-05</x:v>
      </x:c>
      <x:c r="C46" s="120" t="str">
        <x:v>2605.16502</x:v>
      </x:c>
      <x:c r="D46" s="118" t="str">
        <x:v>Sharp Ill-Posedness of the Euler Equations in Lorentz Spaces</x:v>
      </x:c>
      <x:c r="E46" s="118" t="str">
        <x:v>Jeaheang Bang; Alexey Cheskidov</x:v>
      </x:c>
      <x:c r="F46" s="118" t="str">
        <x:v>Euler well/ill-posedness</x:v>
      </x:c>
      <x:c r="G46" s="120" t="str">
        <x:v>98</x:v>
      </x:c>
      <x:c r="H46" s="121" t="n">
        <x:v>90.93</x:v>
      </x:c>
      <x:c r="I46" s="121" t="n">
        <x:v>91.26</x:v>
      </x:c>
      <x:c r="J46" s="121" t="n">
        <x:v>90.6</x:v>
      </x:c>
      <x:c r="K46" s="121" t="str">
        <x:v>94.1</x:v>
      </x:c>
      <x:c r="L46" s="121" t="str">
        <x:v>90.1</x:v>
      </x:c>
      <x:c r="M46" s="121" t="str">
        <x:v>94.1</x:v>
      </x:c>
      <x:c r="N46" s="121" t="str">
        <x:v>87.2</x:v>
      </x:c>
      <x:c r="O46" s="121" t="str">
        <x:v>94.2</x:v>
      </x:c>
      <x:c r="P46" s="121" t="str">
        <x:v>84</x:v>
      </x:c>
      <x:c r="Q46" s="121" t="str">
        <x:v>14</x:v>
      </x:c>
      <x:c r="R46" s="118" t="str">
        <x:v>https://arxiv.org/abs/2605.16502</x:v>
      </x:c>
      <x:c r="S46" s="118" t="str">
        <x:v>三轮复核后与原表基本一致</x:v>
      </x:c>
    </x:row>
    <x:row r="47" ht="34" customHeight="1">
      <x:c r="A47" s="120" t="n">
        <x:v>42</x:v>
      </x:c>
      <x:c r="B47" s="120" t="str">
        <x:v>2026-07</x:v>
      </x:c>
      <x:c r="C47" s="120" t="str">
        <x:v>2607.07613</x:v>
      </x:c>
      <x:c r="D47" s="118" t="str">
        <x:v>Time-periodic vortices near translating symmetric dipole patches</x:v>
      </x:c>
      <x:c r="E47" s="118" t="str">
        <x:v>Luca Franzoi; Taoufik Hmidi; Riccardo Montalto</x:v>
      </x:c>
      <x:c r="F47" s="118" t="str">
        <x:v>Euler vortices / bifurcation</x:v>
      </x:c>
      <x:c r="G47" s="120" t="n">
        <x:v>105</x:v>
      </x:c>
      <x:c r="H47" s="121" t="n">
        <x:v>90.83</x:v>
      </x:c>
      <x:c r="I47" s="121" t="n">
        <x:v>90.85</x:v>
      </x:c>
      <x:c r="J47" s="121" t="n">
        <x:v>90.8</x:v>
      </x:c>
      <x:c r="K47" s="121" t="n">
        <x:v>93</x:v>
      </x:c>
      <x:c r="L47" s="121" t="n">
        <x:v>90</x:v>
      </x:c>
      <x:c r="M47" s="121" t="n">
        <x:v>94</x:v>
      </x:c>
      <x:c r="N47" s="121" t="n">
        <x:v>87</x:v>
      </x:c>
      <x:c r="O47" s="121" t="n">
        <x:v>94</x:v>
      </x:c>
      <x:c r="P47" s="121" t="n">
        <x:v>84</x:v>
      </x:c>
      <x:c r="Q47" s="121" t="n">
        <x:v>12</x:v>
      </x:c>
      <x:c r="R47" s="118" t="str">
        <x:v>https://arxiv.org/abs/2607.07613</x:v>
      </x:c>
      <x:c r="S47" s="118" t="str">
        <x:v>Long construction around vortex patches; high human difficulty.</x:v>
      </x:c>
    </x:row>
    <x:row r="48" ht="34" customHeight="1">
      <x:c r="A48" s="120" t="n">
        <x:v>43</x:v>
      </x:c>
      <x:c r="B48" s="120" t="str">
        <x:v>2026-06</x:v>
      </x:c>
      <x:c r="C48" s="120" t="str">
        <x:v>2606.15189</x:v>
      </x:c>
      <x:c r="D48" s="118" t="str">
        <x:v>Blow-up and uniqueness of Leray-Hopf solutions to forced Navier-Stokes equations</x:v>
      </x:c>
      <x:c r="E48" s="118" t="str">
        <x:v>Giovanni Paolo Galdi; Filippo Gazzola</x:v>
      </x:c>
      <x:c r="F48" s="118" t="str">
        <x:v>Navier-Stokes</x:v>
      </x:c>
      <x:c r="G48" s="120"/>
      <x:c r="H48" s="121" t="n">
        <x:v>90.82</x:v>
      </x:c>
      <x:c r="I48" s="121" t="n">
        <x:v>91.05</x:v>
      </x:c>
      <x:c r="J48" s="121" t="n">
        <x:v>90.6</x:v>
      </x:c>
      <x:c r="K48" s="121" t="str">
        <x:v>94.1</x:v>
      </x:c>
      <x:c r="L48" s="121" t="str">
        <x:v>90</x:v>
      </x:c>
      <x:c r="M48" s="121" t="str">
        <x:v>92.1</x:v>
      </x:c>
      <x:c r="N48" s="121" t="str">
        <x:v>88</x:v>
      </x:c>
      <x:c r="O48" s="121" t="str">
        <x:v>93.1</x:v>
      </x:c>
      <x:c r="P48" s="121" t="str">
        <x:v>86</x:v>
      </x:c>
      <x:c r="Q48" s="121" t="str">
        <x:v>11</x:v>
      </x:c>
      <x:c r="R48" s="118" t="str">
        <x:v>https://arxiv.org/abs/2606.15189</x:v>
      </x:c>
      <x:c r="S48" s="118" t="str">
        <x:v>三轮复核后与原表基本一致</x:v>
      </x:c>
    </x:row>
    <x:row r="49" ht="34" customHeight="1">
      <x:c r="A49" s="120" t="n">
        <x:v>44</x:v>
      </x:c>
      <x:c r="B49" s="120" t="str">
        <x:v>2026-05</x:v>
      </x:c>
      <x:c r="C49" s="120" t="str">
        <x:v>2605.11834</x:v>
      </x:c>
      <x:c r="D49" s="118" t="str">
        <x:v>Sharp upper bound for a branched transport problem coming from Ginzburg-Landau models</x:v>
      </x:c>
      <x:c r="E49" s="118" t="str">
        <x:v>Alessandro Cosenza; Michael Goldman; Felix Otto</x:v>
      </x:c>
      <x:c r="F49" s="118" t="str">
        <x:v>Variational PDE / Ginzburg-Landau</x:v>
      </x:c>
      <x:c r="G49" s="120" t="str">
        <x:v>27</x:v>
      </x:c>
      <x:c r="H49" s="121" t="n">
        <x:v>90.81</x:v>
      </x:c>
      <x:c r="I49" s="121" t="n">
        <x:v>90.91</x:v>
      </x:c>
      <x:c r="J49" s="121" t="n">
        <x:v>90.7</x:v>
      </x:c>
      <x:c r="K49" s="121" t="str">
        <x:v>92.1</x:v>
      </x:c>
      <x:c r="L49" s="121" t="str">
        <x:v>91.1</x:v>
      </x:c>
      <x:c r="M49" s="121" t="str">
        <x:v>92.1</x:v>
      </x:c>
      <x:c r="N49" s="121" t="str">
        <x:v>88.2</x:v>
      </x:c>
      <x:c r="O49" s="121" t="str">
        <x:v>92.2</x:v>
      </x:c>
      <x:c r="P49" s="121" t="str">
        <x:v>88</x:v>
      </x:c>
      <x:c r="Q49" s="121" t="str">
        <x:v>12</x:v>
      </x:c>
      <x:c r="R49" s="118" t="str">
        <x:v>https://arxiv.org/abs/2605.11834</x:v>
      </x:c>
      <x:c r="S49" s="118" t="str">
        <x:v>三轮复核后与原表基本一致</x:v>
      </x:c>
    </x:row>
    <x:row r="50" ht="34" customHeight="1">
      <x:c r="A50" s="120" t="n">
        <x:v>45</x:v>
      </x:c>
      <x:c r="B50" s="120" t="str">
        <x:v>2026-06</x:v>
      </x:c>
      <x:c r="C50" s="120" t="str">
        <x:v>2606.12101</x:v>
      </x:c>
      <x:c r="D50" s="118" t="str">
        <x:v>Sharp Convergence Rates for Parabolic Green's Functions in Time-Independent Periodic Homogenization</x:v>
      </x:c>
      <x:c r="E50" s="118" t="str">
        <x:v>Wei Wang</x:v>
      </x:c>
      <x:c r="F50" s="118" t="str">
        <x:v>homogenization/Green functions</x:v>
      </x:c>
      <x:c r="G50" s="120" t="str">
        <x:v>44</x:v>
      </x:c>
      <x:c r="H50" s="121" t="n">
        <x:v>90.8</x:v>
      </x:c>
      <x:c r="I50" s="121" t="n">
        <x:v>90.95</x:v>
      </x:c>
      <x:c r="J50" s="121" t="n">
        <x:v>90.65</x:v>
      </x:c>
      <x:c r="K50" s="121" t="str">
        <x:v>92</x:v>
      </x:c>
      <x:c r="L50" s="121" t="str">
        <x:v>90.1</x:v>
      </x:c>
      <x:c r="M50" s="121" t="str">
        <x:v>93</x:v>
      </x:c>
      <x:c r="N50" s="121" t="str">
        <x:v>89.2</x:v>
      </x:c>
      <x:c r="O50" s="121" t="str">
        <x:v>92.1</x:v>
      </x:c>
      <x:c r="P50" s="121" t="str">
        <x:v>87</x:v>
      </x:c>
      <x:c r="Q50" s="121" t="str">
        <x:v>11</x:v>
      </x:c>
      <x:c r="R50" s="118" t="str">
        <x:v>https://arxiv.org/abs/2606.12101</x:v>
      </x:c>
      <x:c r="S50" s="118" t="str">
        <x:v>三轮复核后与原表基本一致</x:v>
      </x:c>
    </x:row>
    <x:row r="51" ht="34" customHeight="1">
      <x:c r="A51" s="120" t="n">
        <x:v>46</x:v>
      </x:c>
      <x:c r="B51" s="120" t="str">
        <x:v>2026-06</x:v>
      </x:c>
      <x:c r="C51" s="120" t="str">
        <x:v>2606.04377</x:v>
      </x:c>
      <x:c r="D51" s="118" t="str">
        <x:v>A comparison principle for Wasserstein PDEs with state- and law-dependent common noise</x:v>
      </x:c>
      <x:c r="E51" s="118" t="str">
        <x:v>Erhan Bayraktar; Ibrahim Ekren; Xihao He; Xin Zhang</x:v>
      </x:c>
      <x:c r="F51" s="118" t="str">
        <x:v>Wasserstein PDE/control</x:v>
      </x:c>
      <x:c r="G51" s="120"/>
      <x:c r="H51" s="121" t="n">
        <x:v>90.73</x:v>
      </x:c>
      <x:c r="I51" s="121" t="n">
        <x:v>90.85</x:v>
      </x:c>
      <x:c r="J51" s="121" t="n">
        <x:v>90.6</x:v>
      </x:c>
      <x:c r="K51" s="121" t="str">
        <x:v>92</x:v>
      </x:c>
      <x:c r="L51" s="121" t="str">
        <x:v>91</x:v>
      </x:c>
      <x:c r="M51" s="121" t="str">
        <x:v>92</x:v>
      </x:c>
      <x:c r="N51" s="121" t="str">
        <x:v>89</x:v>
      </x:c>
      <x:c r="O51" s="121" t="str">
        <x:v>92</x:v>
      </x:c>
      <x:c r="P51" s="121" t="str">
        <x:v>87</x:v>
      </x:c>
      <x:c r="Q51" s="121" t="str">
        <x:v>11</x:v>
      </x:c>
      <x:c r="R51" s="118" t="str">
        <x:v>https://arxiv.org/abs/2606.04377</x:v>
      </x:c>
      <x:c r="S51" s="118" t="str">
        <x:v>三轮复核后与原表基本一致</x:v>
      </x:c>
    </x:row>
    <x:row r="52" ht="34" customHeight="1">
      <x:c r="A52" s="120" t="n">
        <x:v>47</x:v>
      </x:c>
      <x:c r="B52" s="120" t="str">
        <x:v>2026-06</x:v>
      </x:c>
      <x:c r="C52" s="120" t="str">
        <x:v>2606.10247</x:v>
      </x:c>
      <x:c r="D52" s="118" t="str">
        <x:v>The partial data Calderon problem in dimension three</x:v>
      </x:c>
      <x:c r="E52" s="118" t="str">
        <x:v>Gunther Uhlmann; Yiran Wang</x:v>
      </x:c>
      <x:c r="F52" s="118" t="str">
        <x:v>inverse problems</x:v>
      </x:c>
      <x:c r="G52" s="120"/>
      <x:c r="H52" s="121" t="n">
        <x:v>90.73</x:v>
      </x:c>
      <x:c r="I52" s="121" t="n">
        <x:v>91</x:v>
      </x:c>
      <x:c r="J52" s="121" t="n">
        <x:v>90.45</x:v>
      </x:c>
      <x:c r="K52" s="121" t="str">
        <x:v>93.1</x:v>
      </x:c>
      <x:c r="L52" s="121" t="str">
        <x:v>90</x:v>
      </x:c>
      <x:c r="M52" s="121" t="str">
        <x:v>92.1</x:v>
      </x:c>
      <x:c r="N52" s="121" t="str">
        <x:v>89</x:v>
      </x:c>
      <x:c r="O52" s="121" t="str">
        <x:v>92.1</x:v>
      </x:c>
      <x:c r="P52" s="121" t="str">
        <x:v>87</x:v>
      </x:c>
      <x:c r="Q52" s="121" t="str">
        <x:v>11</x:v>
      </x:c>
      <x:c r="R52" s="118" t="str">
        <x:v>https://arxiv.org/abs/2606.10247</x:v>
      </x:c>
      <x:c r="S52" s="118" t="str">
        <x:v>三轮复核后与原表基本一致</x:v>
      </x:c>
    </x:row>
    <x:row r="53" ht="34" customHeight="1">
      <x:c r="A53" s="120" t="n">
        <x:v>48</x:v>
      </x:c>
      <x:c r="B53" s="120" t="str">
        <x:v>2026-08</x:v>
      </x:c>
      <x:c r="C53" s="120" t="str">
        <x:v>2608.06344</x:v>
      </x:c>
      <x:c r="D53" s="118" t="str">
        <x:v>A General Aubry-Mather Theory</x:v>
      </x:c>
      <x:c r="E53" s="118" t="str">
        <x:v>Nassif Ghoussoub</x:v>
      </x:c>
      <x:c r="F53" s="118" t="str">
        <x:v>Aubry-Mather/variational PDE</x:v>
      </x:c>
      <x:c r="G53" s="120" t="n">
        <x:v>33</x:v>
      </x:c>
      <x:c r="H53" s="121" t="n">
        <x:v>90.7</x:v>
      </x:c>
      <x:c r="I53" s="121" t="n">
        <x:v>90.8</x:v>
      </x:c>
      <x:c r="J53" s="121" t="n">
        <x:v>90.6</x:v>
      </x:c>
      <x:c r="K53" s="121" t="n">
        <x:v>92</x:v>
      </x:c>
      <x:c r="L53" s="121" t="n">
        <x:v>92</x:v>
      </x:c>
      <x:c r="M53" s="121" t="n">
        <x:v>91</x:v>
      </x:c>
      <x:c r="N53" s="121" t="n">
        <x:v>89</x:v>
      </x:c>
      <x:c r="O53" s="121" t="n">
        <x:v>91</x:v>
      </x:c>
      <x:c r="P53" s="121" t="n">
        <x:v>87</x:v>
      </x:c>
      <x:c r="Q53" s="121" t="n">
        <x:v>9</x:v>
      </x:c>
      <x:c r="R53" s="118" t="str">
        <x:v>https://arxiv.org/abs/2608.06344</x:v>
      </x:c>
      <x:c r="S53" s="118" t="str">
        <x:v>Conceptual variational theory with broad potential influence.</x:v>
      </x:c>
    </x:row>
    <x:row r="54" ht="34" customHeight="1">
      <x:c r="A54" s="120" t="n">
        <x:v>49</x:v>
      </x:c>
      <x:c r="B54" s="120" t="str">
        <x:v>2026-05</x:v>
      </x:c>
      <x:c r="C54" s="120" t="str">
        <x:v>2605.10138</x:v>
      </x:c>
      <x:c r="D54" s="118" t="str">
        <x:v>Global Well-posedness for the Multi-species Boltzmann Equation with Large Amplitude Initial Data</x:v>
      </x:c>
      <x:c r="E54" s="118" t="str">
        <x:v>Gyounghun Ko; Myeong-Su Lee; Sung-Jun Son</x:v>
      </x:c>
      <x:c r="F54" s="118" t="str">
        <x:v>Boltzmann equation</x:v>
      </x:c>
      <x:c r="G54" s="120" t="str">
        <x:v>54</x:v>
      </x:c>
      <x:c r="H54" s="121" t="n">
        <x:v>90.45</x:v>
      </x:c>
      <x:c r="I54" s="121" t="n">
        <x:v>90.4</x:v>
      </x:c>
      <x:c r="J54" s="121" t="n">
        <x:v>90.5</x:v>
      </x:c>
      <x:c r="K54" s="121" t="str">
        <x:v>92.1</x:v>
      </x:c>
      <x:c r="L54" s="121" t="str">
        <x:v>89.1</x:v>
      </x:c>
      <x:c r="M54" s="121" t="str">
        <x:v>93.1</x:v>
      </x:c>
      <x:c r="N54" s="121" t="str">
        <x:v>87.2</x:v>
      </x:c>
      <x:c r="O54" s="121" t="str">
        <x:v>93.2</x:v>
      </x:c>
      <x:c r="P54" s="121" t="str">
        <x:v>86</x:v>
      </x:c>
      <x:c r="Q54" s="121" t="str">
        <x:v>12</x:v>
      </x:c>
      <x:c r="R54" s="118" t="str">
        <x:v>https://arxiv.org/abs/2605.10138</x:v>
      </x:c>
      <x:c r="S54" s="118" t="str">
        <x:v>三轮复核后与原表基本一致</x:v>
      </x:c>
    </x:row>
    <x:row r="55" ht="34" customHeight="1">
      <x:c r="A55" s="120" t="n">
        <x:v>50</x:v>
      </x:c>
      <x:c r="B55" s="120" t="str">
        <x:v>2026-06</x:v>
      </x:c>
      <x:c r="C55" s="120" t="str">
        <x:v>2606.08648</x:v>
      </x:c>
      <x:c r="D55" s="118" t="str">
        <x:v>On Brezis Open Problem 3.1</x:v>
      </x:c>
      <x:c r="E55" s="118" t="str">
        <x:v>Qi Guo; Xueping Huang; Yi C. Huang; Fanghua Lin; Juncheng Wei</x:v>
      </x:c>
      <x:c r="F55" s="118" t="str">
        <x:v>elliptic/geometric analysis</x:v>
      </x:c>
      <x:c r="G55" s="120" t="str">
        <x:v>20</x:v>
      </x:c>
      <x:c r="H55" s="121" t="n">
        <x:v>90.42</x:v>
      </x:c>
      <x:c r="I55" s="121" t="n">
        <x:v>90.4</x:v>
      </x:c>
      <x:c r="J55" s="121" t="n">
        <x:v>90.44</x:v>
      </x:c>
      <x:c r="K55" s="121" t="str">
        <x:v>92</x:v>
      </x:c>
      <x:c r="L55" s="121" t="str">
        <x:v>91</x:v>
      </x:c>
      <x:c r="M55" s="121" t="str">
        <x:v>90.8</x:v>
      </x:c>
      <x:c r="N55" s="121" t="str">
        <x:v>88</x:v>
      </x:c>
      <x:c r="O55" s="121" t="str">
        <x:v>91.9</x:v>
      </x:c>
      <x:c r="P55" s="121" t="str">
        <x:v>87</x:v>
      </x:c>
      <x:c r="Q55" s="121" t="str">
        <x:v>10.3</x:v>
      </x:c>
      <x:c r="R55" s="118" t="str">
        <x:v>https://arxiv.org/abs/2606.08648</x:v>
      </x:c>
      <x:c r="S55" s="118" t="str">
        <x:v>短文且非框架性题材，技术残差轻微回调；Brezis公开问题稿件保持原先高分附近，未做正确性认证。</x:v>
      </x:c>
    </x:row>
    <x:row r="56" ht="34" customHeight="1">
      <x:c r="A56" s="120" t="n">
        <x:v>51</x:v>
      </x:c>
      <x:c r="B56" s="120" t="str">
        <x:v>2026-06</x:v>
      </x:c>
      <x:c r="C56" s="120" t="str">
        <x:v>2606.03749</x:v>
      </x:c>
      <x:c r="D56" s="118" t="str">
        <x:v>A Density-Distance Version of the Carlen--Frank--Lieb Stability Theorem</x:v>
      </x:c>
      <x:c r="E56" s="118" t="str">
        <x:v>Gangsong Leng</x:v>
      </x:c>
      <x:c r="F56" s="118" t="str">
        <x:v>sharp inequalities/stability</x:v>
      </x:c>
      <x:c r="G56" s="120"/>
      <x:c r="H56" s="121" t="n">
        <x:v>90.4</x:v>
      </x:c>
      <x:c r="I56" s="121" t="n">
        <x:v>90.65</x:v>
      </x:c>
      <x:c r="J56" s="121" t="n">
        <x:v>90.15</x:v>
      </x:c>
      <x:c r="K56" s="121" t="str">
        <x:v>92</x:v>
      </x:c>
      <x:c r="L56" s="121" t="str">
        <x:v>91.1</x:v>
      </x:c>
      <x:c r="M56" s="121" t="str">
        <x:v>91</x:v>
      </x:c>
      <x:c r="N56" s="121" t="str">
        <x:v>89.2</x:v>
      </x:c>
      <x:c r="O56" s="121" t="str">
        <x:v>91.1</x:v>
      </x:c>
      <x:c r="P56" s="121" t="str">
        <x:v>87</x:v>
      </x:c>
      <x:c r="Q56" s="121" t="str">
        <x:v>11</x:v>
      </x:c>
      <x:c r="R56" s="118" t="str">
        <x:v>https://arxiv.org/abs/2606.03749</x:v>
      </x:c>
      <x:c r="S56" s="118" t="str">
        <x:v>三轮复核后与原表基本一致</x:v>
      </x:c>
    </x:row>
    <x:row r="57" ht="34" customHeight="1">
      <x:c r="A57" s="120" t="n">
        <x:v>52</x:v>
      </x:c>
      <x:c r="B57" s="120" t="str">
        <x:v>2026-06</x:v>
      </x:c>
      <x:c r="C57" s="120" t="str">
        <x:v>2606.29993</x:v>
      </x:c>
      <x:c r="D57" s="118" t="str">
        <x:v>Strichartz Estimates for the Liouville Equation on Euclidean Tori and Applications to Kakeya</x:v>
      </x:c>
      <x:c r="E57" s="118" t="str">
        <x:v>Pierre Germain; Mickael Latocca</x:v>
      </x:c>
      <x:c r="F57" s="118" t="str">
        <x:v>harmonic/dispersive analysis</x:v>
      </x:c>
      <x:c r="G57" s="120"/>
      <x:c r="H57" s="121" t="n">
        <x:v>90.4</x:v>
      </x:c>
      <x:c r="I57" s="121" t="n">
        <x:v>90.55</x:v>
      </x:c>
      <x:c r="J57" s="121" t="n">
        <x:v>90.25</x:v>
      </x:c>
      <x:c r="K57" s="121" t="str">
        <x:v>92</x:v>
      </x:c>
      <x:c r="L57" s="121" t="str">
        <x:v>90</x:v>
      </x:c>
      <x:c r="M57" s="121" t="str">
        <x:v>92</x:v>
      </x:c>
      <x:c r="N57" s="121" t="str">
        <x:v>89</x:v>
      </x:c>
      <x:c r="O57" s="121" t="str">
        <x:v>92</x:v>
      </x:c>
      <x:c r="P57" s="121" t="str">
        <x:v>86</x:v>
      </x:c>
      <x:c r="Q57" s="121" t="str">
        <x:v>11</x:v>
      </x:c>
      <x:c r="R57" s="118" t="str">
        <x:v>https://arxiv.org/abs/2606.29993</x:v>
      </x:c>
      <x:c r="S57" s="118" t="str">
        <x:v>三轮复核后与原表基本一致</x:v>
      </x:c>
    </x:row>
    <x:row r="58" ht="34" customHeight="1">
      <x:c r="A58" s="120" t="n">
        <x:v>53</x:v>
      </x:c>
      <x:c r="B58" s="120" t="str">
        <x:v>2026-07</x:v>
      </x:c>
      <x:c r="C58" s="120" t="str">
        <x:v>2607.11618</x:v>
      </x:c>
      <x:c r="D58" s="118" t="str">
        <x:v>Bellman Equations with Sub-Lipschitz Hessians</x:v>
      </x:c>
      <x:c r="E58" s="118" t="str">
        <x:v>Xavier Fernández-Real</x:v>
      </x:c>
      <x:c r="F58" s="118" t="str">
        <x:v>fully nonlinear PDE</x:v>
      </x:c>
      <x:c r="G58" s="120" t="str">
        <x:v>-</x:v>
      </x:c>
      <x:c r="H58" s="121" t="n">
        <x:v>90.4</x:v>
      </x:c>
      <x:c r="I58" s="121" t="n">
        <x:v>90.4</x:v>
      </x:c>
      <x:c r="J58" s="121" t="n">
        <x:v>90.4</x:v>
      </x:c>
      <x:c r="K58" s="121" t="n">
        <x:v>92</x:v>
      </x:c>
      <x:c r="L58" s="121" t="n">
        <x:v>90</x:v>
      </x:c>
      <x:c r="M58" s="121" t="n">
        <x:v>92</x:v>
      </x:c>
      <x:c r="N58" s="121" t="n">
        <x:v>88</x:v>
      </x:c>
      <x:c r="O58" s="121" t="n">
        <x:v>92</x:v>
      </x:c>
      <x:c r="P58" s="121" t="n">
        <x:v>86</x:v>
      </x:c>
      <x:c r="Q58" s="121" t="n">
        <x:v>10</x:v>
      </x:c>
      <x:c r="R58" s="118" t="str">
        <x:v>https://arxiv.org/abs/2607.11618</x:v>
      </x:c>
      <x:c r="S58" s="118" t="str">
        <x:v>Strong fully nonlinear regularity contribution; concise but high conceptual value.</x:v>
      </x:c>
    </x:row>
    <x:row r="59" ht="34" customHeight="1">
      <x:c r="A59" s="120" t="n">
        <x:v>54</x:v>
      </x:c>
      <x:c r="B59" s="120" t="str">
        <x:v>2026-07</x:v>
      </x:c>
      <x:c r="C59" s="120" t="str">
        <x:v>2607.11731</x:v>
      </x:c>
      <x:c r="D59" s="118" t="str">
        <x:v>Global asymptotic stability for the 3D Peskin Problem at critical regularity</x:v>
      </x:c>
      <x:c r="E59" s="118" t="str">
        <x:v>Eduardo García-Juárez; Susanna V. Haziot; Po-Chun Kuo; Yoichiro Mori; Han Zhou</x:v>
      </x:c>
      <x:c r="F59" s="118" t="str">
        <x:v>fluid-structure interaction</x:v>
      </x:c>
      <x:c r="G59" s="120" t="str">
        <x:v>-</x:v>
      </x:c>
      <x:c r="H59" s="121" t="n">
        <x:v>90.38</x:v>
      </x:c>
      <x:c r="I59" s="121" t="n">
        <x:v>90.3</x:v>
      </x:c>
      <x:c r="J59" s="121" t="n">
        <x:v>90.45</x:v>
      </x:c>
      <x:c r="K59" s="121" t="n">
        <x:v>92</x:v>
      </x:c>
      <x:c r="L59" s="121" t="n">
        <x:v>90</x:v>
      </x:c>
      <x:c r="M59" s="121" t="n">
        <x:v>93</x:v>
      </x:c>
      <x:c r="N59" s="121" t="n">
        <x:v>87</x:v>
      </x:c>
      <x:c r="O59" s="121" t="n">
        <x:v>93</x:v>
      </x:c>
      <x:c r="P59" s="121" t="n">
        <x:v>84</x:v>
      </x:c>
      <x:c r="Q59" s="121" t="n">
        <x:v>11</x:v>
      </x:c>
      <x:c r="R59" s="118" t="str">
        <x:v>https://arxiv.org/abs/2607.11731</x:v>
      </x:c>
      <x:c r="S59" s="118" t="str">
        <x:v>Critical-regularity global stability for a difficult fluid-structure model.</x:v>
      </x:c>
    </x:row>
    <x:row r="60" ht="34" customHeight="1">
      <x:c r="A60" s="120" t="n">
        <x:v>55</x:v>
      </x:c>
      <x:c r="B60" s="120" t="str">
        <x:v>2026-05</x:v>
      </x:c>
      <x:c r="C60" s="120" t="str">
        <x:v>2605.00189</x:v>
      </x:c>
      <x:c r="D60" s="118" t="str">
        <x:v>Local Asymptotic Patterns for Viscous Approximations of Conservation Laws</x:v>
      </x:c>
      <x:c r="E60" s="118" t="str">
        <x:v>Alberto Bressan; Laura Caravenna; Wen Shen</x:v>
      </x:c>
      <x:c r="F60" s="118" t="str">
        <x:v>Conservation laws</x:v>
      </x:c>
      <x:c r="G60" s="120"/>
      <x:c r="H60" s="121" t="n">
        <x:v>90.35</x:v>
      </x:c>
      <x:c r="I60" s="121" t="n">
        <x:v>90.41</x:v>
      </x:c>
      <x:c r="J60" s="121" t="n">
        <x:v>90.3</x:v>
      </x:c>
      <x:c r="K60" s="121" t="str">
        <x:v>92.1</x:v>
      </x:c>
      <x:c r="L60" s="121" t="str">
        <x:v>90</x:v>
      </x:c>
      <x:c r="M60" s="121" t="str">
        <x:v>92.1</x:v>
      </x:c>
      <x:c r="N60" s="121" t="str">
        <x:v>87</x:v>
      </x:c>
      <x:c r="O60" s="121" t="str">
        <x:v>92.1</x:v>
      </x:c>
      <x:c r="P60" s="121" t="str">
        <x:v>87</x:v>
      </x:c>
      <x:c r="Q60" s="121" t="str">
        <x:v>12</x:v>
      </x:c>
      <x:c r="R60" s="118" t="str">
        <x:v>https://arxiv.org/abs/2605.00189</x:v>
      </x:c>
      <x:c r="S60" s="118" t="str">
        <x:v>三轮复核后与原表基本一致</x:v>
      </x:c>
    </x:row>
    <x:row r="61" ht="34" customHeight="1">
      <x:c r="A61" s="120" t="n">
        <x:v>56</x:v>
      </x:c>
      <x:c r="B61" s="120" t="str">
        <x:v>2026-05</x:v>
      </x:c>
      <x:c r="C61" s="120" t="str">
        <x:v>2605.10788</x:v>
      </x:c>
      <x:c r="D61" s="118" t="str">
        <x:v>Entropy Structures and Long-Time Relaxation for 3-Wave Kinetic Equations</x:v>
      </x:c>
      <x:c r="E61" s="118" t="str">
        <x:v>Gigliola Staffilani; Minh-Binh Tran</x:v>
      </x:c>
      <x:c r="F61" s="118" t="str">
        <x:v>Wave kinetic equations</x:v>
      </x:c>
      <x:c r="G61" s="120"/>
      <x:c r="H61" s="121" t="n">
        <x:v>90.3</x:v>
      </x:c>
      <x:c r="I61" s="121" t="n">
        <x:v>90.45</x:v>
      </x:c>
      <x:c r="J61" s="121" t="n">
        <x:v>90.15</x:v>
      </x:c>
      <x:c r="K61" s="121" t="str">
        <x:v>92</x:v>
      </x:c>
      <x:c r="L61" s="121" t="str">
        <x:v>90.1</x:v>
      </x:c>
      <x:c r="M61" s="121" t="str">
        <x:v>92</x:v>
      </x:c>
      <x:c r="N61" s="121" t="str">
        <x:v>88.2</x:v>
      </x:c>
      <x:c r="O61" s="121" t="str">
        <x:v>92.1</x:v>
      </x:c>
      <x:c r="P61" s="121" t="str">
        <x:v>86</x:v>
      </x:c>
      <x:c r="Q61" s="121" t="str">
        <x:v>12</x:v>
      </x:c>
      <x:c r="R61" s="118" t="str">
        <x:v>https://arxiv.org/abs/2605.10788</x:v>
      </x:c>
      <x:c r="S61" s="118" t="str">
        <x:v>三轮复核后与原表基本一致</x:v>
      </x:c>
    </x:row>
    <x:row r="62" ht="34" customHeight="1">
      <x:c r="A62" s="120" t="n">
        <x:v>57</x:v>
      </x:c>
      <x:c r="B62" s="120" t="str">
        <x:v>2026-07</x:v>
      </x:c>
      <x:c r="C62" s="120" t="str">
        <x:v>2607.01939</x:v>
      </x:c>
      <x:c r="D62" s="118" t="str">
        <x:v>McLean resonances and 3d spectral instability of Stokes waves</x:v>
      </x:c>
      <x:c r="E62" s="118" t="str">
        <x:v>Massimiliano Berti; Alberto Maspero; Antonio Milosh Radakovic</x:v>
      </x:c>
      <x:c r="F62" s="118" t="str">
        <x:v>water waves / spectral instability</x:v>
      </x:c>
      <x:c r="G62" s="120" t="n">
        <x:v>80</x:v>
      </x:c>
      <x:c r="H62" s="121" t="n">
        <x:v>90.3</x:v>
      </x:c>
      <x:c r="I62" s="121" t="n">
        <x:v>90.3</x:v>
      </x:c>
      <x:c r="J62" s="121" t="n">
        <x:v>90.3</x:v>
      </x:c>
      <x:c r="K62" s="121" t="n">
        <x:v>92</x:v>
      </x:c>
      <x:c r="L62" s="121" t="n">
        <x:v>90</x:v>
      </x:c>
      <x:c r="M62" s="121" t="n">
        <x:v>93</x:v>
      </x:c>
      <x:c r="N62" s="121" t="n">
        <x:v>87</x:v>
      </x:c>
      <x:c r="O62" s="121" t="n">
        <x:v>93</x:v>
      </x:c>
      <x:c r="P62" s="121" t="n">
        <x:v>84</x:v>
      </x:c>
      <x:c r="Q62" s="121" t="n">
        <x:v>12</x:v>
      </x:c>
      <x:c r="R62" s="118" t="str">
        <x:v>https://arxiv.org/abs/2607.01939</x:v>
      </x:c>
      <x:c r="S62" s="118" t="str">
        <x:v>High-end spectral instability analysis for Stokes waves.</x:v>
      </x:c>
    </x:row>
    <x:row r="63" ht="34" customHeight="1">
      <x:c r="A63" s="120" t="n">
        <x:v>58</x:v>
      </x:c>
      <x:c r="B63" s="120" t="str">
        <x:v>2026-07</x:v>
      </x:c>
      <x:c r="C63" s="120" t="str">
        <x:v>2607.08385</x:v>
      </x:c>
      <x:c r="D63" s="118" t="str">
        <x:v>Nonlinear PDEs with modulated dispersion III: multiplicative noises</x:v>
      </x:c>
      <x:c r="E63" s="118" t="str">
        <x:v>Andreia Chapouto; Massimiliano Gubinelli; Guopeng Li; Jiawei Li; Tadahiro Oh</x:v>
      </x:c>
      <x:c r="F63" s="118" t="str">
        <x:v>random/modulated dispersive PDE</x:v>
      </x:c>
      <x:c r="G63" s="120" t="n">
        <x:v>61</x:v>
      </x:c>
      <x:c r="H63" s="121" t="n">
        <x:v>90.3</x:v>
      </x:c>
      <x:c r="I63" s="121" t="n">
        <x:v>90.45</x:v>
      </x:c>
      <x:c r="J63" s="121" t="n">
        <x:v>90.15</x:v>
      </x:c>
      <x:c r="K63" s="121" t="n">
        <x:v>92</x:v>
      </x:c>
      <x:c r="L63" s="121" t="n">
        <x:v>90</x:v>
      </x:c>
      <x:c r="M63" s="121" t="n">
        <x:v>93</x:v>
      </x:c>
      <x:c r="N63" s="121" t="n">
        <x:v>88</x:v>
      </x:c>
      <x:c r="O63" s="121" t="n">
        <x:v>93</x:v>
      </x:c>
      <x:c r="P63" s="121" t="n">
        <x:v>84</x:v>
      </x:c>
      <x:c r="Q63" s="121" t="n">
        <x:v>13</x:v>
      </x:c>
      <x:c r="R63" s="118" t="str">
        <x:v>https://arxiv.org/abs/2607.08385</x:v>
      </x:c>
      <x:c r="S63" s="118" t="str">
        <x:v>Substantial continuation of modulated dispersion program.</x:v>
      </x:c>
    </x:row>
    <x:row r="64" ht="34" customHeight="1">
      <x:c r="A64" s="120" t="n">
        <x:v>59</x:v>
      </x:c>
      <x:c r="B64" s="120" t="str">
        <x:v>2026-06</x:v>
      </x:c>
      <x:c r="C64" s="120" t="str">
        <x:v>2606.14308</x:v>
      </x:c>
      <x:c r="D64" s="118" t="str">
        <x:v>Non-uniqueness of global-in-time admissible weak solutions to the isentropic compressible Euler equations for a dense set of initial data</x:v>
      </x:c>
      <x:c r="E64" s="118" t="str">
        <x:v>Daniel W. Boutros; Simon Markfelder</x:v>
      </x:c>
      <x:c r="F64" s="118" t="str">
        <x:v>Euler/convex integration</x:v>
      </x:c>
      <x:c r="G64" s="120"/>
      <x:c r="H64" s="121" t="n">
        <x:v>90.28</x:v>
      </x:c>
      <x:c r="I64" s="121" t="n">
        <x:v>90.55</x:v>
      </x:c>
      <x:c r="J64" s="121" t="n">
        <x:v>90</x:v>
      </x:c>
      <x:c r="K64" s="121" t="str">
        <x:v>93.1</x:v>
      </x:c>
      <x:c r="L64" s="121" t="str">
        <x:v>90</x:v>
      </x:c>
      <x:c r="M64" s="121" t="str">
        <x:v>92.1</x:v>
      </x:c>
      <x:c r="N64" s="121" t="str">
        <x:v>88</x:v>
      </x:c>
      <x:c r="O64" s="121" t="str">
        <x:v>92.1</x:v>
      </x:c>
      <x:c r="P64" s="121" t="str">
        <x:v>84</x:v>
      </x:c>
      <x:c r="Q64" s="121" t="str">
        <x:v>11</x:v>
      </x:c>
      <x:c r="R64" s="118" t="str">
        <x:v>https://arxiv.org/abs/2606.14308</x:v>
      </x:c>
      <x:c r="S64" s="118" t="str">
        <x:v>三轮复核后与原表基本一致</x:v>
      </x:c>
    </x:row>
    <x:row r="65" ht="34" customHeight="1">
      <x:c r="A65" s="120" t="n">
        <x:v>60</x:v>
      </x:c>
      <x:c r="B65" s="120" t="str">
        <x:v>2026-06</x:v>
      </x:c>
      <x:c r="C65" s="120" t="str">
        <x:v>2606.29454</x:v>
      </x:c>
      <x:c r="D65" s="118" t="str">
        <x:v>Formation of quasi-singularities of shock and implosion type for compressible Euler flows</x:v>
      </x:c>
      <x:c r="E65" s="118" t="str">
        <x:v>Xieling Fan; Hongyu Liu</x:v>
      </x:c>
      <x:c r="F65" s="118" t="str">
        <x:v>compressible Euler singularity</x:v>
      </x:c>
      <x:c r="G65" s="120"/>
      <x:c r="H65" s="121" t="n">
        <x:v>90.25</x:v>
      </x:c>
      <x:c r="I65" s="121" t="n">
        <x:v>90.5</x:v>
      </x:c>
      <x:c r="J65" s="121" t="n">
        <x:v>90</x:v>
      </x:c>
      <x:c r="K65" s="121" t="str">
        <x:v>93</x:v>
      </x:c>
      <x:c r="L65" s="121" t="str">
        <x:v>90</x:v>
      </x:c>
      <x:c r="M65" s="121" t="str">
        <x:v>92.1</x:v>
      </x:c>
      <x:c r="N65" s="121" t="str">
        <x:v>87.8</x:v>
      </x:c>
      <x:c r="O65" s="121" t="str">
        <x:v>92.1</x:v>
      </x:c>
      <x:c r="P65" s="121" t="str">
        <x:v>84</x:v>
      </x:c>
      <x:c r="Q65" s="121" t="str">
        <x:v>11</x:v>
      </x:c>
      <x:c r="R65" s="118" t="str">
        <x:v>https://arxiv.org/abs/2606.29454</x:v>
      </x:c>
      <x:c r="S65" s="118" t="str">
        <x:v>范围偏专门，广度轻微回调</x:v>
      </x:c>
    </x:row>
    <x:row r="66" ht="34" customHeight="1">
      <x:c r="A66" s="120" t="n">
        <x:v>61</x:v>
      </x:c>
      <x:c r="B66" s="120" t="str">
        <x:v>2026-08</x:v>
      </x:c>
      <x:c r="C66" s="120" t="str">
        <x:v>2608.02033</x:v>
      </x:c>
      <x:c r="D66" s="118" t="str">
        <x:v>A unified theory for regularity persistence of vortex patch boundaries</x:v>
      </x:c>
      <x:c r="E66" s="118" t="str">
        <x:v>Marc Magana</x:v>
      </x:c>
      <x:c r="F66" s="118" t="str">
        <x:v>vortex patches</x:v>
      </x:c>
      <x:c r="G66" s="120" t="str">
        <x:v>-</x:v>
      </x:c>
      <x:c r="H66" s="121" t="n">
        <x:v>90.25</x:v>
      </x:c>
      <x:c r="I66" s="121" t="n">
        <x:v>90.1</x:v>
      </x:c>
      <x:c r="J66" s="121" t="n">
        <x:v>90.4</x:v>
      </x:c>
      <x:c r="K66" s="121" t="n">
        <x:v>91</x:v>
      </x:c>
      <x:c r="L66" s="121" t="n">
        <x:v>90</x:v>
      </x:c>
      <x:c r="M66" s="121" t="n">
        <x:v>92</x:v>
      </x:c>
      <x:c r="N66" s="121" t="n">
        <x:v>88</x:v>
      </x:c>
      <x:c r="O66" s="121" t="n">
        <x:v>92</x:v>
      </x:c>
      <x:c r="P66" s="121" t="n">
        <x:v>86</x:v>
      </x:c>
      <x:c r="Q66" s="121" t="n">
        <x:v>10</x:v>
      </x:c>
      <x:c r="R66" s="118" t="str">
        <x:v>https://arxiv.org/abs/2608.02033</x:v>
      </x:c>
      <x:c r="S66" s="118" t="str">
        <x:v>Unified persistence theory for vortex-patch regularity.</x:v>
      </x:c>
    </x:row>
    <x:row r="67" ht="34" customHeight="1">
      <x:c r="A67" s="120" t="n">
        <x:v>62</x:v>
      </x:c>
      <x:c r="B67" s="120" t="str">
        <x:v>2026-07</x:v>
      </x:c>
      <x:c r="C67" s="120" t="str">
        <x:v>2607.17110</x:v>
      </x:c>
      <x:c r="D67" s="118" t="str">
        <x:v>Global well-posedness for incompressible Euler in endpoint Sobolev space</x:v>
      </x:c>
      <x:c r="E67" s="118" t="str">
        <x:v>Raphaël Danchin; In-Jee Jeong</x:v>
      </x:c>
      <x:c r="F67" s="118" t="str">
        <x:v>Euler equations</x:v>
      </x:c>
      <x:c r="G67" s="120" t="n">
        <x:v>16</x:v>
      </x:c>
      <x:c r="H67" s="121" t="n">
        <x:v>90.22</x:v>
      </x:c>
      <x:c r="I67" s="121" t="n">
        <x:v>90.35</x:v>
      </x:c>
      <x:c r="J67" s="121" t="n">
        <x:v>90.1</x:v>
      </x:c>
      <x:c r="K67" s="121" t="n">
        <x:v>92</x:v>
      </x:c>
      <x:c r="L67" s="121" t="n">
        <x:v>91</x:v>
      </x:c>
      <x:c r="M67" s="121" t="n">
        <x:v>91</x:v>
      </x:c>
      <x:c r="N67" s="121" t="n">
        <x:v>88</x:v>
      </x:c>
      <x:c r="O67" s="121" t="n">
        <x:v>91</x:v>
      </x:c>
      <x:c r="P67" s="121" t="n">
        <x:v>86</x:v>
      </x:c>
      <x:c r="Q67" s="121" t="n">
        <x:v>10</x:v>
      </x:c>
      <x:c r="R67" s="118" t="str">
        <x:v>https://arxiv.org/abs/2607.17110</x:v>
      </x:c>
      <x:c r="S67" s="118" t="str">
        <x:v>Endpoint well-posedness theorem by leading authors; concise but sharp.</x:v>
      </x:c>
    </x:row>
    <x:row r="68" ht="34" customHeight="1">
      <x:c r="A68" s="120" t="n">
        <x:v>63</x:v>
      </x:c>
      <x:c r="B68" s="120" t="str">
        <x:v>2026-07</x:v>
      </x:c>
      <x:c r="C68" s="120" t="str">
        <x:v>2607.05158</x:v>
      </x:c>
      <x:c r="D68" s="118" t="str">
        <x:v>On the optimal decay rate of global solutions to the convection-diffusion equation with zero-mass initial data</x:v>
      </x:c>
      <x:c r="E68" s="118" t="str">
        <x:v>Yi C. Huang; Ryunosuke Kusaba</x:v>
      </x:c>
      <x:c r="F68" s="118" t="str">
        <x:v>convection-diffusion</x:v>
      </x:c>
      <x:c r="G68" s="120" t="n">
        <x:v>21</x:v>
      </x:c>
      <x:c r="H68" s="121" t="n">
        <x:v>90.2</x:v>
      </x:c>
      <x:c r="I68" s="121" t="n">
        <x:v>90.2</x:v>
      </x:c>
      <x:c r="J68" s="121" t="n">
        <x:v>90.2</x:v>
      </x:c>
      <x:c r="K68" s="121" t="n">
        <x:v>91</x:v>
      </x:c>
      <x:c r="L68" s="121" t="n">
        <x:v>89</x:v>
      </x:c>
      <x:c r="M68" s="121" t="n">
        <x:v>92</x:v>
      </x:c>
      <x:c r="N68" s="121" t="n">
        <x:v>88</x:v>
      </x:c>
      <x:c r="O68" s="121" t="n">
        <x:v>92</x:v>
      </x:c>
      <x:c r="P68" s="121" t="n">
        <x:v>89</x:v>
      </x:c>
      <x:c r="Q68" s="121" t="n">
        <x:v>13</x:v>
      </x:c>
      <x:c r="R68" s="118" t="str">
        <x:v>https://arxiv.org/abs/2607.05158</x:v>
      </x:c>
      <x:c r="S68" s="118" t="str">
        <x:v>Scored candidate from official July math.AP list; correctness not checked.</x:v>
      </x:c>
    </x:row>
    <x:row r="69" ht="34" customHeight="1">
      <x:c r="A69" s="120" t="n">
        <x:v>64</x:v>
      </x:c>
      <x:c r="B69" s="120" t="str">
        <x:v>2026-06</x:v>
      </x:c>
      <x:c r="C69" s="120" t="str">
        <x:v>2606.02070</x:v>
      </x:c>
      <x:c r="D69" s="118" t="str">
        <x:v>Critical mass threshold for the 2D Patlak-Keller-Segel-Navier-Stokes system</x:v>
      </x:c>
      <x:c r="E69" s="118" t="str">
        <x:v>Wendong Wang; Dongyi Wei; Zhifei Zhang</x:v>
      </x:c>
      <x:c r="F69" s="118" t="str">
        <x:v>chemotaxis-fluid threshold</x:v>
      </x:c>
      <x:c r="G69" s="120"/>
      <x:c r="H69" s="121" t="n">
        <x:v>90.18</x:v>
      </x:c>
      <x:c r="I69" s="121" t="n">
        <x:v>90.26</x:v>
      </x:c>
      <x:c r="J69" s="121" t="n">
        <x:v>90.1</x:v>
      </x:c>
      <x:c r="K69" s="121" t="str">
        <x:v>92.1</x:v>
      </x:c>
      <x:c r="L69" s="121" t="str">
        <x:v>89</x:v>
      </x:c>
      <x:c r="M69" s="121" t="str">
        <x:v>92.1</x:v>
      </x:c>
      <x:c r="N69" s="121" t="str">
        <x:v>88</x:v>
      </x:c>
      <x:c r="O69" s="121" t="str">
        <x:v>92.1</x:v>
      </x:c>
      <x:c r="P69" s="121" t="str">
        <x:v>86</x:v>
      </x:c>
      <x:c r="Q69" s="121" t="str">
        <x:v>11</x:v>
      </x:c>
      <x:c r="R69" s="118" t="str">
        <x:v>https://arxiv.org/abs/2606.02070</x:v>
      </x:c>
      <x:c r="S69" s="118" t="str">
        <x:v>三轮复核后与原表基本一致</x:v>
      </x:c>
    </x:row>
    <x:row r="70" ht="34" customHeight="1">
      <x:c r="A70" s="120" t="n">
        <x:v>65</x:v>
      </x:c>
      <x:c r="B70" s="120" t="str">
        <x:v>2026-06</x:v>
      </x:c>
      <x:c r="C70" s="120" t="str">
        <x:v>2606.12061</x:v>
      </x:c>
      <x:c r="D70" s="118" t="str">
        <x:v>Complex-ellipticity, dimensional estimates and plane wave rigidity in BV^A</x:v>
      </x:c>
      <x:c r="E70" s="118" t="str">
        <x:v>Adolfo Arroyo-Rabasa</x:v>
      </x:c>
      <x:c r="F70" s="118" t="str">
        <x:v>calculus of variations/BV</x:v>
      </x:c>
      <x:c r="G70" s="120" t="str">
        <x:v>23</x:v>
      </x:c>
      <x:c r="H70" s="121" t="n">
        <x:v>90.16</x:v>
      </x:c>
      <x:c r="I70" s="121" t="n">
        <x:v>90.2</x:v>
      </x:c>
      <x:c r="J70" s="121" t="n">
        <x:v>90.13</x:v>
      </x:c>
      <x:c r="K70" s="121" t="str">
        <x:v>91</x:v>
      </x:c>
      <x:c r="L70" s="121" t="str">
        <x:v>91.1</x:v>
      </x:c>
      <x:c r="M70" s="121" t="str">
        <x:v>91</x:v>
      </x:c>
      <x:c r="N70" s="121" t="str">
        <x:v>88.2</x:v>
      </x:c>
      <x:c r="O70" s="121" t="str">
        <x:v>91.1</x:v>
      </x:c>
      <x:c r="P70" s="121" t="str">
        <x:v>87</x:v>
      </x:c>
      <x:c r="Q70" s="121" t="str">
        <x:v>11.1</x:v>
      </x:c>
      <x:c r="R70" s="118" t="str">
        <x:v>https://arxiv.org/abs/2606.12061</x:v>
      </x:c>
      <x:c r="S70" s="118" t="str">
        <x:v>三轮复核后与原表基本一致</x:v>
      </x:c>
    </x:row>
    <x:row r="71" ht="34" customHeight="1">
      <x:c r="A71" s="120" t="n">
        <x:v>66</x:v>
      </x:c>
      <x:c r="B71" s="120" t="str">
        <x:v>2026-06</x:v>
      </x:c>
      <x:c r="C71" s="120" t="str">
        <x:v>2606.02989</x:v>
      </x:c>
      <x:c r="D71" s="118" t="str">
        <x:v>The Benjamin-Ono Equation in the Long-Time Limit: Linearized Self-Similar Universality</x:v>
      </x:c>
      <x:c r="E71" s="118" t="str">
        <x:v>Louise Gassot; Patrick Gerard; Peter D. Miller</x:v>
      </x:c>
      <x:c r="F71" s="118" t="str">
        <x:v>integrable/dispersive asymptotics</x:v>
      </x:c>
      <x:c r="G71" s="120" t="str">
        <x:v>33</x:v>
      </x:c>
      <x:c r="H71" s="121" t="n">
        <x:v>90.15</x:v>
      </x:c>
      <x:c r="I71" s="121" t="n">
        <x:v>90.14</x:v>
      </x:c>
      <x:c r="J71" s="121" t="n">
        <x:v>90.15</x:v>
      </x:c>
      <x:c r="K71" s="121" t="str">
        <x:v>90.9</x:v>
      </x:c>
      <x:c r="L71" s="121" t="str">
        <x:v>91.1</x:v>
      </x:c>
      <x:c r="M71" s="121" t="str">
        <x:v>91</x:v>
      </x:c>
      <x:c r="N71" s="121" t="str">
        <x:v>88</x:v>
      </x:c>
      <x:c r="O71" s="121" t="str">
        <x:v>91.1</x:v>
      </x:c>
      <x:c r="P71" s="121" t="str">
        <x:v>87</x:v>
      </x:c>
      <x:c r="Q71" s="121" t="str">
        <x:v>11</x:v>
      </x:c>
      <x:c r="R71" s="118" t="str">
        <x:v>https://arxiv.org/abs/2606.02989</x:v>
      </x:c>
      <x:c r="S71" s="118" t="str">
        <x:v>范围偏专门，广度轻微回调</x:v>
      </x:c>
    </x:row>
    <x:row r="72" ht="34" customHeight="1">
      <x:c r="A72" s="120" t="n">
        <x:v>67</x:v>
      </x:c>
      <x:c r="B72" s="120" t="str">
        <x:v>2026-05</x:v>
      </x:c>
      <x:c r="C72" s="120" t="str">
        <x:v>2605.02540</x:v>
      </x:c>
      <x:c r="D72" s="118" t="str">
        <x:v>On the onset of correlations in Wave Turbulence close to singularities</x:v>
      </x:c>
      <x:c r="E72" s="118" t="str">
        <x:v>M. Escobedo; J. J. L. Velazquez</x:v>
      </x:c>
      <x:c r="F72" s="118" t="str">
        <x:v>Wave turbulence</x:v>
      </x:c>
      <x:c r="G72" s="120"/>
      <x:c r="H72" s="121" t="n">
        <x:v>90.13</x:v>
      </x:c>
      <x:c r="I72" s="121" t="n">
        <x:v>90.25</x:v>
      </x:c>
      <x:c r="J72" s="121" t="n">
        <x:v>90</x:v>
      </x:c>
      <x:c r="K72" s="121" t="str">
        <x:v>92</x:v>
      </x:c>
      <x:c r="L72" s="121" t="str">
        <x:v>91</x:v>
      </x:c>
      <x:c r="M72" s="121" t="str">
        <x:v>92</x:v>
      </x:c>
      <x:c r="N72" s="121" t="str">
        <x:v>87</x:v>
      </x:c>
      <x:c r="O72" s="121" t="str">
        <x:v>92</x:v>
      </x:c>
      <x:c r="P72" s="121" t="str">
        <x:v>84</x:v>
      </x:c>
      <x:c r="Q72" s="121" t="str">
        <x:v>12</x:v>
      </x:c>
      <x:c r="R72" s="118" t="str">
        <x:v>https://arxiv.org/abs/2605.02540</x:v>
      </x:c>
      <x:c r="S72" s="118" t="str">
        <x:v>三轮复核后与原表基本一致</x:v>
      </x:c>
    </x:row>
    <x:row r="73" ht="34" customHeight="1">
      <x:c r="A73" s="120" t="n">
        <x:v>68</x:v>
      </x:c>
      <x:c r="B73" s="120" t="str">
        <x:v>2026-08</x:v>
      </x:c>
      <x:c r="C73" s="120" t="str">
        <x:v>2608.01508</x:v>
      </x:c>
      <x:c r="D73" s="118" t="str">
        <x:v>Free Boundary Regularity for Non-Convex Fully Nonlinear Alt-Phillips Problems</x:v>
      </x:c>
      <x:c r="E73" s="118" t="str">
        <x:v>Alvis Zahl</x:v>
      </x:c>
      <x:c r="F73" s="118" t="str">
        <x:v>free boundary/fully nonlinear</x:v>
      </x:c>
      <x:c r="G73" s="120" t="str">
        <x:v>-</x:v>
      </x:c>
      <x:c r="H73" s="121" t="n">
        <x:v>90.12</x:v>
      </x:c>
      <x:c r="I73" s="121" t="n">
        <x:v>90</x:v>
      </x:c>
      <x:c r="J73" s="121" t="n">
        <x:v>90.25</x:v>
      </x:c>
      <x:c r="K73" s="121" t="n">
        <x:v>91</x:v>
      </x:c>
      <x:c r="L73" s="121" t="n">
        <x:v>90</x:v>
      </x:c>
      <x:c r="M73" s="121" t="n">
        <x:v>92</x:v>
      </x:c>
      <x:c r="N73" s="121" t="n">
        <x:v>88</x:v>
      </x:c>
      <x:c r="O73" s="121" t="n">
        <x:v>92</x:v>
      </x:c>
      <x:c r="P73" s="121" t="n">
        <x:v>85</x:v>
      </x:c>
      <x:c r="Q73" s="121" t="n">
        <x:v>10</x:v>
      </x:c>
      <x:c r="R73" s="118" t="str">
        <x:v>https://arxiv.org/abs/2608.01508</x:v>
      </x:c>
      <x:c r="S73" s="118" t="str">
        <x:v>Sharp free-boundary regularity in a nonconvex fully nonlinear setting.</x:v>
      </x:c>
    </x:row>
    <x:row r="74" ht="34" customHeight="1">
      <x:c r="A74" s="120" t="n">
        <x:v>69</x:v>
      </x:c>
      <x:c r="B74" s="120" t="str">
        <x:v>2026-07</x:v>
      </x:c>
      <x:c r="C74" s="120" t="str">
        <x:v>2607.20682</x:v>
      </x:c>
      <x:c r="D74" s="118" t="str">
        <x:v>Several counterexamples to kinetic Schauder estimates</x:v>
      </x:c>
      <x:c r="E74" s="118" t="str">
        <x:v>Hongjie Dong; Weinan Wang</x:v>
      </x:c>
      <x:c r="F74" s="118" t="str">
        <x:v>kinetic regularity</x:v>
      </x:c>
      <x:c r="G74" s="120" t="str">
        <x:v>-</x:v>
      </x:c>
      <x:c r="H74" s="121" t="n">
        <x:v>90.08</x:v>
      </x:c>
      <x:c r="I74" s="121" t="n">
        <x:v>89.95</x:v>
      </x:c>
      <x:c r="J74" s="121" t="n">
        <x:v>90.2</x:v>
      </x:c>
      <x:c r="K74" s="121" t="n">
        <x:v>91</x:v>
      </x:c>
      <x:c r="L74" s="121" t="n">
        <x:v>90</x:v>
      </x:c>
      <x:c r="M74" s="121" t="n">
        <x:v>91</x:v>
      </x:c>
      <x:c r="N74" s="121" t="n">
        <x:v>88</x:v>
      </x:c>
      <x:c r="O74" s="121" t="n">
        <x:v>91</x:v>
      </x:c>
      <x:c r="P74" s="121" t="n">
        <x:v>87</x:v>
      </x:c>
      <x:c r="Q74" s="121" t="n">
        <x:v>9</x:v>
      </x:c>
      <x:c r="R74" s="118" t="str">
        <x:v>https://arxiv.org/abs/2607.20682</x:v>
      </x:c>
      <x:c r="S74" s="118" t="str">
        <x:v>Counterexamples clarify limits of kinetic Schauder theory; high robustness as negative results.</x:v>
      </x:c>
    </x:row>
    <x:row r="75" ht="34" customHeight="1">
      <x:c r="A75" s="120" t="n">
        <x:v>70</x:v>
      </x:c>
      <x:c r="B75" s="120" t="str">
        <x:v>2026-07</x:v>
      </x:c>
      <x:c r="C75" s="120" t="str">
        <x:v>2607.03602</x:v>
      </x:c>
      <x:c r="D75" s="118" t="str">
        <x:v>A remark on very weak suitable solutions and Leray solutions of Navier-Stokes equations</x:v>
      </x:c>
      <x:c r="E75" s="118" t="str">
        <x:v>Oscar Jarrín</x:v>
      </x:c>
      <x:c r="F75" s="118" t="str">
        <x:v>Navier-Stokes</x:v>
      </x:c>
      <x:c r="G75" s="120" t="n">
        <x:v>17</x:v>
      </x:c>
      <x:c r="H75" s="121" t="n">
        <x:v>90.07</x:v>
      </x:c>
      <x:c r="I75" s="121" t="n">
        <x:v>90.1</x:v>
      </x:c>
      <x:c r="J75" s="121" t="n">
        <x:v>90.05</x:v>
      </x:c>
      <x:c r="K75" s="121" t="n">
        <x:v>91</x:v>
      </x:c>
      <x:c r="L75" s="121" t="n">
        <x:v>89</x:v>
      </x:c>
      <x:c r="M75" s="121" t="n">
        <x:v>92</x:v>
      </x:c>
      <x:c r="N75" s="121" t="n">
        <x:v>88</x:v>
      </x:c>
      <x:c r="O75" s="121" t="n">
        <x:v>92</x:v>
      </x:c>
      <x:c r="P75" s="121" t="n">
        <x:v>88</x:v>
      </x:c>
      <x:c r="Q75" s="121" t="n">
        <x:v>13</x:v>
      </x:c>
      <x:c r="R75" s="118" t="str">
        <x:v>https://arxiv.org/abs/2607.03602</x:v>
      </x:c>
      <x:c r="S75" s="118" t="str">
        <x:v>Scored candidate from official July math.AP list; correctness not checked.</x:v>
      </x:c>
    </x:row>
    <x:row r="76" ht="34" customHeight="1">
      <x:c r="A76" s="120" t="n">
        <x:v>71</x:v>
      </x:c>
      <x:c r="B76" s="120" t="str">
        <x:v>2026-07</x:v>
      </x:c>
      <x:c r="C76" s="120" t="str">
        <x:v>2607.04918</x:v>
      </x:c>
      <x:c r="D76" s="118" t="str">
        <x:v>Global solutions to the Navier-Stokes equations with large vertical velocities</x:v>
      </x:c>
      <x:c r="E76" s="118" t="str">
        <x:v>Mikihiro Fujii</x:v>
      </x:c>
      <x:c r="F76" s="118" t="str">
        <x:v>Navier-Stokes</x:v>
      </x:c>
      <x:c r="G76" s="120" t="str">
        <x:v>-</x:v>
      </x:c>
      <x:c r="H76" s="121" t="n">
        <x:v>90.07</x:v>
      </x:c>
      <x:c r="I76" s="121" t="n">
        <x:v>90.1</x:v>
      </x:c>
      <x:c r="J76" s="121" t="n">
        <x:v>90.05</x:v>
      </x:c>
      <x:c r="K76" s="121" t="n">
        <x:v>91</x:v>
      </x:c>
      <x:c r="L76" s="121" t="n">
        <x:v>89</x:v>
      </x:c>
      <x:c r="M76" s="121" t="n">
        <x:v>92</x:v>
      </x:c>
      <x:c r="N76" s="121" t="n">
        <x:v>88</x:v>
      </x:c>
      <x:c r="O76" s="121" t="n">
        <x:v>92</x:v>
      </x:c>
      <x:c r="P76" s="121" t="n">
        <x:v>88</x:v>
      </x:c>
      <x:c r="Q76" s="121" t="n">
        <x:v>13</x:v>
      </x:c>
      <x:c r="R76" s="118" t="str">
        <x:v>https://arxiv.org/abs/2607.04918</x:v>
      </x:c>
      <x:c r="S76" s="118" t="str">
        <x:v>Scored candidate from official July math.AP list; correctness not checked.</x:v>
      </x:c>
    </x:row>
    <x:row r="77" ht="34" customHeight="1">
      <x:c r="A77" s="120" t="n">
        <x:v>72</x:v>
      </x:c>
      <x:c r="B77" s="120" t="str">
        <x:v>2026-08</x:v>
      </x:c>
      <x:c r="C77" s="120" t="str">
        <x:v>2608.05994</x:v>
      </x:c>
      <x:c r="D77" s="118" t="str">
        <x:v>The Prandtl-Batchelor and flux-expulsion selections for steady MHD flows in a disk</x:v>
      </x:c>
      <x:c r="E77" s="118" t="str">
        <x:v>Chen Gao; Zhiwu Lin; Jianfeng Zhao</x:v>
      </x:c>
      <x:c r="F77" s="118" t="str">
        <x:v>steady MHD</x:v>
      </x:c>
      <x:c r="G77" s="120" t="n">
        <x:v>76</x:v>
      </x:c>
      <x:c r="H77" s="121" t="n">
        <x:v>90.05</x:v>
      </x:c>
      <x:c r="I77" s="121" t="n">
        <x:v>90</x:v>
      </x:c>
      <x:c r="J77" s="121" t="n">
        <x:v>90.1</x:v>
      </x:c>
      <x:c r="K77" s="121" t="n">
        <x:v>91</x:v>
      </x:c>
      <x:c r="L77" s="121" t="n">
        <x:v>90</x:v>
      </x:c>
      <x:c r="M77" s="121" t="n">
        <x:v>92</x:v>
      </x:c>
      <x:c r="N77" s="121" t="n">
        <x:v>88</x:v>
      </x:c>
      <x:c r="O77" s="121" t="n">
        <x:v>92</x:v>
      </x:c>
      <x:c r="P77" s="121" t="n">
        <x:v>85</x:v>
      </x:c>
      <x:c r="Q77" s="121" t="n">
        <x:v>11</x:v>
      </x:c>
      <x:c r="R77" s="118" t="str">
        <x:v>https://arxiv.org/abs/2608.05994</x:v>
      </x:c>
      <x:c r="S77" s="118" t="str">
        <x:v>Large steady MHD selection result; strong fluid-mechanics relevance.</x:v>
      </x:c>
    </x:row>
    <x:row r="78" ht="34" customHeight="1">
      <x:c r="A78" s="120" t="n">
        <x:v>73</x:v>
      </x:c>
      <x:c r="B78" s="120" t="str">
        <x:v>2026-05</x:v>
      </x:c>
      <x:c r="C78" s="120" t="str">
        <x:v>2605.02034</x:v>
      </x:c>
      <x:c r="D78" s="118" t="str">
        <x:v>Serrin's overdetermined theorem and weak Bernoulli laws without Alt-Caffarelli regularity</x:v>
      </x:c>
      <x:c r="E78" s="118" t="str">
        <x:v>Yi Ru-Ya Zhang</x:v>
      </x:c>
      <x:c r="F78" s="118" t="str">
        <x:v>Free boundary / overdetermined problems</x:v>
      </x:c>
      <x:c r="G78" s="120" t="str">
        <x:v>55</x:v>
      </x:c>
      <x:c r="H78" s="121" t="n">
        <x:v>89.95</x:v>
      </x:c>
      <x:c r="I78" s="121" t="n">
        <x:v>90.3</x:v>
      </x:c>
      <x:c r="J78" s="121" t="n">
        <x:v>89.6</x:v>
      </x:c>
      <x:c r="K78" s="121" t="str">
        <x:v>92.1</x:v>
      </x:c>
      <x:c r="L78" s="121" t="str">
        <x:v>91.1</x:v>
      </x:c>
      <x:c r="M78" s="121" t="str">
        <x:v>91.1</x:v>
      </x:c>
      <x:c r="N78" s="121" t="str">
        <x:v>87.2</x:v>
      </x:c>
      <x:c r="O78" s="121" t="str">
        <x:v>91.2</x:v>
      </x:c>
      <x:c r="P78" s="121" t="str">
        <x:v>86</x:v>
      </x:c>
      <x:c r="Q78" s="121" t="str">
        <x:v>14</x:v>
      </x:c>
      <x:c r="R78" s="118" t="str">
        <x:v>https://arxiv.org/abs/2605.02034</x:v>
      </x:c>
      <x:c r="S78" s="118" t="str">
        <x:v>三轮复核后与原表基本一致</x:v>
      </x:c>
    </x:row>
    <x:row r="79" ht="34" customHeight="1">
      <x:c r="A79" s="120" t="n">
        <x:v>74</x:v>
      </x:c>
      <x:c r="B79" s="120" t="str">
        <x:v>2026-07</x:v>
      </x:c>
      <x:c r="C79" s="120" t="str">
        <x:v>2607.24053</x:v>
      </x:c>
      <x:c r="D79" s="118" t="str">
        <x:v>On a free boundary problem of the Boltzmann equation</x:v>
      </x:c>
      <x:c r="E79" s="118" t="str">
        <x:v>Shengchuang Chang; Renjun Duan; Shuangqian Liu</x:v>
      </x:c>
      <x:c r="F79" s="118" t="str">
        <x:v>kinetic free boundary</x:v>
      </x:c>
      <x:c r="G79" s="120" t="n">
        <x:v>71</x:v>
      </x:c>
      <x:c r="H79" s="121" t="n">
        <x:v>89.95</x:v>
      </x:c>
      <x:c r="I79" s="121" t="n">
        <x:v>89.8</x:v>
      </x:c>
      <x:c r="J79" s="121" t="n">
        <x:v>90.1</x:v>
      </x:c>
      <x:c r="K79" s="121" t="n">
        <x:v>91</x:v>
      </x:c>
      <x:c r="L79" s="121" t="n">
        <x:v>89</x:v>
      </x:c>
      <x:c r="M79" s="121" t="n">
        <x:v>93</x:v>
      </x:c>
      <x:c r="N79" s="121" t="n">
        <x:v>87</x:v>
      </x:c>
      <x:c r="O79" s="121" t="n">
        <x:v>93</x:v>
      </x:c>
      <x:c r="P79" s="121" t="n">
        <x:v>84</x:v>
      </x:c>
      <x:c r="Q79" s="121" t="n">
        <x:v>12</x:v>
      </x:c>
      <x:c r="R79" s="118" t="str">
        <x:v>https://arxiv.org/abs/2607.24053</x:v>
      </x:c>
      <x:c r="S79" s="118" t="str">
        <x:v>Large kinetic free-boundary paper; strong technical load.</x:v>
      </x:c>
    </x:row>
    <x:row r="80" ht="34" customHeight="1">
      <x:c r="A80" s="120" t="n">
        <x:v>75</x:v>
      </x:c>
      <x:c r="B80" s="120" t="str">
        <x:v>2026-07</x:v>
      </x:c>
      <x:c r="C80" s="120" t="str">
        <x:v>2607.09619</x:v>
      </x:c>
      <x:c r="D80" s="118" t="str">
        <x:v>On rotated backwards self-similar solutions of the incompressible 3D Navier-Stokes equations</x:v>
      </x:c>
      <x:c r="E80" s="118" t="str">
        <x:v>Ben Pineau; Vlad Vicol</x:v>
      </x:c>
      <x:c r="F80" s="118" t="str">
        <x:v>Navier-Stokes / self-similarity</x:v>
      </x:c>
      <x:c r="G80" s="120" t="n">
        <x:v>37</x:v>
      </x:c>
      <x:c r="H80" s="121" t="n">
        <x:v>89.92</x:v>
      </x:c>
      <x:c r="I80" s="121" t="n">
        <x:v>89.9</x:v>
      </x:c>
      <x:c r="J80" s="121" t="n">
        <x:v>89.95</x:v>
      </x:c>
      <x:c r="K80" s="121" t="n">
        <x:v>91</x:v>
      </x:c>
      <x:c r="L80" s="121" t="n">
        <x:v>90</x:v>
      </x:c>
      <x:c r="M80" s="121" t="n">
        <x:v>92</x:v>
      </x:c>
      <x:c r="N80" s="121" t="n">
        <x:v>88</x:v>
      </x:c>
      <x:c r="O80" s="121" t="n">
        <x:v>92</x:v>
      </x:c>
      <x:c r="P80" s="121" t="n">
        <x:v>84</x:v>
      </x:c>
      <x:c r="Q80" s="121" t="n">
        <x:v>11</x:v>
      </x:c>
      <x:c r="R80" s="118" t="str">
        <x:v>https://arxiv.org/abs/2607.09619</x:v>
      </x:c>
      <x:c r="S80" s="118" t="str">
        <x:v>Strong authorship and high conceptual relevance; arXiv id in source row 189 is 2607.09619.</x:v>
      </x:c>
    </x:row>
    <x:row r="81" ht="34" customHeight="1">
      <x:c r="A81" s="120" t="n">
        <x:v>76</x:v>
      </x:c>
      <x:c r="B81" s="120" t="str">
        <x:v>2026-08</x:v>
      </x:c>
      <x:c r="C81" s="120" t="str">
        <x:v>2608.04402</x:v>
      </x:c>
      <x:c r="D81" s="118" t="str">
        <x:v>Long-Time Dynamics and Modified Scattering for Coulomb Vlasov-Hartree</x:v>
      </x:c>
      <x:c r="E81" s="118" t="str">
        <x:v>Wenrui Huang; Mengyi Xie</x:v>
      </x:c>
      <x:c r="F81" s="118" t="str">
        <x:v>Vlasov-Hartree/scattering</x:v>
      </x:c>
      <x:c r="G81" s="120" t="str">
        <x:v>-</x:v>
      </x:c>
      <x:c r="H81" s="121" t="n">
        <x:v>89.92</x:v>
      </x:c>
      <x:c r="I81" s="121" t="n">
        <x:v>89.8</x:v>
      </x:c>
      <x:c r="J81" s="121" t="n">
        <x:v>90.05</x:v>
      </x:c>
      <x:c r="K81" s="121" t="n">
        <x:v>91</x:v>
      </x:c>
      <x:c r="L81" s="121" t="n">
        <x:v>89</x:v>
      </x:c>
      <x:c r="M81" s="121" t="n">
        <x:v>92</x:v>
      </x:c>
      <x:c r="N81" s="121" t="n">
        <x:v>88</x:v>
      </x:c>
      <x:c r="O81" s="121" t="n">
        <x:v>92</x:v>
      </x:c>
      <x:c r="P81" s="121" t="n">
        <x:v>85</x:v>
      </x:c>
      <x:c r="Q81" s="121" t="n">
        <x:v>10</x:v>
      </x:c>
      <x:c r="R81" s="118" t="str">
        <x:v>https://arxiv.org/abs/2608.04402</x:v>
      </x:c>
      <x:c r="S81" s="118" t="str">
        <x:v>Modified scattering and long-time dynamics in Coulomb Vlasov-Hartree.</x:v>
      </x:c>
    </x:row>
    <x:row r="82" ht="34" customHeight="1">
      <x:c r="A82" s="120" t="n">
        <x:v>77</x:v>
      </x:c>
      <x:c r="B82" s="120" t="str">
        <x:v>2026-07</x:v>
      </x:c>
      <x:c r="C82" s="120" t="str">
        <x:v>2607.09189</x:v>
      </x:c>
      <x:c r="D82" s="118" t="str">
        <x:v>Global dynamics of viscous gaseous stars in a physical vacuum</x:v>
      </x:c>
      <x:c r="E82" s="118" t="str">
        <x:v>Demin Wang; Jiawen Zhang; Shengguo Zhu</x:v>
      </x:c>
      <x:c r="F82" s="118" t="str">
        <x:v>free-boundary compressible fluids</x:v>
      </x:c>
      <x:c r="G82" s="120" t="n">
        <x:v>73</x:v>
      </x:c>
      <x:c r="H82" s="121" t="n">
        <x:v>89.88</x:v>
      </x:c>
      <x:c r="I82" s="121" t="n">
        <x:v>90.05</x:v>
      </x:c>
      <x:c r="J82" s="121" t="n">
        <x:v>89.7</x:v>
      </x:c>
      <x:c r="K82" s="121" t="n">
        <x:v>92</x:v>
      </x:c>
      <x:c r="L82" s="121" t="n">
        <x:v>89</x:v>
      </x:c>
      <x:c r="M82" s="121" t="n">
        <x:v>94</x:v>
      </x:c>
      <x:c r="N82" s="121" t="n">
        <x:v>87</x:v>
      </x:c>
      <x:c r="O82" s="121" t="n">
        <x:v>94</x:v>
      </x:c>
      <x:c r="P82" s="121" t="n">
        <x:v>81</x:v>
      </x:c>
      <x:c r="Q82" s="121" t="n">
        <x:v>15</x:v>
      </x:c>
      <x:c r="R82" s="118" t="str">
        <x:v>https://arxiv.org/abs/2607.09189</x:v>
      </x:c>
      <x:c r="S82" s="118" t="str">
        <x:v>Large physical-vacuum dynamics paper; text-overlap note reduces robustness slightly.</x:v>
      </x:c>
    </x:row>
    <x:row r="83" ht="34" customHeight="1">
      <x:c r="A83" s="120" t="n">
        <x:v>78</x:v>
      </x:c>
      <x:c r="B83" s="120" t="str">
        <x:v>2026-05</x:v>
      </x:c>
      <x:c r="C83" s="120" t="str">
        <x:v>2605.01933</x:v>
      </x:c>
      <x:c r="D83" s="118" t="str">
        <x:v>A sharp hypocoercive entropy decay estimate for underdamped Langevin dynamics</x:v>
      </x:c>
      <x:c r="E83" s="118" t="str">
        <x:v>Jianfeng Lu</x:v>
      </x:c>
      <x:c r="F83" s="118" t="str">
        <x:v>Hypocoercivity / Langevin</x:v>
      </x:c>
      <x:c r="G83" s="120" t="str">
        <x:v>25</x:v>
      </x:c>
      <x:c r="H83" s="121" t="n">
        <x:v>89.85</x:v>
      </x:c>
      <x:c r="I83" s="121" t="n">
        <x:v>90.16</x:v>
      </x:c>
      <x:c r="J83" s="121" t="n">
        <x:v>89.54</x:v>
      </x:c>
      <x:c r="K83" s="121" t="str">
        <x:v>91.1</x:v>
      </x:c>
      <x:c r="L83" s="121" t="str">
        <x:v>90.1</x:v>
      </x:c>
      <x:c r="M83" s="121" t="str">
        <x:v>91.1</x:v>
      </x:c>
      <x:c r="N83" s="121" t="str">
        <x:v>88.2</x:v>
      </x:c>
      <x:c r="O83" s="121" t="str">
        <x:v>90.2</x:v>
      </x:c>
      <x:c r="P83" s="121" t="str">
        <x:v>88</x:v>
      </x:c>
      <x:c r="Q83" s="121" t="str">
        <x:v>13.1</x:v>
      </x:c>
      <x:c r="R83" s="118" t="str">
        <x:v>https://arxiv.org/abs/2605.01933</x:v>
      </x:c>
      <x:c r="S83" s="118" t="str">
        <x:v>三轮复核后与原表基本一致</x:v>
      </x:c>
    </x:row>
    <x:row r="84" ht="34" customHeight="1">
      <x:c r="A84" s="120" t="n">
        <x:v>79</x:v>
      </x:c>
      <x:c r="B84" s="120" t="str">
        <x:v>2026-06</x:v>
      </x:c>
      <x:c r="C84" s="120" t="str">
        <x:v>2606.04960</x:v>
      </x:c>
      <x:c r="D84" s="118" t="str">
        <x:v>Stationary Vlasov-Poisson-Boltzmann system in a convex domain</x:v>
      </x:c>
      <x:c r="E84" s="118" t="str">
        <x:v>Hongxu Chen; Jiaxin Jin</x:v>
      </x:c>
      <x:c r="F84" s="118" t="str">
        <x:v>kinetic boundary PDE</x:v>
      </x:c>
      <x:c r="G84" s="120" t="str">
        <x:v>88</x:v>
      </x:c>
      <x:c r="H84" s="121" t="n">
        <x:v>89.85</x:v>
      </x:c>
      <x:c r="I84" s="121" t="n">
        <x:v>89.74</x:v>
      </x:c>
      <x:c r="J84" s="121" t="n">
        <x:v>89.95</x:v>
      </x:c>
      <x:c r="K84" s="121" t="str">
        <x:v>91</x:v>
      </x:c>
      <x:c r="L84" s="121" t="str">
        <x:v>89</x:v>
      </x:c>
      <x:c r="M84" s="121" t="str">
        <x:v>92.1</x:v>
      </x:c>
      <x:c r="N84" s="121" t="str">
        <x:v>86.8</x:v>
      </x:c>
      <x:c r="O84" s="121" t="str">
        <x:v>92.1</x:v>
      </x:c>
      <x:c r="P84" s="121" t="str">
        <x:v>86</x:v>
      </x:c>
      <x:c r="Q84" s="121" t="str">
        <x:v>12</x:v>
      </x:c>
      <x:c r="R84" s="118" t="str">
        <x:v>https://arxiv.org/abs/2606.04960</x:v>
      </x:c>
      <x:c r="S84" s="118" t="str">
        <x:v>范围偏专门，广度轻微回调</x:v>
      </x:c>
    </x:row>
    <x:row r="85" ht="34" customHeight="1">
      <x:c r="A85" s="120" t="n">
        <x:v>80</x:v>
      </x:c>
      <x:c r="B85" s="120" t="str">
        <x:v>2026-07</x:v>
      </x:c>
      <x:c r="C85" s="120" t="str">
        <x:v>2607.17501</x:v>
      </x:c>
      <x:c r="D85" s="118" t="str">
        <x:v>Unique inversion of smooth nonlinearity in semilinear wave equations on Lorentzian manifolds</x:v>
      </x:c>
      <x:c r="E85" s="118" t="str">
        <x:v>Xi Chen; Shuai Lu; Ruochong Zhang</x:v>
      </x:c>
      <x:c r="F85" s="118" t="str">
        <x:v>inverse problems / waves</x:v>
      </x:c>
      <x:c r="G85" s="120" t="str">
        <x:v>-</x:v>
      </x:c>
      <x:c r="H85" s="121" t="n">
        <x:v>89.85</x:v>
      </x:c>
      <x:c r="I85" s="121" t="n">
        <x:v>89.9</x:v>
      </x:c>
      <x:c r="J85" s="121" t="n">
        <x:v>89.8</x:v>
      </x:c>
      <x:c r="K85" s="121" t="n">
        <x:v>91</x:v>
      </x:c>
      <x:c r="L85" s="121" t="n">
        <x:v>90</x:v>
      </x:c>
      <x:c r="M85" s="121" t="n">
        <x:v>92</x:v>
      </x:c>
      <x:c r="N85" s="121" t="n">
        <x:v>88</x:v>
      </x:c>
      <x:c r="O85" s="121" t="n">
        <x:v>92</x:v>
      </x:c>
      <x:c r="P85" s="121" t="n">
        <x:v>84</x:v>
      </x:c>
      <x:c r="Q85" s="121" t="n">
        <x:v>12</x:v>
      </x:c>
      <x:c r="R85" s="118" t="str">
        <x:v>https://arxiv.org/abs/2607.17501</x:v>
      </x:c>
      <x:c r="S85" s="118" t="str">
        <x:v>Nonlinear inverse problem on Lorentzian manifolds; strong breadth.</x:v>
      </x:c>
    </x:row>
    <x:row r="86" ht="34" customHeight="1">
      <x:c r="A86" s="120" t="n">
        <x:v>81</x:v>
      </x:c>
      <x:c r="B86" s="120" t="str">
        <x:v>2026-06</x:v>
      </x:c>
      <x:c r="C86" s="120" t="str">
        <x:v>2606.29468</x:v>
      </x:c>
      <x:c r="D86" s="118" t="str">
        <x:v>On potential Type II blowups for the Navier-Stokes equations</x:v>
      </x:c>
      <x:c r="E86" s="118" t="str">
        <x:v>Gregory Seregin</x:v>
      </x:c>
      <x:c r="F86" s="118" t="str">
        <x:v>Navier-Stokes blow-up</x:v>
      </x:c>
      <x:c r="G86" s="120" t="str">
        <x:v>14</x:v>
      </x:c>
      <x:c r="H86" s="121" t="n">
        <x:v>89.82</x:v>
      </x:c>
      <x:c r="I86" s="121" t="n">
        <x:v>90.22</x:v>
      </x:c>
      <x:c r="J86" s="121" t="n">
        <x:v>89.41</x:v>
      </x:c>
      <x:c r="K86" s="121" t="str">
        <x:v>94.1</x:v>
      </x:c>
      <x:c r="L86" s="121" t="str">
        <x:v>87.9</x:v>
      </x:c>
      <x:c r="M86" s="121" t="str">
        <x:v>90.9</x:v>
      </x:c>
      <x:c r="N86" s="121" t="str">
        <x:v>87.9</x:v>
      </x:c>
      <x:c r="O86" s="121" t="str">
        <x:v>92</x:v>
      </x:c>
      <x:c r="P86" s="121" t="str">
        <x:v>85</x:v>
      </x:c>
      <x:c r="Q86" s="121" t="str">
        <x:v>11.3</x:v>
      </x:c>
      <x:c r="R86" s="118" t="str">
        <x:v>https://arxiv.org/abs/2606.29468</x:v>
      </x:c>
      <x:c r="S86" s="118" t="str">
        <x:v>系列/续篇按重叠性校准；短文且非框架性题材，技术残差轻微回调</x:v>
      </x:c>
    </x:row>
    <x:row r="87" ht="34" customHeight="1">
      <x:c r="A87" s="120" t="n">
        <x:v>82</x:v>
      </x:c>
      <x:c r="B87" s="120" t="str">
        <x:v>2026-07</x:v>
      </x:c>
      <x:c r="C87" s="120" t="str">
        <x:v>2607.20395</x:v>
      </x:c>
      <x:c r="D87" s="118" t="str">
        <x:v>Well-posedness of a Hele-Shaw problem in general dimensions</x:v>
      </x:c>
      <x:c r="E87" s="118" t="str">
        <x:v>Olga Turanova; Yuming Paul Zhang</x:v>
      </x:c>
      <x:c r="F87" s="118" t="str">
        <x:v>free-boundary PDE</x:v>
      </x:c>
      <x:c r="G87" s="120" t="n">
        <x:v>30</x:v>
      </x:c>
      <x:c r="H87" s="121" t="n">
        <x:v>89.77</x:v>
      </x:c>
      <x:c r="I87" s="121" t="n">
        <x:v>89.65</x:v>
      </x:c>
      <x:c r="J87" s="121" t="n">
        <x:v>89.9</x:v>
      </x:c>
      <x:c r="K87" s="121" t="n">
        <x:v>91</x:v>
      </x:c>
      <x:c r="L87" s="121" t="n">
        <x:v>89</x:v>
      </x:c>
      <x:c r="M87" s="121" t="n">
        <x:v>92</x:v>
      </x:c>
      <x:c r="N87" s="121" t="n">
        <x:v>87</x:v>
      </x:c>
      <x:c r="O87" s="121" t="n">
        <x:v>92</x:v>
      </x:c>
      <x:c r="P87" s="121" t="n">
        <x:v>85</x:v>
      </x:c>
      <x:c r="Q87" s="121" t="n">
        <x:v>11</x:v>
      </x:c>
      <x:c r="R87" s="118" t="str">
        <x:v>https://arxiv.org/abs/2607.20395</x:v>
      </x:c>
      <x:c r="S87" s="118" t="str">
        <x:v>General-dimensional Hele-Shaw well-posedness; significant free-boundary result.</x:v>
      </x:c>
    </x:row>
    <x:row r="88" ht="34" customHeight="1">
      <x:c r="A88" s="120" t="n">
        <x:v>83</x:v>
      </x:c>
      <x:c r="B88" s="120" t="str">
        <x:v>2026-05</x:v>
      </x:c>
      <x:c r="C88" s="120" t="str">
        <x:v>2605.03732</x:v>
      </x:c>
      <x:c r="D88" s="118" t="str">
        <x:v>Sharp Stability for the Affine Fractional Sobolev Inequality</x:v>
      </x:c>
      <x:c r="E88" s="118" t="str">
        <x:v>Song Fan; Gui-Dong Li; Jianjun Zhang</x:v>
      </x:c>
      <x:c r="F88" s="118" t="str">
        <x:v>Functional inequalities</x:v>
      </x:c>
      <x:c r="G88" s="120"/>
      <x:c r="H88" s="121" t="n">
        <x:v>89.75</x:v>
      </x:c>
      <x:c r="I88" s="121" t="n">
        <x:v>89.85</x:v>
      </x:c>
      <x:c r="J88" s="121" t="n">
        <x:v>89.65</x:v>
      </x:c>
      <x:c r="K88" s="121" t="str">
        <x:v>91</x:v>
      </x:c>
      <x:c r="L88" s="121" t="str">
        <x:v>90.1</x:v>
      </x:c>
      <x:c r="M88" s="121" t="str">
        <x:v>91</x:v>
      </x:c>
      <x:c r="N88" s="121" t="str">
        <x:v>87.2</x:v>
      </x:c>
      <x:c r="O88" s="121" t="str">
        <x:v>91.1</x:v>
      </x:c>
      <x:c r="P88" s="121" t="str">
        <x:v>87</x:v>
      </x:c>
      <x:c r="Q88" s="121" t="str">
        <x:v>13</x:v>
      </x:c>
      <x:c r="R88" s="118" t="str">
        <x:v>https://arxiv.org/abs/2605.03732</x:v>
      </x:c>
      <x:c r="S88" s="118" t="str">
        <x:v>三轮复核后与原表基本一致</x:v>
      </x:c>
    </x:row>
    <x:row r="89" ht="34" customHeight="1">
      <x:c r="A89" s="120" t="n">
        <x:v>84</x:v>
      </x:c>
      <x:c r="B89" s="120" t="str">
        <x:v>2026-07</x:v>
      </x:c>
      <x:c r="C89" s="120" t="str">
        <x:v>2607.01587</x:v>
      </x:c>
      <x:c r="D89" s="118" t="str">
        <x:v>On the Critical One Components Regularity for the 3-D Navier-Stokes System</x:v>
      </x:c>
      <x:c r="E89" s="118" t="str">
        <x:v>Wei Luo; Zhanyang Yin; Pei Zheng</x:v>
      </x:c>
      <x:c r="F89" s="118" t="str">
        <x:v>Navier-Stokes</x:v>
      </x:c>
      <x:c r="G89" s="120" t="str">
        <x:v>-</x:v>
      </x:c>
      <x:c r="H89" s="121" t="n">
        <x:v>89.68</x:v>
      </x:c>
      <x:c r="I89" s="121" t="n">
        <x:v>89.65</x:v>
      </x:c>
      <x:c r="J89" s="121" t="n">
        <x:v>89.7</x:v>
      </x:c>
      <x:c r="K89" s="121" t="n">
        <x:v>91</x:v>
      </x:c>
      <x:c r="L89" s="121" t="n">
        <x:v>88</x:v>
      </x:c>
      <x:c r="M89" s="121" t="n">
        <x:v>92</x:v>
      </x:c>
      <x:c r="N89" s="121" t="n">
        <x:v>87</x:v>
      </x:c>
      <x:c r="O89" s="121" t="n">
        <x:v>92</x:v>
      </x:c>
      <x:c r="P89" s="121" t="n">
        <x:v>87</x:v>
      </x:c>
      <x:c r="Q89" s="121" t="n">
        <x:v>13</x:v>
      </x:c>
      <x:c r="R89" s="118" t="str">
        <x:v>https://arxiv.org/abs/2607.01587</x:v>
      </x:c>
      <x:c r="S89" s="118" t="str">
        <x:v>Scored candidate from official July math.AP list; correctness not checked.</x:v>
      </x:c>
    </x:row>
    <x:row r="90" ht="34" customHeight="1">
      <x:c r="A90" s="120" t="n">
        <x:v>85</x:v>
      </x:c>
      <x:c r="B90" s="120" t="str">
        <x:v>2026-07</x:v>
      </x:c>
      <x:c r="C90" s="120" t="str">
        <x:v>2607.00658</x:v>
      </x:c>
      <x:c r="D90" s="118" t="str">
        <x:v>Asynchronous exponential growth for structured population models in measure space</x:v>
      </x:c>
      <x:c r="E90" s="118" t="str">
        <x:v>Christian Düll; József Z. Farkas; Piotr Gwiazda; Anna Marciniak-Czochra</x:v>
      </x:c>
      <x:c r="F90" s="118" t="str">
        <x:v>structured populations</x:v>
      </x:c>
      <x:c r="G90" s="120" t="str">
        <x:v>-</x:v>
      </x:c>
      <x:c r="H90" s="121" t="n">
        <x:v>89.67</x:v>
      </x:c>
      <x:c r="I90" s="121" t="n">
        <x:v>89.65</x:v>
      </x:c>
      <x:c r="J90" s="121" t="n">
        <x:v>89.7</x:v>
      </x:c>
      <x:c r="K90" s="121" t="n">
        <x:v>90</x:v>
      </x:c>
      <x:c r="L90" s="121" t="n">
        <x:v>89</x:v>
      </x:c>
      <x:c r="M90" s="121" t="n">
        <x:v>91</x:v>
      </x:c>
      <x:c r="N90" s="121" t="n">
        <x:v>88</x:v>
      </x:c>
      <x:c r="O90" s="121" t="n">
        <x:v>91</x:v>
      </x:c>
      <x:c r="P90" s="121" t="n">
        <x:v>89</x:v>
      </x:c>
      <x:c r="Q90" s="121" t="n">
        <x:v>13</x:v>
      </x:c>
      <x:c r="R90" s="118" t="str">
        <x:v>https://arxiv.org/abs/2607.00658</x:v>
      </x:c>
      <x:c r="S90" s="118" t="str">
        <x:v>Scored candidate from official July math.AP list; correctness not checked.</x:v>
      </x:c>
    </x:row>
    <x:row r="91" ht="34" customHeight="1">
      <x:c r="A91" s="120" t="n">
        <x:v>86</x:v>
      </x:c>
      <x:c r="B91" s="120" t="str">
        <x:v>2026-07</x:v>
      </x:c>
      <x:c r="C91" s="120" t="str">
        <x:v>2607.01857</x:v>
      </x:c>
      <x:c r="D91" s="118" t="str">
        <x:v>Refined blow-up criteria and global solutions for triangular cross-diffusion systems</x:v>
      </x:c>
      <x:c r="E91" s="118" t="str">
        <x:v>Alexandre Bertolino</x:v>
      </x:c>
      <x:c r="F91" s="118" t="str">
        <x:v>cross-diffusion</x:v>
      </x:c>
      <x:c r="G91" s="120" t="str">
        <x:v>-</x:v>
      </x:c>
      <x:c r="H91" s="121" t="n">
        <x:v>89.67</x:v>
      </x:c>
      <x:c r="I91" s="121" t="n">
        <x:v>89.65</x:v>
      </x:c>
      <x:c r="J91" s="121" t="n">
        <x:v>89.7</x:v>
      </x:c>
      <x:c r="K91" s="121" t="n">
        <x:v>90</x:v>
      </x:c>
      <x:c r="L91" s="121" t="n">
        <x:v>89</x:v>
      </x:c>
      <x:c r="M91" s="121" t="n">
        <x:v>91</x:v>
      </x:c>
      <x:c r="N91" s="121" t="n">
        <x:v>88</x:v>
      </x:c>
      <x:c r="O91" s="121" t="n">
        <x:v>91</x:v>
      </x:c>
      <x:c r="P91" s="121" t="n">
        <x:v>89</x:v>
      </x:c>
      <x:c r="Q91" s="121" t="n">
        <x:v>13</x:v>
      </x:c>
      <x:c r="R91" s="118" t="str">
        <x:v>https://arxiv.org/abs/2607.01857</x:v>
      </x:c>
      <x:c r="S91" s="118" t="str">
        <x:v>Scored candidate from official July math.AP list; correctness not checked.</x:v>
      </x:c>
    </x:row>
    <x:row r="92" ht="34" customHeight="1">
      <x:c r="A92" s="120" t="n">
        <x:v>87</x:v>
      </x:c>
      <x:c r="B92" s="120" t="str">
        <x:v>2026-07</x:v>
      </x:c>
      <x:c r="C92" s="120" t="str">
        <x:v>2607.02910</x:v>
      </x:c>
      <x:c r="D92" s="118" t="str">
        <x:v>An Asymptotic Mean Value Characterization for the Regularized p-Laplacian</x:v>
      </x:c>
      <x:c r="E92" s="118" t="str">
        <x:v>Behrooz Moosavi Ramezanzadeh</x:v>
      </x:c>
      <x:c r="F92" s="118" t="str">
        <x:v>p-Laplacian</x:v>
      </x:c>
      <x:c r="G92" s="120" t="str">
        <x:v>-</x:v>
      </x:c>
      <x:c r="H92" s="121" t="n">
        <x:v>89.67</x:v>
      </x:c>
      <x:c r="I92" s="121" t="n">
        <x:v>89.65</x:v>
      </x:c>
      <x:c r="J92" s="121" t="n">
        <x:v>89.7</x:v>
      </x:c>
      <x:c r="K92" s="121" t="n">
        <x:v>90</x:v>
      </x:c>
      <x:c r="L92" s="121" t="n">
        <x:v>89</x:v>
      </x:c>
      <x:c r="M92" s="121" t="n">
        <x:v>91</x:v>
      </x:c>
      <x:c r="N92" s="121" t="n">
        <x:v>88</x:v>
      </x:c>
      <x:c r="O92" s="121" t="n">
        <x:v>91</x:v>
      </x:c>
      <x:c r="P92" s="121" t="n">
        <x:v>89</x:v>
      </x:c>
      <x:c r="Q92" s="121" t="n">
        <x:v>13</x:v>
      </x:c>
      <x:c r="R92" s="118" t="str">
        <x:v>https://arxiv.org/abs/2607.02910</x:v>
      </x:c>
      <x:c r="S92" s="118" t="str">
        <x:v>Scored candidate from official July math.AP list; correctness not checked.</x:v>
      </x:c>
    </x:row>
    <x:row r="93" ht="34" customHeight="1">
      <x:c r="A93" s="120" t="n">
        <x:v>88</x:v>
      </x:c>
      <x:c r="B93" s="120" t="str">
        <x:v>2026-07</x:v>
      </x:c>
      <x:c r="C93" s="120" t="str">
        <x:v>2607.03667</x:v>
      </x:c>
      <x:c r="D93" s="118" t="str">
        <x:v>Holder maps under Pfaffian constraints</x:v>
      </x:c>
      <x:c r="E93" s="118" t="str">
        <x:v>Armin Schikorra</x:v>
      </x:c>
      <x:c r="F93" s="118" t="str">
        <x:v>geometric analysis</x:v>
      </x:c>
      <x:c r="G93" s="120" t="str">
        <x:v>-</x:v>
      </x:c>
      <x:c r="H93" s="121" t="n">
        <x:v>89.67</x:v>
      </x:c>
      <x:c r="I93" s="121" t="n">
        <x:v>89.65</x:v>
      </x:c>
      <x:c r="J93" s="121" t="n">
        <x:v>89.7</x:v>
      </x:c>
      <x:c r="K93" s="121" t="n">
        <x:v>90</x:v>
      </x:c>
      <x:c r="L93" s="121" t="n">
        <x:v>89</x:v>
      </x:c>
      <x:c r="M93" s="121" t="n">
        <x:v>91</x:v>
      </x:c>
      <x:c r="N93" s="121" t="n">
        <x:v>88</x:v>
      </x:c>
      <x:c r="O93" s="121" t="n">
        <x:v>91</x:v>
      </x:c>
      <x:c r="P93" s="121" t="n">
        <x:v>89</x:v>
      </x:c>
      <x:c r="Q93" s="121" t="n">
        <x:v>13</x:v>
      </x:c>
      <x:c r="R93" s="118" t="str">
        <x:v>https://arxiv.org/abs/2607.03667</x:v>
      </x:c>
      <x:c r="S93" s="118" t="str">
        <x:v>Scored candidate from official July math.AP list; correctness not checked.</x:v>
      </x:c>
    </x:row>
    <x:row r="94" ht="34" customHeight="1">
      <x:c r="A94" s="120" t="n">
        <x:v>89</x:v>
      </x:c>
      <x:c r="B94" s="120" t="str">
        <x:v>2026-07</x:v>
      </x:c>
      <x:c r="C94" s="120" t="str">
        <x:v>2607.04604</x:v>
      </x:c>
      <x:c r="D94" s="118" t="str">
        <x:v>Gevrey instability in the inviscid inflow-outflow problem</x:v>
      </x:c>
      <x:c r="E94" s="118" t="str">
        <x:v>Igor Kukavica; Wojciech Ozanski; Qi Xu</x:v>
      </x:c>
      <x:c r="F94" s="118" t="str">
        <x:v>fluid instability</x:v>
      </x:c>
      <x:c r="G94" s="120" t="n">
        <x:v>25</x:v>
      </x:c>
      <x:c r="H94" s="121" t="n">
        <x:v>89.67</x:v>
      </x:c>
      <x:c r="I94" s="121" t="n">
        <x:v>89.65</x:v>
      </x:c>
      <x:c r="J94" s="121" t="n">
        <x:v>89.7</x:v>
      </x:c>
      <x:c r="K94" s="121" t="n">
        <x:v>90</x:v>
      </x:c>
      <x:c r="L94" s="121" t="n">
        <x:v>89</x:v>
      </x:c>
      <x:c r="M94" s="121" t="n">
        <x:v>91</x:v>
      </x:c>
      <x:c r="N94" s="121" t="n">
        <x:v>88</x:v>
      </x:c>
      <x:c r="O94" s="121" t="n">
        <x:v>91</x:v>
      </x:c>
      <x:c r="P94" s="121" t="n">
        <x:v>89</x:v>
      </x:c>
      <x:c r="Q94" s="121" t="n">
        <x:v>13</x:v>
      </x:c>
      <x:c r="R94" s="118" t="str">
        <x:v>https://arxiv.org/abs/2607.04604</x:v>
      </x:c>
      <x:c r="S94" s="118" t="str">
        <x:v>Scored candidate from official July math.AP list; correctness not checked.</x:v>
      </x:c>
    </x:row>
    <x:row r="95" ht="34" customHeight="1">
      <x:c r="A95" s="120" t="n">
        <x:v>90</x:v>
      </x:c>
      <x:c r="B95" s="120" t="str">
        <x:v>2026-07</x:v>
      </x:c>
      <x:c r="C95" s="120" t="str">
        <x:v>2607.07024</x:v>
      </x:c>
      <x:c r="D95" s="118" t="str">
        <x:v>Linear Stability and Jacobi Kernels of Three-Dimensional Sessile Drops</x:v>
      </x:c>
      <x:c r="E95" s="118" t="str">
        <x:v>Xiaoding Yang</x:v>
      </x:c>
      <x:c r="F95" s="118" t="str">
        <x:v>capillary geometry</x:v>
      </x:c>
      <x:c r="G95" s="120" t="str">
        <x:v>-</x:v>
      </x:c>
      <x:c r="H95" s="121" t="n">
        <x:v>89.67</x:v>
      </x:c>
      <x:c r="I95" s="121" t="n">
        <x:v>89.65</x:v>
      </x:c>
      <x:c r="J95" s="121" t="n">
        <x:v>89.7</x:v>
      </x:c>
      <x:c r="K95" s="121" t="n">
        <x:v>90</x:v>
      </x:c>
      <x:c r="L95" s="121" t="n">
        <x:v>89</x:v>
      </x:c>
      <x:c r="M95" s="121" t="n">
        <x:v>91</x:v>
      </x:c>
      <x:c r="N95" s="121" t="n">
        <x:v>88</x:v>
      </x:c>
      <x:c r="O95" s="121" t="n">
        <x:v>91</x:v>
      </x:c>
      <x:c r="P95" s="121" t="n">
        <x:v>89</x:v>
      </x:c>
      <x:c r="Q95" s="121" t="n">
        <x:v>13</x:v>
      </x:c>
      <x:c r="R95" s="118" t="str">
        <x:v>https://arxiv.org/abs/2607.07024</x:v>
      </x:c>
      <x:c r="S95" s="118" t="str">
        <x:v>Scored candidate from official July math.AP list; correctness not checked.</x:v>
      </x:c>
    </x:row>
    <x:row r="96" ht="34" customHeight="1">
      <x:c r="A96" s="120" t="n">
        <x:v>91</x:v>
      </x:c>
      <x:c r="B96" s="120" t="str">
        <x:v>2026-07</x:v>
      </x:c>
      <x:c r="C96" s="120" t="str">
        <x:v>2607.12159</x:v>
      </x:c>
      <x:c r="D96" s="118" t="str">
        <x:v>Homothetic Self-Similar Solutions to Incompressible Navier-Stokes</x:v>
      </x:c>
      <x:c r="E96" s="118" t="str">
        <x:v>Tim Binz; Matei P. Coiculescu</x:v>
      </x:c>
      <x:c r="F96" s="118" t="str">
        <x:v>Navier-Stokes / self-similarity</x:v>
      </x:c>
      <x:c r="G96" s="120" t="n">
        <x:v>49</x:v>
      </x:c>
      <x:c r="H96" s="121" t="n">
        <x:v>89.65</x:v>
      </x:c>
      <x:c r="I96" s="121" t="n">
        <x:v>89.55</x:v>
      </x:c>
      <x:c r="J96" s="121" t="n">
        <x:v>89.75</x:v>
      </x:c>
      <x:c r="K96" s="121" t="n">
        <x:v>91</x:v>
      </x:c>
      <x:c r="L96" s="121" t="n">
        <x:v>89</x:v>
      </x:c>
      <x:c r="M96" s="121" t="n">
        <x:v>92</x:v>
      </x:c>
      <x:c r="N96" s="121" t="n">
        <x:v>87</x:v>
      </x:c>
      <x:c r="O96" s="121" t="n">
        <x:v>92</x:v>
      </x:c>
      <x:c r="P96" s="121" t="n">
        <x:v>84</x:v>
      </x:c>
      <x:c r="Q96" s="121" t="n">
        <x:v>11</x:v>
      </x:c>
      <x:c r="R96" s="118" t="str">
        <x:v>https://arxiv.org/abs/2607.12159</x:v>
      </x:c>
      <x:c r="S96" s="118" t="str">
        <x:v>Self-similar construction in Navier-Stokes; conceptually central theme.</x:v>
      </x:c>
    </x:row>
    <x:row r="97" ht="34" customHeight="1">
      <x:c r="A97" s="120" t="n">
        <x:v>92</x:v>
      </x:c>
      <x:c r="B97" s="120" t="str">
        <x:v>2026-08</x:v>
      </x:c>
      <x:c r="C97" s="120" t="str">
        <x:v>2608.00438</x:v>
      </x:c>
      <x:c r="D97" s="118" t="str">
        <x:v>Homogenization of viscous sublinear Hamilton-Jacobi equations with u/epsilon-dependence</x:v>
      </x:c>
      <x:c r="E97" s="118" t="str">
        <x:v>Guyu Jin</x:v>
      </x:c>
      <x:c r="F97" s="118" t="str">
        <x:v>Hamilton-Jacobi homogenization</x:v>
      </x:c>
      <x:c r="G97" s="120" t="n">
        <x:v>47</x:v>
      </x:c>
      <x:c r="H97" s="121" t="n">
        <x:v>89.6</x:v>
      </x:c>
      <x:c r="I97" s="121" t="n">
        <x:v>89.5</x:v>
      </x:c>
      <x:c r="J97" s="121" t="n">
        <x:v>89.7</x:v>
      </x:c>
      <x:c r="K97" s="121" t="n">
        <x:v>91</x:v>
      </x:c>
      <x:c r="L97" s="121" t="n">
        <x:v>89</x:v>
      </x:c>
      <x:c r="M97" s="121" t="n">
        <x:v>91</x:v>
      </x:c>
      <x:c r="N97" s="121" t="n">
        <x:v>87</x:v>
      </x:c>
      <x:c r="O97" s="121" t="n">
        <x:v>91</x:v>
      </x:c>
      <x:c r="P97" s="121" t="n">
        <x:v>86</x:v>
      </x:c>
      <x:c r="Q97" s="121" t="n">
        <x:v>10</x:v>
      </x:c>
      <x:c r="R97" s="118" t="str">
        <x:v>https://arxiv.org/abs/2608.00438</x:v>
      </x:c>
      <x:c r="S97" s="118" t="str">
        <x:v>Strong homogenization contribution with nonstandard dependence.</x:v>
      </x:c>
    </x:row>
    <x:row r="98" ht="34" customHeight="1">
      <x:c r="A98" s="120" t="n">
        <x:v>93</x:v>
      </x:c>
      <x:c r="B98" s="120" t="str">
        <x:v>2026-06</x:v>
      </x:c>
      <x:c r="C98" s="120" t="str">
        <x:v>2606.22355</x:v>
      </x:c>
      <x:c r="D98" s="118" t="str">
        <x:v>Uncountably many non-rotationally symmetric type II ancient Yamabe flows on the sphere</x:v>
      </x:c>
      <x:c r="E98" s="118" t="str">
        <x:v>Haixia Chen; Seunghyeok Kim; Monica Musso</x:v>
      </x:c>
      <x:c r="F98" s="118" t="str">
        <x:v>Yamabe flow/geometric PDE</x:v>
      </x:c>
      <x:c r="G98" s="120"/>
      <x:c r="H98" s="121" t="n">
        <x:v>89.58</x:v>
      </x:c>
      <x:c r="I98" s="121" t="n">
        <x:v>89.67</x:v>
      </x:c>
      <x:c r="J98" s="121" t="n">
        <x:v>89.48</x:v>
      </x:c>
      <x:c r="K98" s="121" t="str">
        <x:v>91</x:v>
      </x:c>
      <x:c r="L98" s="121" t="str">
        <x:v>90.9</x:v>
      </x:c>
      <x:c r="M98" s="121" t="str">
        <x:v>91</x:v>
      </x:c>
      <x:c r="N98" s="121" t="str">
        <x:v>86.9</x:v>
      </x:c>
      <x:c r="O98" s="121" t="str">
        <x:v>91</x:v>
      </x:c>
      <x:c r="P98" s="121" t="str">
        <x:v>84</x:v>
      </x:c>
      <x:c r="Q98" s="121" t="str">
        <x:v>12</x:v>
      </x:c>
      <x:c r="R98" s="118" t="str">
        <x:v>https://arxiv.org/abs/2606.22355</x:v>
      </x:c>
      <x:c r="S98" s="118" t="str">
        <x:v>系列/续篇按重叠性校准</x:v>
      </x:c>
    </x:row>
    <x:row r="99" ht="34" customHeight="1">
      <x:c r="A99" s="120" t="n">
        <x:v>94</x:v>
      </x:c>
      <x:c r="B99" s="120" t="str">
        <x:v>2026-06</x:v>
      </x:c>
      <x:c r="C99" s="120" t="str">
        <x:v>2606.02811</x:v>
      </x:c>
      <x:c r="D99" s="118" t="str">
        <x:v>Navier-Stokes Equations in Complex Space</x:v>
      </x:c>
      <x:c r="E99" s="118" t="str">
        <x:v>Nikolai Nadirashvili</x:v>
      </x:c>
      <x:c r="F99" s="118" t="str">
        <x:v>Navier-Stokes/complex variables</x:v>
      </x:c>
      <x:c r="G99" s="120"/>
      <x:c r="H99" s="121" t="n">
        <x:v>89.56</x:v>
      </x:c>
      <x:c r="I99" s="121" t="n">
        <x:v>89.61</x:v>
      </x:c>
      <x:c r="J99" s="121" t="n">
        <x:v>89.5</x:v>
      </x:c>
      <x:c r="K99" s="121" t="str">
        <x:v>91.1</x:v>
      </x:c>
      <x:c r="L99" s="121" t="str">
        <x:v>91</x:v>
      </x:c>
      <x:c r="M99" s="121" t="str">
        <x:v>90.1</x:v>
      </x:c>
      <x:c r="N99" s="121" t="str">
        <x:v>87</x:v>
      </x:c>
      <x:c r="O99" s="121" t="str">
        <x:v>91.1</x:v>
      </x:c>
      <x:c r="P99" s="121" t="str">
        <x:v>85</x:v>
      </x:c>
      <x:c r="Q99" s="121" t="str">
        <x:v>12</x:v>
      </x:c>
      <x:c r="R99" s="118" t="str">
        <x:v>https://arxiv.org/abs/2606.02811</x:v>
      </x:c>
      <x:c r="S99" s="118" t="str">
        <x:v>三轮复核后与原表基本一致</x:v>
      </x:c>
    </x:row>
    <x:row r="100" ht="34" customHeight="1">
      <x:c r="A100" s="120" t="n">
        <x:v>95</x:v>
      </x:c>
      <x:c r="B100" s="120" t="str">
        <x:v>2026-06</x:v>
      </x:c>
      <x:c r="C100" s="120" t="str">
        <x:v>2606.11055</x:v>
      </x:c>
      <x:c r="D100" s="118" t="str">
        <x:v>Exponential mixing and enhanced dissipation on the unit sphere with Rossby-Haurwitz flows</x:v>
      </x:c>
      <x:c r="E100" s="118" t="str">
        <x:v>Augusto Del Zotto; Marc Nualart</x:v>
      </x:c>
      <x:c r="F100" s="118" t="str">
        <x:v>mixing/enhanced dissipation</x:v>
      </x:c>
      <x:c r="G100" s="120" t="str">
        <x:v>84</x:v>
      </x:c>
      <x:c r="H100" s="121" t="n">
        <x:v>89.55</x:v>
      </x:c>
      <x:c r="I100" s="121" t="n">
        <x:v>89.44</x:v>
      </x:c>
      <x:c r="J100" s="121" t="n">
        <x:v>89.65</x:v>
      </x:c>
      <x:c r="K100" s="121" t="str">
        <x:v>89.9</x:v>
      </x:c>
      <x:c r="L100" s="121" t="str">
        <x:v>91</x:v>
      </x:c>
      <x:c r="M100" s="121" t="str">
        <x:v>91</x:v>
      </x:c>
      <x:c r="N100" s="121" t="str">
        <x:v>86.8</x:v>
      </x:c>
      <x:c r="O100" s="121" t="str">
        <x:v>91</x:v>
      </x:c>
      <x:c r="P100" s="121" t="str">
        <x:v>85</x:v>
      </x:c>
      <x:c r="Q100" s="121" t="str">
        <x:v>12</x:v>
      </x:c>
      <x:c r="R100" s="118" t="str">
        <x:v>https://arxiv.org/abs/2606.11055</x:v>
      </x:c>
      <x:c r="S100" s="118" t="str">
        <x:v>范围偏专门，广度轻微回调</x:v>
      </x:c>
    </x:row>
    <x:row r="101" ht="34" customHeight="1">
      <x:c r="A101" s="120" t="n">
        <x:v>96</x:v>
      </x:c>
      <x:c r="B101" s="120" t="str">
        <x:v>2026-06</x:v>
      </x:c>
      <x:c r="C101" s="120" t="str">
        <x:v>2606.15168</x:v>
      </x:c>
      <x:c r="D101" s="118" t="str">
        <x:v>Long-time asymptotics and invariant manifold for fractional 2D Navier-Stokes equation</x:v>
      </x:c>
      <x:c r="E101" s="118" t="str">
        <x:v>Jingchi Huang; Dandan Li; Shuai Zhang</x:v>
      </x:c>
      <x:c r="F101" s="118" t="str">
        <x:v>fractional Navier-Stokes</x:v>
      </x:c>
      <x:c r="G101" s="120" t="str">
        <x:v>44</x:v>
      </x:c>
      <x:c r="H101" s="121" t="n">
        <x:v>89.55</x:v>
      </x:c>
      <x:c r="I101" s="121" t="n">
        <x:v>89.6</x:v>
      </x:c>
      <x:c r="J101" s="121" t="n">
        <x:v>89.5</x:v>
      </x:c>
      <x:c r="K101" s="121" t="str">
        <x:v>91.1</x:v>
      </x:c>
      <x:c r="L101" s="121" t="str">
        <x:v>89.1</x:v>
      </x:c>
      <x:c r="M101" s="121" t="str">
        <x:v>91.1</x:v>
      </x:c>
      <x:c r="N101" s="121" t="str">
        <x:v>87.2</x:v>
      </x:c>
      <x:c r="O101" s="121" t="str">
        <x:v>91.2</x:v>
      </x:c>
      <x:c r="P101" s="121" t="str">
        <x:v>86</x:v>
      </x:c>
      <x:c r="Q101" s="121" t="str">
        <x:v>12</x:v>
      </x:c>
      <x:c r="R101" s="118" t="str">
        <x:v>https://arxiv.org/abs/2606.15168</x:v>
      </x:c>
      <x:c r="S101" s="118" t="str">
        <x:v>三轮复核后与原表基本一致</x:v>
      </x:c>
    </x:row>
    <x:row r="102" ht="34" customHeight="1">
      <x:c r="A102" s="120" t="n">
        <x:v>97</x:v>
      </x:c>
      <x:c r="B102" s="120" t="str">
        <x:v>2026-08</x:v>
      </x:c>
      <x:c r="C102" s="120" t="str">
        <x:v>2608.06173</x:v>
      </x:c>
      <x:c r="D102" s="118" t="str">
        <x:v>Vanishing viscosity limit to two interacting shocks from the same family for compressible Navier-Stokes equations</x:v>
      </x:c>
      <x:c r="E102" s="118" t="str">
        <x:v>Lin-An Li; Dehua Wang; Yi Wang</x:v>
      </x:c>
      <x:c r="F102" s="118" t="str">
        <x:v>compressible Navier-Stokes/shocks</x:v>
      </x:c>
      <x:c r="G102" s="120" t="str">
        <x:v>-</x:v>
      </x:c>
      <x:c r="H102" s="121" t="n">
        <x:v>89.5</x:v>
      </x:c>
      <x:c r="I102" s="121" t="n">
        <x:v>89.25</x:v>
      </x:c>
      <x:c r="J102" s="121" t="n">
        <x:v>89.75</x:v>
      </x:c>
      <x:c r="K102" s="121" t="n">
        <x:v>90</x:v>
      </x:c>
      <x:c r="L102" s="121" t="n">
        <x:v>89</x:v>
      </x:c>
      <x:c r="M102" s="121" t="n">
        <x:v>92</x:v>
      </x:c>
      <x:c r="N102" s="121" t="n">
        <x:v>87</x:v>
      </x:c>
      <x:c r="O102" s="121" t="n">
        <x:v>92</x:v>
      </x:c>
      <x:c r="P102" s="121" t="n">
        <x:v>84</x:v>
      </x:c>
      <x:c r="Q102" s="121" t="n">
        <x:v>11</x:v>
      </x:c>
      <x:c r="R102" s="118" t="str">
        <x:v>https://arxiv.org/abs/2608.06173</x:v>
      </x:c>
      <x:c r="S102" s="118" t="str">
        <x:v>Difficult shock interaction limit for compressible NS.</x:v>
      </x:c>
    </x:row>
    <x:row r="103" ht="34" customHeight="1">
      <x:c r="A103" s="120" t="n">
        <x:v>98</x:v>
      </x:c>
      <x:c r="B103" s="120" t="str">
        <x:v>2026-06</x:v>
      </x:c>
      <x:c r="C103" s="120" t="str">
        <x:v>2606.09657</x:v>
      </x:c>
      <x:c r="D103" s="118" t="str">
        <x:v>Benjamin-Feir spectrum of hydroelastic Stokes waves</x:v>
      </x:c>
      <x:c r="E103" s="118" t="str">
        <x:v>Ting-Yang Hsiao; Zirui Li; Ye Zhang; Chengbin Zhu</x:v>
      </x:c>
      <x:c r="F103" s="118" t="str">
        <x:v>water waves/spectral</x:v>
      </x:c>
      <x:c r="G103" s="120" t="str">
        <x:v>55</x:v>
      </x:c>
      <x:c r="H103" s="121" t="n">
        <x:v>89.38</x:v>
      </x:c>
      <x:c r="I103" s="121" t="n">
        <x:v>89.3</x:v>
      </x:c>
      <x:c r="J103" s="121" t="n">
        <x:v>89.45</x:v>
      </x:c>
      <x:c r="K103" s="121" t="str">
        <x:v>90</x:v>
      </x:c>
      <x:c r="L103" s="121" t="str">
        <x:v>90</x:v>
      </x:c>
      <x:c r="M103" s="121" t="str">
        <x:v>91</x:v>
      </x:c>
      <x:c r="N103" s="121" t="str">
        <x:v>87</x:v>
      </x:c>
      <x:c r="O103" s="121" t="str">
        <x:v>91</x:v>
      </x:c>
      <x:c r="P103" s="121" t="str">
        <x:v>85</x:v>
      </x:c>
      <x:c r="Q103" s="121" t="str">
        <x:v>12</x:v>
      </x:c>
      <x:c r="R103" s="118" t="str">
        <x:v>https://arxiv.org/abs/2606.09657</x:v>
      </x:c>
      <x:c r="S103" s="118" t="str">
        <x:v>三轮复核后与原表基本一致</x:v>
      </x:c>
    </x:row>
    <x:row r="104" ht="34" customHeight="1">
      <x:c r="A104" s="120" t="n">
        <x:v>99</x:v>
      </x:c>
      <x:c r="B104" s="120" t="str">
        <x:v>2026-06</x:v>
      </x:c>
      <x:c r="C104" s="120" t="str">
        <x:v>2606.06729</x:v>
      </x:c>
      <x:c r="D104" s="118" t="str">
        <x:v>Determination of radial nonlocal nonlinearities from the scattering map</x:v>
      </x:c>
      <x:c r="E104" s="118" t="str">
        <x:v>Luccas Campos; Rowan Killip; Jason Murphy; Monica Visan</x:v>
      </x:c>
      <x:c r="F104" s="118" t="str">
        <x:v>inverse scattering/dispersive</x:v>
      </x:c>
      <x:c r="G104" s="120" t="str">
        <x:v>12</x:v>
      </x:c>
      <x:c r="H104" s="121" t="n">
        <x:v>89.37</x:v>
      </x:c>
      <x:c r="I104" s="121" t="n">
        <x:v>89.39</x:v>
      </x:c>
      <x:c r="J104" s="121" t="n">
        <x:v>89.34</x:v>
      </x:c>
      <x:c r="K104" s="121" t="str">
        <x:v>89.9</x:v>
      </x:c>
      <x:c r="L104" s="121" t="str">
        <x:v>91</x:v>
      </x:c>
      <x:c r="M104" s="121" t="str">
        <x:v>89.8</x:v>
      </x:c>
      <x:c r="N104" s="121" t="str">
        <x:v>87.8</x:v>
      </x:c>
      <x:c r="O104" s="121" t="str">
        <x:v>89.9</x:v>
      </x:c>
      <x:c r="P104" s="121" t="str">
        <x:v>86</x:v>
      </x:c>
      <x:c r="Q104" s="121" t="str">
        <x:v>11.3</x:v>
      </x:c>
      <x:c r="R104" s="118" t="str">
        <x:v>https://arxiv.org/abs/2606.06729</x:v>
      </x:c>
      <x:c r="S104" s="118" t="str">
        <x:v>范围偏专门，广度轻微回调；短文且非框架性题材，技术残差轻微回调</x:v>
      </x:c>
    </x:row>
    <x:row r="105" ht="34" customHeight="1">
      <x:c r="A105" s="120" t="n">
        <x:v>100</x:v>
      </x:c>
      <x:c r="B105" s="120" t="str">
        <x:v>2026-07</x:v>
      </x:c>
      <x:c r="C105" s="120" t="str">
        <x:v>2607.03342</x:v>
      </x:c>
      <x:c r="D105" s="118" t="str">
        <x:v>Level sets of fractional Sobolev functions</x:v>
      </x:c>
      <x:c r="E105" s="118" t="str">
        <x:v>Camillo De Lellis; Ming-Yuan Chang; Svitlana Mayboroda</x:v>
      </x:c>
      <x:c r="F105" s="118" t="str">
        <x:v>fractional Sobolev / regularity</x:v>
      </x:c>
      <x:c r="G105" s="120" t="n">
        <x:v>26</x:v>
      </x:c>
      <x:c r="H105" s="121" t="n">
        <x:v>89.35</x:v>
      </x:c>
      <x:c r="I105" s="121" t="n">
        <x:v>89.15</x:v>
      </x:c>
      <x:c r="J105" s="121" t="n">
        <x:v>89.55</x:v>
      </x:c>
      <x:c r="K105" s="121" t="n">
        <x:v>90</x:v>
      </x:c>
      <x:c r="L105" s="121" t="n">
        <x:v>90</x:v>
      </x:c>
      <x:c r="M105" s="121" t="n">
        <x:v>90</x:v>
      </x:c>
      <x:c r="N105" s="121" t="n">
        <x:v>87</x:v>
      </x:c>
      <x:c r="O105" s="121" t="n">
        <x:v>90</x:v>
      </x:c>
      <x:c r="P105" s="121" t="n">
        <x:v>86</x:v>
      </x:c>
      <x:c r="Q105" s="121" t="n">
        <x:v>9</x:v>
      </x:c>
      <x:c r="R105" s="118" t="str">
        <x:v>https://arxiv.org/abs/2607.03342</x:v>
      </x:c>
      <x:c r="S105" s="118" t="str">
        <x:v>Short but potentially influential regularity/measure-theoretic result.</x:v>
      </x:c>
    </x:row>
    <x:row r="109" ht="22" customHeight="1">
      <x:c r="A109" s="143" t="str">
        <x:v>原5月说明统计（保留）</x:v>
      </x:c>
      <x:c r="B109" s="143"/>
      <x:c r="C109" s="143"/>
      <x:c r="D109" s="143"/>
      <x:c r="E109" s="143"/>
      <x:c r="F109" s="143"/>
      <x:c r="G109" s="143"/>
      <x:c r="H109" s="143"/>
      <x:c r="I109" s="143"/>
      <x:c r="J109" s="143"/>
      <x:c r="K109" s="143"/>
      <x:c r="L109" s="143"/>
      <x:c r="M109" s="143"/>
      <x:c r="N109" s="143"/>
      <x:c r="O109" s="143"/>
      <x:c r="P109" s="143"/>
      <x:c r="Q109" s="143"/>
      <x:c r="R109" s="143"/>
      <x:c r="S109" s="143"/>
    </x:row>
    <x:row r="110" ht="24" customHeight="1">
      <x:c r="A110" s="144" t="str">
        <x:v>数据来源</x:v>
      </x:c>
      <x:c r="B110" s="128" t="str">
        <x:v>https://arxiv.org/list/math.AP/2026-05?show=2000</x:v>
      </x:c>
      <x:c r="C110" s="144" t="str">
        <x:v>官方5月AP出现项总数</x:v>
      </x:c>
      <x:c r="D110" s="128" t="n">
        <x:v>586</x:v>
      </x:c>
    </x:row>
    <x:row r="111" ht="24" customHeight="1">
      <x:c r="A111" s="144" t="str">
        <x:v>进入精评评分池文章数</x:v>
      </x:c>
      <x:c r="B111" s="128" t="n">
        <x:v>92</x:v>
      </x:c>
      <x:c r="C111" s="144" t="str">
        <x:v>未进入精评评分池条数</x:v>
      </x:c>
      <x:c r="D111" s="128" t="n">
        <x:v>494</x:v>
      </x:c>
    </x:row>
    <x:row r="112" ht="24" customHeight="1">
      <x:c r="A112" s="144" t="str">
        <x:v>PDF收录</x:v>
      </x:c>
      <x:c r="B112" s="128" t="str">
        <x:v>综合排序 Top 50</x:v>
      </x:c>
      <x:c r="C112" s="144" t="str">
        <x:v>Top50分数线</x:v>
      </x:c>
      <x:c r="D112" s="128" t="n">
        <x:v>87.4</x:v>
      </x:c>
    </x:row>
    <x:row r="113" ht="24" customHeight="1">
      <x:c r="A113" s="144" t="str">
        <x:v>排序公式</x:v>
      </x:c>
      <x:c r="B113" s="128" t="str">
        <x:v>S_eq=(V+S_H)/2，V 与 S_H 严格等权</x:v>
      </x:c>
      <x:c r="C113" s="144" t="str">
        <x:v>评分池平均 S_eq</x:v>
      </x:c>
      <x:c r="D113" s="128" t="n">
        <x:v>88.3</x:v>
      </x:c>
    </x:row>
    <x:row r="114" ht="24" customHeight="1">
      <x:c r="A114" s="144" t="str">
        <x:v>正确性假设</x:v>
      </x:c>
      <x:c r="B114" s="128" t="str">
        <x:v>默认主要结论正确；未逐篇逐行做证明 correctness check</x:v>
      </x:c>
      <x:c r="C114" s="144" t="str">
        <x:v>Top50平均AI含量(%)</x:v>
      </x:c>
      <x:c r="D114" s="128" t="n">
        <x:v>12.5</x:v>
      </x:c>
    </x:row>
  </x:sheetData>
  <x:mergeCells>
    <x:mergeCell ref="A2:S2"/>
    <x:mergeCell ref="A3:S3"/>
    <x:mergeCell ref="A109:S10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4" hidden="0" customWidth="1"/>
    <x:col min="3" max="3" width="16" hidden="0" customWidth="1"/>
    <x:col min="4" max="4" width="56" hidden="0" customWidth="1"/>
  </x:cols>
  <x:sheetData>
    <x:row r="1">
      <x:c r="A1" s="22" t="str">
        <x:v>列名</x:v>
      </x:c>
      <x:c r="B1" s="22" t="str">
        <x:v>中文解释</x:v>
      </x:c>
      <x:c r="C1" s="22" t="str">
        <x:v>原始/计算</x:v>
      </x:c>
      <x:c r="D1" s="22" t="str">
        <x:v>权重或公式</x:v>
      </x:c>
    </x:row>
    <x:row r="2">
      <x:c r="A2" s="14" t="str">
        <x:v>I</x:v>
      </x:c>
      <x:c r="B2" s="14" t="str">
        <x:v>Intrinsic importance：问题本身与结论范围的重要性</x:v>
      </x:c>
      <x:c r="C2" s="14" t="str">
        <x:v>原始打分</x:v>
      </x:c>
      <x:c r="D2" s="14" t="str">
        <x:v>0-100</x:v>
      </x:c>
    </x:row>
    <x:row r="3">
      <x:c r="A3" s="14" t="str">
        <x:v>O</x:v>
      </x:c>
      <x:c r="B3" s="14" t="str">
        <x:v>Originality：概念、构造、框架的新颖度</x:v>
      </x:c>
      <x:c r="C3" s="14" t="str">
        <x:v>原始打分</x:v>
      </x:c>
      <x:c r="D3" s="14" t="str">
        <x:v>0-100</x:v>
      </x:c>
    </x:row>
    <x:row r="4">
      <x:c r="A4" s="14" t="str">
        <x:v>T</x:v>
      </x:c>
      <x:c r="B4" s="14" t="str">
        <x:v>Technical depth：证明技术深度与证明链复杂度</x:v>
      </x:c>
      <x:c r="C4" s="14" t="str">
        <x:v>原始打分</x:v>
      </x:c>
      <x:c r="D4" s="14" t="str">
        <x:v>0-100</x:v>
      </x:c>
    </x:row>
    <x:row r="5">
      <x:c r="A5" s="14" t="str">
        <x:v>B</x:v>
      </x:c>
      <x:c r="B5" s="14" t="str">
        <x:v>Breadth/impact：后续可迁移性与领域覆盖面</x:v>
      </x:c>
      <x:c r="C5" s="14" t="str">
        <x:v>原始打分</x:v>
      </x:c>
      <x:c r="D5" s="14" t="str">
        <x:v>0-100</x:v>
      </x:c>
    </x:row>
    <x:row r="6">
      <x:c r="A6" s="14" t="str">
        <x:v>H</x:v>
      </x:c>
      <x:c r="B6" s="14" t="str">
        <x:v>Human hardness：非套路、需人类结构判断的比例与难度</x:v>
      </x:c>
      <x:c r="C6" s="14" t="str">
        <x:v>原始打分</x:v>
      </x:c>
      <x:c r="D6" s="14" t="str">
        <x:v>0-100</x:v>
      </x:c>
    </x:row>
    <x:row r="7">
      <x:c r="A7" s="14" t="str">
        <x:v>R</x:v>
      </x:c>
      <x:c r="B7" s="14" t="str">
        <x:v>Robustness：结论可信度、设定自然性、证明路线稳健性</x:v>
      </x:c>
      <x:c r="C7" s="14" t="str">
        <x:v>原始打分</x:v>
      </x:c>
      <x:c r="D7" s="14" t="str">
        <x:v>0-100</x:v>
      </x:c>
    </x:row>
    <x:row r="8">
      <x:c r="A8" s="14" t="str">
        <x:v>AI_pct</x:v>
      </x:c>
      <x:c r="B8" s="14" t="str">
        <x:v>AI含量：当前AI/计算工具可替代的文献整理、局部估计、代码、排版、常规证明组织等工作占比</x:v>
      </x:c>
      <x:c r="C8" s="14" t="str">
        <x:v>原始估计</x:v>
      </x:c>
      <x:c r="D8" s="14" t="str">
        <x:v>0-100%</x:v>
      </x:c>
    </x:row>
    <x:row r="9">
      <x:c r="A9" s="14" t="str">
        <x:v>AI_unc</x:v>
      </x:c>
      <x:c r="B9" s="14" t="str">
        <x:v>AI含量不确定度</x:v>
      </x:c>
      <x:c r="C9" s="14" t="str">
        <x:v>原始估计</x:v>
      </x:c>
      <x:c r="D9" s="14" t="str">
        <x:v>百分点</x:v>
      </x:c>
    </x:row>
    <x:row r="10">
      <x:c r="A10" s="14" t="str">
        <x:v>V</x:v>
      </x:c>
      <x:c r="B10" s="14" t="str">
        <x:v>Value axis：综合数学价值</x:v>
      </x:c>
      <x:c r="C10" s="14" t="str">
        <x:v>计算列</x:v>
      </x:c>
      <x:c r="D10" s="14" t="str">
        <x:v>V=0.30I+0.20O+0.25T+0.15B+0.10R</x:v>
      </x:c>
    </x:row>
    <x:row r="11">
      <x:c r="A11" s="14" t="str">
        <x:v>S_H</x:v>
      </x:c>
      <x:c r="B11" s="14" t="str">
        <x:v>Human-essential score：剔除AI可替代工作后的人类核心贡献强度</x:v>
      </x:c>
      <x:c r="C11" s="14" t="str">
        <x:v>计算列</x:v>
      </x:c>
      <x:c r="D11" s="14" t="str">
        <x:v>S_H=0.30H+0.20T+0.20O+0.15R+0.15(100-AI_pct)</x:v>
      </x:c>
    </x:row>
    <x:row r="12">
      <x:c r="A12" s="14" t="str">
        <x:v>S_eq</x:v>
      </x:c>
      <x:c r="B12" s="14" t="str">
        <x:v>最终等权分数</x:v>
      </x:c>
      <x:c r="C12" s="14" t="str">
        <x:v>计算列</x:v>
      </x:c>
      <x:c r="D12" s="14" t="str">
        <x:v>S_eq=(V+S_H)/2</x:v>
      </x:c>
    </x:row>
    <x:row r="13">
      <x:c r="A13" s="14" t="str">
        <x:v>Rank</x:v>
      </x:c>
      <x:c r="B13" s="14" t="str">
        <x:v>最终排名</x:v>
      </x:c>
      <x:c r="C13" s="14" t="str">
        <x:v>计算列</x:v>
      </x:c>
      <x:c r="D13" s="14" t="str">
        <x:v>按S_eq降序，V作次级参考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4" hidden="0" customWidth="1"/>
    <x:col min="5" max="5" width="24" hidden="0" customWidth="1"/>
    <x:col min="6" max="6" width="58" hidden="0" customWidth="1"/>
    <x:col min="7" max="7" width="38" hidden="0" customWidth="1"/>
    <x:col min="8" max="8" width="9" hidden="0" customWidth="1"/>
    <x:col min="9" max="9" width="36" hidden="0" customWidth="1"/>
    <x:col min="10" max="10" width="54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10" hidden="0" customWidth="1"/>
    <x:col min="18" max="18" width="10" hidden="0" customWidth="1"/>
    <x:col min="19" max="19" width="8" hidden="0" customWidth="1"/>
    <x:col min="20" max="20" width="8" hidden="0" customWidth="1"/>
    <x:col min="21" max="21" width="8" hidden="0" customWidth="1"/>
    <x:col min="22" max="22" width="12" hidden="0" customWidth="1"/>
  </x:cols>
  <x:sheetData>
    <x:row r="1">
      <x:c r="A1" s="22" t="str">
        <x:v>rank_formula</x:v>
      </x:c>
      <x:c r="B1" s="22" t="str">
        <x:v>arXiv</x:v>
      </x:c>
      <x:c r="C1" s="22" t="str">
        <x:v>month</x:v>
      </x:c>
      <x:c r="D1" s="22" t="str">
        <x:v>AP_status</x:v>
      </x:c>
      <x:c r="E1" s="22" t="str">
        <x:v>theme</x:v>
      </x:c>
      <x:c r="F1" s="22" t="str">
        <x:v>title</x:v>
      </x:c>
      <x:c r="G1" s="22" t="str">
        <x:v>authors</x:v>
      </x:c>
      <x:c r="H1" s="22" t="str">
        <x:v>pages</x:v>
      </x:c>
      <x:c r="I1" s="22" t="str">
        <x:v>source_url</x:v>
      </x:c>
      <x:c r="J1" s="22" t="str">
        <x:v>screening_note</x:v>
      </x:c>
      <x:c r="K1" s="22" t="str">
        <x:v>I</x:v>
      </x:c>
      <x:c r="L1" s="22" t="str">
        <x:v>O</x:v>
      </x:c>
      <x:c r="M1" s="22" t="str">
        <x:v>T</x:v>
      </x:c>
      <x:c r="N1" s="22" t="str">
        <x:v>B</x:v>
      </x:c>
      <x:c r="O1" s="22" t="str">
        <x:v>H</x:v>
      </x:c>
      <x:c r="P1" s="22" t="str">
        <x:v>R</x:v>
      </x:c>
      <x:c r="Q1" s="22" t="str">
        <x:v>AI_pct</x:v>
      </x:c>
      <x:c r="R1" s="22" t="str">
        <x:v>AI_unc</x:v>
      </x:c>
      <x:c r="S1" s="22" t="str">
        <x:v>V</x:v>
      </x:c>
      <x:c r="T1" s="22" t="str">
        <x:v>S_H</x:v>
      </x:c>
      <x:c r="U1" s="22" t="str">
        <x:v>S_eq</x:v>
      </x:c>
      <x:c r="V1" s="22" t="str">
        <x:v>Top50_flag</x:v>
      </x:c>
    </x:row>
    <x:row r="2">
      <x:c r="A2" s="30" t="n">
        <x:f>RANK.EQ(U2,$U$2:$U$93,0)</x:f>
        <x:v>1</x:v>
      </x:c>
      <x:c r="B2" s="14" t="str">
        <x:v>2605.00808</x:v>
      </x:c>
      <x:c r="C2" s="14" t="str">
        <x:v>2026-05</x:v>
      </x:c>
      <x:c r="D2" s="14" t="str">
        <x:v>AP</x:v>
      </x:c>
      <x:c r="E2" s="14" t="str">
        <x:v>Fluid singularities / Euler</x:v>
      </x:c>
      <x:c r="F2" s="14" t="str">
        <x:v>Smooth and stable Euler implosions</x:v>
      </x:c>
      <x:c r="G2" s="14" t="str">
        <x:v>Jiajie Chen; Steve Shkoller; Vlad Vicol</x:v>
      </x:c>
      <x:c r="H2" s="30" t="n">
        <x:v>153</x:v>
      </x:c>
      <x:c r="I2" s="14" t="str">
        <x:v>https://arxiv.org/abs/2605.00808</x:v>
      </x:c>
      <x:c r="J2" s="14" t="str">
        <x:v>Smooth stable implosion construction; very high nonlocal-dynamical proof complexity.</x:v>
      </x:c>
      <x:c r="K2" s="28" t="n">
        <x:v>99</x:v>
      </x:c>
      <x:c r="L2" s="28" t="n">
        <x:v>96</x:v>
      </x:c>
      <x:c r="M2" s="28" t="n">
        <x:v>98</x:v>
      </x:c>
      <x:c r="N2" s="28" t="n">
        <x:v>92</x:v>
      </x:c>
      <x:c r="O2" s="28" t="n">
        <x:v>98</x:v>
      </x:c>
      <x:c r="P2" s="28" t="n">
        <x:v>86</x:v>
      </x:c>
      <x:c r="Q2" s="28" t="n">
        <x:v>10</x:v>
      </x:c>
      <x:c r="R2" s="28" t="n">
        <x:v>4</x:v>
      </x:c>
      <x:c r="S2" s="28" t="n">
        <x:f>ROUND(0.30*K2+0.20*L2+0.25*M2+0.15*N2+0.10*P2,1)</x:f>
        <x:v>95.8</x:v>
      </x:c>
      <x:c r="T2" s="28" t="n">
        <x:f>ROUND(0.30*O2+0.20*M2+0.20*L2+0.15*P2+0.15*(100-Q2),1)</x:f>
        <x:v>94.6</x:v>
      </x:c>
      <x:c r="U2" s="28" t="n">
        <x:f>ROUND((S2+T2)/2,1)</x:f>
        <x:v>95.2</x:v>
      </x:c>
      <x:c r="V2" s="14" t="str">
        <x:f>IF(A2&lt;=50,"Top50","")</x:f>
        <x:v>Top50</x:v>
      </x:c>
    </x:row>
    <x:row r="3">
      <x:c r="A3" s="30" t="n">
        <x:f>RANK.EQ(U3,$U$2:$U$93,0)</x:f>
        <x:v>2</x:v>
      </x:c>
      <x:c r="B3" s="14" t="str">
        <x:v>2605.15130</x:v>
      </x:c>
      <x:c r="C3" s="14" t="str">
        <x:v>2026-05</x:v>
      </x:c>
      <x:c r="D3" s="14" t="str">
        <x:v>AP</x:v>
      </x:c>
      <x:c r="E3" s="14" t="str">
        <x:v>Fluid singularities / Euler</x:v>
      </x:c>
      <x:c r="F3" s="14" t="str">
        <x:v>Asymptotically Self-Similar Blowup for 3D Incompressible Euler with C^{1,1/3-} Velocity II: 3D Profiles, Blowup, and Limiting Behavior</x:v>
      </x:c>
      <x:c r="G3" s="14" t="str">
        <x:v>Jiajie Chen</x:v>
      </x:c>
      <x:c r="H3" s="30" t="n">
        <x:v>133</x:v>
      </x:c>
      <x:c r="I3" s="14" t="str">
        <x:v>https://arxiv.org/abs/2605.15130</x:v>
      </x:c>
      <x:c r="J3" s="14" t="str">
        <x:v>Major continuation of low-regularity 3D Euler blow-up program; long nonlinear profile construction.</x:v>
      </x:c>
      <x:c r="K3" s="28" t="n">
        <x:v>98</x:v>
      </x:c>
      <x:c r="L3" s="28" t="n">
        <x:v>95</x:v>
      </x:c>
      <x:c r="M3" s="28" t="n">
        <x:v>97</x:v>
      </x:c>
      <x:c r="N3" s="28" t="n">
        <x:v>91</x:v>
      </x:c>
      <x:c r="O3" s="28" t="n">
        <x:v>97</x:v>
      </x:c>
      <x:c r="P3" s="28" t="n">
        <x:v>85</x:v>
      </x:c>
      <x:c r="Q3" s="28" t="n">
        <x:v>10</x:v>
      </x:c>
      <x:c r="R3" s="28" t="n">
        <x:v>4</x:v>
      </x:c>
      <x:c r="S3" s="28" t="n">
        <x:f>ROUND(0.30*K3+0.20*L3+0.25*M3+0.15*N3+0.10*P3,1)</x:f>
        <x:v>94.8</x:v>
      </x:c>
      <x:c r="T3" s="28" t="n">
        <x:f>ROUND(0.30*O3+0.20*M3+0.20*L3+0.15*P3+0.15*(100-Q3),1)</x:f>
        <x:v>93.8</x:v>
      </x:c>
      <x:c r="U3" s="28" t="n">
        <x:f>ROUND((S3+T3)/2,1)</x:f>
        <x:v>94.3</x:v>
      </x:c>
      <x:c r="V3" s="14" t="str">
        <x:f>IF(A3&lt;=50,"Top50","")</x:f>
        <x:v>Top50</x:v>
      </x:c>
    </x:row>
    <x:row r="4">
      <x:c r="A4" s="30" t="n">
        <x:f>RANK.EQ(U4,$U$2:$U$93,0)</x:f>
        <x:v>3</x:v>
      </x:c>
      <x:c r="B4" s="14" t="str">
        <x:v>2605.19143</x:v>
      </x:c>
      <x:c r="C4" s="14" t="str">
        <x:v>2026-05</x:v>
      </x:c>
      <x:c r="D4" s="14" t="str">
        <x:v>AP/DG/gr-qc</x:v>
      </x:c>
      <x:c r="E4" s="14" t="str">
        <x:v>Geometric hyperbolic PDE / GR</x:v>
      </x:c>
      <x:c r="F4" s="14" t="str">
        <x:v>Weak cosmic censorship for the circularly symmetric Einstein-scalar field system in 2+1 dimensions</x:v>
      </x:c>
      <x:c r="G4" s="14" t="str">
        <x:v>Serban Cicortas</x:v>
      </x:c>
      <x:c r="H4" s="30" t="n">
        <x:v>65</x:v>
      </x:c>
      <x:c r="I4" s="14" t="str">
        <x:v>https://arxiv.org/abs/2605.19143</x:v>
      </x:c>
      <x:c r="J4" s="14" t="str">
        <x:v>High-value global dynamics and singularity statement in a symmetric Einstein-scalar model.</x:v>
      </x:c>
      <x:c r="K4" s="28" t="n">
        <x:v>98</x:v>
      </x:c>
      <x:c r="L4" s="28" t="n">
        <x:v>94</x:v>
      </x:c>
      <x:c r="M4" s="28" t="n">
        <x:v>96</x:v>
      </x:c>
      <x:c r="N4" s="28" t="n">
        <x:v>91</x:v>
      </x:c>
      <x:c r="O4" s="28" t="n">
        <x:v>96</x:v>
      </x:c>
      <x:c r="P4" s="28" t="n">
        <x:v>84</x:v>
      </x:c>
      <x:c r="Q4" s="28" t="n">
        <x:v>8</x:v>
      </x:c>
      <x:c r="R4" s="28" t="n">
        <x:v>4</x:v>
      </x:c>
      <x:c r="S4" s="28" t="n">
        <x:f>ROUND(0.30*K4+0.20*L4+0.25*M4+0.15*N4+0.10*P4,1)</x:f>
        <x:v>94.3</x:v>
      </x:c>
      <x:c r="T4" s="28" t="n">
        <x:f>ROUND(0.30*O4+0.20*M4+0.20*L4+0.15*P4+0.15*(100-Q4),1)</x:f>
        <x:v>93.2</x:v>
      </x:c>
      <x:c r="U4" s="28" t="n">
        <x:f>ROUND((S4+T4)/2,1)</x:f>
        <x:v>93.8</x:v>
      </x:c>
      <x:c r="V4" s="14" t="str">
        <x:f>IF(A4&lt;=50,"Top50","")</x:f>
        <x:v>Top50</x:v>
      </x:c>
    </x:row>
    <x:row r="5">
      <x:c r="A5" s="30" t="n">
        <x:f>RANK.EQ(U5,$U$2:$U$93,0)</x:f>
        <x:v>4</x:v>
      </x:c>
      <x:c r="B5" s="14" t="str">
        <x:v>2605.15149</x:v>
      </x:c>
      <x:c r="C5" s="14" t="str">
        <x:v>2026-05</x:v>
      </x:c>
      <x:c r="D5" s="14" t="str">
        <x:v>AP</x:v>
      </x:c>
      <x:c r="E5" s="14" t="str">
        <x:v>Fluid singularities / Euler</x:v>
      </x:c>
      <x:c r="F5" s="14" t="str">
        <x:v>Asymptotically Self-Similar Blowup for 3D Incompressible Euler with C^{1,1/3-} Velocity I: C^infty 1D Limiting Profiles</x:v>
      </x:c>
      <x:c r="G5" s="14" t="str">
        <x:v>Jiajie Chen</x:v>
      </x:c>
      <x:c r="H5" s="30" t="n">
        <x:v>92</x:v>
      </x:c>
      <x:c r="I5" s="14" t="str">
        <x:v>https://arxiv.org/abs/2605.15149</x:v>
      </x:c>
      <x:c r="J5" s="14" t="str">
        <x:v>Profile construction companion to the 3D Euler blow-up series; substantial but slightly narrower than Part II.</x:v>
      </x:c>
      <x:c r="K5" s="28" t="n">
        <x:v>96</x:v>
      </x:c>
      <x:c r="L5" s="28" t="n">
        <x:v>94</x:v>
      </x:c>
      <x:c r="M5" s="28" t="n">
        <x:v>96</x:v>
      </x:c>
      <x:c r="N5" s="28" t="n">
        <x:v>88</x:v>
      </x:c>
      <x:c r="O5" s="28" t="n">
        <x:v>96</x:v>
      </x:c>
      <x:c r="P5" s="28" t="n">
        <x:v>85</x:v>
      </x:c>
      <x:c r="Q5" s="28" t="n">
        <x:v>10</x:v>
      </x:c>
      <x:c r="R5" s="28" t="n">
        <x:v>4</x:v>
      </x:c>
      <x:c r="S5" s="28" t="n">
        <x:f>ROUND(0.30*K5+0.20*L5+0.25*M5+0.15*N5+0.10*P5,1)</x:f>
        <x:v>93.3</x:v>
      </x:c>
      <x:c r="T5" s="28" t="n">
        <x:f>ROUND(0.30*O5+0.20*M5+0.20*L5+0.15*P5+0.15*(100-Q5),1)</x:f>
        <x:v>93.1</x:v>
      </x:c>
      <x:c r="U5" s="28" t="n">
        <x:f>ROUND((S5+T5)/2,1)</x:f>
        <x:v>93.2</x:v>
      </x:c>
      <x:c r="V5" s="14" t="str">
        <x:f>IF(A5&lt;=50,"Top50","")</x:f>
        <x:v>Top50</x:v>
      </x:c>
    </x:row>
    <x:row r="6">
      <x:c r="A6" s="30" t="n">
        <x:f>RANK.EQ(U6,$U$2:$U$93,0)</x:f>
        <x:v>5</x:v>
      </x:c>
      <x:c r="B6" s="14" t="str">
        <x:v>2605.05041</x:v>
      </x:c>
      <x:c r="C6" s="14" t="str">
        <x:v>2026-05</x:v>
      </x:c>
      <x:c r="D6" s="14" t="str">
        <x:v>AP/DG</x:v>
      </x:c>
      <x:c r="E6" s="14" t="str">
        <x:v>Minimal hypersurfaces / regularity</x:v>
      </x:c>
      <x:c r="F6" s="14" t="str">
        <x:v>An Optimal Regularity Theory for Immersed Stable Minimal Hypersurfaces with Small Singular Set</x:v>
      </x:c>
      <x:c r="G6" s="14" t="str">
        <x:v>Paul Minter; Zhengyi Xiao</x:v>
      </x:c>
      <x:c r="H6" s="30" t="n">
        <x:v>65</x:v>
      </x:c>
      <x:c r="I6" s="14" t="str">
        <x:v>https://arxiv.org/abs/2605.05041</x:v>
      </x:c>
      <x:c r="J6" s="14" t="str">
        <x:v>Optimal regularity and compactness under small singular-set hypotheses; strong structure theorem.</x:v>
      </x:c>
      <x:c r="K6" s="28" t="n">
        <x:v>96</x:v>
      </x:c>
      <x:c r="L6" s="28" t="n">
        <x:v>93</x:v>
      </x:c>
      <x:c r="M6" s="28" t="n">
        <x:v>95</x:v>
      </x:c>
      <x:c r="N6" s="28" t="n">
        <x:v>90</x:v>
      </x:c>
      <x:c r="O6" s="28" t="n">
        <x:v>95</x:v>
      </x:c>
      <x:c r="P6" s="28" t="n">
        <x:v>86</x:v>
      </x:c>
      <x:c r="Q6" s="28" t="n">
        <x:v>8</x:v>
      </x:c>
      <x:c r="R6" s="28" t="n">
        <x:v>4</x:v>
      </x:c>
      <x:c r="S6" s="28" t="n">
        <x:f>ROUND(0.30*K6+0.20*L6+0.25*M6+0.15*N6+0.10*P6,1)</x:f>
        <x:v>93.3</x:v>
      </x:c>
      <x:c r="T6" s="28" t="n">
        <x:f>ROUND(0.30*O6+0.20*M6+0.20*L6+0.15*P6+0.15*(100-Q6),1)</x:f>
        <x:v>92.8</x:v>
      </x:c>
      <x:c r="U6" s="28" t="n">
        <x:f>ROUND((S6+T6)/2,1)</x:f>
        <x:v>93.1</x:v>
      </x:c>
      <x:c r="V6" s="14" t="str">
        <x:f>IF(A6&lt;=50,"Top50","")</x:f>
        <x:v>Top50</x:v>
      </x:c>
    </x:row>
    <x:row r="7">
      <x:c r="A7" s="30" t="n">
        <x:f>RANK.EQ(U7,$U$2:$U$93,0)</x:f>
        <x:v>6</x:v>
      </x:c>
      <x:c r="B7" s="14" t="str">
        <x:v>2605.20426</x:v>
      </x:c>
      <x:c r="C7" s="14" t="str">
        <x:v>2026-05</x:v>
      </x:c>
      <x:c r="D7" s="14" t="str">
        <x:v>AP</x:v>
      </x:c>
      <x:c r="E7" s="14" t="str">
        <x:v>Kinetic PDE</x:v>
      </x:c>
      <x:c r="F7" s="14" t="str">
        <x:v>Pointwise bounds and obstructions to blowup for the Landau and Boltzmann equations</x:v>
      </x:c>
      <x:c r="G7" s="14" t="str">
        <x:v>William Golding; Christopher Henderson; Luis Silvestre</x:v>
      </x:c>
      <x:c r="H7" s="30" t="n">
        <x:v>23</x:v>
      </x:c>
      <x:c r="I7" s="14" t="str">
        <x:v>https://arxiv.org/abs/2605.20426</x:v>
      </x:c>
      <x:c r="J7" s="14" t="str">
        <x:v>High-yield kinetic estimates; affects blow-up obstruction mechanisms for Landau/Boltzmann.</x:v>
      </x:c>
      <x:c r="K7" s="28" t="n">
        <x:v>96</x:v>
      </x:c>
      <x:c r="L7" s="28" t="n">
        <x:v>93</x:v>
      </x:c>
      <x:c r="M7" s="28" t="n">
        <x:v>94</x:v>
      </x:c>
      <x:c r="N7" s="28" t="n">
        <x:v>90</x:v>
      </x:c>
      <x:c r="O7" s="28" t="n">
        <x:v>94</x:v>
      </x:c>
      <x:c r="P7" s="28" t="n">
        <x:v>87</x:v>
      </x:c>
      <x:c r="Q7" s="28" t="n">
        <x:v>10</x:v>
      </x:c>
      <x:c r="R7" s="28" t="n">
        <x:v>4</x:v>
      </x:c>
      <x:c r="S7" s="28" t="n">
        <x:f>ROUND(0.30*K7+0.20*L7+0.25*M7+0.15*N7+0.10*P7,1)</x:f>
        <x:v>93.1</x:v>
      </x:c>
      <x:c r="T7" s="28" t="n">
        <x:f>ROUND(0.30*O7+0.20*M7+0.20*L7+0.15*P7+0.15*(100-Q7),1)</x:f>
        <x:v>92.1</x:v>
      </x:c>
      <x:c r="U7" s="28" t="n">
        <x:f>ROUND((S7+T7)/2,1)</x:f>
        <x:v>92.6</x:v>
      </x:c>
      <x:c r="V7" s="14" t="str">
        <x:f>IF(A7&lt;=50,"Top50","")</x:f>
        <x:v>Top50</x:v>
      </x:c>
    </x:row>
    <x:row r="8">
      <x:c r="A8" s="30" t="n">
        <x:f>RANK.EQ(U8,$U$2:$U$93,0)</x:f>
        <x:v>7</x:v>
      </x:c>
      <x:c r="B8" s="14" t="str">
        <x:v>2605.24200</x:v>
      </x:c>
      <x:c r="C8" s="14" t="str">
        <x:v>2026-05</x:v>
      </x:c>
      <x:c r="D8" s="14" t="str">
        <x:v>AP</x:v>
      </x:c>
      <x:c r="E8" s="14" t="str">
        <x:v>Navier-Stokes / asymptotics</x:v>
      </x:c>
      <x:c r="F8" s="14" t="str">
        <x:v>Refined asymptotics of the steady Navier Stokes equation around small Landau solutions</x:v>
      </x:c>
      <x:c r="G8" s="14" t="str">
        <x:v>Hao Jia; Vladimir Sverak</x:v>
      </x:c>
      <x:c r="H8" s="30" t="n">
        <x:v>50</x:v>
      </x:c>
      <x:c r="I8" s="14" t="str">
        <x:v>https://arxiv.org/abs/2605.24200</x:v>
      </x:c>
      <x:c r="J8" s="14" t="str">
        <x:v>Refined asymptotic analysis around Landau solutions; technically mature Navier-Stokes contribution.</x:v>
      </x:c>
      <x:c r="K8" s="28" t="n">
        <x:v>95</x:v>
      </x:c>
      <x:c r="L8" s="28" t="n">
        <x:v>91</x:v>
      </x:c>
      <x:c r="M8" s="28" t="n">
        <x:v>94</x:v>
      </x:c>
      <x:c r="N8" s="28" t="n">
        <x:v>88</x:v>
      </x:c>
      <x:c r="O8" s="28" t="n">
        <x:v>94</x:v>
      </x:c>
      <x:c r="P8" s="28" t="n">
        <x:v>88</x:v>
      </x:c>
      <x:c r="Q8" s="28" t="n">
        <x:v>10</x:v>
      </x:c>
      <x:c r="R8" s="28" t="n">
        <x:v>4</x:v>
      </x:c>
      <x:c r="S8" s="28" t="n">
        <x:f>ROUND(0.30*K8+0.20*L8+0.25*M8+0.15*N8+0.10*P8,1)</x:f>
        <x:v>92.2</x:v>
      </x:c>
      <x:c r="T8" s="28" t="n">
        <x:f>ROUND(0.30*O8+0.20*M8+0.20*L8+0.15*P8+0.15*(100-Q8),1)</x:f>
        <x:v>91.9</x:v>
      </x:c>
      <x:c r="U8" s="28" t="n">
        <x:f>ROUND((S8+T8)/2,1)</x:f>
        <x:v>92.1</x:v>
      </x:c>
      <x:c r="V8" s="14" t="str">
        <x:f>IF(A8&lt;=50,"Top50","")</x:f>
        <x:v>Top50</x:v>
      </x:c>
    </x:row>
    <x:row r="9">
      <x:c r="A9" s="30" t="n">
        <x:f>RANK.EQ(U9,$U$2:$U$93,0)</x:f>
        <x:v>7</x:v>
      </x:c>
      <x:c r="B9" s="14" t="str">
        <x:v>2605.02561</x:v>
      </x:c>
      <x:c r="C9" s="14" t="str">
        <x:v>2026-05</x:v>
      </x:c>
      <x:c r="D9" s="14" t="str">
        <x:v>AP</x:v>
      </x:c>
      <x:c r="E9" s="14" t="str">
        <x:v>Homogenization</x:v>
      </x:c>
      <x:c r="F9" s="14" t="str">
        <x:v>Quantitative homogenization of elliptic equations with infinitely many scales</x:v>
      </x:c>
      <x:c r="G9" s="14" t="str">
        <x:v>Zhongwei Shen; Yao Xu; Jinping Zhuge</x:v>
      </x:c>
      <x:c r="H9" s="30" t="n">
        <x:v>57</x:v>
      </x:c>
      <x:c r="I9" s="14" t="str">
        <x:v>https://arxiv.org/abs/2605.02561</x:v>
      </x:c>
      <x:c r="J9" s="14" t="str">
        <x:v>Reusable quantitative homogenization framework for genuinely many-scale periodic media.</x:v>
      </x:c>
      <x:c r="K9" s="28" t="n">
        <x:v>94</x:v>
      </x:c>
      <x:c r="L9" s="28" t="n">
        <x:v>92</x:v>
      </x:c>
      <x:c r="M9" s="28" t="n">
        <x:v>94</x:v>
      </x:c>
      <x:c r="N9" s="28" t="n">
        <x:v>91</x:v>
      </x:c>
      <x:c r="O9" s="28" t="n">
        <x:v>93</x:v>
      </x:c>
      <x:c r="P9" s="28" t="n">
        <x:v>88</x:v>
      </x:c>
      <x:c r="Q9" s="28" t="n">
        <x:v>12</x:v>
      </x:c>
      <x:c r="R9" s="28" t="n">
        <x:v>5</x:v>
      </x:c>
      <x:c r="S9" s="28" t="n">
        <x:f>ROUND(0.30*K9+0.20*L9+0.25*M9+0.15*N9+0.10*P9,1)</x:f>
        <x:v>92.6</x:v>
      </x:c>
      <x:c r="T9" s="28" t="n">
        <x:f>ROUND(0.30*O9+0.20*M9+0.20*L9+0.15*P9+0.15*(100-Q9),1)</x:f>
        <x:v>91.5</x:v>
      </x:c>
      <x:c r="U9" s="28" t="n">
        <x:f>ROUND((S9+T9)/2,1)</x:f>
        <x:v>92.1</x:v>
      </x:c>
      <x:c r="V9" s="14" t="str">
        <x:f>IF(A9&lt;=50,"Top50","")</x:f>
        <x:v>Top50</x:v>
      </x:c>
    </x:row>
    <x:row r="10">
      <x:c r="A10" s="30" t="n">
        <x:f>RANK.EQ(U10,$U$2:$U$93,0)</x:f>
        <x:v>9</x:v>
      </x:c>
      <x:c r="B10" s="14" t="str">
        <x:v>2605.28677</x:v>
      </x:c>
      <x:c r="C10" s="14" t="str">
        <x:v>2026-05</x:v>
      </x:c>
      <x:c r="D10" s="14" t="str">
        <x:v>AP/PR</x:v>
      </x:c>
      <x:c r="E10" s="14" t="str">
        <x:v>Singular stochastic PDE</x:v>
      </x:c>
      <x:c r="F10" s="14" t="str">
        <x:v>Weak universality for stochastic reaction-diffusion models with long-range correlated noise</x:v>
      </x:c>
      <x:c r="G10" s="14" t="str">
        <x:v>Simon Gabriel; Markus Tempelmayr</x:v>
      </x:c>
      <x:c r="H10" s="30" t="n">
        <x:v>66</x:v>
      </x:c>
      <x:c r="I10" s="14" t="str">
        <x:v>https://arxiv.org/abs/2605.28677</x:v>
      </x:c>
      <x:c r="J10" s="14" t="str">
        <x:v>Extends weak universality/regularity structures to long-range correlated noise.</x:v>
      </x:c>
      <x:c r="K10" s="28" t="n">
        <x:v>94</x:v>
      </x:c>
      <x:c r="L10" s="28" t="n">
        <x:v>92</x:v>
      </x:c>
      <x:c r="M10" s="28" t="n">
        <x:v>94</x:v>
      </x:c>
      <x:c r="N10" s="28" t="n">
        <x:v>91</x:v>
      </x:c>
      <x:c r="O10" s="28" t="n">
        <x:v>94</x:v>
      </x:c>
      <x:c r="P10" s="28" t="n">
        <x:v>86</x:v>
      </x:c>
      <x:c r="Q10" s="28" t="n">
        <x:v>12</x:v>
      </x:c>
      <x:c r="R10" s="28" t="n">
        <x:v>5</x:v>
      </x:c>
      <x:c r="S10" s="28" t="n">
        <x:f>ROUND(0.30*K10+0.20*L10+0.25*M10+0.15*N10+0.10*P10,1)</x:f>
        <x:v>92.4</x:v>
      </x:c>
      <x:c r="T10" s="28" t="n">
        <x:f>ROUND(0.30*O10+0.20*M10+0.20*L10+0.15*P10+0.15*(100-Q10),1)</x:f>
        <x:v>91.5</x:v>
      </x:c>
      <x:c r="U10" s="28" t="n">
        <x:f>ROUND((S10+T10)/2,1)</x:f>
        <x:v>92</x:v>
      </x:c>
      <x:c r="V10" s="14" t="str">
        <x:f>IF(A10&lt;=50,"Top50","")</x:f>
        <x:v>Top50</x:v>
      </x:c>
    </x:row>
    <x:row r="11">
      <x:c r="A11" s="30" t="n">
        <x:f>RANK.EQ(U11,$U$2:$U$93,0)</x:f>
        <x:v>10</x:v>
      </x:c>
      <x:c r="B11" s="14" t="str">
        <x:v>2605.02058</x:v>
      </x:c>
      <x:c r="C11" s="14" t="str">
        <x:v>2026-05</x:v>
      </x:c>
      <x:c r="D11" s="14" t="str">
        <x:v>AP/PR</x:v>
      </x:c>
      <x:c r="E11" s="14" t="str">
        <x:v>Mean-field limits</x:v>
      </x:c>
      <x:c r="F11" s="14" t="str">
        <x:v>Quantitative Estimates for Mean-Field Limits and Correlation Functions through a Duality Framework</x:v>
      </x:c>
      <x:c r="G11" s="14" t="str">
        <x:v>Nadia Khoury; Pierre-Emmanuel Jabin</x:v>
      </x:c>
      <x:c r="H11" s="30" t="n">
        <x:v>42</x:v>
      </x:c>
      <x:c r="I11" s="14" t="str">
        <x:v>https://arxiv.org/abs/2605.02058</x:v>
      </x:c>
      <x:c r="J11" s="14" t="str">
        <x:v>Duality framework for mean-field limits and correlations; high transferability.</x:v>
      </x:c>
      <x:c r="K11" s="28" t="n">
        <x:v>94</x:v>
      </x:c>
      <x:c r="L11" s="28" t="n">
        <x:v>92</x:v>
      </x:c>
      <x:c r="M11" s="28" t="n">
        <x:v>93</x:v>
      </x:c>
      <x:c r="N11" s="28" t="n">
        <x:v>91</x:v>
      </x:c>
      <x:c r="O11" s="28" t="n">
        <x:v>93</x:v>
      </x:c>
      <x:c r="P11" s="28" t="n">
        <x:v>88</x:v>
      </x:c>
      <x:c r="Q11" s="28" t="n">
        <x:v>12</x:v>
      </x:c>
      <x:c r="R11" s="28" t="n">
        <x:v>5</x:v>
      </x:c>
      <x:c r="S11" s="28" t="n">
        <x:f>ROUND(0.30*K11+0.20*L11+0.25*M11+0.15*N11+0.10*P11,1)</x:f>
        <x:v>92.3</x:v>
      </x:c>
      <x:c r="T11" s="28" t="n">
        <x:f>ROUND(0.30*O11+0.20*M11+0.20*L11+0.15*P11+0.15*(100-Q11),1)</x:f>
        <x:v>91.3</x:v>
      </x:c>
      <x:c r="U11" s="28" t="n">
        <x:f>ROUND((S11+T11)/2,1)</x:f>
        <x:v>91.8</x:v>
      </x:c>
      <x:c r="V11" s="14" t="str">
        <x:f>IF(A11&lt;=50,"Top50","")</x:f>
        <x:v>Top50</x:v>
      </x:c>
    </x:row>
    <x:row r="12">
      <x:c r="A12" s="30" t="n">
        <x:f>RANK.EQ(U12,$U$2:$U$93,0)</x:f>
        <x:v>11</x:v>
      </x:c>
      <x:c r="B12" s="14" t="str">
        <x:v>2605.24443</x:v>
      </x:c>
      <x:c r="C12" s="14" t="str">
        <x:v>2026-05</x:v>
      </x:c>
      <x:c r="D12" s="14" t="str">
        <x:v>AP/PR</x:v>
      </x:c>
      <x:c r="E12" s="14" t="str">
        <x:v>Optimal transport / convexity</x:v>
      </x:c>
      <x:c r="F12" s="14" t="str">
        <x:v>A dimension-free interpolation of Caffarelli's contraction theorem</x:v>
      </x:c>
      <x:c r="G12" s="14" t="str">
        <x:v>Bader Ammari; Alessio Figalli</x:v>
      </x:c>
      <x:c r="H12" s="30"/>
      <x:c r="I12" s="14" t="str">
        <x:v>https://arxiv.org/abs/2605.24443</x:v>
      </x:c>
      <x:c r="J12" s="14" t="str">
        <x:v>Dimension-free interpolation around Caffarelli contraction; concise but high conceptual value.</x:v>
      </x:c>
      <x:c r="K12" s="28" t="n">
        <x:v>93</x:v>
      </x:c>
      <x:c r="L12" s="28" t="n">
        <x:v>93</x:v>
      </x:c>
      <x:c r="M12" s="28" t="n">
        <x:v>92</x:v>
      </x:c>
      <x:c r="N12" s="28" t="n">
        <x:v>91</x:v>
      </x:c>
      <x:c r="O12" s="28" t="n">
        <x:v>92</x:v>
      </x:c>
      <x:c r="P12" s="28" t="n">
        <x:v>88</x:v>
      </x:c>
      <x:c r="Q12" s="28" t="n">
        <x:v>10</x:v>
      </x:c>
      <x:c r="R12" s="28" t="n">
        <x:v>4</x:v>
      </x:c>
      <x:c r="S12" s="28" t="n">
        <x:f>ROUND(0.30*K12+0.20*L12+0.25*M12+0.15*N12+0.10*P12,1)</x:f>
        <x:v>92</x:v>
      </x:c>
      <x:c r="T12" s="28" t="n">
        <x:f>ROUND(0.30*O12+0.20*M12+0.20*L12+0.15*P12+0.15*(100-Q12),1)</x:f>
        <x:v>91.3</x:v>
      </x:c>
      <x:c r="U12" s="28" t="n">
        <x:f>ROUND((S12+T12)/2,1)</x:f>
        <x:v>91.7</x:v>
      </x:c>
      <x:c r="V12" s="14" t="str">
        <x:f>IF(A12&lt;=50,"Top50","")</x:f>
        <x:v>Top50</x:v>
      </x:c>
    </x:row>
    <x:row r="13">
      <x:c r="A13" s="30" t="n">
        <x:f>RANK.EQ(U13,$U$2:$U$93,0)</x:f>
        <x:v>11</x:v>
      </x:c>
      <x:c r="B13" s="14" t="str">
        <x:v>2605.19574</x:v>
      </x:c>
      <x:c r="C13" s="14" t="str">
        <x:v>2026-05</x:v>
      </x:c>
      <x:c r="D13" s="14" t="str">
        <x:v>AP/DG</x:v>
      </x:c>
      <x:c r="E13" s="14" t="str">
        <x:v>Geometric PDE / minimal surfaces</x:v>
      </x:c>
      <x:c r="F13" s="14" t="str">
        <x:v>Flowing to free boundary minimal surfaces</x:v>
      </x:c>
      <x:c r="G13" s="14" t="str">
        <x:v>Melanie Rupflin; Michael Struwe; Christopher Wright</x:v>
      </x:c>
      <x:c r="H13" s="30"/>
      <x:c r="I13" s="14" t="str">
        <x:v>https://arxiv.org/abs/2605.19574</x:v>
      </x:c>
      <x:c r="J13" s="14" t="str">
        <x:v>Geometric flow approach to free-boundary minimal surfaces; strong authorship and method content.</x:v>
      </x:c>
      <x:c r="K13" s="28" t="n">
        <x:v>94</x:v>
      </x:c>
      <x:c r="L13" s="28" t="n">
        <x:v>91</x:v>
      </x:c>
      <x:c r="M13" s="28" t="n">
        <x:v>94</x:v>
      </x:c>
      <x:c r="N13" s="28" t="n">
        <x:v>88</x:v>
      </x:c>
      <x:c r="O13" s="28" t="n">
        <x:v>94</x:v>
      </x:c>
      <x:c r="P13" s="28" t="n">
        <x:v>86</x:v>
      </x:c>
      <x:c r="Q13" s="28" t="n">
        <x:v>10</x:v>
      </x:c>
      <x:c r="R13" s="28" t="n">
        <x:v>5</x:v>
      </x:c>
      <x:c r="S13" s="28" t="n">
        <x:f>ROUND(0.30*K13+0.20*L13+0.25*M13+0.15*N13+0.10*P13,1)</x:f>
        <x:v>91.7</x:v>
      </x:c>
      <x:c r="T13" s="28" t="n">
        <x:f>ROUND(0.30*O13+0.20*M13+0.20*L13+0.15*P13+0.15*(100-Q13),1)</x:f>
        <x:v>91.6</x:v>
      </x:c>
      <x:c r="U13" s="28" t="n">
        <x:f>ROUND((S13+T13)/2,1)</x:f>
        <x:v>91.7</x:v>
      </x:c>
      <x:c r="V13" s="14" t="str">
        <x:f>IF(A13&lt;=50,"Top50","")</x:f>
        <x:v>Top50</x:v>
      </x:c>
    </x:row>
    <x:row r="14">
      <x:c r="A14" s="30" t="n">
        <x:f>RANK.EQ(U14,$U$2:$U$93,0)</x:f>
        <x:v>13</x:v>
      </x:c>
      <x:c r="B14" s="14" t="str">
        <x:v>2605.19716</x:v>
      </x:c>
      <x:c r="C14" s="14" t="str">
        <x:v>2026-05</x:v>
      </x:c>
      <x:c r="D14" s="14" t="str">
        <x:v>AP</x:v>
      </x:c>
      <x:c r="E14" s="14" t="str">
        <x:v>Fluid singularities / Euler</x:v>
      </x:c>
      <x:c r="F14" s="14" t="str">
        <x:v>Self-similar blow-up solutions of d-dimensional incompressible Euler equations with C^{1,(1-2/d)-} velocity</x:v>
      </x:c>
      <x:c r="G14" s="14" t="str">
        <x:v>Feng Shao; Dongyi Wei; Ping Zhang; Zhifei Zhang</x:v>
      </x:c>
      <x:c r="H14" s="30" t="n">
        <x:v>103</x:v>
      </x:c>
      <x:c r="I14" s="14" t="str">
        <x:v>https://arxiv.org/abs/2605.19716</x:v>
      </x:c>
      <x:c r="J14" s="14" t="str">
        <x:v>High-impact self-similar blow-up construction in multidimensional Euler with finite-energy stability content.</x:v>
      </x:c>
      <x:c r="K14" s="28" t="n">
        <x:v>95</x:v>
      </x:c>
      <x:c r="L14" s="28" t="n">
        <x:v>92</x:v>
      </x:c>
      <x:c r="M14" s="28" t="n">
        <x:v>94</x:v>
      </x:c>
      <x:c r="N14" s="28" t="n">
        <x:v>88</x:v>
      </x:c>
      <x:c r="O14" s="28" t="n">
        <x:v>94</x:v>
      </x:c>
      <x:c r="P14" s="28" t="n">
        <x:v>84</x:v>
      </x:c>
      <x:c r="Q14" s="28" t="n">
        <x:v>13</x:v>
      </x:c>
      <x:c r="R14" s="28" t="n">
        <x:v>5</x:v>
      </x:c>
      <x:c r="S14" s="28" t="n">
        <x:f>ROUND(0.30*K14+0.20*L14+0.25*M14+0.15*N14+0.10*P14,1)</x:f>
        <x:v>92</x:v>
      </x:c>
      <x:c r="T14" s="28" t="n">
        <x:f>ROUND(0.30*O14+0.20*M14+0.20*L14+0.15*P14+0.15*(100-Q14),1)</x:f>
        <x:v>91.1</x:v>
      </x:c>
      <x:c r="U14" s="28" t="n">
        <x:f>ROUND((S14+T14)/2,1)</x:f>
        <x:v>91.6</x:v>
      </x:c>
      <x:c r="V14" s="14" t="str">
        <x:f>IF(A14&lt;=50,"Top50","")</x:f>
        <x:v>Top50</x:v>
      </x:c>
    </x:row>
    <x:row r="15">
      <x:c r="A15" s="30" t="n">
        <x:f>RANK.EQ(U15,$U$2:$U$93,0)</x:f>
        <x:v>14</x:v>
      </x:c>
      <x:c r="B15" s="14" t="str">
        <x:v>2605.24392</x:v>
      </x:c>
      <x:c r="C15" s="14" t="str">
        <x:v>2026-05</x:v>
      </x:c>
      <x:c r="D15" s="14" t="str">
        <x:v>AP</x:v>
      </x:c>
      <x:c r="E15" s="14" t="str">
        <x:v>Kinetic theory / hydrodynamic limits</x:v>
      </x:c>
      <x:c r="F15" s="14" t="str">
        <x:v>Hydrodynamic Limit of the Boltzmann Equation toward Generic Riemann Solutions with Shocks</x:v>
      </x:c>
      <x:c r="G15" s="14" t="str">
        <x:v>Mingi Choe; Moon-jin Kang; Chanwoo Kim</x:v>
      </x:c>
      <x:c r="H15" s="30"/>
      <x:c r="I15" s="14" t="str">
        <x:v>https://arxiv.org/abs/2605.24392</x:v>
      </x:c>
      <x:c r="J15" s="14" t="str">
        <x:v>Hydrodynamic limit toward generic Riemann solutions with shocks; broad kinetic-fluid interface value.</x:v>
      </x:c>
      <x:c r="K15" s="28" t="n">
        <x:v>94</x:v>
      </x:c>
      <x:c r="L15" s="28" t="n">
        <x:v>91</x:v>
      </x:c>
      <x:c r="M15" s="28" t="n">
        <x:v>94</x:v>
      </x:c>
      <x:c r="N15" s="28" t="n">
        <x:v>88</x:v>
      </x:c>
      <x:c r="O15" s="28" t="n">
        <x:v>94</x:v>
      </x:c>
      <x:c r="P15" s="28" t="n">
        <x:v>85</x:v>
      </x:c>
      <x:c r="Q15" s="28" t="n">
        <x:v>12</x:v>
      </x:c>
      <x:c r="R15" s="28" t="n">
        <x:v>5</x:v>
      </x:c>
      <x:c r="S15" s="28" t="n">
        <x:f>ROUND(0.30*K15+0.20*L15+0.25*M15+0.15*N15+0.10*P15,1)</x:f>
        <x:v>91.6</x:v>
      </x:c>
      <x:c r="T15" s="28" t="n">
        <x:f>ROUND(0.30*O15+0.20*M15+0.20*L15+0.15*P15+0.15*(100-Q15),1)</x:f>
        <x:v>91.2</x:v>
      </x:c>
      <x:c r="U15" s="28" t="n">
        <x:f>ROUND((S15+T15)/2,1)</x:f>
        <x:v>91.4</x:v>
      </x:c>
      <x:c r="V15" s="14" t="str">
        <x:f>IF(A15&lt;=50,"Top50","")</x:f>
        <x:v>Top50</x:v>
      </x:c>
    </x:row>
    <x:row r="16">
      <x:c r="A16" s="30" t="n">
        <x:f>RANK.EQ(U16,$U$2:$U$93,0)</x:f>
        <x:v>15</x:v>
      </x:c>
      <x:c r="B16" s="14" t="str">
        <x:v>2605.24214</x:v>
      </x:c>
      <x:c r="C16" s="14" t="str">
        <x:v>2026-05</x:v>
      </x:c>
      <x:c r="D16" s="14" t="str">
        <x:v>AP</x:v>
      </x:c>
      <x:c r="E16" s="14" t="str">
        <x:v>Conservation laws</x:v>
      </x:c>
      <x:c r="F16" s="14" t="str">
        <x:v>Variational formulation of hyperbolic conservation laws</x:v>
      </x:c>
      <x:c r="G16" s="14" t="str">
        <x:v>Eitan Tadmor</x:v>
      </x:c>
      <x:c r="H16" s="30"/>
      <x:c r="I16" s="14" t="str">
        <x:v>https://arxiv.org/abs/2605.24214</x:v>
      </x:c>
      <x:c r="J16" s="14" t="str">
        <x:v>Conceptual variational formulation for conservation laws; high influence potential despite likely concise format.</x:v>
      </x:c>
      <x:c r="K16" s="28" t="n">
        <x:v>94</x:v>
      </x:c>
      <x:c r="L16" s="28" t="n">
        <x:v>93</x:v>
      </x:c>
      <x:c r="M16" s="28" t="n">
        <x:v>91</x:v>
      </x:c>
      <x:c r="N16" s="28" t="n">
        <x:v>91</x:v>
      </x:c>
      <x:c r="O16" s="28" t="n">
        <x:v>91</x:v>
      </x:c>
      <x:c r="P16" s="28" t="n">
        <x:v>88</x:v>
      </x:c>
      <x:c r="Q16" s="28" t="n">
        <x:v>12</x:v>
      </x:c>
      <x:c r="R16" s="28" t="n">
        <x:v>5</x:v>
      </x:c>
      <x:c r="S16" s="28" t="n">
        <x:f>ROUND(0.30*K16+0.20*L16+0.25*M16+0.15*N16+0.10*P16,1)</x:f>
        <x:v>92</x:v>
      </x:c>
      <x:c r="T16" s="28" t="n">
        <x:f>ROUND(0.30*O16+0.20*M16+0.20*L16+0.15*P16+0.15*(100-Q16),1)</x:f>
        <x:v>90.5</x:v>
      </x:c>
      <x:c r="U16" s="28" t="n">
        <x:f>ROUND((S16+T16)/2,1)</x:f>
        <x:v>91.3</x:v>
      </x:c>
      <x:c r="V16" s="14" t="str">
        <x:f>IF(A16&lt;=50,"Top50","")</x:f>
        <x:v>Top50</x:v>
      </x:c>
    </x:row>
    <x:row r="17">
      <x:c r="A17" s="30" t="n">
        <x:f>RANK.EQ(U17,$U$2:$U$93,0)</x:f>
        <x:v>16</x:v>
      </x:c>
      <x:c r="B17" s="14" t="str">
        <x:v>2605.07913</x:v>
      </x:c>
      <x:c r="C17" s="14" t="str">
        <x:v>2026-05</x:v>
      </x:c>
      <x:c r="D17" s="14" t="str">
        <x:v>AP</x:v>
      </x:c>
      <x:c r="E17" s="14" t="str">
        <x:v>Free boundary regularity</x:v>
      </x:c>
      <x:c r="F17" s="14" t="str">
        <x:v>Finite index solutions to the Bernoulli problem in three dimensions are axially symmetric</x:v>
      </x:c>
      <x:c r="G17" s="14" t="str">
        <x:v>Xavier Fernandez-Real; Enric Florit-Simon; Joaquim Serra</x:v>
      </x:c>
      <x:c r="H17" s="30"/>
      <x:c r="I17" s="14" t="str">
        <x:v>https://arxiv.org/abs/2605.07913</x:v>
      </x:c>
      <x:c r="J17" s="14" t="str">
        <x:v>Strong classification/symmetry theorem for Bernoulli free boundaries in dimension three.</x:v>
      </x:c>
      <x:c r="K17" s="28" t="n">
        <x:v>93</x:v>
      </x:c>
      <x:c r="L17" s="28" t="n">
        <x:v>90</x:v>
      </x:c>
      <x:c r="M17" s="28" t="n">
        <x:v>93</x:v>
      </x:c>
      <x:c r="N17" s="28" t="n">
        <x:v>87</x:v>
      </x:c>
      <x:c r="O17" s="28" t="n">
        <x:v>93</x:v>
      </x:c>
      <x:c r="P17" s="28" t="n">
        <x:v>87</x:v>
      </x:c>
      <x:c r="Q17" s="28" t="n">
        <x:v>10</x:v>
      </x:c>
      <x:c r="R17" s="28" t="n">
        <x:v>4</x:v>
      </x:c>
      <x:c r="S17" s="28" t="n">
        <x:f>ROUND(0.30*K17+0.20*L17+0.25*M17+0.15*N17+0.10*P17,1)</x:f>
        <x:v>90.9</x:v>
      </x:c>
      <x:c r="T17" s="28" t="n">
        <x:f>ROUND(0.30*O17+0.20*M17+0.20*L17+0.15*P17+0.15*(100-Q17),1)</x:f>
        <x:v>91.1</x:v>
      </x:c>
      <x:c r="U17" s="28" t="n">
        <x:f>ROUND((S17+T17)/2,1)</x:f>
        <x:v>91</x:v>
      </x:c>
      <x:c r="V17" s="14" t="str">
        <x:f>IF(A17&lt;=50,"Top50","")</x:f>
        <x:v>Top50</x:v>
      </x:c>
    </x:row>
    <x:row r="18">
      <x:c r="A18" s="30" t="n">
        <x:f>RANK.EQ(U18,$U$2:$U$93,0)</x:f>
        <x:v>17</x:v>
      </x:c>
      <x:c r="B18" s="14" t="str">
        <x:v>2605.16502</x:v>
      </x:c>
      <x:c r="C18" s="14" t="str">
        <x:v>2026-05</x:v>
      </x:c>
      <x:c r="D18" s="14" t="str">
        <x:v>AP</x:v>
      </x:c>
      <x:c r="E18" s="14" t="str">
        <x:v>Euler well/ill-posedness</x:v>
      </x:c>
      <x:c r="F18" s="14" t="str">
        <x:v>Sharp Ill-Posedness of the Euler Equations in Lorentz Spaces</x:v>
      </x:c>
      <x:c r="G18" s="14" t="str">
        <x:v>Jeaheang Bang; Alexey Cheskidov</x:v>
      </x:c>
      <x:c r="H18" s="30" t="n">
        <x:v>98</x:v>
      </x:c>
      <x:c r="I18" s="14" t="str">
        <x:v>https://arxiv.org/abs/2605.16502</x:v>
      </x:c>
      <x:c r="J18" s="14" t="str">
        <x:v>Sharp threshold ill-posedness in Lorentz scales; substantial function-space analysis.</x:v>
      </x:c>
      <x:c r="K18" s="28" t="n">
        <x:v>94</x:v>
      </x:c>
      <x:c r="L18" s="28" t="n">
        <x:v>90</x:v>
      </x:c>
      <x:c r="M18" s="28" t="n">
        <x:v>94</x:v>
      </x:c>
      <x:c r="N18" s="28" t="n">
        <x:v>87</x:v>
      </x:c>
      <x:c r="O18" s="28" t="n">
        <x:v>94</x:v>
      </x:c>
      <x:c r="P18" s="28" t="n">
        <x:v>84</x:v>
      </x:c>
      <x:c r="Q18" s="28" t="n">
        <x:v>14</x:v>
      </x:c>
      <x:c r="R18" s="28" t="n">
        <x:v>5</x:v>
      </x:c>
      <x:c r="S18" s="28" t="n">
        <x:f>ROUND(0.30*K18+0.20*L18+0.25*M18+0.15*N18+0.10*P18,1)</x:f>
        <x:v>91.2</x:v>
      </x:c>
      <x:c r="T18" s="28" t="n">
        <x:f>ROUND(0.30*O18+0.20*M18+0.20*L18+0.15*P18+0.15*(100-Q18),1)</x:f>
        <x:v>90.5</x:v>
      </x:c>
      <x:c r="U18" s="28" t="n">
        <x:f>ROUND((S18+T18)/2,1)</x:f>
        <x:v>90.9</x:v>
      </x:c>
      <x:c r="V18" s="14" t="str">
        <x:f>IF(A18&lt;=50,"Top50","")</x:f>
        <x:v>Top50</x:v>
      </x:c>
    </x:row>
    <x:row r="19">
      <x:c r="A19" s="30" t="n">
        <x:f>RANK.EQ(U19,$U$2:$U$93,0)</x:f>
        <x:v>18</x:v>
      </x:c>
      <x:c r="B19" s="14" t="str">
        <x:v>2605.11834</x:v>
      </x:c>
      <x:c r="C19" s="14" t="str">
        <x:v>2026-05</x:v>
      </x:c>
      <x:c r="D19" s="14" t="str">
        <x:v>AP</x:v>
      </x:c>
      <x:c r="E19" s="14" t="str">
        <x:v>Variational PDE / Ginzburg-Landau</x:v>
      </x:c>
      <x:c r="F19" s="14" t="str">
        <x:v>Sharp upper bound for a branched transport problem coming from Ginzburg-Landau models</x:v>
      </x:c>
      <x:c r="G19" s="14" t="str">
        <x:v>Alessandro Cosenza; Michael Goldman; Felix Otto</x:v>
      </x:c>
      <x:c r="H19" s="30" t="n">
        <x:v>27</x:v>
      </x:c>
      <x:c r="I19" s="14" t="str">
        <x:v>https://arxiv.org/abs/2605.11834</x:v>
      </x:c>
      <x:c r="J19" s="14" t="str">
        <x:v>Sharp scaling/upper-bound construction in a GL-derived branched transport problem.</x:v>
      </x:c>
      <x:c r="K19" s="28" t="n">
        <x:v>92</x:v>
      </x:c>
      <x:c r="L19" s="28" t="n">
        <x:v>91</x:v>
      </x:c>
      <x:c r="M19" s="28" t="n">
        <x:v>92</x:v>
      </x:c>
      <x:c r="N19" s="28" t="n">
        <x:v>88</x:v>
      </x:c>
      <x:c r="O19" s="28" t="n">
        <x:v>92</x:v>
      </x:c>
      <x:c r="P19" s="28" t="n">
        <x:v>88</x:v>
      </x:c>
      <x:c r="Q19" s="28" t="n">
        <x:v>12</x:v>
      </x:c>
      <x:c r="R19" s="28" t="n">
        <x:v>5</x:v>
      </x:c>
      <x:c r="S19" s="28" t="n">
        <x:f>ROUND(0.30*K19+0.20*L19+0.25*M19+0.15*N19+0.10*P19,1)</x:f>
        <x:v>90.8</x:v>
      </x:c>
      <x:c r="T19" s="28" t="n">
        <x:f>ROUND(0.30*O19+0.20*M19+0.20*L19+0.15*P19+0.15*(100-Q19),1)</x:f>
        <x:v>90.6</x:v>
      </x:c>
      <x:c r="U19" s="28" t="n">
        <x:f>ROUND((S19+T19)/2,1)</x:f>
        <x:v>90.7</x:v>
      </x:c>
      <x:c r="V19" s="14" t="str">
        <x:f>IF(A19&lt;=50,"Top50","")</x:f>
        <x:v>Top50</x:v>
      </x:c>
    </x:row>
    <x:row r="20">
      <x:c r="A20" s="30" t="n">
        <x:f>RANK.EQ(U20,$U$2:$U$93,0)</x:f>
        <x:v>19</x:v>
      </x:c>
      <x:c r="B20" s="14" t="str">
        <x:v>2605.10138</x:v>
      </x:c>
      <x:c r="C20" s="14" t="str">
        <x:v>2026-05</x:v>
      </x:c>
      <x:c r="D20" s="14" t="str">
        <x:v>AP</x:v>
      </x:c>
      <x:c r="E20" s="14" t="str">
        <x:v>Boltzmann equation</x:v>
      </x:c>
      <x:c r="F20" s="14" t="str">
        <x:v>Global Well-posedness for the Multi-species Boltzmann Equation with Large Amplitude Initial Data</x:v>
      </x:c>
      <x:c r="G20" s="14" t="str">
        <x:v>Gyounghun Ko; Myeong-Su Lee; Sung-Jun Son</x:v>
      </x:c>
      <x:c r="H20" s="30" t="n">
        <x:v>54</x:v>
      </x:c>
      <x:c r="I20" s="14" t="str">
        <x:v>https://arxiv.org/abs/2605.10138</x:v>
      </x:c>
      <x:c r="J20" s="14" t="str">
        <x:v>Large-amplitude global well-posedness for multi-species Boltzmann; technically heavy kinetic PDE.</x:v>
      </x:c>
      <x:c r="K20" s="28" t="n">
        <x:v>92</x:v>
      </x:c>
      <x:c r="L20" s="28" t="n">
        <x:v>89</x:v>
      </x:c>
      <x:c r="M20" s="28" t="n">
        <x:v>93</x:v>
      </x:c>
      <x:c r="N20" s="28" t="n">
        <x:v>87</x:v>
      </x:c>
      <x:c r="O20" s="28" t="n">
        <x:v>93</x:v>
      </x:c>
      <x:c r="P20" s="28" t="n">
        <x:v>86</x:v>
      </x:c>
      <x:c r="Q20" s="28" t="n">
        <x:v>12</x:v>
      </x:c>
      <x:c r="R20" s="28" t="n">
        <x:v>5</x:v>
      </x:c>
      <x:c r="S20" s="28" t="n">
        <x:f>ROUND(0.30*K20+0.20*L20+0.25*M20+0.15*N20+0.10*P20,1)</x:f>
        <x:v>90.3</x:v>
      </x:c>
      <x:c r="T20" s="28" t="n">
        <x:f>ROUND(0.30*O20+0.20*M20+0.20*L20+0.15*P20+0.15*(100-Q20),1)</x:f>
        <x:v>90.4</x:v>
      </x:c>
      <x:c r="U20" s="28" t="n">
        <x:f>ROUND((S20+T20)/2,1)</x:f>
        <x:v>90.4</x:v>
      </x:c>
      <x:c r="V20" s="14" t="str">
        <x:f>IF(A20&lt;=50,"Top50","")</x:f>
        <x:v>Top50</x:v>
      </x:c>
    </x:row>
    <x:row r="21">
      <x:c r="A21" s="30" t="n">
        <x:f>RANK.EQ(U21,$U$2:$U$93,0)</x:f>
        <x:v>21</x:v>
      </x:c>
      <x:c r="B21" s="14" t="str">
        <x:v>2605.10788</x:v>
      </x:c>
      <x:c r="C21" s="14" t="str">
        <x:v>2026-05</x:v>
      </x:c>
      <x:c r="D21" s="14" t="str">
        <x:v>AP</x:v>
      </x:c>
      <x:c r="E21" s="14" t="str">
        <x:v>Wave kinetic equations</x:v>
      </x:c>
      <x:c r="F21" s="14" t="str">
        <x:v>Entropy Structures and Long-Time Relaxation for 3-Wave Kinetic Equations</x:v>
      </x:c>
      <x:c r="G21" s="14" t="str">
        <x:v>Gigliola Staffilani; Minh-Binh Tran</x:v>
      </x:c>
      <x:c r="H21" s="30"/>
      <x:c r="I21" s="14" t="str">
        <x:v>https://arxiv.org/abs/2605.10788</x:v>
      </x:c>
      <x:c r="J21" s="14" t="str">
        <x:v>Entropy and relaxation structure for 3-wave kinetic equations; strong kinetic/wave turbulence relevance.</x:v>
      </x:c>
      <x:c r="K21" s="28" t="n">
        <x:v>92</x:v>
      </x:c>
      <x:c r="L21" s="28" t="n">
        <x:v>90</x:v>
      </x:c>
      <x:c r="M21" s="28" t="n">
        <x:v>92</x:v>
      </x:c>
      <x:c r="N21" s="28" t="n">
        <x:v>88</x:v>
      </x:c>
      <x:c r="O21" s="28" t="n">
        <x:v>92</x:v>
      </x:c>
      <x:c r="P21" s="28" t="n">
        <x:v>86</x:v>
      </x:c>
      <x:c r="Q21" s="28" t="n">
        <x:v>12</x:v>
      </x:c>
      <x:c r="R21" s="28" t="n">
        <x:v>5</x:v>
      </x:c>
      <x:c r="S21" s="28" t="n">
        <x:f>ROUND(0.30*K21+0.20*L21+0.25*M21+0.15*N21+0.10*P21,1)</x:f>
        <x:v>90.4</x:v>
      </x:c>
      <x:c r="T21" s="28" t="n">
        <x:f>ROUND(0.30*O21+0.20*M21+0.20*L21+0.15*P21+0.15*(100-Q21),1)</x:f>
        <x:v>90.1</x:v>
      </x:c>
      <x:c r="U21" s="28" t="n">
        <x:f>ROUND((S21+T21)/2,1)</x:f>
        <x:v>90.3</x:v>
      </x:c>
      <x:c r="V21" s="14" t="str">
        <x:f>IF(A21&lt;=50,"Top50","")</x:f>
        <x:v>Top50</x:v>
      </x:c>
    </x:row>
    <x:row r="22">
      <x:c r="A22" s="30" t="n">
        <x:f>RANK.EQ(U22,$U$2:$U$93,0)</x:f>
        <x:v>19</x:v>
      </x:c>
      <x:c r="B22" s="14" t="str">
        <x:v>2605.00189</x:v>
      </x:c>
      <x:c r="C22" s="14" t="str">
        <x:v>2026-05</x:v>
      </x:c>
      <x:c r="D22" s="14" t="str">
        <x:v>AP</x:v>
      </x:c>
      <x:c r="E22" s="14" t="str">
        <x:v>Conservation laws</x:v>
      </x:c>
      <x:c r="F22" s="14" t="str">
        <x:v>Local Asymptotic Patterns for Viscous Approximations of Conservation Laws</x:v>
      </x:c>
      <x:c r="G22" s="14" t="str">
        <x:v>Alberto Bressan; Laura Caravenna; Wen Shen</x:v>
      </x:c>
      <x:c r="H22" s="30"/>
      <x:c r="I22" s="14" t="str">
        <x:v>https://arxiv.org/abs/2605.00189</x:v>
      </x:c>
      <x:c r="J22" s="14" t="str">
        <x:v>Asymptotic pattern analysis for viscous approximations; foundational hyperbolic PDE flavor.</x:v>
      </x:c>
      <x:c r="K22" s="28" t="n">
        <x:v>92</x:v>
      </x:c>
      <x:c r="L22" s="28" t="n">
        <x:v>90</x:v>
      </x:c>
      <x:c r="M22" s="28" t="n">
        <x:v>92</x:v>
      </x:c>
      <x:c r="N22" s="28" t="n">
        <x:v>87</x:v>
      </x:c>
      <x:c r="O22" s="28" t="n">
        <x:v>92</x:v>
      </x:c>
      <x:c r="P22" s="28" t="n">
        <x:v>87</x:v>
      </x:c>
      <x:c r="Q22" s="28" t="n">
        <x:v>12</x:v>
      </x:c>
      <x:c r="R22" s="28" t="n">
        <x:v>5</x:v>
      </x:c>
      <x:c r="S22" s="28" t="n">
        <x:f>ROUND(0.30*K22+0.20*L22+0.25*M22+0.15*N22+0.10*P22,1)</x:f>
        <x:v>90.4</x:v>
      </x:c>
      <x:c r="T22" s="28" t="n">
        <x:f>ROUND(0.30*O22+0.20*M22+0.20*L22+0.15*P22+0.15*(100-Q22),1)</x:f>
        <x:v>90.3</x:v>
      </x:c>
      <x:c r="U22" s="28" t="n">
        <x:f>ROUND((S22+T22)/2,1)</x:f>
        <x:v>90.4</x:v>
      </x:c>
      <x:c r="V22" s="14" t="str">
        <x:f>IF(A22&lt;=50,"Top50","")</x:f>
        <x:v>Top50</x:v>
      </x:c>
    </x:row>
    <x:row r="23">
      <x:c r="A23" s="30" t="n">
        <x:f>RANK.EQ(U23,$U$2:$U$93,0)</x:f>
        <x:v>22</x:v>
      </x:c>
      <x:c r="B23" s="14" t="str">
        <x:v>2605.02540</x:v>
      </x:c>
      <x:c r="C23" s="14" t="str">
        <x:v>2026-05</x:v>
      </x:c>
      <x:c r="D23" s="14" t="str">
        <x:v>AP/math-ph</x:v>
      </x:c>
      <x:c r="E23" s="14" t="str">
        <x:v>Wave turbulence</x:v>
      </x:c>
      <x:c r="F23" s="14" t="str">
        <x:v>On the onset of correlations in Wave Turbulence close to singularities</x:v>
      </x:c>
      <x:c r="G23" s="14" t="str">
        <x:v>M. Escobedo; J. J. L. Velazquez</x:v>
      </x:c>
      <x:c r="H23" s="30"/>
      <x:c r="I23" s="14" t="str">
        <x:v>https://arxiv.org/abs/2605.02540</x:v>
      </x:c>
      <x:c r="J23" s="14" t="str">
        <x:v>Correlation onset near singular regimes in wave turbulence; strong model depth.</x:v>
      </x:c>
      <x:c r="K23" s="28" t="n">
        <x:v>92</x:v>
      </x:c>
      <x:c r="L23" s="28" t="n">
        <x:v>91</x:v>
      </x:c>
      <x:c r="M23" s="28" t="n">
        <x:v>92</x:v>
      </x:c>
      <x:c r="N23" s="28" t="n">
        <x:v>87</x:v>
      </x:c>
      <x:c r="O23" s="28" t="n">
        <x:v>92</x:v>
      </x:c>
      <x:c r="P23" s="28" t="n">
        <x:v>84</x:v>
      </x:c>
      <x:c r="Q23" s="28" t="n">
        <x:v>12</x:v>
      </x:c>
      <x:c r="R23" s="28" t="n">
        <x:v>5</x:v>
      </x:c>
      <x:c r="S23" s="28" t="n">
        <x:f>ROUND(0.30*K23+0.20*L23+0.25*M23+0.15*N23+0.10*P23,1)</x:f>
        <x:v>90.3</x:v>
      </x:c>
      <x:c r="T23" s="28" t="n">
        <x:f>ROUND(0.30*O23+0.20*M23+0.20*L23+0.15*P23+0.15*(100-Q23),1)</x:f>
        <x:v>90</x:v>
      </x:c>
      <x:c r="U23" s="28" t="n">
        <x:f>ROUND((S23+T23)/2,1)</x:f>
        <x:v>90.2</x:v>
      </x:c>
      <x:c r="V23" s="14" t="str">
        <x:f>IF(A23&lt;=50,"Top50","")</x:f>
        <x:v>Top50</x:v>
      </x:c>
    </x:row>
    <x:row r="24">
      <x:c r="A24" s="30" t="n">
        <x:f>RANK.EQ(U24,$U$2:$U$93,0)</x:f>
        <x:v>23</x:v>
      </x:c>
      <x:c r="B24" s="14" t="str">
        <x:v>2605.02034</x:v>
      </x:c>
      <x:c r="C24" s="14" t="str">
        <x:v>2026-05</x:v>
      </x:c>
      <x:c r="D24" s="14" t="str">
        <x:v>AP/CV</x:v>
      </x:c>
      <x:c r="E24" s="14" t="str">
        <x:v>Free boundary / overdetermined problems</x:v>
      </x:c>
      <x:c r="F24" s="14" t="str">
        <x:v>Serrin's overdetermined theorem and weak Bernoulli laws without Alt-Caffarelli regularity</x:v>
      </x:c>
      <x:c r="G24" s="14" t="str">
        <x:v>Yi Ru-Ya Zhang</x:v>
      </x:c>
      <x:c r="H24" s="30" t="n">
        <x:v>55</x:v>
      </x:c>
      <x:c r="I24" s="14" t="str">
        <x:v>https://arxiv.org/abs/2605.02034</x:v>
      </x:c>
      <x:c r="J24" s="14" t="str">
        <x:v>Connects Serrin-type rigidity and weak Bernoulli laws avoiding classical regularity machinery.</x:v>
      </x:c>
      <x:c r="K24" s="28" t="n">
        <x:v>92</x:v>
      </x:c>
      <x:c r="L24" s="28" t="n">
        <x:v>91</x:v>
      </x:c>
      <x:c r="M24" s="28" t="n">
        <x:v>91</x:v>
      </x:c>
      <x:c r="N24" s="28" t="n">
        <x:v>87</x:v>
      </x:c>
      <x:c r="O24" s="28" t="n">
        <x:v>91</x:v>
      </x:c>
      <x:c r="P24" s="28" t="n">
        <x:v>86</x:v>
      </x:c>
      <x:c r="Q24" s="28" t="n">
        <x:v>14</x:v>
      </x:c>
      <x:c r="R24" s="28" t="n">
        <x:v>5</x:v>
      </x:c>
      <x:c r="S24" s="28" t="n">
        <x:f>ROUND(0.30*K24+0.20*L24+0.25*M24+0.15*N24+0.10*P24,1)</x:f>
        <x:v>90.2</x:v>
      </x:c>
      <x:c r="T24" s="28" t="n">
        <x:f>ROUND(0.30*O24+0.20*M24+0.20*L24+0.15*P24+0.15*(100-Q24),1)</x:f>
        <x:v>89.5</x:v>
      </x:c>
      <x:c r="U24" s="28" t="n">
        <x:f>ROUND((S24+T24)/2,1)</x:f>
        <x:v>89.9</x:v>
      </x:c>
      <x:c r="V24" s="14" t="str">
        <x:f>IF(A24&lt;=50,"Top50","")</x:f>
        <x:v>Top50</x:v>
      </x:c>
    </x:row>
    <x:row r="25">
      <x:c r="A25" s="30" t="n">
        <x:f>RANK.EQ(U25,$U$2:$U$93,0)</x:f>
        <x:v>24</x:v>
      </x:c>
      <x:c r="B25" s="14" t="str">
        <x:v>2605.01933</x:v>
      </x:c>
      <x:c r="C25" s="14" t="str">
        <x:v>2026-05</x:v>
      </x:c>
      <x:c r="D25" s="14" t="str">
        <x:v>AP/PR</x:v>
      </x:c>
      <x:c r="E25" s="14" t="str">
        <x:v>Hypocoercivity / Langevin</x:v>
      </x:c>
      <x:c r="F25" s="14" t="str">
        <x:v>A sharp hypocoercive entropy decay estimate for underdamped Langevin dynamics</x:v>
      </x:c>
      <x:c r="G25" s="14" t="str">
        <x:v>Jianfeng Lu</x:v>
      </x:c>
      <x:c r="H25" s="30" t="n">
        <x:v>25</x:v>
      </x:c>
      <x:c r="I25" s="14" t="str">
        <x:v>https://arxiv.org/abs/2605.01933</x:v>
      </x:c>
      <x:c r="J25" s="14" t="str">
        <x:v>Sharp entropy decay estimate; valuable for probability/PDE interface.</x:v>
      </x:c>
      <x:c r="K25" s="28" t="n">
        <x:v>91</x:v>
      </x:c>
      <x:c r="L25" s="28" t="n">
        <x:v>90</x:v>
      </x:c>
      <x:c r="M25" s="28" t="n">
        <x:v>91</x:v>
      </x:c>
      <x:c r="N25" s="28" t="n">
        <x:v>88</x:v>
      </x:c>
      <x:c r="O25" s="28" t="n">
        <x:v>90</x:v>
      </x:c>
      <x:c r="P25" s="28" t="n">
        <x:v>88</x:v>
      </x:c>
      <x:c r="Q25" s="28" t="n">
        <x:v>13</x:v>
      </x:c>
      <x:c r="R25" s="28" t="n">
        <x:v>5</x:v>
      </x:c>
      <x:c r="S25" s="28" t="n">
        <x:f>ROUND(0.30*K25+0.20*L25+0.25*M25+0.15*N25+0.10*P25,1)</x:f>
        <x:v>90.1</x:v>
      </x:c>
      <x:c r="T25" s="28" t="n">
        <x:f>ROUND(0.30*O25+0.20*M25+0.20*L25+0.15*P25+0.15*(100-Q25),1)</x:f>
        <x:v>89.5</x:v>
      </x:c>
      <x:c r="U25" s="28" t="n">
        <x:f>ROUND((S25+T25)/2,1)</x:f>
        <x:v>89.8</x:v>
      </x:c>
      <x:c r="V25" s="14" t="str">
        <x:f>IF(A25&lt;=50,"Top50","")</x:f>
        <x:v>Top50</x:v>
      </x:c>
    </x:row>
    <x:row r="26">
      <x:c r="A26" s="30" t="n">
        <x:f>RANK.EQ(U26,$U$2:$U$93,0)</x:f>
        <x:v>25</x:v>
      </x:c>
      <x:c r="B26" s="14" t="str">
        <x:v>2605.03732</x:v>
      </x:c>
      <x:c r="C26" s="14" t="str">
        <x:v>2026-05</x:v>
      </x:c>
      <x:c r="D26" s="14" t="str">
        <x:v>AP</x:v>
      </x:c>
      <x:c r="E26" s="14" t="str">
        <x:v>Functional inequalities</x:v>
      </x:c>
      <x:c r="F26" s="14" t="str">
        <x:v>Sharp Stability for the Affine Fractional Sobolev Inequality</x:v>
      </x:c>
      <x:c r="G26" s="14" t="str">
        <x:v>Song Fan; Gui-Dong Li; Jianjun Zhang</x:v>
      </x:c>
      <x:c r="H26" s="30"/>
      <x:c r="I26" s="14" t="str">
        <x:v>https://arxiv.org/abs/2605.03732</x:v>
      </x:c>
      <x:c r="J26" s="14" t="str">
        <x:v>Sharp stability of affine fractional Sobolev inequality; strong inequality work.</x:v>
      </x:c>
      <x:c r="K26" s="28" t="n">
        <x:v>91</x:v>
      </x:c>
      <x:c r="L26" s="28" t="n">
        <x:v>90</x:v>
      </x:c>
      <x:c r="M26" s="28" t="n">
        <x:v>91</x:v>
      </x:c>
      <x:c r="N26" s="28" t="n">
        <x:v>87</x:v>
      </x:c>
      <x:c r="O26" s="28" t="n">
        <x:v>91</x:v>
      </x:c>
      <x:c r="P26" s="28" t="n">
        <x:v>87</x:v>
      </x:c>
      <x:c r="Q26" s="28" t="n">
        <x:v>13</x:v>
      </x:c>
      <x:c r="R26" s="28" t="n">
        <x:v>5</x:v>
      </x:c>
      <x:c r="S26" s="28" t="n">
        <x:f>ROUND(0.30*K26+0.20*L26+0.25*M26+0.15*N26+0.10*P26,1)</x:f>
        <x:v>89.8</x:v>
      </x:c>
      <x:c r="T26" s="28" t="n">
        <x:f>ROUND(0.30*O26+0.20*M26+0.20*L26+0.15*P26+0.15*(100-Q26),1)</x:f>
        <x:v>89.6</x:v>
      </x:c>
      <x:c r="U26" s="28" t="n">
        <x:f>ROUND((S26+T26)/2,1)</x:f>
        <x:v>89.7</x:v>
      </x:c>
      <x:c r="V26" s="14" t="str">
        <x:f>IF(A26&lt;=50,"Top50","")</x:f>
        <x:v>Top50</x:v>
      </x:c>
    </x:row>
    <x:row r="27">
      <x:c r="A27" s="30" t="n">
        <x:f>RANK.EQ(U27,$U$2:$U$93,0)</x:f>
        <x:v>26</x:v>
      </x:c>
      <x:c r="B27" s="14" t="str">
        <x:v>2605.07538</x:v>
      </x:c>
      <x:c r="C27" s="14" t="str">
        <x:v>2026-05</x:v>
      </x:c>
      <x:c r="D27" s="14" t="str">
        <x:v>AP</x:v>
      </x:c>
      <x:c r="E27" s="14" t="str">
        <x:v>Hydrodynamic stability</x:v>
      </x:c>
      <x:c r="F27" s="14" t="str">
        <x:v>Nonlinear stability threshold for 3D compressible Couette flow</x:v>
      </x:c>
      <x:c r="G27" s="14" t="str">
        <x:v>Rui Li; Fei Wang; Lingda Xu; Zeren Zhang</x:v>
      </x:c>
      <x:c r="H27" s="30"/>
      <x:c r="I27" s="14" t="str">
        <x:v>https://arxiv.org/abs/2605.07538</x:v>
      </x:c>
      <x:c r="J27" s="14" t="str">
        <x:v>Threshold result for compressible Couette flow; technically demanding nonlinear stability.</x:v>
      </x:c>
      <x:c r="K27" s="28" t="n">
        <x:v>91</x:v>
      </x:c>
      <x:c r="L27" s="28" t="n">
        <x:v>88</x:v>
      </x:c>
      <x:c r="M27" s="28" t="n">
        <x:v>92</x:v>
      </x:c>
      <x:c r="N27" s="28" t="n">
        <x:v>86</x:v>
      </x:c>
      <x:c r="O27" s="28" t="n">
        <x:v>92</x:v>
      </x:c>
      <x:c r="P27" s="28" t="n">
        <x:v>84</x:v>
      </x:c>
      <x:c r="Q27" s="28" t="n">
        <x:v>14</x:v>
      </x:c>
      <x:c r="R27" s="28" t="n">
        <x:v>5</x:v>
      </x:c>
      <x:c r="S27" s="28" t="n">
        <x:f>ROUND(0.30*K27+0.20*L27+0.25*M27+0.15*N27+0.10*P27,1)</x:f>
        <x:v>89.2</x:v>
      </x:c>
      <x:c r="T27" s="28" t="n">
        <x:f>ROUND(0.30*O27+0.20*M27+0.20*L27+0.15*P27+0.15*(100-Q27),1)</x:f>
        <x:v>89.1</x:v>
      </x:c>
      <x:c r="U27" s="28" t="n">
        <x:f>ROUND((S27+T27)/2,1)</x:f>
        <x:v>89.2</x:v>
      </x:c>
      <x:c r="V27" s="14" t="str">
        <x:f>IF(A27&lt;=50,"Top50","")</x:f>
        <x:v>Top50</x:v>
      </x:c>
    </x:row>
    <x:row r="28">
      <x:c r="A28" s="30" t="n">
        <x:f>RANK.EQ(U28,$U$2:$U$93,0)</x:f>
        <x:v>26</x:v>
      </x:c>
      <x:c r="B28" s="14" t="str">
        <x:v>2605.27695</x:v>
      </x:c>
      <x:c r="C28" s="14" t="str">
        <x:v>2026-05</x:v>
      </x:c>
      <x:c r="D28" s="14" t="str">
        <x:v>AP/math-ph</x:v>
      </x:c>
      <x:c r="E28" s="14" t="str">
        <x:v>Boltzmann asymptotics</x:v>
      </x:c>
      <x:c r="F28" s="14" t="str">
        <x:v>Non Maxwellian long-time asymptotics for Homoenergetic Boltzmann flows under strong shear</x:v>
      </x:c>
      <x:c r="G28" s="14" t="str">
        <x:v>Alessia Nota; Juan J. L. Velazquez</x:v>
      </x:c>
      <x:c r="H28" s="30" t="n">
        <x:v>57</x:v>
      </x:c>
      <x:c r="I28" s="14" t="str">
        <x:v>https://arxiv.org/abs/2605.27695</x:v>
      </x:c>
      <x:c r="J28" s="14" t="str">
        <x:v>Non-Maxwellian long-time asymptotics under shear; kinetic asymptotic novelty.</x:v>
      </x:c>
      <x:c r="K28" s="28" t="n">
        <x:v>90</x:v>
      </x:c>
      <x:c r="L28" s="28" t="n">
        <x:v>90</x:v>
      </x:c>
      <x:c r="M28" s="28" t="n">
        <x:v>91</x:v>
      </x:c>
      <x:c r="N28" s="28" t="n">
        <x:v>85</x:v>
      </x:c>
      <x:c r="O28" s="28" t="n">
        <x:v>91</x:v>
      </x:c>
      <x:c r="P28" s="28" t="n">
        <x:v>85</x:v>
      </x:c>
      <x:c r="Q28" s="28" t="n">
        <x:v>13</x:v>
      </x:c>
      <x:c r="R28" s="28" t="n">
        <x:v>5</x:v>
      </x:c>
      <x:c r="S28" s="28" t="n">
        <x:f>ROUND(0.30*K28+0.20*L28+0.25*M28+0.15*N28+0.10*P28,1)</x:f>
        <x:v>89</x:v>
      </x:c>
      <x:c r="T28" s="28" t="n">
        <x:f>ROUND(0.30*O28+0.20*M28+0.20*L28+0.15*P28+0.15*(100-Q28),1)</x:f>
        <x:v>89.3</x:v>
      </x:c>
      <x:c r="U28" s="28" t="n">
        <x:f>ROUND((S28+T28)/2,1)</x:f>
        <x:v>89.2</x:v>
      </x:c>
      <x:c r="V28" s="14" t="str">
        <x:f>IF(A28&lt;=50,"Top50","")</x:f>
        <x:v>Top50</x:v>
      </x:c>
    </x:row>
    <x:row r="29">
      <x:c r="A29" s="30" t="n">
        <x:f>RANK.EQ(U29,$U$2:$U$93,0)</x:f>
        <x:v>28</x:v>
      </x:c>
      <x:c r="B29" s="14" t="str">
        <x:v>2605.19598</x:v>
      </x:c>
      <x:c r="C29" s="14" t="str">
        <x:v>2026-05</x:v>
      </x:c>
      <x:c r="D29" s="14" t="str">
        <x:v>AP</x:v>
      </x:c>
      <x:c r="E29" s="14" t="str">
        <x:v>Calculus of variations / elasticity</x:v>
      </x:c>
      <x:c r="F29" s="14" t="str">
        <x:v>Wrinkling in the Lame problem: a Gamma-convergence approach</x:v>
      </x:c>
      <x:c r="G29" s="14" t="str">
        <x:v>Roberta Marziani</x:v>
      </x:c>
      <x:c r="H29" s="30" t="n">
        <x:v>56</x:v>
      </x:c>
      <x:c r="I29" s="14" t="str">
        <x:v>https://arxiv.org/abs/2605.19598</x:v>
      </x:c>
      <x:c r="J29" s="14" t="str">
        <x:v>Gamma-convergence analysis of wrinkling in elasticity; good variational structure.</x:v>
      </x:c>
      <x:c r="K29" s="28" t="n">
        <x:v>90</x:v>
      </x:c>
      <x:c r="L29" s="28" t="n">
        <x:v>90</x:v>
      </x:c>
      <x:c r="M29" s="28" t="n">
        <x:v>90</x:v>
      </x:c>
      <x:c r="N29" s="28" t="n">
        <x:v>86</x:v>
      </x:c>
      <x:c r="O29" s="28" t="n">
        <x:v>90</x:v>
      </x:c>
      <x:c r="P29" s="28" t="n">
        <x:v>86</x:v>
      </x:c>
      <x:c r="Q29" s="28" t="n">
        <x:v>13</x:v>
      </x:c>
      <x:c r="R29" s="28" t="n">
        <x:v>5</x:v>
      </x:c>
      <x:c r="S29" s="28" t="n">
        <x:f>ROUND(0.30*K29+0.20*L29+0.25*M29+0.15*N29+0.10*P29,1)</x:f>
        <x:v>89</x:v>
      </x:c>
      <x:c r="T29" s="28" t="n">
        <x:f>ROUND(0.30*O29+0.20*M29+0.20*L29+0.15*P29+0.15*(100-Q29),1)</x:f>
        <x:v>89</x:v>
      </x:c>
      <x:c r="U29" s="28" t="n">
        <x:f>ROUND((S29+T29)/2,1)</x:f>
        <x:v>89</x:v>
      </x:c>
      <x:c r="V29" s="14" t="str">
        <x:f>IF(A29&lt;=50,"Top50","")</x:f>
        <x:v>Top50</x:v>
      </x:c>
    </x:row>
    <x:row r="30">
      <x:c r="A30" s="30" t="n">
        <x:f>RANK.EQ(U30,$U$2:$U$93,0)</x:f>
        <x:v>29</x:v>
      </x:c>
      <x:c r="B30" s="14" t="str">
        <x:v>2605.10589</x:v>
      </x:c>
      <x:c r="C30" s="14" t="str">
        <x:v>2026-05</x:v>
      </x:c>
      <x:c r="D30" s="14" t="str">
        <x:v>AP/DG</x:v>
      </x:c>
      <x:c r="E30" s="14" t="str">
        <x:v>Minimal surfaces / flows</x:v>
      </x:c>
      <x:c r="F30" s="14" t="str">
        <x:v>Distance between minimal surfaces and flows</x:v>
      </x:c>
      <x:c r="G30" s="14" t="str">
        <x:v>Tobias Holck Colding; William P. Minicozzi II</x:v>
      </x:c>
      <x:c r="H30" s="30" t="n">
        <x:v>18</x:v>
      </x:c>
      <x:c r="I30" s="14" t="str">
        <x:v>https://arxiv.org/abs/2605.10589</x:v>
      </x:c>
      <x:c r="J30" s="14" t="str">
        <x:v>Conceptual distance framework between minimal surfaces and flows; likely influential geometric PDE tool.</x:v>
      </x:c>
      <x:c r="K30" s="28" t="n">
        <x:v>91</x:v>
      </x:c>
      <x:c r="L30" s="28" t="n">
        <x:v>90</x:v>
      </x:c>
      <x:c r="M30" s="28" t="n">
        <x:v>89</x:v>
      </x:c>
      <x:c r="N30" s="28" t="n">
        <x:v>87</x:v>
      </x:c>
      <x:c r="O30" s="28" t="n">
        <x:v>89</x:v>
      </x:c>
      <x:c r="P30" s="28" t="n">
        <x:v>86</x:v>
      </x:c>
      <x:c r="Q30" s="28" t="n">
        <x:v>12</x:v>
      </x:c>
      <x:c r="R30" s="28" t="n">
        <x:v>5</x:v>
      </x:c>
      <x:c r="S30" s="28" t="n">
        <x:f>ROUND(0.30*K30+0.20*L30+0.25*M30+0.15*N30+0.10*P30,1)</x:f>
        <x:v>89.2</x:v>
      </x:c>
      <x:c r="T30" s="28" t="n">
        <x:f>ROUND(0.30*O30+0.20*M30+0.20*L30+0.15*P30+0.15*(100-Q30),1)</x:f>
        <x:v>88.6</x:v>
      </x:c>
      <x:c r="U30" s="28" t="n">
        <x:f>ROUND((S30+T30)/2,1)</x:f>
        <x:v>88.9</x:v>
      </x:c>
      <x:c r="V30" s="14" t="str">
        <x:f>IF(A30&lt;=50,"Top50","")</x:f>
        <x:v>Top50</x:v>
      </x:c>
    </x:row>
    <x:row r="31">
      <x:c r="A31" s="30" t="n">
        <x:f>RANK.EQ(U31,$U$2:$U$93,0)</x:f>
        <x:v>30</x:v>
      </x:c>
      <x:c r="B31" s="14" t="str">
        <x:v>2605.05414</x:v>
      </x:c>
      <x:c r="C31" s="14" t="str">
        <x:v>2026-05</x:v>
      </x:c>
      <x:c r="D31" s="14" t="str">
        <x:v>AP/DG</x:v>
      </x:c>
      <x:c r="E31" s="14" t="str">
        <x:v>Geometric PDE / conformal geometry</x:v>
      </x:c>
      <x:c r="F31" s="14" t="str">
        <x:v>The sigma_k-Yamabe problem revisited</x:v>
      </x:c>
      <x:c r="G31" s="14" t="str">
        <x:v>Yuxin Ge; Guofang Wang; Wei Wei</x:v>
      </x:c>
      <x:c r="H31" s="30"/>
      <x:c r="I31" s="14" t="str">
        <x:v>https://arxiv.org/abs/2605.05414</x:v>
      </x:c>
      <x:c r="J31" s="14" t="str">
        <x:v>Substantial fully nonlinear conformal geometry existence theory revisiting sigma_k-Yamabe.</x:v>
      </x:c>
      <x:c r="K31" s="28" t="n">
        <x:v>91</x:v>
      </x:c>
      <x:c r="L31" s="28" t="n">
        <x:v>88</x:v>
      </x:c>
      <x:c r="M31" s="28" t="n">
        <x:v>91</x:v>
      </x:c>
      <x:c r="N31" s="28" t="n">
        <x:v>86</x:v>
      </x:c>
      <x:c r="O31" s="28" t="n">
        <x:v>91</x:v>
      </x:c>
      <x:c r="P31" s="28" t="n">
        <x:v>84</x:v>
      </x:c>
      <x:c r="Q31" s="28" t="n">
        <x:v>14</x:v>
      </x:c>
      <x:c r="R31" s="28" t="n">
        <x:v>6</x:v>
      </x:c>
      <x:c r="S31" s="28" t="n">
        <x:f>ROUND(0.30*K31+0.20*L31+0.25*M31+0.15*N31+0.10*P31,1)</x:f>
        <x:v>89</x:v>
      </x:c>
      <x:c r="T31" s="28" t="n">
        <x:f>ROUND(0.30*O31+0.20*M31+0.20*L31+0.15*P31+0.15*(100-Q31),1)</x:f>
        <x:v>88.6</x:v>
      </x:c>
      <x:c r="U31" s="28" t="n">
        <x:f>ROUND((S31+T31)/2,1)</x:f>
        <x:v>88.8</x:v>
      </x:c>
      <x:c r="V31" s="14" t="str">
        <x:f>IF(A31&lt;=50,"Top50","")</x:f>
        <x:v>Top50</x:v>
      </x:c>
    </x:row>
    <x:row r="32">
      <x:c r="A32" s="30" t="n">
        <x:f>RANK.EQ(U32,$U$2:$U$93,0)</x:f>
        <x:v>30</x:v>
      </x:c>
      <x:c r="B32" s="14" t="str">
        <x:v>2605.28789</x:v>
      </x:c>
      <x:c r="C32" s="14" t="str">
        <x:v>2026-05</x:v>
      </x:c>
      <x:c r="D32" s="14" t="str">
        <x:v>AP</x:v>
      </x:c>
      <x:c r="E32" s="14" t="str">
        <x:v>Dispersive PDE / blow-up</x:v>
      </x:c>
      <x:c r="F32" s="14" t="str">
        <x:v>Finite-time blow-up solutions for the Calogero-Sutherland derivative NLS</x:v>
      </x:c>
      <x:c r="G32" s="14" t="str">
        <x:v>Xi Chen; Enno Lenzmann</x:v>
      </x:c>
      <x:c r="H32" s="30"/>
      <x:c r="I32" s="14" t="str">
        <x:v>https://arxiv.org/abs/2605.28789</x:v>
      </x:c>
      <x:c r="J32" s="14" t="str">
        <x:v>Finite-time blow-up in derivative NLS-type model; specialized but technically sharp.</x:v>
      </x:c>
      <x:c r="K32" s="28" t="n">
        <x:v>90</x:v>
      </x:c>
      <x:c r="L32" s="28" t="n">
        <x:v>90</x:v>
      </x:c>
      <x:c r="M32" s="28" t="n">
        <x:v>90</x:v>
      </x:c>
      <x:c r="N32" s="28" t="n">
        <x:v>85</x:v>
      </x:c>
      <x:c r="O32" s="28" t="n">
        <x:v>90</x:v>
      </x:c>
      <x:c r="P32" s="28" t="n">
        <x:v>85</x:v>
      </x:c>
      <x:c r="Q32" s="28" t="n">
        <x:v>14</x:v>
      </x:c>
      <x:c r="R32" s="28" t="n">
        <x:v>6</x:v>
      </x:c>
      <x:c r="S32" s="28" t="n">
        <x:f>ROUND(0.30*K32+0.20*L32+0.25*M32+0.15*N32+0.10*P32,1)</x:f>
        <x:v>88.8</x:v>
      </x:c>
      <x:c r="T32" s="28" t="n">
        <x:f>ROUND(0.30*O32+0.20*M32+0.20*L32+0.15*P32+0.15*(100-Q32),1)</x:f>
        <x:v>88.7</x:v>
      </x:c>
      <x:c r="U32" s="28" t="n">
        <x:f>ROUND((S32+T32)/2,1)</x:f>
        <x:v>88.8</x:v>
      </x:c>
      <x:c r="V32" s="14" t="str">
        <x:f>IF(A32&lt;=50,"Top50","")</x:f>
        <x:v>Top50</x:v>
      </x:c>
    </x:row>
    <x:row r="33">
      <x:c r="A33" s="30" t="n">
        <x:f>RANK.EQ(U33,$U$2:$U$93,0)</x:f>
        <x:v>32</x:v>
      </x:c>
      <x:c r="B33" s="14" t="str">
        <x:v>2605.10814</x:v>
      </x:c>
      <x:c r="C33" s="14" t="str">
        <x:v>2026-05</x:v>
      </x:c>
      <x:c r="D33" s="14" t="str">
        <x:v>AP/DG</x:v>
      </x:c>
      <x:c r="E33" s="14" t="str">
        <x:v>Gauge theory / geometric flows</x:v>
      </x:c>
      <x:c r="F33" s="14" t="str">
        <x:v>Convergence of the Yang-Mills flow on ALE gravitational instantons</x:v>
      </x:c>
      <x:c r="G33" s="14" t="str">
        <x:v>Anuk Dayaprema; Alex Waldron</x:v>
      </x:c>
      <x:c r="H33" s="30" t="n">
        <x:v>24</x:v>
      </x:c>
      <x:c r="I33" s="14" t="str">
        <x:v>https://arxiv.org/abs/2605.10814</x:v>
      </x:c>
      <x:c r="J33" s="14" t="str">
        <x:v>Yang-Mills flow convergence in a noncompact ALE setting; good geometric analytic depth.</x:v>
      </x:c>
      <x:c r="K33" s="28" t="n">
        <x:v>90</x:v>
      </x:c>
      <x:c r="L33" s="28" t="n">
        <x:v>89</x:v>
      </x:c>
      <x:c r="M33" s="28" t="n">
        <x:v>90</x:v>
      </x:c>
      <x:c r="N33" s="28" t="n">
        <x:v>86</x:v>
      </x:c>
      <x:c r="O33" s="28" t="n">
        <x:v>90</x:v>
      </x:c>
      <x:c r="P33" s="28" t="n">
        <x:v>85</x:v>
      </x:c>
      <x:c r="Q33" s="28" t="n">
        <x:v>13</x:v>
      </x:c>
      <x:c r="R33" s="28" t="n">
        <x:v>5</x:v>
      </x:c>
      <x:c r="S33" s="28" t="n">
        <x:f>ROUND(0.30*K33+0.20*L33+0.25*M33+0.15*N33+0.10*P33,1)</x:f>
        <x:v>88.7</x:v>
      </x:c>
      <x:c r="T33" s="28" t="n">
        <x:f>ROUND(0.30*O33+0.20*M33+0.20*L33+0.15*P33+0.15*(100-Q33),1)</x:f>
        <x:v>88.6</x:v>
      </x:c>
      <x:c r="U33" s="28" t="n">
        <x:f>ROUND((S33+T33)/2,1)</x:f>
        <x:v>88.7</x:v>
      </x:c>
      <x:c r="V33" s="14" t="str">
        <x:f>IF(A33&lt;=50,"Top50","")</x:f>
        <x:v>Top50</x:v>
      </x:c>
    </x:row>
    <x:row r="34">
      <x:c r="A34" s="30" t="n">
        <x:f>RANK.EQ(U34,$U$2:$U$93,0)</x:f>
        <x:v>33</x:v>
      </x:c>
      <x:c r="B34" s="14" t="str">
        <x:v>2605.25327</x:v>
      </x:c>
      <x:c r="C34" s="14" t="str">
        <x:v>2026-05</x:v>
      </x:c>
      <x:c r="D34" s="14" t="str">
        <x:v>AP</x:v>
      </x:c>
      <x:c r="E34" s="14" t="str">
        <x:v>Dispersive PDE / soliton resolution</x:v>
      </x:c>
      <x:c r="F34" s="14" t="str">
        <x:v>Soliton resolution conjecture for the Benjamin-Ono equation: Explicit L-infinity asymptotic error formula</x:v>
      </x:c>
      <x:c r="G34" s="14" t="str">
        <x:v>Hong-Yu Pan; Shou-Fu Tian</x:v>
      </x:c>
      <x:c r="H34" s="30" t="n">
        <x:v>26</x:v>
      </x:c>
      <x:c r="I34" s="14" t="str">
        <x:v>https://arxiv.org/abs/2605.25327</x:v>
      </x:c>
      <x:c r="J34" s="14" t="str">
        <x:v>Explicit asymptotic error formula in Benjamin-Ono soliton resolution; integrable structure important.</x:v>
      </x:c>
      <x:c r="K34" s="28" t="n">
        <x:v>91</x:v>
      </x:c>
      <x:c r="L34" s="28" t="n">
        <x:v>89</x:v>
      </x:c>
      <x:c r="M34" s="28" t="n">
        <x:v>90</x:v>
      </x:c>
      <x:c r="N34" s="28" t="n">
        <x:v>86</x:v>
      </x:c>
      <x:c r="O34" s="28" t="n">
        <x:v>90</x:v>
      </x:c>
      <x:c r="P34" s="28" t="n">
        <x:v>84</x:v>
      </x:c>
      <x:c r="Q34" s="28" t="n">
        <x:v>14</x:v>
      </x:c>
      <x:c r="R34" s="28" t="n">
        <x:v>6</x:v>
      </x:c>
      <x:c r="S34" s="28" t="n">
        <x:f>ROUND(0.30*K34+0.20*L34+0.25*M34+0.15*N34+0.10*P34,1)</x:f>
        <x:v>88.9</x:v>
      </x:c>
      <x:c r="T34" s="28" t="n">
        <x:f>ROUND(0.30*O34+0.20*M34+0.20*L34+0.15*P34+0.15*(100-Q34),1)</x:f>
        <x:v>88.3</x:v>
      </x:c>
      <x:c r="U34" s="28" t="n">
        <x:f>ROUND((S34+T34)/2,1)</x:f>
        <x:v>88.6</x:v>
      </x:c>
      <x:c r="V34" s="14" t="str">
        <x:f>IF(A34&lt;=50,"Top50","")</x:f>
        <x:v>Top50</x:v>
      </x:c>
    </x:row>
    <x:row r="35">
      <x:c r="A35" s="30" t="n">
        <x:f>RANK.EQ(U35,$U$2:$U$93,0)</x:f>
        <x:v>34</x:v>
      </x:c>
      <x:c r="B35" s="14" t="str">
        <x:v>2605.08700</x:v>
      </x:c>
      <x:c r="C35" s="14" t="str">
        <x:v>2026-05</x:v>
      </x:c>
      <x:c r="D35" s="14" t="str">
        <x:v>AP/DG</x:v>
      </x:c>
      <x:c r="E35" s="14" t="str">
        <x:v>Geometric variational PDE</x:v>
      </x:c>
      <x:c r="F35" s="14" t="str">
        <x:v>The Ekeland-Nirenberg Variational Problem: A Sharp Positivity Threshold and Extensions</x:v>
      </x:c>
      <x:c r="G35" s="14" t="str">
        <x:v>Qi Guo; Xueping Huang; Yi Huang</x:v>
      </x:c>
      <x:c r="H35" s="30"/>
      <x:c r="I35" s="14" t="str">
        <x:v>https://arxiv.org/abs/2605.08700</x:v>
      </x:c>
      <x:c r="J35" s="14" t="str">
        <x:v>Sharp positivity threshold and extensions for the Ekeland-Nirenberg variational problem.</x:v>
      </x:c>
      <x:c r="K35" s="28" t="n">
        <x:v>90</x:v>
      </x:c>
      <x:c r="L35" s="28" t="n">
        <x:v>89</x:v>
      </x:c>
      <x:c r="M35" s="28" t="n">
        <x:v>90</x:v>
      </x:c>
      <x:c r="N35" s="28" t="n">
        <x:v>86</x:v>
      </x:c>
      <x:c r="O35" s="28" t="n">
        <x:v>90</x:v>
      </x:c>
      <x:c r="P35" s="28" t="n">
        <x:v>84</x:v>
      </x:c>
      <x:c r="Q35" s="28" t="n">
        <x:v>13</x:v>
      </x:c>
      <x:c r="R35" s="28" t="n">
        <x:v>5</x:v>
      </x:c>
      <x:c r="S35" s="28" t="n">
        <x:f>ROUND(0.30*K35+0.20*L35+0.25*M35+0.15*N35+0.10*P35,1)</x:f>
        <x:v>88.6</x:v>
      </x:c>
      <x:c r="T35" s="28" t="n">
        <x:f>ROUND(0.30*O35+0.20*M35+0.20*L35+0.15*P35+0.15*(100-Q35),1)</x:f>
        <x:v>88.4</x:v>
      </x:c>
      <x:c r="U35" s="28" t="n">
        <x:f>ROUND((S35+T35)/2,1)</x:f>
        <x:v>88.5</x:v>
      </x:c>
      <x:c r="V35" s="14" t="str">
        <x:f>IF(A35&lt;=50,"Top50","")</x:f>
        <x:v>Top50</x:v>
      </x:c>
    </x:row>
    <x:row r="36">
      <x:c r="A36" s="30" t="n">
        <x:f>RANK.EQ(U36,$U$2:$U$93,0)</x:f>
        <x:v>34</x:v>
      </x:c>
      <x:c r="B36" s="14" t="str">
        <x:v>2605.03734</x:v>
      </x:c>
      <x:c r="C36" s="14" t="str">
        <x:v>2026-05</x:v>
      </x:c>
      <x:c r="D36" s="14" t="str">
        <x:v>AP/PR</x:v>
      </x:c>
      <x:c r="E36" s="14" t="str">
        <x:v>Stochastic Navier-Stokes</x:v>
      </x:c>
      <x:c r="F36" s="14" t="str">
        <x:v>The stochastic tamed 3D Navier-Stokes equations in R^3</x:v>
      </x:c>
      <x:c r="G36" s="14" t="str">
        <x:v>Govind Chandra Podder; Gautam Kumar</x:v>
      </x:c>
      <x:c r="H36" s="30" t="n">
        <x:v>109</x:v>
      </x:c>
      <x:c r="I36" s="14" t="str">
        <x:v>https://arxiv.org/abs/2605.03734</x:v>
      </x:c>
      <x:c r="J36" s="14" t="str">
        <x:v>Large technical stochastic NSE treatment; important but less conceptually disruptive.</x:v>
      </x:c>
      <x:c r="K36" s="28" t="n">
        <x:v>90</x:v>
      </x:c>
      <x:c r="L36" s="28" t="n">
        <x:v>87</x:v>
      </x:c>
      <x:c r="M36" s="28" t="n">
        <x:v>92</x:v>
      </x:c>
      <x:c r="N36" s="28" t="n">
        <x:v>85</x:v>
      </x:c>
      <x:c r="O36" s="28" t="n">
        <x:v>92</x:v>
      </x:c>
      <x:c r="P36" s="28" t="n">
        <x:v>83</x:v>
      </x:c>
      <x:c r="Q36" s="28" t="n">
        <x:v>16</x:v>
      </x:c>
      <x:c r="R36" s="28" t="n">
        <x:v>6</x:v>
      </x:c>
      <x:c r="S36" s="28" t="n">
        <x:f>ROUND(0.30*K36+0.20*L36+0.25*M36+0.15*N36+0.10*P36,1)</x:f>
        <x:v>88.5</x:v>
      </x:c>
      <x:c r="T36" s="28" t="n">
        <x:f>ROUND(0.30*O36+0.20*M36+0.20*L36+0.15*P36+0.15*(100-Q36),1)</x:f>
        <x:v>88.5</x:v>
      </x:c>
      <x:c r="U36" s="28" t="n">
        <x:f>ROUND((S36+T36)/2,1)</x:f>
        <x:v>88.5</x:v>
      </x:c>
      <x:c r="V36" s="14" t="str">
        <x:f>IF(A36&lt;=50,"Top50","")</x:f>
        <x:v>Top50</x:v>
      </x:c>
    </x:row>
    <x:row r="37">
      <x:c r="A37" s="30" t="n">
        <x:f>RANK.EQ(U37,$U$2:$U$93,0)</x:f>
        <x:v>36</x:v>
      </x:c>
      <x:c r="B37" s="14" t="str">
        <x:v>2605.00407</x:v>
      </x:c>
      <x:c r="C37" s="14" t="str">
        <x:v>2026-05</x:v>
      </x:c>
      <x:c r="D37" s="14" t="str">
        <x:v>AP</x:v>
      </x:c>
      <x:c r="E37" s="14" t="str">
        <x:v>Compressible Euler / blow-up</x:v>
      </x:c>
      <x:c r="F37" s="14" t="str">
        <x:v>Gradient blowup of smooth vacuum solutions to 1D compressible Euler equations</x:v>
      </x:c>
      <x:c r="G37" s="14" t="str">
        <x:v>Juhi Jang; Jiaqi Liu; Nader Masmoudi</x:v>
      </x:c>
      <x:c r="H37" s="30"/>
      <x:c r="I37" s="14" t="str">
        <x:v>https://arxiv.org/abs/2605.00407</x:v>
      </x:c>
      <x:c r="J37" s="14" t="str">
        <x:v>Precise vacuum gradient blow-up mechanism; strong local singularity analysis.</x:v>
      </x:c>
      <x:c r="K37" s="28" t="n">
        <x:v>90</x:v>
      </x:c>
      <x:c r="L37" s="28" t="n">
        <x:v>88</x:v>
      </x:c>
      <x:c r="M37" s="28" t="n">
        <x:v>90</x:v>
      </x:c>
      <x:c r="N37" s="28" t="n">
        <x:v>85</x:v>
      </x:c>
      <x:c r="O37" s="28" t="n">
        <x:v>90</x:v>
      </x:c>
      <x:c r="P37" s="28" t="n">
        <x:v>85</x:v>
      </x:c>
      <x:c r="Q37" s="28" t="n">
        <x:v>14</x:v>
      </x:c>
      <x:c r="R37" s="28" t="n">
        <x:v>6</x:v>
      </x:c>
      <x:c r="S37" s="28" t="n">
        <x:f>ROUND(0.30*K37+0.20*L37+0.25*M37+0.15*N37+0.10*P37,1)</x:f>
        <x:v>88.4</x:v>
      </x:c>
      <x:c r="T37" s="28" t="n">
        <x:f>ROUND(0.30*O37+0.20*M37+0.20*L37+0.15*P37+0.15*(100-Q37),1)</x:f>
        <x:v>88.3</x:v>
      </x:c>
      <x:c r="U37" s="28" t="n">
        <x:f>ROUND((S37+T37)/2,1)</x:f>
        <x:v>88.4</x:v>
      </x:c>
      <x:c r="V37" s="14" t="str">
        <x:f>IF(A37&lt;=50,"Top50","")</x:f>
        <x:v>Top50</x:v>
      </x:c>
    </x:row>
    <x:row r="38">
      <x:c r="A38" s="30" t="n">
        <x:f>RANK.EQ(U38,$U$2:$U$93,0)</x:f>
        <x:v>37</x:v>
      </x:c>
      <x:c r="B38" s="14" t="str">
        <x:v>2605.21193</x:v>
      </x:c>
      <x:c r="C38" s="14" t="str">
        <x:v>2026-05</x:v>
      </x:c>
      <x:c r="D38" s="14" t="str">
        <x:v>AP/DG</x:v>
      </x:c>
      <x:c r="E38" s="14" t="str">
        <x:v>Ricci flow / functional inequalities</x:v>
      </x:c>
      <x:c r="F38" s="14" t="str">
        <x:v>Sharp Gaussian Isoperimetry along a Ricci Flow</x:v>
      </x:c>
      <x:c r="G38" s="14" t="str">
        <x:v>Robert Koirala</x:v>
      </x:c>
      <x:c r="H38" s="30" t="n">
        <x:v>25</x:v>
      </x:c>
      <x:c r="I38" s="14" t="str">
        <x:v>https://arxiv.org/abs/2605.21193</x:v>
      </x:c>
      <x:c r="J38" s="14" t="str">
        <x:v>Sharp Gaussian isoperimetry along Ricci flow; good geometric analysis transfer.</x:v>
      </x:c>
      <x:c r="K38" s="28" t="n">
        <x:v>89</x:v>
      </x:c>
      <x:c r="L38" s="28" t="n">
        <x:v>89</x:v>
      </x:c>
      <x:c r="M38" s="28" t="n">
        <x:v>89</x:v>
      </x:c>
      <x:c r="N38" s="28" t="n">
        <x:v>86</x:v>
      </x:c>
      <x:c r="O38" s="28" t="n">
        <x:v>89</x:v>
      </x:c>
      <x:c r="P38" s="28" t="n">
        <x:v>84</x:v>
      </x:c>
      <x:c r="Q38" s="28" t="n">
        <x:v>12</x:v>
      </x:c>
      <x:c r="R38" s="28" t="n">
        <x:v>5</x:v>
      </x:c>
      <x:c r="S38" s="28" t="n">
        <x:f>ROUND(0.30*K38+0.20*L38+0.25*M38+0.15*N38+0.10*P38,1)</x:f>
        <x:v>88.1</x:v>
      </x:c>
      <x:c r="T38" s="28" t="n">
        <x:f>ROUND(0.30*O38+0.20*M38+0.20*L38+0.15*P38+0.15*(100-Q38),1)</x:f>
        <x:v>88.1</x:v>
      </x:c>
      <x:c r="U38" s="28" t="n">
        <x:f>ROUND((S38+T38)/2,1)</x:f>
        <x:v>88.1</x:v>
      </x:c>
      <x:c r="V38" s="14" t="str">
        <x:f>IF(A38&lt;=50,"Top50","")</x:f>
        <x:v>Top50</x:v>
      </x:c>
    </x:row>
    <x:row r="39">
      <x:c r="A39" s="30" t="n">
        <x:f>RANK.EQ(U39,$U$2:$U$93,0)</x:f>
        <x:v>38</x:v>
      </x:c>
      <x:c r="B39" s="14" t="str">
        <x:v>2605.01547</x:v>
      </x:c>
      <x:c r="C39" s="14" t="str">
        <x:v>2026-05</x:v>
      </x:c>
      <x:c r="D39" s="14" t="str">
        <x:v>AP</x:v>
      </x:c>
      <x:c r="E39" s="14" t="str">
        <x:v>Rearrangement / rigidity</x:v>
      </x:c>
      <x:c r="F39" s="14" t="str">
        <x:v>Rigidity for the Polya-Szego inequality under circular rearrangement</x:v>
      </x:c>
      <x:c r="G39" s="14" t="str">
        <x:v>F. Cagnetti; G. Domazakis; M. Perugini; F. Seuffert</x:v>
      </x:c>
      <x:c r="H39" s="30"/>
      <x:c r="I39" s="14" t="str">
        <x:v>https://arxiv.org/abs/2605.01547</x:v>
      </x:c>
      <x:c r="J39" s="14" t="str">
        <x:v>Rigidity mechanism for rearrangement inequality; solid but specialized.</x:v>
      </x:c>
      <x:c r="K39" s="28" t="n">
        <x:v>89</x:v>
      </x:c>
      <x:c r="L39" s="28" t="n">
        <x:v>88</x:v>
      </x:c>
      <x:c r="M39" s="28" t="n">
        <x:v>89</x:v>
      </x:c>
      <x:c r="N39" s="28" t="n">
        <x:v>85</x:v>
      </x:c>
      <x:c r="O39" s="28" t="n">
        <x:v>89</x:v>
      </x:c>
      <x:c r="P39" s="28" t="n">
        <x:v>86</x:v>
      </x:c>
      <x:c r="Q39" s="28" t="n">
        <x:v>14</x:v>
      </x:c>
      <x:c r="R39" s="28" t="n">
        <x:v>6</x:v>
      </x:c>
      <x:c r="S39" s="28" t="n">
        <x:f>ROUND(0.30*K39+0.20*L39+0.25*M39+0.15*N39+0.10*P39,1)</x:f>
        <x:v>87.9</x:v>
      </x:c>
      <x:c r="T39" s="28" t="n">
        <x:f>ROUND(0.30*O39+0.20*M39+0.20*L39+0.15*P39+0.15*(100-Q39),1)</x:f>
        <x:v>87.9</x:v>
      </x:c>
      <x:c r="U39" s="28" t="n">
        <x:f>ROUND((S39+T39)/2,1)</x:f>
        <x:v>87.9</x:v>
      </x:c>
      <x:c r="V39" s="14" t="str">
        <x:f>IF(A39&lt;=50,"Top50","")</x:f>
        <x:v>Top50</x:v>
      </x:c>
    </x:row>
    <x:row r="40">
      <x:c r="A40" s="30" t="n">
        <x:f>RANK.EQ(U40,$U$2:$U$93,0)</x:f>
        <x:v>38</x:v>
      </x:c>
      <x:c r="B40" s="14" t="str">
        <x:v>2605.22347</x:v>
      </x:c>
      <x:c r="C40" s="14" t="str">
        <x:v>2026-05</x:v>
      </x:c>
      <x:c r="D40" s="14" t="str">
        <x:v>AP/DG</x:v>
      </x:c>
      <x:c r="E40" s="14" t="str">
        <x:v>Complex geometric flows</x:v>
      </x:c>
      <x:c r="F40" s="14" t="str">
        <x:v>Convergence of the Chern-Ricci flow on complex minimal surfaces of general type</x:v>
      </x:c>
      <x:c r="G40" s="14" t="str">
        <x:v>Haoyuan Sun</x:v>
      </x:c>
      <x:c r="H40" s="30" t="n">
        <x:v>28</x:v>
      </x:c>
      <x:c r="I40" s="14" t="str">
        <x:v>https://arxiv.org/abs/2605.22347</x:v>
      </x:c>
      <x:c r="J40" s="14" t="str">
        <x:v>Chern-Ricci flow convergence on general type complex surfaces.</x:v>
      </x:c>
      <x:c r="K40" s="28" t="n">
        <x:v>89</x:v>
      </x:c>
      <x:c r="L40" s="28" t="n">
        <x:v>88</x:v>
      </x:c>
      <x:c r="M40" s="28" t="n">
        <x:v>89</x:v>
      </x:c>
      <x:c r="N40" s="28" t="n">
        <x:v>86</x:v>
      </x:c>
      <x:c r="O40" s="28" t="n">
        <x:v>89</x:v>
      </x:c>
      <x:c r="P40" s="28" t="n">
        <x:v>84</x:v>
      </x:c>
      <x:c r="Q40" s="28" t="n">
        <x:v>13</x:v>
      </x:c>
      <x:c r="R40" s="28" t="n">
        <x:v>5</x:v>
      </x:c>
      <x:c r="S40" s="28" t="n">
        <x:f>ROUND(0.30*K40+0.20*L40+0.25*M40+0.15*N40+0.10*P40,1)</x:f>
        <x:v>87.9</x:v>
      </x:c>
      <x:c r="T40" s="28" t="n">
        <x:f>ROUND(0.30*O40+0.20*M40+0.20*L40+0.15*P40+0.15*(100-Q40),1)</x:f>
        <x:v>87.8</x:v>
      </x:c>
      <x:c r="U40" s="28" t="n">
        <x:f>ROUND((S40+T40)/2,1)</x:f>
        <x:v>87.9</x:v>
      </x:c>
      <x:c r="V40" s="14" t="str">
        <x:f>IF(A40&lt;=50,"Top50","")</x:f>
        <x:v>Top50</x:v>
      </x:c>
    </x:row>
    <x:row r="41">
      <x:c r="A41" s="30" t="n">
        <x:f>RANK.EQ(U41,$U$2:$U$93,0)</x:f>
        <x:v>41</x:v>
      </x:c>
      <x:c r="B41" s="14" t="str">
        <x:v>2605.04442</x:v>
      </x:c>
      <x:c r="C41" s="14" t="str">
        <x:v>2026-05</x:v>
      </x:c>
      <x:c r="D41" s="14" t="str">
        <x:v>AP</x:v>
      </x:c>
      <x:c r="E41" s="14" t="str">
        <x:v>Ginzburg-Landau asymptotics</x:v>
      </x:c>
      <x:c r="F41" s="14" t="str">
        <x:v>Asymptotics of Minimizers for Ginzburg-Landau-type Functionals in High Dimensions</x:v>
      </x:c>
      <x:c r="G41" s="14" t="str">
        <x:v>Giacomo Canevari; Haotong Fu; Wei Wang</x:v>
      </x:c>
      <x:c r="H41" s="30" t="n">
        <x:v>42</x:v>
      </x:c>
      <x:c r="I41" s="14" t="str">
        <x:v>https://arxiv.org/abs/2605.04442</x:v>
      </x:c>
      <x:c r="J41" s="14" t="str">
        <x:v>High-dimensional GL minimizer asymptotics; mature variational analysis.</x:v>
      </x:c>
      <x:c r="K41" s="28" t="n">
        <x:v>89</x:v>
      </x:c>
      <x:c r="L41" s="28" t="n">
        <x:v>88</x:v>
      </x:c>
      <x:c r="M41" s="28" t="n">
        <x:v>89</x:v>
      </x:c>
      <x:c r="N41" s="28" t="n">
        <x:v>85</x:v>
      </x:c>
      <x:c r="O41" s="28" t="n">
        <x:v>89</x:v>
      </x:c>
      <x:c r="P41" s="28" t="n">
        <x:v>85</x:v>
      </x:c>
      <x:c r="Q41" s="28" t="n">
        <x:v>14</x:v>
      </x:c>
      <x:c r="R41" s="28" t="n">
        <x:v>6</x:v>
      </x:c>
      <x:c r="S41" s="28" t="n">
        <x:f>ROUND(0.30*K41+0.20*L41+0.25*M41+0.15*N41+0.10*P41,1)</x:f>
        <x:v>87.8</x:v>
      </x:c>
      <x:c r="T41" s="28" t="n">
        <x:f>ROUND(0.30*O41+0.20*M41+0.20*L41+0.15*P41+0.15*(100-Q41),1)</x:f>
        <x:v>87.8</x:v>
      </x:c>
      <x:c r="U41" s="28" t="n">
        <x:f>ROUND((S41+T41)/2,1)</x:f>
        <x:v>87.8</x:v>
      </x:c>
      <x:c r="V41" s="14" t="str">
        <x:f>IF(A41&lt;=50,"Top50","")</x:f>
        <x:v>Top50</x:v>
      </x:c>
    </x:row>
    <x:row r="42">
      <x:c r="A42" s="30" t="n">
        <x:f>RANK.EQ(U42,$U$2:$U$93,0)</x:f>
        <x:v>38</x:v>
      </x:c>
      <x:c r="B42" s="14" t="str">
        <x:v>2605.28979</x:v>
      </x:c>
      <x:c r="C42" s="14" t="str">
        <x:v>2026-05</x:v>
      </x:c>
      <x:c r="D42" s="14" t="str">
        <x:v>AP/math-ph/PR</x:v>
      </x:c>
      <x:c r="E42" s="14" t="str">
        <x:v>Mean-field fluctuations</x:v>
      </x:c>
      <x:c r="F42" s="14" t="str">
        <x:v>Singular mean-field limits for fluctuations around equilibrium</x:v>
      </x:c>
      <x:c r="G42" s="14" t="str">
        <x:v>Mitia Duerinckx; Pierre-Emmanuel Jabin</x:v>
      </x:c>
      <x:c r="H42" s="30" t="n">
        <x:v>14</x:v>
      </x:c>
      <x:c r="I42" s="14" t="str">
        <x:v>https://arxiv.org/abs/2605.28979</x:v>
      </x:c>
      <x:c r="J42" s="14" t="str">
        <x:v>Singular mean-field fluctuation limits; concise and methodologically sharp.</x:v>
      </x:c>
      <x:c r="K42" s="28" t="n">
        <x:v>88</x:v>
      </x:c>
      <x:c r="L42" s="28" t="n">
        <x:v>89</x:v>
      </x:c>
      <x:c r="M42" s="28" t="n">
        <x:v>88</x:v>
      </x:c>
      <x:c r="N42" s="28" t="n">
        <x:v>87</x:v>
      </x:c>
      <x:c r="O42" s="28" t="n">
        <x:v>88</x:v>
      </x:c>
      <x:c r="P42" s="28" t="n">
        <x:v>86</x:v>
      </x:c>
      <x:c r="Q42" s="28" t="n">
        <x:v>13</x:v>
      </x:c>
      <x:c r="R42" s="28" t="n">
        <x:v>5</x:v>
      </x:c>
      <x:c r="S42" s="28" t="n">
        <x:f>ROUND(0.30*K42+0.20*L42+0.25*M42+0.15*N42+0.10*P42,1)</x:f>
        <x:v>87.9</x:v>
      </x:c>
      <x:c r="T42" s="28" t="n">
        <x:f>ROUND(0.30*O42+0.20*M42+0.20*L42+0.15*P42+0.15*(100-Q42),1)</x:f>
        <x:v>87.8</x:v>
      </x:c>
      <x:c r="U42" s="28" t="n">
        <x:f>ROUND((S42+T42)/2,1)</x:f>
        <x:v>87.9</x:v>
      </x:c>
      <x:c r="V42" s="14" t="str">
        <x:f>IF(A42&lt;=50,"Top50","")</x:f>
        <x:v>Top50</x:v>
      </x:c>
    </x:row>
    <x:row r="43">
      <x:c r="A43" s="30" t="n">
        <x:f>RANK.EQ(U43,$U$2:$U$93,0)</x:f>
        <x:v>41</x:v>
      </x:c>
      <x:c r="B43" s="14" t="str">
        <x:v>2605.03481</x:v>
      </x:c>
      <x:c r="C43" s="14" t="str">
        <x:v>2026-05</x:v>
      </x:c>
      <x:c r="D43" s="14" t="str">
        <x:v>AP/gr-qc</x:v>
      </x:c>
      <x:c r="E43" s="14" t="str">
        <x:v>Hyperbolic PDE / GR</x:v>
      </x:c>
      <x:c r="F43" s="14" t="str">
        <x:v>Stability of de Sitter Space and Expansion at the Conformal Boundary</x:v>
      </x:c>
      <x:c r="G43" s="14" t="str">
        <x:v>Maurus Leimbacher</x:v>
      </x:c>
      <x:c r="H43" s="30" t="n">
        <x:v>55</x:v>
      </x:c>
      <x:c r="I43" s="14" t="str">
        <x:v>https://arxiv.org/abs/2605.03481</x:v>
      </x:c>
      <x:c r="J43" s="14" t="str">
        <x:v>de Sitter stability with conformal boundary expansion; substantial GR-PDE analysis.</x:v>
      </x:c>
      <x:c r="K43" s="28" t="n">
        <x:v>89</x:v>
      </x:c>
      <x:c r="L43" s="28" t="n">
        <x:v>88</x:v>
      </x:c>
      <x:c r="M43" s="28" t="n">
        <x:v>89</x:v>
      </x:c>
      <x:c r="N43" s="28" t="n">
        <x:v>85</x:v>
      </x:c>
      <x:c r="O43" s="28" t="n">
        <x:v>89</x:v>
      </x:c>
      <x:c r="P43" s="28" t="n">
        <x:v>84</x:v>
      </x:c>
      <x:c r="Q43" s="28" t="n">
        <x:v>13</x:v>
      </x:c>
      <x:c r="R43" s="28" t="n">
        <x:v>6</x:v>
      </x:c>
      <x:c r="S43" s="28" t="n">
        <x:f>ROUND(0.30*K43+0.20*L43+0.25*M43+0.15*N43+0.10*P43,1)</x:f>
        <x:v>87.7</x:v>
      </x:c>
      <x:c r="T43" s="28" t="n">
        <x:f>ROUND(0.30*O43+0.20*M43+0.20*L43+0.15*P43+0.15*(100-Q43),1)</x:f>
        <x:v>87.8</x:v>
      </x:c>
      <x:c r="U43" s="28" t="n">
        <x:f>ROUND((S43+T43)/2,1)</x:f>
        <x:v>87.8</x:v>
      </x:c>
      <x:c r="V43" s="14" t="str">
        <x:f>IF(A43&lt;=50,"Top50","")</x:f>
        <x:v>Top50</x:v>
      </x:c>
    </x:row>
    <x:row r="44">
      <x:c r="A44" s="30" t="n">
        <x:f>RANK.EQ(U44,$U$2:$U$93,0)</x:f>
        <x:v>43</x:v>
      </x:c>
      <x:c r="B44" s="14" t="str">
        <x:v>2605.05422</x:v>
      </x:c>
      <x:c r="C44" s="14" t="str">
        <x:v>2026-05</x:v>
      </x:c>
      <x:c r="D44" s="14" t="str">
        <x:v>AP</x:v>
      </x:c>
      <x:c r="E44" s="14" t="str">
        <x:v>Microlocal harmonic analysis</x:v>
      </x:c>
      <x:c r="F44" s="14" t="str">
        <x:v>An optimal trace estimate for microlocal square functions on quadratic surfaces</x:v>
      </x:c>
      <x:c r="G44" s="14" t="str">
        <x:v>Vicente Vergara</x:v>
      </x:c>
      <x:c r="H44" s="30" t="n">
        <x:v>41</x:v>
      </x:c>
      <x:c r="I44" s="14" t="str">
        <x:v>https://arxiv.org/abs/2605.05422</x:v>
      </x:c>
      <x:c r="J44" s="14" t="str">
        <x:v>Optimal trace estimate for microlocal square functions; high technical harmonic analysis.</x:v>
      </x:c>
      <x:c r="K44" s="28" t="n">
        <x:v>88</x:v>
      </x:c>
      <x:c r="L44" s="28" t="n">
        <x:v>88</x:v>
      </x:c>
      <x:c r="M44" s="28" t="n">
        <x:v>89</x:v>
      </x:c>
      <x:c r="N44" s="28" t="n">
        <x:v>85</x:v>
      </x:c>
      <x:c r="O44" s="28" t="n">
        <x:v>89</x:v>
      </x:c>
      <x:c r="P44" s="28" t="n">
        <x:v>85</x:v>
      </x:c>
      <x:c r="Q44" s="28" t="n">
        <x:v>14</x:v>
      </x:c>
      <x:c r="R44" s="28" t="n">
        <x:v>6</x:v>
      </x:c>
      <x:c r="S44" s="28" t="n">
        <x:f>ROUND(0.30*K44+0.20*L44+0.25*M44+0.15*N44+0.10*P44,1)</x:f>
        <x:v>87.5</x:v>
      </x:c>
      <x:c r="T44" s="28" t="n">
        <x:f>ROUND(0.30*O44+0.20*M44+0.20*L44+0.15*P44+0.15*(100-Q44),1)</x:f>
        <x:v>87.8</x:v>
      </x:c>
      <x:c r="U44" s="28" t="n">
        <x:f>ROUND((S44+T44)/2,1)</x:f>
        <x:v>87.7</x:v>
      </x:c>
      <x:c r="V44" s="14" t="str">
        <x:f>IF(A44&lt;=50,"Top50","")</x:f>
        <x:v>Top50</x:v>
      </x:c>
    </x:row>
    <x:row r="45">
      <x:c r="A45" s="30" t="n">
        <x:f>RANK.EQ(U45,$U$2:$U$93,0)</x:f>
        <x:v>43</x:v>
      </x:c>
      <x:c r="B45" s="14" t="str">
        <x:v>2605.02176</x:v>
      </x:c>
      <x:c r="C45" s="14" t="str">
        <x:v>2026-05</x:v>
      </x:c>
      <x:c r="D45" s="14" t="str">
        <x:v>AP</x:v>
      </x:c>
      <x:c r="E45" s="14" t="str">
        <x:v>Nonlocal minimal surfaces</x:v>
      </x:c>
      <x:c r="F45" s="14" t="str">
        <x:v>Volumetric density estimates for nonlocal minimal surfaces</x:v>
      </x:c>
      <x:c r="G45" s="14" t="str">
        <x:v>Mateusz Kwasnicki; Jack Thompson</x:v>
      </x:c>
      <x:c r="H45" s="30"/>
      <x:c r="I45" s="14" t="str">
        <x:v>https://arxiv.org/abs/2605.02176</x:v>
      </x:c>
      <x:c r="J45" s="14" t="str">
        <x:v>Density estimates for nonlocal minimal surfaces; useful nonlocal regularity input.</x:v>
      </x:c>
      <x:c r="K45" s="28" t="n">
        <x:v>88</x:v>
      </x:c>
      <x:c r="L45" s="28" t="n">
        <x:v>88</x:v>
      </x:c>
      <x:c r="M45" s="28" t="n">
        <x:v>89</x:v>
      </x:c>
      <x:c r="N45" s="28" t="n">
        <x:v>84</x:v>
      </x:c>
      <x:c r="O45" s="28" t="n">
        <x:v>89</x:v>
      </x:c>
      <x:c r="P45" s="28" t="n">
        <x:v>86</x:v>
      </x:c>
      <x:c r="Q45" s="28" t="n">
        <x:v>14</x:v>
      </x:c>
      <x:c r="R45" s="28" t="n">
        <x:v>6</x:v>
      </x:c>
      <x:c r="S45" s="28" t="n">
        <x:f>ROUND(0.30*K45+0.20*L45+0.25*M45+0.15*N45+0.10*P45,1)</x:f>
        <x:v>87.4</x:v>
      </x:c>
      <x:c r="T45" s="28" t="n">
        <x:f>ROUND(0.30*O45+0.20*M45+0.20*L45+0.15*P45+0.15*(100-Q45),1)</x:f>
        <x:v>87.9</x:v>
      </x:c>
      <x:c r="U45" s="28" t="n">
        <x:f>ROUND((S45+T45)/2,1)</x:f>
        <x:v>87.7</x:v>
      </x:c>
      <x:c r="V45" s="14" t="str">
        <x:f>IF(A45&lt;=50,"Top50","")</x:f>
        <x:v>Top50</x:v>
      </x:c>
    </x:row>
    <x:row r="46">
      <x:c r="A46" s="30" t="n">
        <x:f>RANK.EQ(U46,$U$2:$U$93,0)</x:f>
        <x:v>45</x:v>
      </x:c>
      <x:c r="B46" s="14" t="str">
        <x:v>2605.05869</x:v>
      </x:c>
      <x:c r="C46" s="14" t="str">
        <x:v>2026-05</x:v>
      </x:c>
      <x:c r="D46" s="14" t="str">
        <x:v>AP</x:v>
      </x:c>
      <x:c r="E46" s="14" t="str">
        <x:v>Water waves / homogenization</x:v>
      </x:c>
      <x:c r="F46" s="14" t="str">
        <x:v>Consistency analysis for combined homogenization and shallow water limit of water waves</x:v>
      </x:c>
      <x:c r="G46" s="14" t="str">
        <x:v>Antoine Gloria; David Lee</x:v>
      </x:c>
      <x:c r="H46" s="30"/>
      <x:c r="I46" s="14" t="str">
        <x:v>https://arxiv.org/abs/2605.05869</x:v>
      </x:c>
      <x:c r="J46" s="14" t="str">
        <x:v>Combines homogenization with shallow-water limit; strong analysis but narrower scope.</x:v>
      </x:c>
      <x:c r="K46" s="28" t="n">
        <x:v>88</x:v>
      </x:c>
      <x:c r="L46" s="28" t="n">
        <x:v>88</x:v>
      </x:c>
      <x:c r="M46" s="28" t="n">
        <x:v>89</x:v>
      </x:c>
      <x:c r="N46" s="28" t="n">
        <x:v>84</x:v>
      </x:c>
      <x:c r="O46" s="28" t="n">
        <x:v>89</x:v>
      </x:c>
      <x:c r="P46" s="28" t="n">
        <x:v>85</x:v>
      </x:c>
      <x:c r="Q46" s="28" t="n">
        <x:v>14</x:v>
      </x:c>
      <x:c r="R46" s="28" t="n">
        <x:v>6</x:v>
      </x:c>
      <x:c r="S46" s="28" t="n">
        <x:f>ROUND(0.30*K46+0.20*L46+0.25*M46+0.15*N46+0.10*P46,1)</x:f>
        <x:v>87.4</x:v>
      </x:c>
      <x:c r="T46" s="28" t="n">
        <x:f>ROUND(0.30*O46+0.20*M46+0.20*L46+0.15*P46+0.15*(100-Q46),1)</x:f>
        <x:v>87.8</x:v>
      </x:c>
      <x:c r="U46" s="28" t="n">
        <x:f>ROUND((S46+T46)/2,1)</x:f>
        <x:v>87.6</x:v>
      </x:c>
      <x:c r="V46" s="14" t="str">
        <x:f>IF(A46&lt;=50,"Top50","")</x:f>
        <x:v>Top50</x:v>
      </x:c>
    </x:row>
    <x:row r="47">
      <x:c r="A47" s="30" t="n">
        <x:f>RANK.EQ(U47,$U$2:$U$93,0)</x:f>
        <x:v>45</x:v>
      </x:c>
      <x:c r="B47" s="14" t="str">
        <x:v>2605.06128</x:v>
      </x:c>
      <x:c r="C47" s="14" t="str">
        <x:v>2026-05</x:v>
      </x:c>
      <x:c r="D47" s="14" t="str">
        <x:v>AP</x:v>
      </x:c>
      <x:c r="E47" s="14" t="str">
        <x:v>Fractional geometric PDE</x:v>
      </x:c>
      <x:c r="F47" s="14" t="str">
        <x:v>Uniform small energy regularity for fractional geometric problems</x:v>
      </x:c>
      <x:c r="G47" s="14" t="str">
        <x:v>Marco Badran; Giacomo Cozzi</x:v>
      </x:c>
      <x:c r="H47" s="30" t="n">
        <x:v>21</x:v>
      </x:c>
      <x:c r="I47" s="14" t="str">
        <x:v>https://arxiv.org/abs/2605.06128</x:v>
      </x:c>
      <x:c r="J47" s="14" t="str">
        <x:v>Uniform small-energy regularity for fractional geometric variational problems.</x:v>
      </x:c>
      <x:c r="K47" s="28" t="n">
        <x:v>88</x:v>
      </x:c>
      <x:c r="L47" s="28" t="n">
        <x:v>88</x:v>
      </x:c>
      <x:c r="M47" s="28" t="n">
        <x:v>89</x:v>
      </x:c>
      <x:c r="N47" s="28" t="n">
        <x:v>84</x:v>
      </x:c>
      <x:c r="O47" s="28" t="n">
        <x:v>89</x:v>
      </x:c>
      <x:c r="P47" s="28" t="n">
        <x:v>85</x:v>
      </x:c>
      <x:c r="Q47" s="28" t="n">
        <x:v>14</x:v>
      </x:c>
      <x:c r="R47" s="28" t="n">
        <x:v>6</x:v>
      </x:c>
      <x:c r="S47" s="28" t="n">
        <x:f>ROUND(0.30*K47+0.20*L47+0.25*M47+0.15*N47+0.10*P47,1)</x:f>
        <x:v>87.4</x:v>
      </x:c>
      <x:c r="T47" s="28" t="n">
        <x:f>ROUND(0.30*O47+0.20*M47+0.20*L47+0.15*P47+0.15*(100-Q47),1)</x:f>
        <x:v>87.8</x:v>
      </x:c>
      <x:c r="U47" s="28" t="n">
        <x:f>ROUND((S47+T47)/2,1)</x:f>
        <x:v>87.6</x:v>
      </x:c>
      <x:c r="V47" s="14" t="str">
        <x:f>IF(A47&lt;=50,"Top50","")</x:f>
        <x:v>Top50</x:v>
      </x:c>
    </x:row>
    <x:row r="48">
      <x:c r="A48" s="30" t="n">
        <x:f>RANK.EQ(U48,$U$2:$U$93,0)</x:f>
        <x:v>48</x:v>
      </x:c>
      <x:c r="B48" s="14" t="str">
        <x:v>2605.28504</x:v>
      </x:c>
      <x:c r="C48" s="14" t="str">
        <x:v>2026-05</x:v>
      </x:c>
      <x:c r="D48" s="14" t="str">
        <x:v>AP/DG</x:v>
      </x:c>
      <x:c r="E48" s="14" t="str">
        <x:v>Minimal surfaces</x:v>
      </x:c>
      <x:c r="F48" s="14" t="str">
        <x:v>Minimal surfaces with rapid area growth</x:v>
      </x:c>
      <x:c r="G48" s="14" t="str">
        <x:v>Tobias Holck Colding; Francisco Martin; William P. Minicozzi II</x:v>
      </x:c>
      <x:c r="H48" s="30"/>
      <x:c r="I48" s="14" t="str">
        <x:v>https://arxiv.org/abs/2605.28504</x:v>
      </x:c>
      <x:c r="J48" s="14" t="str">
        <x:v>Construction/example paper by leading minimal surface authors; concise but important.</x:v>
      </x:c>
      <x:c r="K48" s="28" t="n">
        <x:v>88</x:v>
      </x:c>
      <x:c r="L48" s="28" t="n">
        <x:v>89</x:v>
      </x:c>
      <x:c r="M48" s="28" t="n">
        <x:v>87</x:v>
      </x:c>
      <x:c r="N48" s="28" t="n">
        <x:v>87</x:v>
      </x:c>
      <x:c r="O48" s="28" t="n">
        <x:v>87</x:v>
      </x:c>
      <x:c r="P48" s="28" t="n">
        <x:v>86</x:v>
      </x:c>
      <x:c r="Q48" s="28" t="n">
        <x:v>13</x:v>
      </x:c>
      <x:c r="R48" s="28" t="n">
        <x:v>5</x:v>
      </x:c>
      <x:c r="S48" s="28" t="n">
        <x:f>ROUND(0.30*K48+0.20*L48+0.25*M48+0.15*N48+0.10*P48,1)</x:f>
        <x:v>87.6</x:v>
      </x:c>
      <x:c r="T48" s="28" t="n">
        <x:f>ROUND(0.30*O48+0.20*M48+0.20*L48+0.15*P48+0.15*(100-Q48),1)</x:f>
        <x:v>87.3</x:v>
      </x:c>
      <x:c r="U48" s="28" t="n">
        <x:f>ROUND((S48+T48)/2,1)</x:f>
        <x:v>87.4</x:v>
      </x:c>
      <x:c r="V48" s="14" t="str">
        <x:f>IF(A48&lt;=50,"Top50","")</x:f>
        <x:v>Top50</x:v>
      </x:c>
    </x:row>
    <x:row r="49">
      <x:c r="A49" s="30" t="n">
        <x:f>RANK.EQ(U49,$U$2:$U$93,0)</x:f>
        <x:v>47</x:v>
      </x:c>
      <x:c r="B49" s="14" t="str">
        <x:v>2605.00694</x:v>
      </x:c>
      <x:c r="C49" s="14" t="str">
        <x:v>2026-05</x:v>
      </x:c>
      <x:c r="D49" s="14" t="str">
        <x:v>AP/OC</x:v>
      </x:c>
      <x:c r="E49" s="14" t="str">
        <x:v>Free boundary / control</x:v>
      </x:c>
      <x:c r="F49" s="14" t="str">
        <x:v>Unstable free boundary problems in optimal control theory: existence and regularity</x:v>
      </x:c>
      <x:c r="G49" s="14" t="str">
        <x:v>Lorenzo Ferreri; Idriss Mazari-Fouquer; Raphael Prunier</x:v>
      </x:c>
      <x:c r="H49" s="30" t="n">
        <x:v>61</x:v>
      </x:c>
      <x:c r="I49" s="14" t="str">
        <x:v>https://arxiv.org/abs/2605.00694</x:v>
      </x:c>
      <x:c r="J49" s="14" t="str">
        <x:v>Existence and regularity for unstable optimal-control free boundaries.</x:v>
      </x:c>
      <x:c r="K49" s="28" t="n">
        <x:v>88</x:v>
      </x:c>
      <x:c r="L49" s="28" t="n">
        <x:v>88</x:v>
      </x:c>
      <x:c r="M49" s="28" t="n">
        <x:v>89</x:v>
      </x:c>
      <x:c r="N49" s="28" t="n">
        <x:v>84</x:v>
      </x:c>
      <x:c r="O49" s="28" t="n">
        <x:v>89</x:v>
      </x:c>
      <x:c r="P49" s="28" t="n">
        <x:v>85</x:v>
      </x:c>
      <x:c r="Q49" s="28" t="n">
        <x:v>15</x:v>
      </x:c>
      <x:c r="R49" s="28" t="n">
        <x:v>6</x:v>
      </x:c>
      <x:c r="S49" s="28" t="n">
        <x:f>ROUND(0.30*K49+0.20*L49+0.25*M49+0.15*N49+0.10*P49,1)</x:f>
        <x:v>87.4</x:v>
      </x:c>
      <x:c r="T49" s="28" t="n">
        <x:f>ROUND(0.30*O49+0.20*M49+0.20*L49+0.15*P49+0.15*(100-Q49),1)</x:f>
        <x:v>87.6</x:v>
      </x:c>
      <x:c r="U49" s="28" t="n">
        <x:f>ROUND((S49+T49)/2,1)</x:f>
        <x:v>87.5</x:v>
      </x:c>
      <x:c r="V49" s="14" t="str">
        <x:f>IF(A49&lt;=50,"Top50","")</x:f>
        <x:v>Top50</x:v>
      </x:c>
    </x:row>
    <x:row r="50">
      <x:c r="A50" s="30" t="n">
        <x:f>RANK.EQ(U50,$U$2:$U$93,0)</x:f>
        <x:v>48</x:v>
      </x:c>
      <x:c r="B50" s="14" t="str">
        <x:v>2605.00439</x:v>
      </x:c>
      <x:c r="C50" s="14" t="str">
        <x:v>2026-05</x:v>
      </x:c>
      <x:c r="D50" s="14" t="str">
        <x:v>AP</x:v>
      </x:c>
      <x:c r="E50" s="14" t="str">
        <x:v>Elliptic/parabolic weak solutions</x:v>
      </x:c>
      <x:c r="F50" s="14" t="str">
        <x:v>Existence and uniqueness of weak solutions to quasilinear PDEs with critical data</x:v>
      </x:c>
      <x:c r="G50" s="14" t="str">
        <x:v>Pascal Auscher; Sebastian Bechtel</x:v>
      </x:c>
      <x:c r="H50" s="30" t="n">
        <x:v>20</x:v>
      </x:c>
      <x:c r="I50" s="14" t="str">
        <x:v>https://arxiv.org/abs/2605.00439</x:v>
      </x:c>
      <x:c r="J50" s="14" t="str">
        <x:v>Critical-data weak solution theory by high-end harmonic analysis methods.</x:v>
      </x:c>
      <x:c r="K50" s="28" t="n">
        <x:v>88</x:v>
      </x:c>
      <x:c r="L50" s="28" t="n">
        <x:v>87</x:v>
      </x:c>
      <x:c r="M50" s="28" t="n">
        <x:v>89</x:v>
      </x:c>
      <x:c r="N50" s="28" t="n">
        <x:v>84</x:v>
      </x:c>
      <x:c r="O50" s="28" t="n">
        <x:v>89</x:v>
      </x:c>
      <x:c r="P50" s="28" t="n">
        <x:v>86</x:v>
      </x:c>
      <x:c r="Q50" s="28" t="n">
        <x:v>15</x:v>
      </x:c>
      <x:c r="R50" s="28" t="n">
        <x:v>6</x:v>
      </x:c>
      <x:c r="S50" s="28" t="n">
        <x:f>ROUND(0.30*K50+0.20*L50+0.25*M50+0.15*N50+0.10*P50,1)</x:f>
        <x:v>87.2</x:v>
      </x:c>
      <x:c r="T50" s="28" t="n">
        <x:f>ROUND(0.30*O50+0.20*M50+0.20*L50+0.15*P50+0.15*(100-Q50),1)</x:f>
        <x:v>87.6</x:v>
      </x:c>
      <x:c r="U50" s="28" t="n">
        <x:f>ROUND((S50+T50)/2,1)</x:f>
        <x:v>87.4</x:v>
      </x:c>
      <x:c r="V50" s="14" t="str">
        <x:f>IF(A50&lt;=50,"Top50","")</x:f>
        <x:v>Top50</x:v>
      </x:c>
    </x:row>
    <x:row r="51">
      <x:c r="A51" s="30" t="n">
        <x:f>RANK.EQ(U51,$U$2:$U$93,0)</x:f>
        <x:v>48</x:v>
      </x:c>
      <x:c r="B51" s="14" t="str">
        <x:v>2605.02345</x:v>
      </x:c>
      <x:c r="C51" s="14" t="str">
        <x:v>2026-05</x:v>
      </x:c>
      <x:c r="D51" s="14" t="str">
        <x:v>AP</x:v>
      </x:c>
      <x:c r="E51" s="14" t="str">
        <x:v>Fully nonlinear elliptic regularity</x:v>
      </x:c>
      <x:c r="F51" s="14" t="str">
        <x:v>Sharp regularity for a class of degenerate/singular fully nonlinear elliptic equations with Hamiltonian terms</x:v>
      </x:c>
      <x:c r="G51" s="14" t="str">
        <x:v>Wentao Huo; Xiaofeng Jin; Lingwei Ma; Zhenqiu Zhang</x:v>
      </x:c>
      <x:c r="H51" s="30" t="n">
        <x:v>28</x:v>
      </x:c>
      <x:c r="I51" s="14" t="str">
        <x:v>https://arxiv.org/abs/2605.02345</x:v>
      </x:c>
      <x:c r="J51" s="14" t="str">
        <x:v>Sharp regularity for degenerate/singular fully nonlinear elliptic equations.</x:v>
      </x:c>
      <x:c r="K51" s="28" t="n">
        <x:v>88</x:v>
      </x:c>
      <x:c r="L51" s="28" t="n">
        <x:v>87</x:v>
      </x:c>
      <x:c r="M51" s="28" t="n">
        <x:v>89</x:v>
      </x:c>
      <x:c r="N51" s="28" t="n">
        <x:v>84</x:v>
      </x:c>
      <x:c r="O51" s="28" t="n">
        <x:v>89</x:v>
      </x:c>
      <x:c r="P51" s="28" t="n">
        <x:v>86</x:v>
      </x:c>
      <x:c r="Q51" s="28" t="n">
        <x:v>15</x:v>
      </x:c>
      <x:c r="R51" s="28" t="n">
        <x:v>6</x:v>
      </x:c>
      <x:c r="S51" s="28" t="n">
        <x:f>ROUND(0.30*K51+0.20*L51+0.25*M51+0.15*N51+0.10*P51,1)</x:f>
        <x:v>87.2</x:v>
      </x:c>
      <x:c r="T51" s="28" t="n">
        <x:f>ROUND(0.30*O51+0.20*M51+0.20*L51+0.15*P51+0.15*(100-Q51),1)</x:f>
        <x:v>87.6</x:v>
      </x:c>
      <x:c r="U51" s="28" t="n">
        <x:f>ROUND((S51+T51)/2,1)</x:f>
        <x:v>87.4</x:v>
      </x:c>
      <x:c r="V51" s="14" t="str">
        <x:f>IF(A51&lt;=50,"Top50","")</x:f>
        <x:v>Top50</x:v>
      </x:c>
    </x:row>
    <x:row r="52">
      <x:c r="A52" s="30" t="n">
        <x:f>RANK.EQ(U52,$U$2:$U$93,0)</x:f>
        <x:v>48</x:v>
      </x:c>
      <x:c r="B52" s="14" t="str">
        <x:v>2605.03220</x:v>
      </x:c>
      <x:c r="C52" s="14" t="str">
        <x:v>2026-05</x:v>
      </x:c>
      <x:c r="D52" s="14" t="str">
        <x:v>AP/gr-qc</x:v>
      </x:c>
      <x:c r="E52" s="14" t="str">
        <x:v>Wave equations / relativity</x:v>
      </x:c>
      <x:c r="F52" s="14" t="str">
        <x:v>Late-time tails for linear waves on radially symmetric stationary spacetimes of two space dimensions</x:v>
      </x:c>
      <x:c r="G52" s="14" t="str">
        <x:v>Onyx Gautam</x:v>
      </x:c>
      <x:c r="H52" s="30" t="n">
        <x:v>59</x:v>
      </x:c>
      <x:c r="I52" s="14" t="str">
        <x:v>https://arxiv.org/abs/2605.03220</x:v>
      </x:c>
      <x:c r="J52" s="14" t="str">
        <x:v>Late-time wave tails in low-dimensional stationary spacetimes.</x:v>
      </x:c>
      <x:c r="K52" s="28" t="n">
        <x:v>88</x:v>
      </x:c>
      <x:c r="L52" s="28" t="n">
        <x:v>88</x:v>
      </x:c>
      <x:c r="M52" s="28" t="n">
        <x:v>89</x:v>
      </x:c>
      <x:c r="N52" s="28" t="n">
        <x:v>84</x:v>
      </x:c>
      <x:c r="O52" s="28" t="n">
        <x:v>89</x:v>
      </x:c>
      <x:c r="P52" s="28" t="n">
        <x:v>84</x:v>
      </x:c>
      <x:c r="Q52" s="28" t="n">
        <x:v>15</x:v>
      </x:c>
      <x:c r="R52" s="28" t="n">
        <x:v>6</x:v>
      </x:c>
      <x:c r="S52" s="28" t="n">
        <x:f>ROUND(0.30*K52+0.20*L52+0.25*M52+0.15*N52+0.10*P52,1)</x:f>
        <x:v>87.3</x:v>
      </x:c>
      <x:c r="T52" s="28" t="n">
        <x:f>ROUND(0.30*O52+0.20*M52+0.20*L52+0.15*P52+0.15*(100-Q52),1)</x:f>
        <x:v>87.5</x:v>
      </x:c>
      <x:c r="U52" s="28" t="n">
        <x:f>ROUND((S52+T52)/2,1)</x:f>
        <x:v>87.4</x:v>
      </x:c>
      <x:c r="V52" s="14" t="str">
        <x:f>IF(A52&lt;=50,"Top50","")</x:f>
        <x:v>Top50</x:v>
      </x:c>
    </x:row>
    <x:row r="53">
      <x:c r="A53" s="30" t="n">
        <x:f>RANK.EQ(U53,$U$2:$U$93,0)</x:f>
        <x:v>53</x:v>
      </x:c>
      <x:c r="B53" s="14" t="str">
        <x:v>2605.03955</x:v>
      </x:c>
      <x:c r="C53" s="14" t="str">
        <x:v>2026-05</x:v>
      </x:c>
      <x:c r="D53" s="14" t="str">
        <x:v>AP</x:v>
      </x:c>
      <x:c r="E53" s="14" t="str">
        <x:v>Fractional perimeters</x:v>
      </x:c>
      <x:c r="F53" s="14" t="str">
        <x:v>Closing the gap: Maz'ya-Shaposhnikova and asymptotics of fractional perimeters</x:v>
      </x:c>
      <x:c r="G53" s="14" t="str">
        <x:v>Elisa Davoli; Alberto Fanizza; Marco Picerni</x:v>
      </x:c>
      <x:c r="H53" s="30"/>
      <x:c r="I53" s="14" t="str">
        <x:v>https://arxiv.org/abs/2605.03955</x:v>
      </x:c>
      <x:c r="J53" s="14" t="str">
        <x:v>Asymptotic/fractional perimeter work tied to Mazya-Shaposhnikova limit.</x:v>
      </x:c>
      <x:c r="K53" s="28" t="n">
        <x:v>88</x:v>
      </x:c>
      <x:c r="L53" s="28" t="n">
        <x:v>88</x:v>
      </x:c>
      <x:c r="M53" s="28" t="n">
        <x:v>88</x:v>
      </x:c>
      <x:c r="N53" s="28" t="n">
        <x:v>84</x:v>
      </x:c>
      <x:c r="O53" s="28" t="n">
        <x:v>88</x:v>
      </x:c>
      <x:c r="P53" s="28" t="n">
        <x:v>86</x:v>
      </x:c>
      <x:c r="Q53" s="28" t="n">
        <x:v>14</x:v>
      </x:c>
      <x:c r="R53" s="28" t="n">
        <x:v>6</x:v>
      </x:c>
      <x:c r="S53" s="28" t="n">
        <x:f>ROUND(0.30*K53+0.20*L53+0.25*M53+0.15*N53+0.10*P53,1)</x:f>
        <x:v>87.2</x:v>
      </x:c>
      <x:c r="T53" s="28" t="n">
        <x:f>ROUND(0.30*O53+0.20*M53+0.20*L53+0.15*P53+0.15*(100-Q53),1)</x:f>
        <x:v>87.4</x:v>
      </x:c>
      <x:c r="U53" s="28" t="n">
        <x:f>ROUND((S53+T53)/2,1)</x:f>
        <x:v>87.3</x:v>
      </x:c>
      <x:c r="V53" s="14" t="str">
        <x:f>IF(A53&lt;=50,"Top50","")</x:f>
      </x:c>
    </x:row>
    <x:row r="54">
      <x:c r="A54" s="30" t="n">
        <x:f>RANK.EQ(U54,$U$2:$U$93,0)</x:f>
        <x:v>48</x:v>
      </x:c>
      <x:c r="B54" s="14" t="str">
        <x:v>2605.08573</x:v>
      </x:c>
      <x:c r="C54" s="14" t="str">
        <x:v>2026-05</x:v>
      </x:c>
      <x:c r="D54" s="14" t="str">
        <x:v>AP</x:v>
      </x:c>
      <x:c r="E54" s="14" t="str">
        <x:v>Boundary layers</x:v>
      </x:c>
      <x:c r="F54" s="14" t="str">
        <x:v>On the Existence of Boundary Layer Separation for Incompressible Fluid Flow in the Half-Space</x:v>
      </x:c>
      <x:c r="G54" s="14" t="str">
        <x:v>Tongkeun Chang; Kyungkeun Kang</x:v>
      </x:c>
      <x:c r="H54" s="30"/>
      <x:c r="I54" s="14" t="str">
        <x:v>https://arxiv.org/abs/2605.08573</x:v>
      </x:c>
      <x:c r="J54" s="14" t="str">
        <x:v>Boundary-layer separation problem in half-space incompressible flow.</x:v>
      </x:c>
      <x:c r="K54" s="28" t="n">
        <x:v>88</x:v>
      </x:c>
      <x:c r="L54" s="28" t="n">
        <x:v>88</x:v>
      </x:c>
      <x:c r="M54" s="28" t="n">
        <x:v>89</x:v>
      </x:c>
      <x:c r="N54" s="28" t="n">
        <x:v>84</x:v>
      </x:c>
      <x:c r="O54" s="28" t="n">
        <x:v>89</x:v>
      </x:c>
      <x:c r="P54" s="28" t="n">
        <x:v>84</x:v>
      </x:c>
      <x:c r="Q54" s="28" t="n">
        <x:v>15</x:v>
      </x:c>
      <x:c r="R54" s="28" t="n">
        <x:v>6</x:v>
      </x:c>
      <x:c r="S54" s="28" t="n">
        <x:f>ROUND(0.30*K54+0.20*L54+0.25*M54+0.15*N54+0.10*P54,1)</x:f>
        <x:v>87.3</x:v>
      </x:c>
      <x:c r="T54" s="28" t="n">
        <x:f>ROUND(0.30*O54+0.20*M54+0.20*L54+0.15*P54+0.15*(100-Q54),1)</x:f>
        <x:v>87.5</x:v>
      </x:c>
      <x:c r="U54" s="28" t="n">
        <x:f>ROUND((S54+T54)/2,1)</x:f>
        <x:v>87.4</x:v>
      </x:c>
      <x:c r="V54" s="14" t="str">
        <x:f>IF(A54&lt;=50,"Top50","")</x:f>
        <x:v>Top50</x:v>
      </x:c>
    </x:row>
    <x:row r="55">
      <x:c r="A55" s="30" t="n">
        <x:f>RANK.EQ(U55,$U$2:$U$93,0)</x:f>
        <x:v>55</x:v>
      </x:c>
      <x:c r="B55" s="14" t="str">
        <x:v>2605.13186</x:v>
      </x:c>
      <x:c r="C55" s="14" t="str">
        <x:v>2026-05</x:v>
      </x:c>
      <x:c r="D55" s="14" t="str">
        <x:v>AP/OC/PR</x:v>
      </x:c>
      <x:c r="E55" s="14" t="str">
        <x:v>Wasserstein gradient flows</x:v>
      </x:c>
      <x:c r="F55" s="14" t="str">
        <x:v>Nesterov acceleration for the Wasserstein minimization of displacement-convex free energies</x:v>
      </x:c>
      <x:c r="G55" s="14" t="str">
        <x:v>Pierre Monmarche</x:v>
      </x:c>
      <x:c r="H55" s="30"/>
      <x:c r="I55" s="14" t="str">
        <x:v>https://arxiv.org/abs/2605.13186</x:v>
      </x:c>
      <x:c r="J55" s="14" t="str">
        <x:v>Acceleration perspective in Wasserstein displacement-convex minimization.</x:v>
      </x:c>
      <x:c r="K55" s="28" t="n">
        <x:v>88</x:v>
      </x:c>
      <x:c r="L55" s="28" t="n">
        <x:v>89</x:v>
      </x:c>
      <x:c r="M55" s="28" t="n">
        <x:v>87</x:v>
      </x:c>
      <x:c r="N55" s="28" t="n">
        <x:v>88</x:v>
      </x:c>
      <x:c r="O55" s="28" t="n">
        <x:v>87</x:v>
      </x:c>
      <x:c r="P55" s="28" t="n">
        <x:v>85</x:v>
      </x:c>
      <x:c r="Q55" s="28" t="n">
        <x:v>16</x:v>
      </x:c>
      <x:c r="R55" s="28" t="n">
        <x:v>6</x:v>
      </x:c>
      <x:c r="S55" s="28" t="n">
        <x:f>ROUND(0.30*K55+0.20*L55+0.25*M55+0.15*N55+0.10*P55,1)</x:f>
        <x:v>87.7</x:v>
      </x:c>
      <x:c r="T55" s="28" t="n">
        <x:f>ROUND(0.30*O55+0.20*M55+0.20*L55+0.15*P55+0.15*(100-Q55),1)</x:f>
        <x:v>86.6</x:v>
      </x:c>
      <x:c r="U55" s="28" t="n">
        <x:f>ROUND((S55+T55)/2,1)</x:f>
        <x:v>87.2</x:v>
      </x:c>
      <x:c r="V55" s="14" t="str">
        <x:f>IF(A55&lt;=50,"Top50","")</x:f>
      </x:c>
    </x:row>
    <x:row r="56">
      <x:c r="A56" s="30" t="n">
        <x:f>RANK.EQ(U56,$U$2:$U$93,0)</x:f>
        <x:v>53</x:v>
      </x:c>
      <x:c r="B56" s="14" t="str">
        <x:v>2605.01491</x:v>
      </x:c>
      <x:c r="C56" s="14" t="str">
        <x:v>2026-05</x:v>
      </x:c>
      <x:c r="D56" s="14" t="str">
        <x:v>AP</x:v>
      </x:c>
      <x:c r="E56" s="14" t="str">
        <x:v>2D Euler stability</x:v>
      </x:c>
      <x:c r="F56" s="14" t="str">
        <x:v>On the stability of Lamb-Chaplygin dipole for the 2D Euler equation</x:v>
      </x:c>
      <x:c r="G56" s="14" t="str">
        <x:v>Zexing Li; Peicong Song; Tao Zhou</x:v>
      </x:c>
      <x:c r="H56" s="30" t="n">
        <x:v>37</x:v>
      </x:c>
      <x:c r="I56" s="14" t="str">
        <x:v>https://arxiv.org/abs/2605.01491</x:v>
      </x:c>
      <x:c r="J56" s="14" t="str">
        <x:v>Stability of a classical vortex structure; narrower than major Euler singularity papers.</x:v>
      </x:c>
      <x:c r="K56" s="28" t="n">
        <x:v>88</x:v>
      </x:c>
      <x:c r="L56" s="28" t="n">
        <x:v>87</x:v>
      </x:c>
      <x:c r="M56" s="28" t="n">
        <x:v>89</x:v>
      </x:c>
      <x:c r="N56" s="28" t="n">
        <x:v>84</x:v>
      </x:c>
      <x:c r="O56" s="28" t="n">
        <x:v>89</x:v>
      </x:c>
      <x:c r="P56" s="28" t="n">
        <x:v>85</x:v>
      </x:c>
      <x:c r="Q56" s="28" t="n">
        <x:v>15</x:v>
      </x:c>
      <x:c r="R56" s="28" t="n">
        <x:v>6</x:v>
      </x:c>
      <x:c r="S56" s="28" t="n">
        <x:f>ROUND(0.30*K56+0.20*L56+0.25*M56+0.15*N56+0.10*P56,1)</x:f>
        <x:v>87.1</x:v>
      </x:c>
      <x:c r="T56" s="28" t="n">
        <x:f>ROUND(0.30*O56+0.20*M56+0.20*L56+0.15*P56+0.15*(100-Q56),1)</x:f>
        <x:v>87.4</x:v>
      </x:c>
      <x:c r="U56" s="28" t="n">
        <x:f>ROUND((S56+T56)/2,1)</x:f>
        <x:v>87.3</x:v>
      </x:c>
      <x:c r="V56" s="14" t="str">
        <x:f>IF(A56&lt;=50,"Top50","")</x:f>
      </x:c>
    </x:row>
    <x:row r="57">
      <x:c r="A57" s="30" t="n">
        <x:f>RANK.EQ(U57,$U$2:$U$93,0)</x:f>
        <x:v>59</x:v>
      </x:c>
      <x:c r="B57" s="14" t="str">
        <x:v>2605.02612</x:v>
      </x:c>
      <x:c r="C57" s="14" t="str">
        <x:v>2026-05</x:v>
      </x:c>
      <x:c r="D57" s="14" t="str">
        <x:v>AP</x:v>
      </x:c>
      <x:c r="E57" s="14" t="str">
        <x:v>Conservation laws / crowd models</x:v>
      </x:c>
      <x:c r="F57" s="14" t="str">
        <x:v>A stiff limit of non-homogeneous conservation laws for crowd motion modeling</x:v>
      </x:c>
      <x:c r="G57" s="14" t="str">
        <x:v>Nicolas Masson; Benoit Perthame; Filippo Santambrogio</x:v>
      </x:c>
      <x:c r="H57" s="30" t="n">
        <x:v>32</x:v>
      </x:c>
      <x:c r="I57" s="14" t="str">
        <x:v>https://arxiv.org/abs/2605.02612</x:v>
      </x:c>
      <x:c r="J57" s="14" t="str">
        <x:v>Limit analysis with notable modeling relevance and strong PDE authorship.</x:v>
      </x:c>
      <x:c r="K57" s="28" t="n">
        <x:v>88</x:v>
      </x:c>
      <x:c r="L57" s="28" t="n">
        <x:v>87</x:v>
      </x:c>
      <x:c r="M57" s="28" t="n">
        <x:v>88</x:v>
      </x:c>
      <x:c r="N57" s="28" t="n">
        <x:v>85</x:v>
      </x:c>
      <x:c r="O57" s="28" t="n">
        <x:v>88</x:v>
      </x:c>
      <x:c r="P57" s="28" t="n">
        <x:v>86</x:v>
      </x:c>
      <x:c r="Q57" s="28" t="n">
        <x:v>15</x:v>
      </x:c>
      <x:c r="R57" s="28" t="n">
        <x:v>6</x:v>
      </x:c>
      <x:c r="S57" s="28" t="n">
        <x:f>ROUND(0.30*K57+0.20*L57+0.25*M57+0.15*N57+0.10*P57,1)</x:f>
        <x:v>87.1</x:v>
      </x:c>
      <x:c r="T57" s="28" t="n">
        <x:f>ROUND(0.30*O57+0.20*M57+0.20*L57+0.15*P57+0.15*(100-Q57),1)</x:f>
        <x:v>87.1</x:v>
      </x:c>
      <x:c r="U57" s="28" t="n">
        <x:f>ROUND((S57+T57)/2,1)</x:f>
        <x:v>87.1</x:v>
      </x:c>
      <x:c r="V57" s="14" t="str">
        <x:f>IF(A57&lt;=50,"Top50","")</x:f>
      </x:c>
    </x:row>
    <x:row r="58">
      <x:c r="A58" s="30" t="n">
        <x:f>RANK.EQ(U58,$U$2:$U$93,0)</x:f>
        <x:v>55</x:v>
      </x:c>
      <x:c r="B58" s="14" t="str">
        <x:v>2605.17233</x:v>
      </x:c>
      <x:c r="C58" s="14" t="str">
        <x:v>2026-05</x:v>
      </x:c>
      <x:c r="D58" s="14" t="str">
        <x:v>AP/DG</x:v>
      </x:c>
      <x:c r="E58" s="14" t="str">
        <x:v>Dispersive PDE on manifolds</x:v>
      </x:c>
      <x:c r="F58" s="14" t="str">
        <x:v>Geometric uncertainty principles for Schrodinger evolutions on negatively curved manifolds</x:v>
      </x:c>
      <x:c r="G58" s="14" t="str">
        <x:v>Changxing Miao; Yilin Song; Ruihan Zhou</x:v>
      </x:c>
      <x:c r="H58" s="30"/>
      <x:c r="I58" s="14" t="str">
        <x:v>https://arxiv.org/abs/2605.17233</x:v>
      </x:c>
      <x:c r="J58" s="14" t="str">
        <x:v>Uncertainty principles for Schrodinger evolution on negative curvature.</x:v>
      </x:c>
      <x:c r="K58" s="28" t="n">
        <x:v>87</x:v>
      </x:c>
      <x:c r="L58" s="28" t="n">
        <x:v>88</x:v>
      </x:c>
      <x:c r="M58" s="28" t="n">
        <x:v>88</x:v>
      </x:c>
      <x:c r="N58" s="28" t="n">
        <x:v>85</x:v>
      </x:c>
      <x:c r="O58" s="28" t="n">
        <x:v>88</x:v>
      </x:c>
      <x:c r="P58" s="28" t="n">
        <x:v>85</x:v>
      </x:c>
      <x:c r="Q58" s="28" t="n">
        <x:v>14</x:v>
      </x:c>
      <x:c r="R58" s="28" t="n">
        <x:v>6</x:v>
      </x:c>
      <x:c r="S58" s="28" t="n">
        <x:f>ROUND(0.30*K58+0.20*L58+0.25*M58+0.15*N58+0.10*P58,1)</x:f>
        <x:v>87</x:v>
      </x:c>
      <x:c r="T58" s="28" t="n">
        <x:f>ROUND(0.30*O58+0.20*M58+0.20*L58+0.15*P58+0.15*(100-Q58),1)</x:f>
        <x:v>87.3</x:v>
      </x:c>
      <x:c r="U58" s="28" t="n">
        <x:f>ROUND((S58+T58)/2,1)</x:f>
        <x:v>87.2</x:v>
      </x:c>
      <x:c r="V58" s="14" t="str">
        <x:f>IF(A58&lt;=50,"Top50","")</x:f>
      </x:c>
    </x:row>
    <x:row r="59">
      <x:c r="A59" s="30" t="n">
        <x:f>RANK.EQ(U59,$U$2:$U$93,0)</x:f>
        <x:v>55</x:v>
      </x:c>
      <x:c r="B59" s="14" t="str">
        <x:v>2605.23229</x:v>
      </x:c>
      <x:c r="C59" s="14" t="str">
        <x:v>2026-05</x:v>
      </x:c>
      <x:c r="D59" s="14" t="str">
        <x:v>AP</x:v>
      </x:c>
      <x:c r="E59" s="14" t="str">
        <x:v>Dispersive PDE / boundary</x:v>
      </x:c>
      <x:c r="F59" s="14" t="str">
        <x:v>Strichartz estimates for Schrodinger equations with nonlinear boundary interactions</x:v>
      </x:c>
      <x:c r="G59" s="14" t="str">
        <x:v>Nicola Garofalo; Gigliola Staffilani</x:v>
      </x:c>
      <x:c r="H59" s="30"/>
      <x:c r="I59" s="14" t="str">
        <x:v>https://arxiv.org/abs/2605.23229</x:v>
      </x:c>
      <x:c r="J59" s="14" t="str">
        <x:v>Strichartz estimates with nonlinear boundary interaction.</x:v>
      </x:c>
      <x:c r="K59" s="28" t="n">
        <x:v>87</x:v>
      </x:c>
      <x:c r="L59" s="28" t="n">
        <x:v>88</x:v>
      </x:c>
      <x:c r="M59" s="28" t="n">
        <x:v>88</x:v>
      </x:c>
      <x:c r="N59" s="28" t="n">
        <x:v>85</x:v>
      </x:c>
      <x:c r="O59" s="28" t="n">
        <x:v>88</x:v>
      </x:c>
      <x:c r="P59" s="28" t="n">
        <x:v>85</x:v>
      </x:c>
      <x:c r="Q59" s="28" t="n">
        <x:v>14</x:v>
      </x:c>
      <x:c r="R59" s="28" t="n">
        <x:v>6</x:v>
      </x:c>
      <x:c r="S59" s="28" t="n">
        <x:f>ROUND(0.30*K59+0.20*L59+0.25*M59+0.15*N59+0.10*P59,1)</x:f>
        <x:v>87</x:v>
      </x:c>
      <x:c r="T59" s="28" t="n">
        <x:f>ROUND(0.30*O59+0.20*M59+0.20*L59+0.15*P59+0.15*(100-Q59),1)</x:f>
        <x:v>87.3</x:v>
      </x:c>
      <x:c r="U59" s="28" t="n">
        <x:f>ROUND((S59+T59)/2,1)</x:f>
        <x:v>87.2</x:v>
      </x:c>
      <x:c r="V59" s="14" t="str">
        <x:f>IF(A59&lt;=50,"Top50","")</x:f>
      </x:c>
    </x:row>
    <x:row r="60">
      <x:c r="A60" s="30" t="n">
        <x:f>RANK.EQ(U60,$U$2:$U$93,0)</x:f>
        <x:v>55</x:v>
      </x:c>
      <x:c r="B60" s="14" t="str">
        <x:v>2605.23731</x:v>
      </x:c>
      <x:c r="C60" s="14" t="str">
        <x:v>2026-05</x:v>
      </x:c>
      <x:c r="D60" s="14" t="str">
        <x:v>AP/PR</x:v>
      </x:c>
      <x:c r="E60" s="14" t="str">
        <x:v>Optimal transport regularity</x:v>
      </x:c>
      <x:c r="F60" s="14" t="str">
        <x:v>Global estimates on the Brenier map</x:v>
      </x:c>
      <x:c r="G60" s="14" t="str">
        <x:v>Andrea Bidoia</x:v>
      </x:c>
      <x:c r="H60" s="30"/>
      <x:c r="I60" s="14" t="str">
        <x:v>https://arxiv.org/abs/2605.23731</x:v>
      </x:c>
      <x:c r="J60" s="14" t="str">
        <x:v>Global estimates on Brenier maps; solid OT/PDE content.</x:v>
      </x:c>
      <x:c r="K60" s="28" t="n">
        <x:v>87</x:v>
      </x:c>
      <x:c r="L60" s="28" t="n">
        <x:v>88</x:v>
      </x:c>
      <x:c r="M60" s="28" t="n">
        <x:v>88</x:v>
      </x:c>
      <x:c r="N60" s="28" t="n">
        <x:v>85</x:v>
      </x:c>
      <x:c r="O60" s="28" t="n">
        <x:v>88</x:v>
      </x:c>
      <x:c r="P60" s="28" t="n">
        <x:v>85</x:v>
      </x:c>
      <x:c r="Q60" s="28" t="n">
        <x:v>14</x:v>
      </x:c>
      <x:c r="R60" s="28" t="n">
        <x:v>6</x:v>
      </x:c>
      <x:c r="S60" s="28" t="n">
        <x:f>ROUND(0.30*K60+0.20*L60+0.25*M60+0.15*N60+0.10*P60,1)</x:f>
        <x:v>87</x:v>
      </x:c>
      <x:c r="T60" s="28" t="n">
        <x:f>ROUND(0.30*O60+0.20*M60+0.20*L60+0.15*P60+0.15*(100-Q60),1)</x:f>
        <x:v>87.3</x:v>
      </x:c>
      <x:c r="U60" s="28" t="n">
        <x:f>ROUND((S60+T60)/2,1)</x:f>
        <x:v>87.2</x:v>
      </x:c>
      <x:c r="V60" s="14" t="str">
        <x:f>IF(A60&lt;=50,"Top50","")</x:f>
      </x:c>
    </x:row>
    <x:row r="61">
      <x:c r="A61" s="30" t="n">
        <x:f>RANK.EQ(U61,$U$2:$U$93,0)</x:f>
        <x:v>59</x:v>
      </x:c>
      <x:c r="B61" s="14" t="str">
        <x:v>2605.03668</x:v>
      </x:c>
      <x:c r="C61" s="14" t="str">
        <x:v>2026-05</x:v>
      </x:c>
      <x:c r="D61" s="14" t="str">
        <x:v>AP</x:v>
      </x:c>
      <x:c r="E61" s="14" t="str">
        <x:v>Functional inequalities</x:v>
      </x:c>
      <x:c r="F61" s="14" t="str">
        <x:v>Quantitative stability for the Trudinger-Moser inequality</x:v>
      </x:c>
      <x:c r="G61" s="14" t="str">
        <x:v>Joao H. Andrade; J. F. de Oliveira; J. M. do O; A. C. Macedo; Jesse Ratzkin</x:v>
      </x:c>
      <x:c r="H61" s="30" t="n">
        <x:v>27</x:v>
      </x:c>
      <x:c r="I61" s="14" t="str">
        <x:v>https://arxiv.org/abs/2605.03668</x:v>
      </x:c>
      <x:c r="J61" s="14" t="str">
        <x:v>Quantitative stability of a borderline inequality.</x:v>
      </x:c>
      <x:c r="K61" s="28" t="n">
        <x:v>88</x:v>
      </x:c>
      <x:c r="L61" s="28" t="n">
        <x:v>87</x:v>
      </x:c>
      <x:c r="M61" s="28" t="n">
        <x:v>88</x:v>
      </x:c>
      <x:c r="N61" s="28" t="n">
        <x:v>84</x:v>
      </x:c>
      <x:c r="O61" s="28" t="n">
        <x:v>88</x:v>
      </x:c>
      <x:c r="P61" s="28" t="n">
        <x:v>86</x:v>
      </x:c>
      <x:c r="Q61" s="28" t="n">
        <x:v>15</x:v>
      </x:c>
      <x:c r="R61" s="28" t="n">
        <x:v>6</x:v>
      </x:c>
      <x:c r="S61" s="28" t="n">
        <x:f>ROUND(0.30*K61+0.20*L61+0.25*M61+0.15*N61+0.10*P61,1)</x:f>
        <x:v>87</x:v>
      </x:c>
      <x:c r="T61" s="28" t="n">
        <x:f>ROUND(0.30*O61+0.20*M61+0.20*L61+0.15*P61+0.15*(100-Q61),1)</x:f>
        <x:v>87.1</x:v>
      </x:c>
      <x:c r="U61" s="28" t="n">
        <x:f>ROUND((S61+T61)/2,1)</x:f>
        <x:v>87.1</x:v>
      </x:c>
      <x:c r="V61" s="14" t="str">
        <x:f>IF(A61&lt;=50,"Top50","")</x:f>
      </x:c>
    </x:row>
    <x:row r="62">
      <x:c r="A62" s="30" t="n">
        <x:f>RANK.EQ(U62,$U$2:$U$93,0)</x:f>
        <x:v>59</x:v>
      </x:c>
      <x:c r="B62" s="14" t="str">
        <x:v>2605.05490</x:v>
      </x:c>
      <x:c r="C62" s="14" t="str">
        <x:v>2026-05</x:v>
      </x:c>
      <x:c r="D62" s="14" t="str">
        <x:v>AP/OC</x:v>
      </x:c>
      <x:c r="E62" s="14" t="str">
        <x:v>Hamilton-Jacobi equations</x:v>
      </x:c>
      <x:c r="F62" s="14" t="str">
        <x:v>Holder continuity for non-coercive Hamilton-Jacobi equations associated to linear control systems</x:v>
      </x:c>
      <x:c r="G62" s="14" t="str">
        <x:v>Megan Griffin-Pickering; Alpar R. Meszaros</x:v>
      </x:c>
      <x:c r="H62" s="30" t="n">
        <x:v>40</x:v>
      </x:c>
      <x:c r="I62" s="14" t="str">
        <x:v>https://arxiv.org/abs/2605.05490</x:v>
      </x:c>
      <x:c r="J62" s="14" t="str">
        <x:v>Holder regularity under non-coercive Hamilton-Jacobi control structure.</x:v>
      </x:c>
      <x:c r="K62" s="28" t="n">
        <x:v>88</x:v>
      </x:c>
      <x:c r="L62" s="28" t="n">
        <x:v>87</x:v>
      </x:c>
      <x:c r="M62" s="28" t="n">
        <x:v>88</x:v>
      </x:c>
      <x:c r="N62" s="28" t="n">
        <x:v>84</x:v>
      </x:c>
      <x:c r="O62" s="28" t="n">
        <x:v>88</x:v>
      </x:c>
      <x:c r="P62" s="28" t="n">
        <x:v>86</x:v>
      </x:c>
      <x:c r="Q62" s="28" t="n">
        <x:v>15</x:v>
      </x:c>
      <x:c r="R62" s="28" t="n">
        <x:v>6</x:v>
      </x:c>
      <x:c r="S62" s="28" t="n">
        <x:f>ROUND(0.30*K62+0.20*L62+0.25*M62+0.15*N62+0.10*P62,1)</x:f>
        <x:v>87</x:v>
      </x:c>
      <x:c r="T62" s="28" t="n">
        <x:f>ROUND(0.30*O62+0.20*M62+0.20*L62+0.15*P62+0.15*(100-Q62),1)</x:f>
        <x:v>87.1</x:v>
      </x:c>
      <x:c r="U62" s="28" t="n">
        <x:f>ROUND((S62+T62)/2,1)</x:f>
        <x:v>87.1</x:v>
      </x:c>
      <x:c r="V62" s="14" t="str">
        <x:f>IF(A62&lt;=50,"Top50","")</x:f>
      </x:c>
    </x:row>
    <x:row r="63">
      <x:c r="A63" s="30" t="n">
        <x:f>RANK.EQ(U63,$U$2:$U$93,0)</x:f>
        <x:v>65</x:v>
      </x:c>
      <x:c r="B63" s="14" t="str">
        <x:v>2605.06589</x:v>
      </x:c>
      <x:c r="C63" s="14" t="str">
        <x:v>2026-05</x:v>
      </x:c>
      <x:c r="D63" s="14" t="str">
        <x:v>AP/PR/OC</x:v>
      </x:c>
      <x:c r="E63" s="14" t="str">
        <x:v>Mean field games</x:v>
      </x:c>
      <x:c r="F63" s="14" t="str">
        <x:v>Master equations with an individual noise on finite state graphs</x:v>
      </x:c>
      <x:c r="G63" s="14" t="str">
        <x:v>Wilfrid Gangbo; Sebastian Munoz; Jeremy Wu; Zhaoyu Zhang</x:v>
      </x:c>
      <x:c r="H63" s="30"/>
      <x:c r="I63" s="14" t="str">
        <x:v>https://arxiv.org/abs/2605.06589</x:v>
      </x:c>
      <x:c r="J63" s="14" t="str">
        <x:v>Finite-state master equations with noise; solid mean-field-game direction.</x:v>
      </x:c>
      <x:c r="K63" s="28" t="n">
        <x:v>88</x:v>
      </x:c>
      <x:c r="L63" s="28" t="n">
        <x:v>87</x:v>
      </x:c>
      <x:c r="M63" s="28" t="n">
        <x:v>88</x:v>
      </x:c>
      <x:c r="N63" s="28" t="n">
        <x:v>85</x:v>
      </x:c>
      <x:c r="O63" s="28" t="n">
        <x:v>88</x:v>
      </x:c>
      <x:c r="P63" s="28" t="n">
        <x:v>85</x:v>
      </x:c>
      <x:c r="Q63" s="28" t="n">
        <x:v>15</x:v>
      </x:c>
      <x:c r="R63" s="28" t="n">
        <x:v>6</x:v>
      </x:c>
      <x:c r="S63" s="28" t="n">
        <x:f>ROUND(0.30*K63+0.20*L63+0.25*M63+0.15*N63+0.10*P63,1)</x:f>
        <x:v>87.1</x:v>
      </x:c>
      <x:c r="T63" s="28" t="n">
        <x:f>ROUND(0.30*O63+0.20*M63+0.20*L63+0.15*P63+0.15*(100-Q63),1)</x:f>
        <x:v>86.9</x:v>
      </x:c>
      <x:c r="U63" s="28" t="n">
        <x:f>ROUND((S63+T63)/2,1)</x:f>
        <x:v>87</x:v>
      </x:c>
      <x:c r="V63" s="14" t="str">
        <x:f>IF(A63&lt;=50,"Top50","")</x:f>
      </x:c>
    </x:row>
    <x:row r="64">
      <x:c r="A64" s="30" t="n">
        <x:f>RANK.EQ(U64,$U$2:$U$93,0)</x:f>
        <x:v>59</x:v>
      </x:c>
      <x:c r="B64" s="14" t="str">
        <x:v>2605.07350</x:v>
      </x:c>
      <x:c r="C64" s="14" t="str">
        <x:v>2026-05</x:v>
      </x:c>
      <x:c r="D64" s="14" t="str">
        <x:v>AP</x:v>
      </x:c>
      <x:c r="E64" s="14" t="str">
        <x:v>Fluid systems</x:v>
      </x:c>
      <x:c r="F64" s="14" t="str">
        <x:v>Global Existence of Classical Solutions to Brenner-Navier-Stokes-Fourier System for Large Data</x:v>
      </x:c>
      <x:c r="G64" s="14" t="str">
        <x:v>Saehoon Eo; Namhyun Eun; Moon-Jin Kang</x:v>
      </x:c>
      <x:c r="H64" s="30"/>
      <x:c r="I64" s="14" t="str">
        <x:v>https://arxiv.org/abs/2605.07350</x:v>
      </x:c>
      <x:c r="J64" s="14" t="str">
        <x:v>Large-data global classical solutions in a nonstandard NS-Fourier model.</x:v>
      </x:c>
      <x:c r="K64" s="28" t="n">
        <x:v>88</x:v>
      </x:c>
      <x:c r="L64" s="28" t="n">
        <x:v>87</x:v>
      </x:c>
      <x:c r="M64" s="28" t="n">
        <x:v>89</x:v>
      </x:c>
      <x:c r="N64" s="28" t="n">
        <x:v>84</x:v>
      </x:c>
      <x:c r="O64" s="28" t="n">
        <x:v>89</x:v>
      </x:c>
      <x:c r="P64" s="28" t="n">
        <x:v>84</x:v>
      </x:c>
      <x:c r="Q64" s="28" t="n">
        <x:v>16</x:v>
      </x:c>
      <x:c r="R64" s="28" t="n">
        <x:v>6</x:v>
      </x:c>
      <x:c r="S64" s="28" t="n">
        <x:f>ROUND(0.30*K64+0.20*L64+0.25*M64+0.15*N64+0.10*P64,1)</x:f>
        <x:v>87.1</x:v>
      </x:c>
      <x:c r="T64" s="28" t="n">
        <x:f>ROUND(0.30*O64+0.20*M64+0.20*L64+0.15*P64+0.15*(100-Q64),1)</x:f>
        <x:v>87.1</x:v>
      </x:c>
      <x:c r="U64" s="28" t="n">
        <x:f>ROUND((S64+T64)/2,1)</x:f>
        <x:v>87.1</x:v>
      </x:c>
      <x:c r="V64" s="14" t="str">
        <x:f>IF(A64&lt;=50,"Top50","")</x:f>
      </x:c>
    </x:row>
    <x:row r="65">
      <x:c r="A65" s="30" t="n">
        <x:f>RANK.EQ(U65,$U$2:$U$93,0)</x:f>
        <x:v>59</x:v>
      </x:c>
      <x:c r="B65" s="14" t="str">
        <x:v>2605.17121</x:v>
      </x:c>
      <x:c r="C65" s="14" t="str">
        <x:v>2026-05</x:v>
      </x:c>
      <x:c r="D65" s="14" t="str">
        <x:v>AP/math-ph</x:v>
      </x:c>
      <x:c r="E65" s="14" t="str">
        <x:v>Compressible Navier-Stokes</x:v>
      </x:c>
      <x:c r="F65" s="14" t="str">
        <x:v>Global Regular Solutions of the Compressible Navier-Stokes Equations with Nonlinear Density-Dependent Viscosities and Large Initial Data of Spherical Symmetry</x:v>
      </x:c>
      <x:c r="G65" s="14" t="str">
        <x:v>Gui-Qiang G. Chen; Jiawen Zhang; Shengguo Zhu</x:v>
      </x:c>
      <x:c r="H65" s="30" t="n">
        <x:v>99</x:v>
      </x:c>
      <x:c r="I65" s="14" t="str">
        <x:v>https://arxiv.org/abs/2605.17121</x:v>
      </x:c>
      <x:c r="J65" s="14" t="str">
        <x:v>Large-data global regular solutions in symmetry class; strong technical PDE.</x:v>
      </x:c>
      <x:c r="K65" s="28" t="n">
        <x:v>88</x:v>
      </x:c>
      <x:c r="L65" s="28" t="n">
        <x:v>87</x:v>
      </x:c>
      <x:c r="M65" s="28" t="n">
        <x:v>89</x:v>
      </x:c>
      <x:c r="N65" s="28" t="n">
        <x:v>84</x:v>
      </x:c>
      <x:c r="O65" s="28" t="n">
        <x:v>89</x:v>
      </x:c>
      <x:c r="P65" s="28" t="n">
        <x:v>84</x:v>
      </x:c>
      <x:c r="Q65" s="28" t="n">
        <x:v>16</x:v>
      </x:c>
      <x:c r="R65" s="28" t="n">
        <x:v>6</x:v>
      </x:c>
      <x:c r="S65" s="28" t="n">
        <x:f>ROUND(0.30*K65+0.20*L65+0.25*M65+0.15*N65+0.10*P65,1)</x:f>
        <x:v>87.1</x:v>
      </x:c>
      <x:c r="T65" s="28" t="n">
        <x:f>ROUND(0.30*O65+0.20*M65+0.20*L65+0.15*P65+0.15*(100-Q65),1)</x:f>
        <x:v>87.1</x:v>
      </x:c>
      <x:c r="U65" s="28" t="n">
        <x:f>ROUND((S65+T65)/2,1)</x:f>
        <x:v>87.1</x:v>
      </x:c>
      <x:c r="V65" s="14" t="str">
        <x:f>IF(A65&lt;=50,"Top50","")</x:f>
      </x:c>
    </x:row>
    <x:row r="66">
      <x:c r="A66" s="30" t="n">
        <x:f>RANK.EQ(U66,$U$2:$U$93,0)</x:f>
        <x:v>59</x:v>
      </x:c>
      <x:c r="B66" s="14" t="str">
        <x:v>2605.12914</x:v>
      </x:c>
      <x:c r="C66" s="14" t="str">
        <x:v>2026-05</x:v>
      </x:c>
      <x:c r="D66" s="14" t="str">
        <x:v>AP</x:v>
      </x:c>
      <x:c r="E66" s="14" t="str">
        <x:v>Boltzmann boundary layer</x:v>
      </x:c>
      <x:c r="F66" s="14" t="str">
        <x:v>Half-space problem on the Boltzmann equation with zero Mach number at infinity</x:v>
      </x:c>
      <x:c r="G66" s="14" t="str">
        <x:v>Hongxu Chen; Jun-ling Chen; Renjun Duan</x:v>
      </x:c>
      <x:c r="H66" s="30" t="n">
        <x:v>42</x:v>
      </x:c>
      <x:c r="I66" s="14" t="str">
        <x:v>https://arxiv.org/abs/2605.12914</x:v>
      </x:c>
      <x:c r="J66" s="14" t="str">
        <x:v>Half-space Boltzmann analysis under zero Mach condition.</x:v>
      </x:c>
      <x:c r="K66" s="28" t="n">
        <x:v>87</x:v>
      </x:c>
      <x:c r="L66" s="28" t="n">
        <x:v>87</x:v>
      </x:c>
      <x:c r="M66" s="28" t="n">
        <x:v>89</x:v>
      </x:c>
      <x:c r="N66" s="28" t="n">
        <x:v>84</x:v>
      </x:c>
      <x:c r="O66" s="28" t="n">
        <x:v>89</x:v>
      </x:c>
      <x:c r="P66" s="28" t="n">
        <x:v>84</x:v>
      </x:c>
      <x:c r="Q66" s="28" t="n">
        <x:v>15</x:v>
      </x:c>
      <x:c r="R66" s="28" t="n">
        <x:v>6</x:v>
      </x:c>
      <x:c r="S66" s="28" t="n">
        <x:f>ROUND(0.30*K66+0.20*L66+0.25*M66+0.15*N66+0.10*P66,1)</x:f>
        <x:v>86.8</x:v>
      </x:c>
      <x:c r="T66" s="28" t="n">
        <x:f>ROUND(0.30*O66+0.20*M66+0.20*L66+0.15*P66+0.15*(100-Q66),1)</x:f>
        <x:v>87.3</x:v>
      </x:c>
      <x:c r="U66" s="28" t="n">
        <x:f>ROUND((S66+T66)/2,1)</x:f>
        <x:v>87.1</x:v>
      </x:c>
      <x:c r="V66" s="14" t="str">
        <x:f>IF(A66&lt;=50,"Top50","")</x:f>
      </x:c>
    </x:row>
    <x:row r="67">
      <x:c r="A67" s="30" t="n">
        <x:f>RANK.EQ(U67,$U$2:$U$93,0)</x:f>
        <x:v>65</x:v>
      </x:c>
      <x:c r="B67" s="14" t="str">
        <x:v>2605.29035</x:v>
      </x:c>
      <x:c r="C67" s="14" t="str">
        <x:v>2026-05</x:v>
      </x:c>
      <x:c r="D67" s="14" t="str">
        <x:v>AP/CA/FA</x:v>
      </x:c>
      <x:c r="E67" s="14" t="str">
        <x:v>Functional inequalities</x:v>
      </x:c>
      <x:c r="F67" s="14" t="str">
        <x:v>The sharp log Sobolev inequality on finite cycles</x:v>
      </x:c>
      <x:c r="G67" s="14" t="str">
        <x:v>Rupert L. Frank; Paata Ivanisvili</x:v>
      </x:c>
      <x:c r="H67" s="30" t="n">
        <x:v>16</x:v>
      </x:c>
      <x:c r="I67" s="14" t="str">
        <x:v>https://arxiv.org/abs/2605.29035</x:v>
      </x:c>
      <x:c r="J67" s="14" t="str">
        <x:v>Sharp log-Sobolev inequality on finite cycles; concise but elegant.</x:v>
      </x:c>
      <x:c r="K67" s="28" t="n">
        <x:v>87</x:v>
      </x:c>
      <x:c r="L67" s="28" t="n">
        <x:v>88</x:v>
      </x:c>
      <x:c r="M67" s="28" t="n">
        <x:v>87</x:v>
      </x:c>
      <x:c r="N67" s="28" t="n">
        <x:v>84</x:v>
      </x:c>
      <x:c r="O67" s="28" t="n">
        <x:v>87</x:v>
      </x:c>
      <x:c r="P67" s="28" t="n">
        <x:v>87</x:v>
      </x:c>
      <x:c r="Q67" s="28" t="n">
        <x:v>13</x:v>
      </x:c>
      <x:c r="R67" s="28" t="n">
        <x:v>5</x:v>
      </x:c>
      <x:c r="S67" s="28" t="n">
        <x:f>ROUND(0.30*K67+0.20*L67+0.25*M67+0.15*N67+0.10*P67,1)</x:f>
        <x:v>86.8</x:v>
      </x:c>
      <x:c r="T67" s="28" t="n">
        <x:f>ROUND(0.30*O67+0.20*M67+0.20*L67+0.15*P67+0.15*(100-Q67),1)</x:f>
        <x:v>87.2</x:v>
      </x:c>
      <x:c r="U67" s="28" t="n">
        <x:f>ROUND((S67+T67)/2,1)</x:f>
        <x:v>87</x:v>
      </x:c>
      <x:c r="V67" s="14" t="str">
        <x:f>IF(A67&lt;=50,"Top50","")</x:f>
      </x:c>
    </x:row>
    <x:row r="68">
      <x:c r="A68" s="30" t="n">
        <x:f>RANK.EQ(U68,$U$2:$U$93,0)</x:f>
        <x:v>67</x:v>
      </x:c>
      <x:c r="B68" s="14" t="str">
        <x:v>2605.12883</x:v>
      </x:c>
      <x:c r="C68" s="14" t="str">
        <x:v>2026-05</x:v>
      </x:c>
      <x:c r="D68" s="14" t="str">
        <x:v>AP</x:v>
      </x:c>
      <x:c r="E68" s="14" t="str">
        <x:v>Mixing / transport</x:v>
      </x:c>
      <x:c r="F68" s="14" t="str">
        <x:v>Mixing and Small-Scale Formation in a Passive Divergence-Free Vector Field</x:v>
      </x:c>
      <x:c r="G68" s="14" t="str">
        <x:v>Anuj Kumar; Franziska Weber</x:v>
      </x:c>
      <x:c r="H68" s="30"/>
      <x:c r="I68" s="14" t="str">
        <x:v>https://arxiv.org/abs/2605.12883</x:v>
      </x:c>
      <x:c r="J68" s="14" t="str">
        <x:v>Mixing and small-scale formation in passive divergence-free fields.</x:v>
      </x:c>
      <x:c r="K68" s="28" t="n">
        <x:v>87</x:v>
      </x:c>
      <x:c r="L68" s="28" t="n">
        <x:v>88</x:v>
      </x:c>
      <x:c r="M68" s="28" t="n">
        <x:v>88</x:v>
      </x:c>
      <x:c r="N68" s="28" t="n">
        <x:v>84</x:v>
      </x:c>
      <x:c r="O68" s="28" t="n">
        <x:v>88</x:v>
      </x:c>
      <x:c r="P68" s="28" t="n">
        <x:v>85</x:v>
      </x:c>
      <x:c r="Q68" s="28" t="n">
        <x:v>15</x:v>
      </x:c>
      <x:c r="R68" s="28" t="n">
        <x:v>6</x:v>
      </x:c>
      <x:c r="S68" s="28" t="n">
        <x:f>ROUND(0.30*K68+0.20*L68+0.25*M68+0.15*N68+0.10*P68,1)</x:f>
        <x:v>86.8</x:v>
      </x:c>
      <x:c r="T68" s="28" t="n">
        <x:f>ROUND(0.30*O68+0.20*M68+0.20*L68+0.15*P68+0.15*(100-Q68),1)</x:f>
        <x:v>87.1</x:v>
      </x:c>
      <x:c r="U68" s="28" t="n">
        <x:f>ROUND((S68+T68)/2,1)</x:f>
        <x:v>86.9</x:v>
      </x:c>
      <x:c r="V68" s="14" t="str">
        <x:f>IF(A68&lt;=50,"Top50","")</x:f>
      </x:c>
    </x:row>
    <x:row r="69">
      <x:c r="A69" s="30" t="n">
        <x:f>RANK.EQ(U69,$U$2:$U$93,0)</x:f>
        <x:v>67</x:v>
      </x:c>
      <x:c r="B69" s="14" t="str">
        <x:v>2605.19757</x:v>
      </x:c>
      <x:c r="C69" s="14" t="str">
        <x:v>2026-05</x:v>
      </x:c>
      <x:c r="D69" s="14" t="str">
        <x:v>AP</x:v>
      </x:c>
      <x:c r="E69" s="14" t="str">
        <x:v>Free boundary regularity</x:v>
      </x:c>
      <x:c r="F69" s="14" t="str">
        <x:v>On a Multiphase Vectorial Bernoulli Free Boundary Problem</x:v>
      </x:c>
      <x:c r="G69" s="14" t="str">
        <x:v>Giovanni Siclari; Bozhidar Velichkov</x:v>
      </x:c>
      <x:c r="H69" s="30"/>
      <x:c r="I69" s="14" t="str">
        <x:v>https://arxiv.org/abs/2605.19757</x:v>
      </x:c>
      <x:c r="J69" s="14" t="str">
        <x:v>Multiphase vectorial Bernoulli free boundary; good regularity relevance.</x:v>
      </x:c>
      <x:c r="K69" s="28" t="n">
        <x:v>87</x:v>
      </x:c>
      <x:c r="L69" s="28" t="n">
        <x:v>88</x:v>
      </x:c>
      <x:c r="M69" s="28" t="n">
        <x:v>88</x:v>
      </x:c>
      <x:c r="N69" s="28" t="n">
        <x:v>84</x:v>
      </x:c>
      <x:c r="O69" s="28" t="n">
        <x:v>88</x:v>
      </x:c>
      <x:c r="P69" s="28" t="n">
        <x:v>85</x:v>
      </x:c>
      <x:c r="Q69" s="28" t="n">
        <x:v>15</x:v>
      </x:c>
      <x:c r="R69" s="28" t="n">
        <x:v>6</x:v>
      </x:c>
      <x:c r="S69" s="28" t="n">
        <x:f>ROUND(0.30*K69+0.20*L69+0.25*M69+0.15*N69+0.10*P69,1)</x:f>
        <x:v>86.8</x:v>
      </x:c>
      <x:c r="T69" s="28" t="n">
        <x:f>ROUND(0.30*O69+0.20*M69+0.20*L69+0.15*P69+0.15*(100-Q69),1)</x:f>
        <x:v>87.1</x:v>
      </x:c>
      <x:c r="U69" s="28" t="n">
        <x:f>ROUND((S69+T69)/2,1)</x:f>
        <x:v>86.9</x:v>
      </x:c>
      <x:c r="V69" s="14" t="str">
        <x:f>IF(A69&lt;=50,"Top50","")</x:f>
      </x:c>
    </x:row>
    <x:row r="70">
      <x:c r="A70" s="30" t="n">
        <x:f>RANK.EQ(U70,$U$2:$U$93,0)</x:f>
        <x:v>67</x:v>
      </x:c>
      <x:c r="B70" s="14" t="str">
        <x:v>2605.23698</x:v>
      </x:c>
      <x:c r="C70" s="14" t="str">
        <x:v>2026-05</x:v>
      </x:c>
      <x:c r="D70" s="14" t="str">
        <x:v>AP</x:v>
      </x:c>
      <x:c r="E70" s="14" t="str">
        <x:v>Dispersive ill-posedness</x:v>
      </x:c>
      <x:c r="F70" s="14" t="str">
        <x:v>Norm inflation in negative order Sobolev spaces for KdV and KP</x:v>
      </x:c>
      <x:c r="G70" s="14" t="str">
        <x:v>Remi Carles</x:v>
      </x:c>
      <x:c r="H70" s="30" t="n">
        <x:v>20</x:v>
      </x:c>
      <x:c r="I70" s="14" t="str">
        <x:v>https://arxiv.org/abs/2605.23698</x:v>
      </x:c>
      <x:c r="J70" s="14" t="str">
        <x:v>Norm inflation for KdV/KP in negative Sobolev spaces.</x:v>
      </x:c>
      <x:c r="K70" s="28" t="n">
        <x:v>87</x:v>
      </x:c>
      <x:c r="L70" s="28" t="n">
        <x:v>88</x:v>
      </x:c>
      <x:c r="M70" s="28" t="n">
        <x:v>88</x:v>
      </x:c>
      <x:c r="N70" s="28" t="n">
        <x:v>84</x:v>
      </x:c>
      <x:c r="O70" s="28" t="n">
        <x:v>88</x:v>
      </x:c>
      <x:c r="P70" s="28" t="n">
        <x:v>85</x:v>
      </x:c>
      <x:c r="Q70" s="28" t="n">
        <x:v>15</x:v>
      </x:c>
      <x:c r="R70" s="28" t="n">
        <x:v>6</x:v>
      </x:c>
      <x:c r="S70" s="28" t="n">
        <x:f>ROUND(0.30*K70+0.20*L70+0.25*M70+0.15*N70+0.10*P70,1)</x:f>
        <x:v>86.8</x:v>
      </x:c>
      <x:c r="T70" s="28" t="n">
        <x:f>ROUND(0.30*O70+0.20*M70+0.20*L70+0.15*P70+0.15*(100-Q70),1)</x:f>
        <x:v>87.1</x:v>
      </x:c>
      <x:c r="U70" s="28" t="n">
        <x:f>ROUND((S70+T70)/2,1)</x:f>
        <x:v>86.9</x:v>
      </x:c>
      <x:c r="V70" s="14" t="str">
        <x:f>IF(A70&lt;=50,"Top50","")</x:f>
      </x:c>
    </x:row>
    <x:row r="71">
      <x:c r="A71" s="30" t="n">
        <x:f>RANK.EQ(U71,$U$2:$U$93,0)</x:f>
        <x:v>67</x:v>
      </x:c>
      <x:c r="B71" s="14" t="str">
        <x:v>2605.24685</x:v>
      </x:c>
      <x:c r="C71" s="14" t="str">
        <x:v>2026-05</x:v>
      </x:c>
      <x:c r="D71" s="14" t="str">
        <x:v>AP/PR</x:v>
      </x:c>
      <x:c r="E71" s="14" t="str">
        <x:v>Kinetic equations</x:v>
      </x:c>
      <x:c r="F71" s="14" t="str">
        <x:v>Self-similarity and diffusive limits for linear kinetic equations: a Wild sum approach</x:v>
      </x:c>
      <x:c r="G71" s="14" t="str">
        <x:v>Jose A. Canizo; Stephane Mischler; Niccolo Tassi</x:v>
      </x:c>
      <x:c r="H71" s="30" t="n">
        <x:v>55</x:v>
      </x:c>
      <x:c r="I71" s="14" t="str">
        <x:v>https://arxiv.org/abs/2605.24685</x:v>
      </x:c>
      <x:c r="J71" s="14" t="str">
        <x:v>Wild-sum approach to self-similarity and diffusive limits.</x:v>
      </x:c>
      <x:c r="K71" s="28" t="n">
        <x:v>87</x:v>
      </x:c>
      <x:c r="L71" s="28" t="n">
        <x:v>88</x:v>
      </x:c>
      <x:c r="M71" s="28" t="n">
        <x:v>88</x:v>
      </x:c>
      <x:c r="N71" s="28" t="n">
        <x:v>84</x:v>
      </x:c>
      <x:c r="O71" s="28" t="n">
        <x:v>88</x:v>
      </x:c>
      <x:c r="P71" s="28" t="n">
        <x:v>85</x:v>
      </x:c>
      <x:c r="Q71" s="28" t="n">
        <x:v>15</x:v>
      </x:c>
      <x:c r="R71" s="28" t="n">
        <x:v>6</x:v>
      </x:c>
      <x:c r="S71" s="28" t="n">
        <x:f>ROUND(0.30*K71+0.20*L71+0.25*M71+0.15*N71+0.10*P71,1)</x:f>
        <x:v>86.8</x:v>
      </x:c>
      <x:c r="T71" s="28" t="n">
        <x:f>ROUND(0.30*O71+0.20*M71+0.20*L71+0.15*P71+0.15*(100-Q71),1)</x:f>
        <x:v>87.1</x:v>
      </x:c>
      <x:c r="U71" s="28" t="n">
        <x:f>ROUND((S71+T71)/2,1)</x:f>
        <x:v>86.9</x:v>
      </x:c>
      <x:c r="V71" s="14" t="str">
        <x:f>IF(A71&lt;=50,"Top50","")</x:f>
      </x:c>
    </x:row>
    <x:row r="72">
      <x:c r="A72" s="30" t="n">
        <x:f>RANK.EQ(U72,$U$2:$U$93,0)</x:f>
        <x:v>67</x:v>
      </x:c>
      <x:c r="B72" s="14" t="str">
        <x:v>2605.16788</x:v>
      </x:c>
      <x:c r="C72" s="14" t="str">
        <x:v>2026-05</x:v>
      </x:c>
      <x:c r="D72" s="14" t="str">
        <x:v>AP/PR</x:v>
      </x:c>
      <x:c r="E72" s="14" t="str">
        <x:v>Coulomb particles / PDE-probability</x:v>
      </x:c>
      <x:c r="F72" s="14" t="str">
        <x:v>Strong well-posedness of a singular SDE for signed Coulomb particles</x:v>
      </x:c>
      <x:c r="G72" s="14" t="str">
        <x:v>Patrick van Meurs; Yoan Tardy</x:v>
      </x:c>
      <x:c r="H72" s="30" t="n">
        <x:v>35</x:v>
      </x:c>
      <x:c r="I72" s="14" t="str">
        <x:v>https://arxiv.org/abs/2605.16788</x:v>
      </x:c>
      <x:c r="J72" s="14" t="str">
        <x:v>Singular Coulomb dynamics; probability-PDE interface.</x:v>
      </x:c>
      <x:c r="K72" s="28" t="n">
        <x:v>87</x:v>
      </x:c>
      <x:c r="L72" s="28" t="n">
        <x:v>88</x:v>
      </x:c>
      <x:c r="M72" s="28" t="n">
        <x:v>88</x:v>
      </x:c>
      <x:c r="N72" s="28" t="n">
        <x:v>84</x:v>
      </x:c>
      <x:c r="O72" s="28" t="n">
        <x:v>88</x:v>
      </x:c>
      <x:c r="P72" s="28" t="n">
        <x:v>85</x:v>
      </x:c>
      <x:c r="Q72" s="28" t="n">
        <x:v>16</x:v>
      </x:c>
      <x:c r="R72" s="28" t="n">
        <x:v>6</x:v>
      </x:c>
      <x:c r="S72" s="28" t="n">
        <x:f>ROUND(0.30*K72+0.20*L72+0.25*M72+0.15*N72+0.10*P72,1)</x:f>
        <x:v>86.8</x:v>
      </x:c>
      <x:c r="T72" s="28" t="n">
        <x:f>ROUND(0.30*O72+0.20*M72+0.20*L72+0.15*P72+0.15*(100-Q72),1)</x:f>
        <x:v>86.9</x:v>
      </x:c>
      <x:c r="U72" s="28" t="n">
        <x:f>ROUND((S72+T72)/2,1)</x:f>
        <x:v>86.9</x:v>
      </x:c>
      <x:c r="V72" s="14" t="str">
        <x:f>IF(A72&lt;=50,"Top50","")</x:f>
      </x:c>
    </x:row>
    <x:row r="73">
      <x:c r="A73" s="30" t="n">
        <x:f>RANK.EQ(U73,$U$2:$U$93,0)</x:f>
        <x:v>67</x:v>
      </x:c>
      <x:c r="B73" s="14" t="str">
        <x:v>2605.19971</x:v>
      </x:c>
      <x:c r="C73" s="14" t="str">
        <x:v>2026-05</x:v>
      </x:c>
      <x:c r="D73" s="14" t="str">
        <x:v>AP</x:v>
      </x:c>
      <x:c r="E73" s="14" t="str">
        <x:v>Hydrodynamic stability</x:v>
      </x:c>
      <x:c r="F73" s="14" t="str">
        <x:v>Flexibility and rigidity for the Couette flow in the infinite channel</x:v>
      </x:c>
      <x:c r="G73" s="14" t="str">
        <x:v>Dengjun Guo; Xiaoyutao Luo; Guolin Qin</x:v>
      </x:c>
      <x:c r="H73" s="30" t="n">
        <x:v>34</x:v>
      </x:c>
      <x:c r="I73" s="14" t="str">
        <x:v>https://arxiv.org/abs/2605.19971</x:v>
      </x:c>
      <x:c r="J73" s="14" t="str">
        <x:v>Flexibility/rigidity dichotomy for Couette flow.</x:v>
      </x:c>
      <x:c r="K73" s="28" t="n">
        <x:v>87</x:v>
      </x:c>
      <x:c r="L73" s="28" t="n">
        <x:v>88</x:v>
      </x:c>
      <x:c r="M73" s="28" t="n">
        <x:v>88</x:v>
      </x:c>
      <x:c r="N73" s="28" t="n">
        <x:v>84</x:v>
      </x:c>
      <x:c r="O73" s="28" t="n">
        <x:v>88</x:v>
      </x:c>
      <x:c r="P73" s="28" t="n">
        <x:v>84</x:v>
      </x:c>
      <x:c r="Q73" s="28" t="n">
        <x:v>15</x:v>
      </x:c>
      <x:c r="R73" s="28" t="n">
        <x:v>6</x:v>
      </x:c>
      <x:c r="S73" s="28" t="n">
        <x:f>ROUND(0.30*K73+0.20*L73+0.25*M73+0.15*N73+0.10*P73,1)</x:f>
        <x:v>86.7</x:v>
      </x:c>
      <x:c r="T73" s="28" t="n">
        <x:f>ROUND(0.30*O73+0.20*M73+0.20*L73+0.15*P73+0.15*(100-Q73),1)</x:f>
        <x:v>87</x:v>
      </x:c>
      <x:c r="U73" s="28" t="n">
        <x:f>ROUND((S73+T73)/2,1)</x:f>
        <x:v>86.9</x:v>
      </x:c>
      <x:c r="V73" s="14" t="str">
        <x:f>IF(A73&lt;=50,"Top50","")</x:f>
      </x:c>
    </x:row>
    <x:row r="74">
      <x:c r="A74" s="30" t="n">
        <x:f>RANK.EQ(U74,$U$2:$U$93,0)</x:f>
        <x:v>73</x:v>
      </x:c>
      <x:c r="B74" s="14" t="str">
        <x:v>2605.11251</x:v>
      </x:c>
      <x:c r="C74" s="14" t="str">
        <x:v>2026-05</x:v>
      </x:c>
      <x:c r="D74" s="14" t="str">
        <x:v>AP</x:v>
      </x:c>
      <x:c r="E74" s="14" t="str">
        <x:v>Hele-Shaw / free boundary</x:v>
      </x:c>
      <x:c r="F74" s="14" t="str">
        <x:v>Global well-posedness for the Hele-Shaw problem with point injection</x:v>
      </x:c>
      <x:c r="G74" s="14" t="str">
        <x:v>Zhengjun Liang</x:v>
      </x:c>
      <x:c r="H74" s="30" t="n">
        <x:v>55</x:v>
      </x:c>
      <x:c r="I74" s="14" t="str">
        <x:v>https://arxiv.org/abs/2605.11251</x:v>
      </x:c>
      <x:c r="J74" s="14" t="str">
        <x:v>Point-injection Hele-Shaw well-posedness; solid free-boundary analysis.</x:v>
      </x:c>
      <x:c r="K74" s="28" t="n">
        <x:v>87</x:v>
      </x:c>
      <x:c r="L74" s="28" t="n">
        <x:v>87</x:v>
      </x:c>
      <x:c r="M74" s="28" t="n">
        <x:v>88</x:v>
      </x:c>
      <x:c r="N74" s="28" t="n">
        <x:v>84</x:v>
      </x:c>
      <x:c r="O74" s="28" t="n">
        <x:v>88</x:v>
      </x:c>
      <x:c r="P74" s="28" t="n">
        <x:v>85</x:v>
      </x:c>
      <x:c r="Q74" s="28" t="n">
        <x:v>15</x:v>
      </x:c>
      <x:c r="R74" s="28" t="n">
        <x:v>6</x:v>
      </x:c>
      <x:c r="S74" s="28" t="n">
        <x:f>ROUND(0.30*K74+0.20*L74+0.25*M74+0.15*N74+0.10*P74,1)</x:f>
        <x:v>86.6</x:v>
      </x:c>
      <x:c r="T74" s="28" t="n">
        <x:f>ROUND(0.30*O74+0.20*M74+0.20*L74+0.15*P74+0.15*(100-Q74),1)</x:f>
        <x:v>86.9</x:v>
      </x:c>
      <x:c r="U74" s="28" t="n">
        <x:f>ROUND((S74+T74)/2,1)</x:f>
        <x:v>86.8</x:v>
      </x:c>
      <x:c r="V74" s="14" t="str">
        <x:f>IF(A74&lt;=50,"Top50","")</x:f>
      </x:c>
    </x:row>
    <x:row r="75">
      <x:c r="A75" s="30" t="n">
        <x:f>RANK.EQ(U75,$U$2:$U$93,0)</x:f>
        <x:v>73</x:v>
      </x:c>
      <x:c r="B75" s="14" t="str">
        <x:v>2605.20715</x:v>
      </x:c>
      <x:c r="C75" s="14" t="str">
        <x:v>2026-05</x:v>
      </x:c>
      <x:c r="D75" s="14" t="str">
        <x:v>AP</x:v>
      </x:c>
      <x:c r="E75" s="14" t="str">
        <x:v>Dispersive PDE / NLS</x:v>
      </x:c>
      <x:c r="F75" s="14" t="str">
        <x:v>Threshold dynamics for the 4d mass-energy double critical NLS</x:v>
      </x:c>
      <x:c r="G75" s="14" t="str">
        <x:v>Alex H. Ardila; Zuyu Ma; Jason Murphy; Jiqiang Zheng</x:v>
      </x:c>
      <x:c r="H75" s="30" t="n">
        <x:v>35</x:v>
      </x:c>
      <x:c r="I75" s="14" t="str">
        <x:v>https://arxiv.org/abs/2605.20715</x:v>
      </x:c>
      <x:c r="J75" s="14" t="str">
        <x:v>Threshold dynamics for double-critical NLS.</x:v>
      </x:c>
      <x:c r="K75" s="28" t="n">
        <x:v>87</x:v>
      </x:c>
      <x:c r="L75" s="28" t="n">
        <x:v>87</x:v>
      </x:c>
      <x:c r="M75" s="28" t="n">
        <x:v>88</x:v>
      </x:c>
      <x:c r="N75" s="28" t="n">
        <x:v>84</x:v>
      </x:c>
      <x:c r="O75" s="28" t="n">
        <x:v>88</x:v>
      </x:c>
      <x:c r="P75" s="28" t="n">
        <x:v>85</x:v>
      </x:c>
      <x:c r="Q75" s="28" t="n">
        <x:v>15</x:v>
      </x:c>
      <x:c r="R75" s="28" t="n">
        <x:v>6</x:v>
      </x:c>
      <x:c r="S75" s="28" t="n">
        <x:f>ROUND(0.30*K75+0.20*L75+0.25*M75+0.15*N75+0.10*P75,1)</x:f>
        <x:v>86.6</x:v>
      </x:c>
      <x:c r="T75" s="28" t="n">
        <x:f>ROUND(0.30*O75+0.20*M75+0.20*L75+0.15*P75+0.15*(100-Q75),1)</x:f>
        <x:v>86.9</x:v>
      </x:c>
      <x:c r="U75" s="28" t="n">
        <x:f>ROUND((S75+T75)/2,1)</x:f>
        <x:v>86.8</x:v>
      </x:c>
      <x:c r="V75" s="14" t="str">
        <x:f>IF(A75&lt;=50,"Top50","")</x:f>
      </x:c>
    </x:row>
    <x:row r="76">
      <x:c r="A76" s="30" t="n">
        <x:f>RANK.EQ(U76,$U$2:$U$93,0)</x:f>
        <x:v>75</x:v>
      </x:c>
      <x:c r="B76" s="14" t="str">
        <x:v>2605.10478</x:v>
      </x:c>
      <x:c r="C76" s="14" t="str">
        <x:v>2026-05</x:v>
      </x:c>
      <x:c r="D76" s="14" t="str">
        <x:v>AP/OC</x:v>
      </x:c>
      <x:c r="E76" s="14" t="str">
        <x:v>Hamilton-Jacobi / ergodic problems</x:v>
      </x:c>
      <x:c r="F76" s="14" t="str">
        <x:v>Nonexistence of vanishing-viscosity limits for mechanical Hamiltonian ergodic problems</x:v>
      </x:c>
      <x:c r="G76" s="14" t="str">
        <x:v>Ziran Liu; Hung V. Tran; Yifeng Yu</x:v>
      </x:c>
      <x:c r="H76" s="30" t="n">
        <x:v>15</x:v>
      </x:c>
      <x:c r="I76" s="14" t="str">
        <x:v>https://arxiv.org/abs/2605.10478</x:v>
      </x:c>
      <x:c r="J76" s="14" t="str">
        <x:v>Nonexistence result for vanishing-viscosity limits; concise and conceptually useful.</x:v>
      </x:c>
      <x:c r="K76" s="28" t="n">
        <x:v>88</x:v>
      </x:c>
      <x:c r="L76" s="28" t="n">
        <x:v>89</x:v>
      </x:c>
      <x:c r="M76" s="28" t="n">
        <x:v>88</x:v>
      </x:c>
      <x:c r="N76" s="28" t="n">
        <x:v>85</x:v>
      </x:c>
      <x:c r="O76" s="28" t="n">
        <x:v>88</x:v>
      </x:c>
      <x:c r="P76" s="28" t="n">
        <x:v>85</x:v>
      </x:c>
      <x:c r="Q76" s="28" t="n">
        <x:v>25</x:v>
      </x:c>
      <x:c r="R76" s="28" t="n">
        <x:v>8</x:v>
      </x:c>
      <x:c r="S76" s="28" t="n">
        <x:f>ROUND(0.30*K76+0.20*L76+0.25*M76+0.15*N76+0.10*P76,1)</x:f>
        <x:v>87.5</x:v>
      </x:c>
      <x:c r="T76" s="28" t="n">
        <x:f>ROUND(0.30*O76+0.20*M76+0.20*L76+0.15*P76+0.15*(100-Q76),1)</x:f>
        <x:v>85.8</x:v>
      </x:c>
      <x:c r="U76" s="28" t="n">
        <x:f>ROUND((S76+T76)/2,1)</x:f>
        <x:v>86.7</x:v>
      </x:c>
      <x:c r="V76" s="14" t="str">
        <x:f>IF(A76&lt;=50,"Top50","")</x:f>
      </x:c>
    </x:row>
    <x:row r="77">
      <x:c r="A77" s="30" t="n">
        <x:f>RANK.EQ(U77,$U$2:$U$93,0)</x:f>
        <x:v>75</x:v>
      </x:c>
      <x:c r="B77" s="14" t="str">
        <x:v>2605.17485</x:v>
      </x:c>
      <x:c r="C77" s="14" t="str">
        <x:v>2026-05</x:v>
      </x:c>
      <x:c r="D77" s="14" t="str">
        <x:v>AP/cond-mat</x:v>
      </x:c>
      <x:c r="E77" s="14" t="str">
        <x:v>Elasticity / variational PDE</x:v>
      </x:c>
      <x:c r="F77" s="14" t="str">
        <x:v>Variational derivation of the Flamant solution for a nonlinear elastic wedge</x:v>
      </x:c>
      <x:c r="G77" s="14" t="str">
        <x:v>Dominik Engl; Paul Plucinsky; Ian Tobasco</x:v>
      </x:c>
      <x:c r="H77" s="30"/>
      <x:c r="I77" s="14" t="str">
        <x:v>https://arxiv.org/abs/2605.17485</x:v>
      </x:c>
      <x:c r="J77" s="14" t="str">
        <x:v>Variational derivation in nonlinear elasticity; interesting structural mechanics.</x:v>
      </x:c>
      <x:c r="K77" s="28" t="n">
        <x:v>86</x:v>
      </x:c>
      <x:c r="L77" s="28" t="n">
        <x:v>88</x:v>
      </x:c>
      <x:c r="M77" s="28" t="n">
        <x:v>88</x:v>
      </x:c>
      <x:c r="N77" s="28" t="n">
        <x:v>84</x:v>
      </x:c>
      <x:c r="O77" s="28" t="n">
        <x:v>88</x:v>
      </x:c>
      <x:c r="P77" s="28" t="n">
        <x:v>85</x:v>
      </x:c>
      <x:c r="Q77" s="28" t="n">
        <x:v>16</x:v>
      </x:c>
      <x:c r="R77" s="28" t="n">
        <x:v>6</x:v>
      </x:c>
      <x:c r="S77" s="28" t="n">
        <x:f>ROUND(0.30*K77+0.20*L77+0.25*M77+0.15*N77+0.10*P77,1)</x:f>
        <x:v>86.5</x:v>
      </x:c>
      <x:c r="T77" s="28" t="n">
        <x:f>ROUND(0.30*O77+0.20*M77+0.20*L77+0.15*P77+0.15*(100-Q77),1)</x:f>
        <x:v>86.9</x:v>
      </x:c>
      <x:c r="U77" s="28" t="n">
        <x:f>ROUND((S77+T77)/2,1)</x:f>
        <x:v>86.7</x:v>
      </x:c>
      <x:c r="V77" s="14" t="str">
        <x:f>IF(A77&lt;=50,"Top50","")</x:f>
      </x:c>
    </x:row>
    <x:row r="78">
      <x:c r="A78" s="30" t="n">
        <x:f>RANK.EQ(U78,$U$2:$U$93,0)</x:f>
        <x:v>77</x:v>
      </x:c>
      <x:c r="B78" s="14" t="str">
        <x:v>2605.13592</x:v>
      </x:c>
      <x:c r="C78" s="14" t="str">
        <x:v>2026-05</x:v>
      </x:c>
      <x:c r="D78" s="14" t="str">
        <x:v>AP/SP</x:v>
      </x:c>
      <x:c r="E78" s="14" t="str">
        <x:v>Keller-Segel / spectral instability</x:v>
      </x:c>
      <x:c r="F78" s="14" t="str">
        <x:v>Spectral instability and non-uniqueness for the Keller-Segel system</x:v>
      </x:c>
      <x:c r="G78" s="14" t="str">
        <x:v>Eliseo Luongo; Umberto Pappalettera</x:v>
      </x:c>
      <x:c r="H78" s="30" t="n">
        <x:v>50</x:v>
      </x:c>
      <x:c r="I78" s="14" t="str">
        <x:v>https://arxiv.org/abs/2605.13592</x:v>
      </x:c>
      <x:c r="J78" s="14" t="str">
        <x:v>Instability and non-uniqueness in Keller-Segel; good PDE/spectral interaction.</x:v>
      </x:c>
      <x:c r="K78" s="28" t="n">
        <x:v>87</x:v>
      </x:c>
      <x:c r="L78" s="28" t="n">
        <x:v>88</x:v>
      </x:c>
      <x:c r="M78" s="28" t="n">
        <x:v>88</x:v>
      </x:c>
      <x:c r="N78" s="28" t="n">
        <x:v>84</x:v>
      </x:c>
      <x:c r="O78" s="28" t="n">
        <x:v>88</x:v>
      </x:c>
      <x:c r="P78" s="28" t="n">
        <x:v>83</x:v>
      </x:c>
      <x:c r="Q78" s="28" t="n">
        <x:v>16</x:v>
      </x:c>
      <x:c r="R78" s="28" t="n">
        <x:v>7</x:v>
      </x:c>
      <x:c r="S78" s="28" t="n">
        <x:f>ROUND(0.30*K78+0.20*L78+0.25*M78+0.15*N78+0.10*P78,1)</x:f>
        <x:v>86.6</x:v>
      </x:c>
      <x:c r="T78" s="28" t="n">
        <x:f>ROUND(0.30*O78+0.20*M78+0.20*L78+0.15*P78+0.15*(100-Q78),1)</x:f>
        <x:v>86.6</x:v>
      </x:c>
      <x:c r="U78" s="28" t="n">
        <x:f>ROUND((S78+T78)/2,1)</x:f>
        <x:v>86.6</x:v>
      </x:c>
      <x:c r="V78" s="14" t="str">
        <x:f>IF(A78&lt;=50,"Top50","")</x:f>
      </x:c>
    </x:row>
    <x:row r="79">
      <x:c r="A79" s="30" t="n">
        <x:f>RANK.EQ(U79,$U$2:$U$93,0)</x:f>
        <x:v>77</x:v>
      </x:c>
      <x:c r="B79" s="14" t="str">
        <x:v>2605.18126</x:v>
      </x:c>
      <x:c r="C79" s="14" t="str">
        <x:v>2026-05</x:v>
      </x:c>
      <x:c r="D79" s="14" t="str">
        <x:v>AP</x:v>
      </x:c>
      <x:c r="E79" s="14" t="str">
        <x:v>Navier-Stokes / anomalous dissipation</x:v>
      </x:c>
      <x:c r="F79" s="14" t="str">
        <x:v>Stability of Anomalous Dissipation for the Forced 3D Navier-Stokes Equations under Geometric Perturbations</x:v>
      </x:c>
      <x:c r="G79" s="14" t="str">
        <x:v>Changhong Li</x:v>
      </x:c>
      <x:c r="H79" s="30"/>
      <x:c r="I79" s="14" t="str">
        <x:v>https://arxiv.org/abs/2605.18126</x:v>
      </x:c>
      <x:c r="J79" s="14" t="str">
        <x:v>Anomalous dissipation stability under geometric perturbations.</x:v>
      </x:c>
      <x:c r="K79" s="28" t="n">
        <x:v>87</x:v>
      </x:c>
      <x:c r="L79" s="28" t="n">
        <x:v>88</x:v>
      </x:c>
      <x:c r="M79" s="28" t="n">
        <x:v>88</x:v>
      </x:c>
      <x:c r="N79" s="28" t="n">
        <x:v>84</x:v>
      </x:c>
      <x:c r="O79" s="28" t="n">
        <x:v>88</x:v>
      </x:c>
      <x:c r="P79" s="28" t="n">
        <x:v>83</x:v>
      </x:c>
      <x:c r="Q79" s="28" t="n">
        <x:v>16</x:v>
      </x:c>
      <x:c r="R79" s="28" t="n">
        <x:v>7</x:v>
      </x:c>
      <x:c r="S79" s="28" t="n">
        <x:f>ROUND(0.30*K79+0.20*L79+0.25*M79+0.15*N79+0.10*P79,1)</x:f>
        <x:v>86.6</x:v>
      </x:c>
      <x:c r="T79" s="28" t="n">
        <x:f>ROUND(0.30*O79+0.20*M79+0.20*L79+0.15*P79+0.15*(100-Q79),1)</x:f>
        <x:v>86.6</x:v>
      </x:c>
      <x:c r="U79" s="28" t="n">
        <x:f>ROUND((S79+T79)/2,1)</x:f>
        <x:v>86.6</x:v>
      </x:c>
      <x:c r="V79" s="14" t="str">
        <x:f>IF(A79&lt;=50,"Top50","")</x:f>
      </x:c>
    </x:row>
    <x:row r="80">
      <x:c r="A80" s="30" t="n">
        <x:f>RANK.EQ(U80,$U$2:$U$93,0)</x:f>
        <x:v>77</x:v>
      </x:c>
      <x:c r="B80" s="14" t="str">
        <x:v>2605.24317</x:v>
      </x:c>
      <x:c r="C80" s="14" t="str">
        <x:v>2026-05</x:v>
      </x:c>
      <x:c r="D80" s="14" t="str">
        <x:v>AP</x:v>
      </x:c>
      <x:c r="E80" s="14" t="str">
        <x:v>Geometric variational inequalities</x:v>
      </x:c>
      <x:c r="F80" s="14" t="str">
        <x:v>Quantitative Stability of Generalized p-Area Minimizing Surfaces</x:v>
      </x:c>
      <x:c r="G80" s="14" t="str">
        <x:v>Amir Moradifam; Gerardo Orozco-Fernandez</x:v>
      </x:c>
      <x:c r="H80" s="30"/>
      <x:c r="I80" s="14" t="str">
        <x:v>https://arxiv.org/abs/2605.24317</x:v>
      </x:c>
      <x:c r="J80" s="14" t="str">
        <x:v>Quantitative stability for generalized p-area minimizers.</x:v>
      </x:c>
      <x:c r="K80" s="28" t="n">
        <x:v>86</x:v>
      </x:c>
      <x:c r="L80" s="28" t="n">
        <x:v>87</x:v>
      </x:c>
      <x:c r="M80" s="28" t="n">
        <x:v>88</x:v>
      </x:c>
      <x:c r="N80" s="28" t="n">
        <x:v>84</x:v>
      </x:c>
      <x:c r="O80" s="28" t="n">
        <x:v>88</x:v>
      </x:c>
      <x:c r="P80" s="28" t="n">
        <x:v>85</x:v>
      </x:c>
      <x:c r="Q80" s="28" t="n">
        <x:v>15</x:v>
      </x:c>
      <x:c r="R80" s="28" t="n">
        <x:v>6</x:v>
      </x:c>
      <x:c r="S80" s="28" t="n">
        <x:f>ROUND(0.30*K80+0.20*L80+0.25*M80+0.15*N80+0.10*P80,1)</x:f>
        <x:v>86.3</x:v>
      </x:c>
      <x:c r="T80" s="28" t="n">
        <x:f>ROUND(0.30*O80+0.20*M80+0.20*L80+0.15*P80+0.15*(100-Q80),1)</x:f>
        <x:v>86.9</x:v>
      </x:c>
      <x:c r="U80" s="28" t="n">
        <x:f>ROUND((S80+T80)/2,1)</x:f>
        <x:v>86.6</x:v>
      </x:c>
      <x:c r="V80" s="14" t="str">
        <x:f>IF(A80&lt;=50,"Top50","")</x:f>
      </x:c>
    </x:row>
    <x:row r="81">
      <x:c r="A81" s="30" t="n">
        <x:f>RANK.EQ(U81,$U$2:$U$93,0)</x:f>
        <x:v>80</x:v>
      </x:c>
      <x:c r="B81" s="14" t="str">
        <x:v>2605.17422</x:v>
      </x:c>
      <x:c r="C81" s="14" t="str">
        <x:v>2026-05</x:v>
      </x:c>
      <x:c r="D81" s="14" t="str">
        <x:v>AP</x:v>
      </x:c>
      <x:c r="E81" s="14" t="str">
        <x:v>Balance laws</x:v>
      </x:c>
      <x:c r="F81" s="14" t="str">
        <x:v>On scalar nonlinear balance laws with singular nonlocal sources</x:v>
      </x:c>
      <x:c r="G81" s="14" t="str">
        <x:v>Evangelia Ftaka; Khai T. Nguyen</x:v>
      </x:c>
      <x:c r="H81" s="30" t="n">
        <x:v>45</x:v>
      </x:c>
      <x:c r="I81" s="14" t="str">
        <x:v>https://arxiv.org/abs/2605.17422</x:v>
      </x:c>
      <x:c r="J81" s="14" t="str">
        <x:v>Scalar nonlinear balance laws with singular nonlocal sources.</x:v>
      </x:c>
      <x:c r="K81" s="28" t="n">
        <x:v>86</x:v>
      </x:c>
      <x:c r="L81" s="28" t="n">
        <x:v>87</x:v>
      </x:c>
      <x:c r="M81" s="28" t="n">
        <x:v>88</x:v>
      </x:c>
      <x:c r="N81" s="28" t="n">
        <x:v>83</x:v>
      </x:c>
      <x:c r="O81" s="28" t="n">
        <x:v>88</x:v>
      </x:c>
      <x:c r="P81" s="28" t="n">
        <x:v>85</x:v>
      </x:c>
      <x:c r="Q81" s="28" t="n">
        <x:v>16</x:v>
      </x:c>
      <x:c r="R81" s="28" t="n">
        <x:v>6</x:v>
      </x:c>
      <x:c r="S81" s="28" t="n">
        <x:f>ROUND(0.30*K81+0.20*L81+0.25*M81+0.15*N81+0.10*P81,1)</x:f>
        <x:v>86.2</x:v>
      </x:c>
      <x:c r="T81" s="28" t="n">
        <x:f>ROUND(0.30*O81+0.20*M81+0.20*L81+0.15*P81+0.15*(100-Q81),1)</x:f>
        <x:v>86.8</x:v>
      </x:c>
      <x:c r="U81" s="28" t="n">
        <x:f>ROUND((S81+T81)/2,1)</x:f>
        <x:v>86.5</x:v>
      </x:c>
      <x:c r="V81" s="14" t="str">
        <x:f>IF(A81&lt;=50,"Top50","")</x:f>
      </x:c>
    </x:row>
    <x:row r="82">
      <x:c r="A82" s="30" t="n">
        <x:f>RANK.EQ(U82,$U$2:$U$93,0)</x:f>
        <x:v>81</x:v>
      </x:c>
      <x:c r="B82" s="14" t="str">
        <x:v>2605.13389</x:v>
      </x:c>
      <x:c r="C82" s="14" t="str">
        <x:v>2026-05</x:v>
      </x:c>
      <x:c r="D82" s="14" t="str">
        <x:v>AP</x:v>
      </x:c>
      <x:c r="E82" s="14" t="str">
        <x:v>Nonlocal operators</x:v>
      </x:c>
      <x:c r="F82" s="14" t="str">
        <x:v>Optimal stability of complement value problems for p-Levy operators</x:v>
      </x:c>
      <x:c r="G82" s="14" t="str">
        <x:v>Guy Foghem</x:v>
      </x:c>
      <x:c r="H82" s="30" t="n">
        <x:v>49</x:v>
      </x:c>
      <x:c r="I82" s="14" t="str">
        <x:v>https://arxiv.org/abs/2605.13389</x:v>
      </x:c>
      <x:c r="J82" s="14" t="str">
        <x:v>Optimal stability for p-Levy complement value problems.</x:v>
      </x:c>
      <x:c r="K82" s="28" t="n">
        <x:v>86</x:v>
      </x:c>
      <x:c r="L82" s="28" t="n">
        <x:v>87</x:v>
      </x:c>
      <x:c r="M82" s="28" t="n">
        <x:v>88</x:v>
      </x:c>
      <x:c r="N82" s="28" t="n">
        <x:v>83</x:v>
      </x:c>
      <x:c r="O82" s="28" t="n">
        <x:v>88</x:v>
      </x:c>
      <x:c r="P82" s="28" t="n">
        <x:v>84</x:v>
      </x:c>
      <x:c r="Q82" s="28" t="n">
        <x:v>16</x:v>
      </x:c>
      <x:c r="R82" s="28" t="n">
        <x:v>6</x:v>
      </x:c>
      <x:c r="S82" s="28" t="n">
        <x:f>ROUND(0.30*K82+0.20*L82+0.25*M82+0.15*N82+0.10*P82,1)</x:f>
        <x:v>86.1</x:v>
      </x:c>
      <x:c r="T82" s="28" t="n">
        <x:f>ROUND(0.30*O82+0.20*M82+0.20*L82+0.15*P82+0.15*(100-Q82),1)</x:f>
        <x:v>86.6</x:v>
      </x:c>
      <x:c r="U82" s="28" t="n">
        <x:f>ROUND((S82+T82)/2,1)</x:f>
        <x:v>86.4</x:v>
      </x:c>
      <x:c r="V82" s="14" t="str">
        <x:f>IF(A82&lt;=50,"Top50","")</x:f>
      </x:c>
    </x:row>
    <x:row r="83">
      <x:c r="A83" s="30" t="n">
        <x:f>RANK.EQ(U83,$U$2:$U$93,0)</x:f>
        <x:v>81</x:v>
      </x:c>
      <x:c r="B83" s="14" t="str">
        <x:v>2605.30657</x:v>
      </x:c>
      <x:c r="C83" s="14" t="str">
        <x:v>2026-05</x:v>
      </x:c>
      <x:c r="D83" s="14" t="str">
        <x:v>AP</x:v>
      </x:c>
      <x:c r="E83" s="14" t="str">
        <x:v>Dispersive PDE</x:v>
      </x:c>
      <x:c r="F83" s="14" t="str">
        <x:v>Well-posedness for the periodic Intermediate nonlinear Schrodinger equation</x:v>
      </x:c>
      <x:c r="G83" s="14" t="str">
        <x:v>Andreia Chapouto; Justin Forlano; Thierry Laurens</x:v>
      </x:c>
      <x:c r="H83" s="30" t="n">
        <x:v>60</x:v>
      </x:c>
      <x:c r="I83" s="14" t="str">
        <x:v>https://arxiv.org/abs/2605.30657</x:v>
      </x:c>
      <x:c r="J83" s="14" t="str">
        <x:v>Periodic intermediate NLS well-posedness.</x:v>
      </x:c>
      <x:c r="K83" s="28" t="n">
        <x:v>86</x:v>
      </x:c>
      <x:c r="L83" s="28" t="n">
        <x:v>87</x:v>
      </x:c>
      <x:c r="M83" s="28" t="n">
        <x:v>88</x:v>
      </x:c>
      <x:c r="N83" s="28" t="n">
        <x:v>83</x:v>
      </x:c>
      <x:c r="O83" s="28" t="n">
        <x:v>88</x:v>
      </x:c>
      <x:c r="P83" s="28" t="n">
        <x:v>84</x:v>
      </x:c>
      <x:c r="Q83" s="28" t="n">
        <x:v>16</x:v>
      </x:c>
      <x:c r="R83" s="28" t="n">
        <x:v>6</x:v>
      </x:c>
      <x:c r="S83" s="28" t="n">
        <x:f>ROUND(0.30*K83+0.20*L83+0.25*M83+0.15*N83+0.10*P83,1)</x:f>
        <x:v>86.1</x:v>
      </x:c>
      <x:c r="T83" s="28" t="n">
        <x:f>ROUND(0.30*O83+0.20*M83+0.20*L83+0.15*P83+0.15*(100-Q83),1)</x:f>
        <x:v>86.6</x:v>
      </x:c>
      <x:c r="U83" s="28" t="n">
        <x:f>ROUND((S83+T83)/2,1)</x:f>
        <x:v>86.4</x:v>
      </x:c>
      <x:c r="V83" s="14" t="str">
        <x:f>IF(A83&lt;=50,"Top50","")</x:f>
      </x:c>
    </x:row>
    <x:row r="84">
      <x:c r="A84" s="30" t="n">
        <x:f>RANK.EQ(U84,$U$2:$U$93,0)</x:f>
        <x:v>83</x:v>
      </x:c>
      <x:c r="B84" s="14" t="str">
        <x:v>2605.26506</x:v>
      </x:c>
      <x:c r="C84" s="14" t="str">
        <x:v>2026-05</x:v>
      </x:c>
      <x:c r="D84" s="14" t="str">
        <x:v>AP/DG/gr-qc</x:v>
      </x:c>
      <x:c r="E84" s="14" t="str">
        <x:v>GR stability / survey</x:v>
      </x:c>
      <x:c r="F84" s="14" t="str">
        <x:v>The Stability of Minkowski Spacetime</x:v>
      </x:c>
      <x:c r="G84" s="14" t="str">
        <x:v>Dawei Shen</x:v>
      </x:c>
      <x:c r="H84" s="30" t="n">
        <x:v>29</x:v>
      </x:c>
      <x:c r="I84" s="14" t="str">
        <x:v>https://arxiv.org/abs/2605.26506</x:v>
      </x:c>
      <x:c r="J84" s="14" t="str">
        <x:v>Important survey/expository appearance; research-credit reduced because survey format.</x:v>
      </x:c>
      <x:c r="K84" s="28" t="n">
        <x:v>88</x:v>
      </x:c>
      <x:c r="L84" s="28" t="n">
        <x:v>85</x:v>
      </x:c>
      <x:c r="M84" s="28" t="n">
        <x:v>86</x:v>
      </x:c>
      <x:c r="N84" s="28" t="n">
        <x:v>88</x:v>
      </x:c>
      <x:c r="O84" s="28" t="n">
        <x:v>86</x:v>
      </x:c>
      <x:c r="P84" s="28" t="n">
        <x:v>88</x:v>
      </x:c>
      <x:c r="Q84" s="28" t="n">
        <x:v>18</x:v>
      </x:c>
      <x:c r="R84" s="28" t="n">
        <x:v>8</x:v>
      </x:c>
      <x:c r="S84" s="28" t="n">
        <x:f>ROUND(0.30*K84+0.20*L84+0.25*M84+0.15*N84+0.10*P84,1)</x:f>
        <x:v>86.9</x:v>
      </x:c>
      <x:c r="T84" s="28" t="n">
        <x:f>ROUND(0.30*O84+0.20*M84+0.20*L84+0.15*P84+0.15*(100-Q84),1)</x:f>
        <x:v>85.5</x:v>
      </x:c>
      <x:c r="U84" s="28" t="n">
        <x:f>ROUND((S84+T84)/2,1)</x:f>
        <x:v>86.2</x:v>
      </x:c>
      <x:c r="V84" s="14" t="str">
        <x:f>IF(A84&lt;=50,"Top50","")</x:f>
      </x:c>
    </x:row>
    <x:row r="85">
      <x:c r="A85" s="30" t="n">
        <x:f>RANK.EQ(U85,$U$2:$U$93,0)</x:f>
        <x:v>83</x:v>
      </x:c>
      <x:c r="B85" s="14" t="str">
        <x:v>2605.22741</x:v>
      </x:c>
      <x:c r="C85" s="14" t="str">
        <x:v>2026-05</x:v>
      </x:c>
      <x:c r="D85" s="14" t="str">
        <x:v>AP</x:v>
      </x:c>
      <x:c r="E85" s="14" t="str">
        <x:v>MHD</x:v>
      </x:c>
      <x:c r="F85" s="14" t="str">
        <x:v>Global well-posedness of 2D non-resistive compressible MHD system</x:v>
      </x:c>
      <x:c r="G85" s="14" t="str">
        <x:v>Yi Zhu</x:v>
      </x:c>
      <x:c r="H85" s="30" t="n">
        <x:v>72</x:v>
      </x:c>
      <x:c r="I85" s="14" t="str">
        <x:v>https://arxiv.org/abs/2605.22741</x:v>
      </x:c>
      <x:c r="J85" s="14" t="str">
        <x:v>2D non-resistive compressible MHD well-posedness.</x:v>
      </x:c>
      <x:c r="K85" s="28" t="n">
        <x:v>86</x:v>
      </x:c>
      <x:c r="L85" s="28" t="n">
        <x:v>86</x:v>
      </x:c>
      <x:c r="M85" s="28" t="n">
        <x:v>88</x:v>
      </x:c>
      <x:c r="N85" s="28" t="n">
        <x:v>83</x:v>
      </x:c>
      <x:c r="O85" s="28" t="n">
        <x:v>88</x:v>
      </x:c>
      <x:c r="P85" s="28" t="n">
        <x:v>84</x:v>
      </x:c>
      <x:c r="Q85" s="28" t="n">
        <x:v>16</x:v>
      </x:c>
      <x:c r="R85" s="28" t="n">
        <x:v>7</x:v>
      </x:c>
      <x:c r="S85" s="28" t="n">
        <x:f>ROUND(0.30*K85+0.20*L85+0.25*M85+0.15*N85+0.10*P85,1)</x:f>
        <x:v>85.9</x:v>
      </x:c>
      <x:c r="T85" s="28" t="n">
        <x:f>ROUND(0.30*O85+0.20*M85+0.20*L85+0.15*P85+0.15*(100-Q85),1)</x:f>
        <x:v>86.4</x:v>
      </x:c>
      <x:c r="U85" s="28" t="n">
        <x:f>ROUND((S85+T85)/2,1)</x:f>
        <x:v>86.2</x:v>
      </x:c>
      <x:c r="V85" s="14" t="str">
        <x:f>IF(A85&lt;=50,"Top50","")</x:f>
      </x:c>
    </x:row>
    <x:row r="86">
      <x:c r="A86" s="30" t="n">
        <x:f>RANK.EQ(U86,$U$2:$U$93,0)</x:f>
        <x:v>85</x:v>
      </x:c>
      <x:c r="B86" s="14" t="str">
        <x:v>2605.19438</x:v>
      </x:c>
      <x:c r="C86" s="14" t="str">
        <x:v>2026-05</x:v>
      </x:c>
      <x:c r="D86" s="14" t="str">
        <x:v>AP</x:v>
      </x:c>
      <x:c r="E86" s="14" t="str">
        <x:v>Schrodinger operators</x:v>
      </x:c>
      <x:c r="F86" s="14" t="str">
        <x:v>Maximal inequalities and Riesz transforms for vector-valued magnetic Schrodinger operators</x:v>
      </x:c>
      <x:c r="G86" s="14" t="str">
        <x:v>Davide Addona; Vincenzo Leone; Luca Lorenzi; El Maati Ouhabaz; Abdelaziz Rhandi</x:v>
      </x:c>
      <x:c r="H86" s="30"/>
      <x:c r="I86" s="14" t="str">
        <x:v>https://arxiv.org/abs/2605.19438</x:v>
      </x:c>
      <x:c r="J86" s="14" t="str">
        <x:v>Maximal inequalities/Riesz transforms for vector-valued magnetic operators.</x:v>
      </x:c>
      <x:c r="K86" s="28" t="n">
        <x:v>86</x:v>
      </x:c>
      <x:c r="L86" s="28" t="n">
        <x:v>87</x:v>
      </x:c>
      <x:c r="M86" s="28" t="n">
        <x:v>87</x:v>
      </x:c>
      <x:c r="N86" s="28" t="n">
        <x:v>83</x:v>
      </x:c>
      <x:c r="O86" s="28" t="n">
        <x:v>87</x:v>
      </x:c>
      <x:c r="P86" s="28" t="n">
        <x:v>85</x:v>
      </x:c>
      <x:c r="Q86" s="28" t="n">
        <x:v>16</x:v>
      </x:c>
      <x:c r="R86" s="28" t="n">
        <x:v>6</x:v>
      </x:c>
      <x:c r="S86" s="28" t="n">
        <x:f>ROUND(0.30*K86+0.20*L86+0.25*M86+0.15*N86+0.10*P86,1)</x:f>
        <x:v>85.9</x:v>
      </x:c>
      <x:c r="T86" s="28" t="n">
        <x:f>ROUND(0.30*O86+0.20*M86+0.20*L86+0.15*P86+0.15*(100-Q86),1)</x:f>
        <x:v>86.3</x:v>
      </x:c>
      <x:c r="U86" s="28" t="n">
        <x:f>ROUND((S86+T86)/2,1)</x:f>
        <x:v>86.1</x:v>
      </x:c>
      <x:c r="V86" s="14" t="str">
        <x:f>IF(A86&lt;=50,"Top50","")</x:f>
      </x:c>
    </x:row>
    <x:row r="87">
      <x:c r="A87" s="30" t="n">
        <x:f>RANK.EQ(U87,$U$2:$U$93,0)</x:f>
        <x:v>86</x:v>
      </x:c>
      <x:c r="B87" s="14" t="str">
        <x:v>2605.19415</x:v>
      </x:c>
      <x:c r="C87" s="14" t="str">
        <x:v>2026-05</x:v>
      </x:c>
      <x:c r="D87" s="14" t="str">
        <x:v>AP</x:v>
      </x:c>
      <x:c r="E87" s="14" t="str">
        <x:v>Moment equations</x:v>
      </x:c>
      <x:c r="F87" s="14" t="str">
        <x:v>Global well-posedness of the linearized R13 moment equations with Onsager boundary conditions</x:v>
      </x:c>
      <x:c r="G87" s="14" t="str">
        <x:v>Shuang Hu; Bo Lin; Huini Liu; Zhenning Cai</x:v>
      </x:c>
      <x:c r="H87" s="30" t="n">
        <x:v>33</x:v>
      </x:c>
      <x:c r="I87" s="14" t="str">
        <x:v>https://arxiv.org/abs/2605.19415</x:v>
      </x:c>
      <x:c r="J87" s="14" t="str">
        <x:v>Boundary-condition analysis for linearized R13 moment equations.</x:v>
      </x:c>
      <x:c r="K87" s="28" t="n">
        <x:v>85</x:v>
      </x:c>
      <x:c r="L87" s="28" t="n">
        <x:v>86</x:v>
      </x:c>
      <x:c r="M87" s="28" t="n">
        <x:v>87</x:v>
      </x:c>
      <x:c r="N87" s="28" t="n">
        <x:v>82</x:v>
      </x:c>
      <x:c r="O87" s="28" t="n">
        <x:v>87</x:v>
      </x:c>
      <x:c r="P87" s="28" t="n">
        <x:v>84</x:v>
      </x:c>
      <x:c r="Q87" s="28" t="n">
        <x:v>17</x:v>
      </x:c>
      <x:c r="R87" s="28" t="n">
        <x:v>7</x:v>
      </x:c>
      <x:c r="S87" s="28" t="n">
        <x:f>ROUND(0.30*K87+0.20*L87+0.25*M87+0.15*N87+0.10*P87,1)</x:f>
        <x:v>85.2</x:v>
      </x:c>
      <x:c r="T87" s="28" t="n">
        <x:f>ROUND(0.30*O87+0.20*M87+0.20*L87+0.15*P87+0.15*(100-Q87),1)</x:f>
        <x:v>85.8</x:v>
      </x:c>
      <x:c r="U87" s="28" t="n">
        <x:f>ROUND((S87+T87)/2,1)</x:f>
        <x:v>85.5</x:v>
      </x:c>
      <x:c r="V87" s="14" t="str">
        <x:f>IF(A87&lt;=50,"Top50","")</x:f>
      </x:c>
    </x:row>
    <x:row r="88">
      <x:c r="A88" s="30" t="n">
        <x:f>RANK.EQ(U88,$U$2:$U$93,0)</x:f>
        <x:v>86</x:v>
      </x:c>
      <x:c r="B88" s="14" t="str">
        <x:v>2605.30009</x:v>
      </x:c>
      <x:c r="C88" s="14" t="str">
        <x:v>2026-05</x:v>
      </x:c>
      <x:c r="D88" s="14" t="str">
        <x:v>AP</x:v>
      </x:c>
      <x:c r="E88" s="14" t="str">
        <x:v>Dispersive smoothing</x:v>
      </x:c>
      <x:c r="F88" s="14" t="str">
        <x:v>On Kato's smoothing effects for KdV and Benjamin type equations</x:v>
      </x:c>
      <x:c r="G88" s="14" t="str">
        <x:v>Carlos Garzon; Oscar Riano</x:v>
      </x:c>
      <x:c r="H88" s="30" t="n">
        <x:v>36</x:v>
      </x:c>
      <x:c r="I88" s="14" t="str">
        <x:v>https://arxiv.org/abs/2605.30009</x:v>
      </x:c>
      <x:c r="J88" s="14" t="str">
        <x:v>Smoothing effect analysis for KdV/Benjamin type equations.</x:v>
      </x:c>
      <x:c r="K88" s="28" t="n">
        <x:v>85</x:v>
      </x:c>
      <x:c r="L88" s="28" t="n">
        <x:v>86</x:v>
      </x:c>
      <x:c r="M88" s="28" t="n">
        <x:v>87</x:v>
      </x:c>
      <x:c r="N88" s="28" t="n">
        <x:v>82</x:v>
      </x:c>
      <x:c r="O88" s="28" t="n">
        <x:v>87</x:v>
      </x:c>
      <x:c r="P88" s="28" t="n">
        <x:v>84</x:v>
      </x:c>
      <x:c r="Q88" s="28" t="n">
        <x:v>17</x:v>
      </x:c>
      <x:c r="R88" s="28" t="n">
        <x:v>7</x:v>
      </x:c>
      <x:c r="S88" s="28" t="n">
        <x:f>ROUND(0.30*K88+0.20*L88+0.25*M88+0.15*N88+0.10*P88,1)</x:f>
        <x:v>85.2</x:v>
      </x:c>
      <x:c r="T88" s="28" t="n">
        <x:f>ROUND(0.30*O88+0.20*M88+0.20*L88+0.15*P88+0.15*(100-Q88),1)</x:f>
        <x:v>85.8</x:v>
      </x:c>
      <x:c r="U88" s="28" t="n">
        <x:f>ROUND((S88+T88)/2,1)</x:f>
        <x:v>85.5</x:v>
      </x:c>
      <x:c r="V88" s="14" t="str">
        <x:f>IF(A88&lt;=50,"Top50","")</x:f>
      </x:c>
    </x:row>
    <x:row r="89">
      <x:c r="A89" s="30" t="n">
        <x:f>RANK.EQ(U89,$U$2:$U$93,0)</x:f>
        <x:v>88</x:v>
      </x:c>
      <x:c r="B89" s="14" t="str">
        <x:v>2605.09213</x:v>
      </x:c>
      <x:c r="C89" s="14" t="str">
        <x:v>2026-05</x:v>
      </x:c>
      <x:c r="D89" s="14" t="str">
        <x:v>AP/cs.LG</x:v>
      </x:c>
      <x:c r="E89" s="14" t="str">
        <x:v>PDE/ML mean-field models</x:v>
      </x:c>
      <x:c r="F89" s="14" t="str">
        <x:v>Kinetic theory for Transformers and the lost-in-the-middle phenomenon</x:v>
      </x:c>
      <x:c r="G89" s="14" t="str">
        <x:v>Mitia Duerinckx; Borjan Geshkovski; Stefano Rossi</x:v>
      </x:c>
      <x:c r="H89" s="30"/>
      <x:c r="I89" s="14" t="str">
        <x:v>https://arxiv.org/abs/2605.09213</x:v>
      </x:c>
      <x:c r="J89" s="14" t="str">
        <x:v>PDE/kinetic modeling for transformers; timely but AI-toolable share is higher.</x:v>
      </x:c>
      <x:c r="K89" s="28" t="n">
        <x:v>87</x:v>
      </x:c>
      <x:c r="L89" s="28" t="n">
        <x:v>89</x:v>
      </x:c>
      <x:c r="M89" s="28" t="n">
        <x:v>87</x:v>
      </x:c>
      <x:c r="N89" s="28" t="n">
        <x:v>88</x:v>
      </x:c>
      <x:c r="O89" s="28" t="n">
        <x:v>86</x:v>
      </x:c>
      <x:c r="P89" s="28" t="n">
        <x:v>84</x:v>
      </x:c>
      <x:c r="Q89" s="28" t="n">
        <x:v>35</x:v>
      </x:c>
      <x:c r="R89" s="28" t="n">
        <x:v>10</x:v>
      </x:c>
      <x:c r="S89" s="28" t="n">
        <x:f>ROUND(0.30*K89+0.20*L89+0.25*M89+0.15*N89+0.10*P89,1)</x:f>
        <x:v>87.3</x:v>
      </x:c>
      <x:c r="T89" s="28" t="n">
        <x:f>ROUND(0.30*O89+0.20*M89+0.20*L89+0.15*P89+0.15*(100-Q89),1)</x:f>
        <x:v>83.4</x:v>
      </x:c>
      <x:c r="U89" s="28" t="n">
        <x:f>ROUND((S89+T89)/2,1)</x:f>
        <x:v>85.4</x:v>
      </x:c>
      <x:c r="V89" s="14" t="str">
        <x:f>IF(A89&lt;=50,"Top50","")</x:f>
      </x:c>
    </x:row>
    <x:row r="90">
      <x:c r="A90" s="30" t="n">
        <x:f>RANK.EQ(U90,$U$2:$U$93,0)</x:f>
        <x:v>89</x:v>
      </x:c>
      <x:c r="B90" s="14" t="str">
        <x:v>2605.30681</x:v>
      </x:c>
      <x:c r="C90" s="14" t="str">
        <x:v>2026-05</x:v>
      </x:c>
      <x:c r="D90" s="14" t="str">
        <x:v>AP</x:v>
      </x:c>
      <x:c r="E90" s="14" t="str">
        <x:v>Evolution equations</x:v>
      </x:c>
      <x:c r="F90" s="14" t="str">
        <x:v>On a structural acoustic model with logarithmic supercritical source terms</x:v>
      </x:c>
      <x:c r="G90" s="14" t="str">
        <x:v>Baowei Feng; Yanqiu Guo; Mohammad A. Rammaha</x:v>
      </x:c>
      <x:c r="H90" s="30" t="n">
        <x:v>34</x:v>
      </x:c>
      <x:c r="I90" s="14" t="str">
        <x:v>https://arxiv.org/abs/2605.30681</x:v>
      </x:c>
      <x:c r="J90" s="14" t="str">
        <x:v>Structural acoustic model with logarithmic supercritical source.</x:v>
      </x:c>
      <x:c r="K90" s="28" t="n">
        <x:v>84</x:v>
      </x:c>
      <x:c r="L90" s="28" t="n">
        <x:v>85</x:v>
      </x:c>
      <x:c r="M90" s="28" t="n">
        <x:v>86</x:v>
      </x:c>
      <x:c r="N90" s="28" t="n">
        <x:v>81</x:v>
      </x:c>
      <x:c r="O90" s="28" t="n">
        <x:v>86</x:v>
      </x:c>
      <x:c r="P90" s="28" t="n">
        <x:v>84</x:v>
      </x:c>
      <x:c r="Q90" s="28" t="n">
        <x:v>18</x:v>
      </x:c>
      <x:c r="R90" s="28" t="n">
        <x:v>7</x:v>
      </x:c>
      <x:c r="S90" s="28" t="n">
        <x:f>ROUND(0.30*K90+0.20*L90+0.25*M90+0.15*N90+0.10*P90,1)</x:f>
        <x:v>84.3</x:v>
      </x:c>
      <x:c r="T90" s="28" t="n">
        <x:f>ROUND(0.30*O90+0.20*M90+0.20*L90+0.15*P90+0.15*(100-Q90),1)</x:f>
        <x:v>84.9</x:v>
      </x:c>
      <x:c r="U90" s="28" t="n">
        <x:f>ROUND((S90+T90)/2,1)</x:f>
        <x:v>84.6</x:v>
      </x:c>
      <x:c r="V90" s="14" t="str">
        <x:f>IF(A90&lt;=50,"Top50","")</x:f>
      </x:c>
    </x:row>
    <x:row r="91">
      <x:c r="A91" s="30" t="n">
        <x:f>RANK.EQ(U91,$U$2:$U$93,0)</x:f>
        <x:v>90</x:v>
      </x:c>
      <x:c r="B91" s="14" t="str">
        <x:v>2605.03920</x:v>
      </x:c>
      <x:c r="C91" s="14" t="str">
        <x:v>2026-05</x:v>
      </x:c>
      <x:c r="D91" s="14" t="str">
        <x:v>AP</x:v>
      </x:c>
      <x:c r="E91" s="14" t="str">
        <x:v>Nonlocal waves / computation</x:v>
      </x:c>
      <x:c r="F91" s="14" t="str">
        <x:v>Linear instability of a Burgers-Hilbert traveling wave</x:v>
      </x:c>
      <x:c r="G91" s="14" t="str">
        <x:v>Angel Castro; Javier Gomez-Serrano; Miguel Pascual-Caballo</x:v>
      </x:c>
      <x:c r="H91" s="30"/>
      <x:c r="I91" s="14" t="str">
        <x:v>https://arxiv.org/abs/2605.03920</x:v>
      </x:c>
      <x:c r="J91" s="14" t="str">
        <x:v>Computer-assisted/structured instability result; human-hardness adjusted for computational component.</x:v>
      </x:c>
      <x:c r="K91" s="28" t="n">
        <x:v>86</x:v>
      </x:c>
      <x:c r="L91" s="28" t="n">
        <x:v>87</x:v>
      </x:c>
      <x:c r="M91" s="28" t="n">
        <x:v>86</x:v>
      </x:c>
      <x:c r="N91" s="28" t="n">
        <x:v>82</x:v>
      </x:c>
      <x:c r="O91" s="28" t="n">
        <x:v>85</x:v>
      </x:c>
      <x:c r="P91" s="28" t="n">
        <x:v>82</x:v>
      </x:c>
      <x:c r="Q91" s="28" t="n">
        <x:v>28</x:v>
      </x:c>
      <x:c r="R91" s="28" t="n">
        <x:v>9</x:v>
      </x:c>
      <x:c r="S91" s="28" t="n">
        <x:f>ROUND(0.30*K91+0.20*L91+0.25*M91+0.15*N91+0.10*P91,1)</x:f>
        <x:v>85.2</x:v>
      </x:c>
      <x:c r="T91" s="28" t="n">
        <x:f>ROUND(0.30*O91+0.20*M91+0.20*L91+0.15*P91+0.15*(100-Q91),1)</x:f>
        <x:v>83.2</x:v>
      </x:c>
      <x:c r="U91" s="28" t="n">
        <x:f>ROUND((S91+T91)/2,1)</x:f>
        <x:v>84.2</x:v>
      </x:c>
      <x:c r="V91" s="14" t="str">
        <x:f>IF(A91&lt;=50,"Top50","")</x:f>
      </x:c>
    </x:row>
    <x:row r="92">
      <x:c r="A92" s="30" t="n">
        <x:f>RANK.EQ(U92,$U$2:$U$93,0)</x:f>
        <x:v>91</x:v>
      </x:c>
      <x:c r="B92" s="14" t="str">
        <x:v>2605.04918</x:v>
      </x:c>
      <x:c r="C92" s="14" t="str">
        <x:v>2026-05</x:v>
      </x:c>
      <x:c r="D92" s="14" t="str">
        <x:v>AP/cs.LG/math.NA</x:v>
      </x:c>
      <x:c r="E92" s="14" t="str">
        <x:v>Dispersive PDE / AI discovery</x:v>
      </x:c>
      <x:c r="F92" s="14" t="str">
        <x:v>Neural Discovery of Strichartz Extremizers</x:v>
      </x:c>
      <x:c r="G92" s="14" t="str">
        <x:v>Nicolas Valenzuela; Ricardo Freire; Claudio Munoz</x:v>
      </x:c>
      <x:c r="H92" s="30" t="n">
        <x:v>38</x:v>
      </x:c>
      <x:c r="I92" s="14" t="str">
        <x:v>https://arxiv.org/abs/2605.04918</x:v>
      </x:c>
      <x:c r="J92" s="14" t="str">
        <x:v>AI-assisted numerical discovery of extremizers; interesting but AI share high.</x:v>
      </x:c>
      <x:c r="K92" s="28" t="n">
        <x:v>86</x:v>
      </x:c>
      <x:c r="L92" s="28" t="n">
        <x:v>89</x:v>
      </x:c>
      <x:c r="M92" s="28" t="n">
        <x:v>85</x:v>
      </x:c>
      <x:c r="N92" s="28" t="n">
        <x:v>86</x:v>
      </x:c>
      <x:c r="O92" s="28" t="n">
        <x:v>82</x:v>
      </x:c>
      <x:c r="P92" s="28" t="n">
        <x:v>82</x:v>
      </x:c>
      <x:c r="Q92" s="28" t="n">
        <x:v>50</x:v>
      </x:c>
      <x:c r="R92" s="28" t="n">
        <x:v>12</x:v>
      </x:c>
      <x:c r="S92" s="28" t="n">
        <x:f>ROUND(0.30*K92+0.20*L92+0.25*M92+0.15*N92+0.10*P92,1)</x:f>
        <x:v>86</x:v>
      </x:c>
      <x:c r="T92" s="28" t="n">
        <x:f>ROUND(0.30*O92+0.20*M92+0.20*L92+0.15*P92+0.15*(100-Q92),1)</x:f>
        <x:v>79.2</x:v>
      </x:c>
      <x:c r="U92" s="28" t="n">
        <x:f>ROUND((S92+T92)/2,1)</x:f>
        <x:v>82.6</x:v>
      </x:c>
      <x:c r="V92" s="14" t="str">
        <x:f>IF(A92&lt;=50,"Top50","")</x:f>
      </x:c>
    </x:row>
    <x:row r="93">
      <x:c r="A93" s="30" t="n">
        <x:f>RANK.EQ(U93,$U$2:$U$93,0)</x:f>
        <x:v>92</x:v>
      </x:c>
      <x:c r="B93" s="14" t="str">
        <x:v>2605.20623</x:v>
      </x:c>
      <x:c r="C93" s="14" t="str">
        <x:v>2026-05</x:v>
      </x:c>
      <x:c r="D93" s="14" t="str">
        <x:v>AP/cs.AI</x:v>
      </x:c>
      <x:c r="E93" s="14" t="str">
        <x:v>Advection-diffusion / AI proof generation</x:v>
      </x:c>
      <x:c r="F93" s="14" t="str">
        <x:v>Lower Bounds for Advection-Diffusion Equations: An Exploration with AI-Generated Proofs</x:v>
      </x:c>
      <x:c r="G93" s="14" t="str">
        <x:v>Chenyang An; Xiaoqian Xu</x:v>
      </x:c>
      <x:c r="H93" s="30" t="n">
        <x:v>63</x:v>
      </x:c>
      <x:c r="I93" s="14" t="str">
        <x:v>https://arxiv.org/abs/2605.20623</x:v>
      </x:c>
      <x:c r="J93" s="14" t="str">
        <x:v>Interesting AI-generated proof experiment; mathematical human-hardness credit reduced.</x:v>
      </x:c>
      <x:c r="K93" s="28" t="n">
        <x:v>85</x:v>
      </x:c>
      <x:c r="L93" s="28" t="n">
        <x:v>88</x:v>
      </x:c>
      <x:c r="M93" s="28" t="n">
        <x:v>84</x:v>
      </x:c>
      <x:c r="N93" s="28" t="n">
        <x:v>86</x:v>
      </x:c>
      <x:c r="O93" s="28" t="n">
        <x:v>80</x:v>
      </x:c>
      <x:c r="P93" s="28" t="n">
        <x:v>80</x:v>
      </x:c>
      <x:c r="Q93" s="28" t="n">
        <x:v>65</x:v>
      </x:c>
      <x:c r="R93" s="28" t="n">
        <x:v>15</x:v>
      </x:c>
      <x:c r="S93" s="28" t="n">
        <x:f>ROUND(0.30*K93+0.20*L93+0.25*M93+0.15*N93+0.10*P93,1)</x:f>
        <x:v>85</x:v>
      </x:c>
      <x:c r="T93" s="28" t="n">
        <x:f>ROUND(0.30*O93+0.20*M93+0.20*L93+0.15*P93+0.15*(100-Q93),1)</x:f>
        <x:v>75.7</x:v>
      </x:c>
      <x:c r="U93" s="28" t="n">
        <x:f>ROUND((S93+T93)/2,1)</x:f>
        <x:v>80.4</x:v>
      </x:c>
      <x:c r="V93" s="14" t="str">
        <x:f>IF(A93&lt;=50,"Top50","")</x:f>
      </x:c>
    </x:row>
  </x:sheetData>
  <x:conditionalFormatting sqref="S2:S93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{50D01512-2FFD-8337-AF8B-599CFB430A88}</x14:id>
        </x:ext>
      </x:extLst>
    </x:cfRule>
  </x:conditionalFormatting>
  <x:conditionalFormatting sqref="T2:T93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{87F82851-A586-411E-3597-09043018B3FC}</x14:id>
        </x:ext>
      </x:extLst>
    </x:cfRule>
  </x:conditionalFormatting>
  <x:conditionalFormatting sqref="U2:U93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{6B1A4BAF-9C19-9273-AA08-1FF26A9ECF61}</x14:id>
        </x:ext>
      </x:extLst>
    </x:cfRule>
  </x:conditionalFormatting>
  <x:conditionalFormatting sqref="Q2:Q93">
    <x:cfRule type="colorScale" priority="4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156cc8d821b4b7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0D01512-2FFD-8337-AF8B-599CFB430A88}">
            <x14:dataBar gradient="1">
              <x14:cfvo type="min"/>
              <x14:cfvo type="max"/>
              <x14:fillColor rgb="FF5B9BD5"/>
            </x14:dataBar>
          </x14:cfRule>
          <xm:sqref>S2:S93</xm:sqref>
        </x14:conditionalFormatting>
        <x14:conditionalFormatting>
          <x14:cfRule type="dataBar" priority="2" id="{87F82851-A586-411E-3597-09043018B3FC}">
            <x14:dataBar gradient="1">
              <x14:cfvo type="min"/>
              <x14:cfvo type="max"/>
              <x14:fillColor rgb="FF5B9BD5"/>
            </x14:dataBar>
          </x14:cfRule>
          <xm:sqref>T2:T93</xm:sqref>
        </x14:conditionalFormatting>
        <x14:conditionalFormatting>
          <x14:cfRule type="dataBar" priority="3" id="{6B1A4BAF-9C19-9273-AA08-1FF26A9ECF61}">
            <x14:dataBar gradient="1">
              <x14:cfvo type="min"/>
              <x14:cfvo type="max"/>
              <x14:fillColor rgb="FF5B9BD5"/>
            </x14:dataBar>
          </x14:cfRule>
          <xm:sqref>U2:U93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0" hidden="0" customWidth="1"/>
    <x:col min="4" max="4" width="14" hidden="0" customWidth="1"/>
    <x:col min="5" max="5" width="50" hidden="0" customWidth="1"/>
    <x:col min="6" max="6" width="30" hidden="0" customWidth="1"/>
    <x:col min="7" max="7" width="24" hidden="0" customWidth="1"/>
    <x:col min="8" max="8" width="8" hidden="0" customWidth="1"/>
    <x:col min="9" max="9" width="10" hidden="0" customWidth="1"/>
    <x:col min="10" max="10" width="10" hidden="0" customWidth="1"/>
    <x:col min="11" max="11" width="10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30" hidden="0" customWidth="1"/>
    <x:col min="20" max="20" width="50" hidden="0" customWidth="1"/>
    <x:col min="21" max="21" width="8" hidden="0" customWidth="1"/>
    <x:col min="22" max="22" width="12" hidden="0" customWidth="1"/>
  </x:cols>
  <x:sheetData>
    <x:row r="1" ht="30" customHeight="1">
      <x:c r="A1" s="125" t="str">
        <x:v>PeriodRank</x:v>
      </x:c>
      <x:c r="B1" s="125" t="str">
        <x:v>OverallRank_5_8</x:v>
      </x:c>
      <x:c r="C1" s="125" t="str">
        <x:v>Month</x:v>
      </x:c>
      <x:c r="D1" s="125" t="str">
        <x:v>arXiv</x:v>
      </x:c>
      <x:c r="E1" s="125" t="str">
        <x:v>Title</x:v>
      </x:c>
      <x:c r="F1" s="125" t="str">
        <x:v>Authors</x:v>
      </x:c>
      <x:c r="G1" s="125" t="str">
        <x:v>Theme</x:v>
      </x:c>
      <x:c r="H1" s="125" t="str">
        <x:v>Pages</x:v>
      </x:c>
      <x:c r="I1" s="125" t="str">
        <x:v>S_eq</x:v>
      </x:c>
      <x:c r="J1" s="125" t="str">
        <x:v>V</x:v>
      </x:c>
      <x:c r="K1" s="125" t="str">
        <x:v>S_H</x:v>
      </x:c>
      <x:c r="L1" s="125" t="str">
        <x:v>I</x:v>
      </x:c>
      <x:c r="M1" s="125" t="str">
        <x:v>O</x:v>
      </x:c>
      <x:c r="N1" s="125" t="str">
        <x:v>T</x:v>
      </x:c>
      <x:c r="O1" s="125" t="str">
        <x:v>B</x:v>
      </x:c>
      <x:c r="P1" s="125" t="str">
        <x:v>H</x:v>
      </x:c>
      <x:c r="Q1" s="125" t="str">
        <x:v>R</x:v>
      </x:c>
      <x:c r="R1" s="125" t="str">
        <x:v>AI_pct</x:v>
      </x:c>
      <x:c r="S1" s="125" t="str">
        <x:v>SourceURL</x:v>
      </x:c>
      <x:c r="T1" s="125" t="str">
        <x:v>综合判断</x:v>
      </x:c>
      <x:c r="U1" s="22"/>
      <x:c r="V1" s="22"/>
    </x:row>
    <x:row r="2" ht="36" customHeight="1">
      <x:c r="A2" s="135" t="n">
        <x:v>1</x:v>
      </x:c>
      <x:c r="B2" s="129" t="n">
        <x:f>MATCH(D2,May_Aug_AllRank!$D$2:$D$575,0)</x:f>
        <x:v>2</x:v>
      </x:c>
      <x:c r="C2" s="129" t="str">
        <x:v>2026-05</x:v>
      </x:c>
      <x:c r="D2" s="129" t="str">
        <x:v>2605.00808</x:v>
      </x:c>
      <x:c r="E2" s="128" t="str">
        <x:v>Smooth and stable Euler implosions</x:v>
      </x:c>
      <x:c r="F2" s="128" t="str">
        <x:v>Jiajie Chen; Steve Shkoller; Vlad Vicol</x:v>
      </x:c>
      <x:c r="G2" s="128" t="str">
        <x:v>Fluid singularities / Euler</x:v>
      </x:c>
      <x:c r="H2" s="129" t="str">
        <x:v>153</x:v>
      </x:c>
      <x:c r="I2" s="130" t="n">
        <x:v>95.36</x:v>
      </x:c>
      <x:c r="J2" s="130" t="n">
        <x:v>95.98</x:v>
      </x:c>
      <x:c r="K2" s="130" t="n">
        <x:v>94.74</x:v>
      </x:c>
      <x:c r="L2" s="130" t="n">
        <x:v>99.2</x:v>
      </x:c>
      <x:c r="M2" s="130" t="n">
        <x:v>96.1</x:v>
      </x:c>
      <x:c r="N2" s="130" t="n">
        <x:v>98.3</x:v>
      </x:c>
      <x:c r="O2" s="130" t="n">
        <x:v>92.2</x:v>
      </x:c>
      <x:c r="P2" s="130" t="n">
        <x:v>98.2</x:v>
      </x:c>
      <x:c r="Q2" s="130" t="n">
        <x:v>86</x:v>
      </x:c>
      <x:c r="R2" s="130" t="n">
        <x:v>10</x:v>
      </x:c>
      <x:c r="S2" s="134" t="str">
        <x:v>https://arxiv.org/abs/2605.00808</x:v>
      </x:c>
      <x:c r="T2" s="134" t="str">
        <x:v>Smooth stable implosion construction; very high nonlocal-dynamical proof complexity.</x:v>
      </x:c>
      <x:c r="U2" s="28"/>
      <x:c r="V2" s="14"/>
    </x:row>
    <x:row r="3" ht="36" customHeight="1">
      <x:c r="A3" s="135" t="n">
        <x:v>2</x:v>
      </x:c>
      <x:c r="B3" s="129" t="n">
        <x:f>MATCH(D3,May_Aug_AllRank!$D$2:$D$575,0)</x:f>
        <x:v>3</x:v>
      </x:c>
      <x:c r="C3" s="129" t="str">
        <x:v>2026-05</x:v>
      </x:c>
      <x:c r="D3" s="129" t="str">
        <x:v>2605.15130</x:v>
      </x:c>
      <x:c r="E3" s="128" t="str">
        <x:v>Asymptotically Self-Similar Blowup for 3D Incompressible Euler with C^{1,1/3-} Velocity II: 3D Profiles, Blowup, and Limiting Behavior</x:v>
      </x:c>
      <x:c r="F3" s="128" t="str">
        <x:v>Jiajie Chen</x:v>
      </x:c>
      <x:c r="G3" s="128" t="str">
        <x:v>Fluid singularities / Euler</x:v>
      </x:c>
      <x:c r="H3" s="129" t="str">
        <x:v>133</x:v>
      </x:c>
      <x:c r="I3" s="130" t="n">
        <x:v>94.32</x:v>
      </x:c>
      <x:c r="J3" s="130" t="n">
        <x:v>94.82</x:v>
      </x:c>
      <x:c r="K3" s="130" t="n">
        <x:v>93.81</x:v>
      </x:c>
      <x:c r="L3" s="130" t="n">
        <x:v>98.1</x:v>
      </x:c>
      <x:c r="M3" s="130" t="n">
        <x:v>94.7</x:v>
      </x:c>
      <x:c r="N3" s="130" t="n">
        <x:v>97.3</x:v>
      </x:c>
      <x:c r="O3" s="130" t="n">
        <x:v>90.8</x:v>
      </x:c>
      <x:c r="P3" s="130" t="n">
        <x:v>97.2</x:v>
      </x:c>
      <x:c r="Q3" s="130" t="n">
        <x:v>85</x:v>
      </x:c>
      <x:c r="R3" s="130" t="n">
        <x:v>10</x:v>
      </x:c>
      <x:c r="S3" s="134" t="str">
        <x:v>https://arxiv.org/abs/2605.15130</x:v>
      </x:c>
      <x:c r="T3" s="134" t="str">
        <x:v>Major continuation of low-regularity 3D Euler blow-up program; long nonlinear profile construction.</x:v>
      </x:c>
      <x:c r="U3" s="28"/>
      <x:c r="V3" s="14"/>
    </x:row>
    <x:row r="4" ht="36" customHeight="1">
      <x:c r="A4" s="135" t="n">
        <x:v>3</x:v>
      </x:c>
      <x:c r="B4" s="129" t="n">
        <x:f>MATCH(D4,May_Aug_AllRank!$D$2:$D$575,0)</x:f>
        <x:v>6</x:v>
      </x:c>
      <x:c r="C4" s="129" t="str">
        <x:v>2026-05</x:v>
      </x:c>
      <x:c r="D4" s="129" t="str">
        <x:v>2605.19143</x:v>
      </x:c>
      <x:c r="E4" s="128" t="str">
        <x:v>Weak cosmic censorship for the circularly symmetric Einstein-scalar field system in 2+1 dimensions</x:v>
      </x:c>
      <x:c r="F4" s="128" t="str">
        <x:v>Serban Cicortas</x:v>
      </x:c>
      <x:c r="G4" s="128" t="str">
        <x:v>Geometric hyperbolic PDE / GR</x:v>
      </x:c>
      <x:c r="H4" s="129" t="str">
        <x:v>65</x:v>
      </x:c>
      <x:c r="I4" s="130" t="n">
        <x:v>93.76</x:v>
      </x:c>
      <x:c r="J4" s="130" t="n">
        <x:v>94.27</x:v>
      </x:c>
      <x:c r="K4" s="130" t="n">
        <x:v>93.24</x:v>
      </x:c>
      <x:c r="L4" s="130" t="n">
        <x:v>98</x:v>
      </x:c>
      <x:c r="M4" s="130" t="n">
        <x:v>94.1</x:v>
      </x:c>
      <x:c r="N4" s="130" t="n">
        <x:v>96.1</x:v>
      </x:c>
      <x:c r="O4" s="130" t="n">
        <x:v>90.8</x:v>
      </x:c>
      <x:c r="P4" s="130" t="n">
        <x:v>96</x:v>
      </x:c>
      <x:c r="Q4" s="130" t="n">
        <x:v>84</x:v>
      </x:c>
      <x:c r="R4" s="130" t="n">
        <x:v>8</x:v>
      </x:c>
      <x:c r="S4" s="134" t="str">
        <x:v>https://arxiv.org/abs/2605.19143</x:v>
      </x:c>
      <x:c r="T4" s="134" t="str">
        <x:v>High-value global dynamics and singularity statement in a symmetric Einstein-scalar model.</x:v>
      </x:c>
      <x:c r="U4" s="28"/>
      <x:c r="V4" s="14"/>
    </x:row>
    <x:row r="5" ht="36" customHeight="1">
      <x:c r="A5" s="135" t="n">
        <x:v>4</x:v>
      </x:c>
      <x:c r="B5" s="129" t="n">
        <x:f>MATCH(D5,May_Aug_AllRank!$D$2:$D$575,0)</x:f>
        <x:v>9</x:v>
      </x:c>
      <x:c r="C5" s="129" t="str">
        <x:v>2026-05</x:v>
      </x:c>
      <x:c r="D5" s="129" t="str">
        <x:v>2605.15149</x:v>
      </x:c>
      <x:c r="E5" s="128" t="str">
        <x:v>Asymptotically Self-Similar Blowup for 3D Incompressible Euler with C^{1,1/3-} Velocity I: C^infty 1D Limiting Profiles</x:v>
      </x:c>
      <x:c r="F5" s="128" t="str">
        <x:v>Jiajie Chen</x:v>
      </x:c>
      <x:c r="G5" s="128" t="str">
        <x:v>Fluid singularities / Euler</x:v>
      </x:c>
      <x:c r="H5" s="129" t="str">
        <x:v>92</x:v>
      </x:c>
      <x:c r="I5" s="130" t="n">
        <x:v>93.09</x:v>
      </x:c>
      <x:c r="J5" s="130" t="n">
        <x:v>93.18</x:v>
      </x:c>
      <x:c r="K5" s="130" t="n">
        <x:v>92.99</x:v>
      </x:c>
      <x:c r="L5" s="130" t="n">
        <x:v>96</x:v>
      </x:c>
      <x:c r="M5" s="130" t="n">
        <x:v>93.6</x:v>
      </x:c>
      <x:c r="N5" s="130" t="n">
        <x:v>96.1</x:v>
      </x:c>
      <x:c r="O5" s="130" t="n">
        <x:v>87.6</x:v>
      </x:c>
      <x:c r="P5" s="130" t="n">
        <x:v>96</x:v>
      </x:c>
      <x:c r="Q5" s="130" t="n">
        <x:v>85</x:v>
      </x:c>
      <x:c r="R5" s="130" t="n">
        <x:v>10</x:v>
      </x:c>
      <x:c r="S5" s="134" t="str">
        <x:v>https://arxiv.org/abs/2605.15149</x:v>
      </x:c>
      <x:c r="T5" s="134" t="str">
        <x:v>Profile construction companion to the 3D Euler blow-up series; substantial but slightly narrower than Part II.</x:v>
      </x:c>
      <x:c r="U5" s="28"/>
      <x:c r="V5" s="14"/>
    </x:row>
    <x:row r="6" ht="36" customHeight="1">
      <x:c r="A6" s="135" t="n">
        <x:v>5</x:v>
      </x:c>
      <x:c r="B6" s="129" t="n">
        <x:f>MATCH(D6,May_Aug_AllRank!$D$2:$D$575,0)</x:f>
        <x:v>8</x:v>
      </x:c>
      <x:c r="C6" s="129" t="str">
        <x:v>2026-05</x:v>
      </x:c>
      <x:c r="D6" s="129" t="str">
        <x:v>2605.05041</x:v>
      </x:c>
      <x:c r="E6" s="128" t="str">
        <x:v>An Optimal Regularity Theory for Immersed Stable Minimal Hypersurfaces with Small Singular Set</x:v>
      </x:c>
      <x:c r="F6" s="128" t="str">
        <x:v>Paul Minter; Zhengyi Xiao</x:v>
      </x:c>
      <x:c r="G6" s="128" t="str">
        <x:v>Minimal hypersurfaces / regularity</x:v>
      </x:c>
      <x:c r="H6" s="129" t="str">
        <x:v>65</x:v>
      </x:c>
      <x:c r="I6" s="130" t="n">
        <x:v>93.19</x:v>
      </x:c>
      <x:c r="J6" s="130" t="n">
        <x:v>93.43</x:v>
      </x:c>
      <x:c r="K6" s="130" t="n">
        <x:v>92.95</x:v>
      </x:c>
      <x:c r="L6" s="130" t="n">
        <x:v>96.2</x:v>
      </x:c>
      <x:c r="M6" s="130" t="n">
        <x:v>93.1</x:v>
      </x:c>
      <x:c r="N6" s="130" t="n">
        <x:v>95.2</x:v>
      </x:c>
      <x:c r="O6" s="130" t="n">
        <x:v>90.3</x:v>
      </x:c>
      <x:c r="P6" s="130" t="n">
        <x:v>95.3</x:v>
      </x:c>
      <x:c r="Q6" s="130" t="n">
        <x:v>86</x:v>
      </x:c>
      <x:c r="R6" s="130" t="n">
        <x:v>8</x:v>
      </x:c>
      <x:c r="S6" s="134" t="str">
        <x:v>https://arxiv.org/abs/2605.05041</x:v>
      </x:c>
      <x:c r="T6" s="134" t="str">
        <x:v>Optimal regularity and compactness under small singular-set hypotheses; strong structure theorem.</x:v>
      </x:c>
      <x:c r="U6" s="28"/>
      <x:c r="V6" s="14"/>
    </x:row>
    <x:row r="7" ht="36" customHeight="1">
      <x:c r="A7" s="135" t="n">
        <x:v>6</x:v>
      </x:c>
      <x:c r="B7" s="129" t="n">
        <x:f>MATCH(D7,May_Aug_AllRank!$D$2:$D$575,0)</x:f>
        <x:v>11</x:v>
      </x:c>
      <x:c r="C7" s="129" t="str">
        <x:v>2026-05</x:v>
      </x:c>
      <x:c r="D7" s="129" t="str">
        <x:v>2605.20426</x:v>
      </x:c>
      <x:c r="E7" s="128" t="str">
        <x:v>Pointwise bounds and obstructions to blowup for the Landau and Boltzmann equations</x:v>
      </x:c>
      <x:c r="F7" s="128" t="str">
        <x:v>William Golding; Christopher Henderson; Luis Silvestre</x:v>
      </x:c>
      <x:c r="G7" s="128" t="str">
        <x:v>Kinetic PDE</x:v>
      </x:c>
      <x:c r="H7" s="129" t="str">
        <x:v>23</x:v>
      </x:c>
      <x:c r="I7" s="130" t="n">
        <x:v>92.8</x:v>
      </x:c>
      <x:c r="J7" s="130" t="n">
        <x:v>93.32</x:v>
      </x:c>
      <x:c r="K7" s="130" t="n">
        <x:v>92.28</x:v>
      </x:c>
      <x:c r="L7" s="130" t="n">
        <x:v>96.3</x:v>
      </x:c>
      <x:c r="M7" s="130" t="n">
        <x:v>93.1</x:v>
      </x:c>
      <x:c r="N7" s="130" t="n">
        <x:v>94.3</x:v>
      </x:c>
      <x:c r="O7" s="130" t="n">
        <x:v>90.2</x:v>
      </x:c>
      <x:c r="P7" s="130" t="n">
        <x:v>94.2</x:v>
      </x:c>
      <x:c r="Q7" s="130" t="n">
        <x:v>87</x:v>
      </x:c>
      <x:c r="R7" s="130" t="n">
        <x:v>10.1</x:v>
      </x:c>
      <x:c r="S7" s="134" t="str">
        <x:v>https://arxiv.org/abs/2605.20426</x:v>
      </x:c>
      <x:c r="T7" s="134" t="str">
        <x:v>High-yield kinetic estimates; affects blow-up obstruction mechanisms for Landau/Boltzmann.</x:v>
      </x:c>
      <x:c r="U7" s="28"/>
      <x:c r="V7" s="14"/>
    </x:row>
    <x:row r="8" ht="36" customHeight="1">
      <x:c r="A8" s="135" t="n">
        <x:v>7</x:v>
      </x:c>
      <x:c r="B8" s="129" t="n">
        <x:f>MATCH(D8,May_Aug_AllRank!$D$2:$D$575,0)</x:f>
        <x:v>15</x:v>
      </x:c>
      <x:c r="C8" s="129" t="str">
        <x:v>2026-05</x:v>
      </x:c>
      <x:c r="D8" s="129" t="str">
        <x:v>2605.24200</x:v>
      </x:c>
      <x:c r="E8" s="128" t="str">
        <x:v>Refined asymptotics of the steady Navier Stokes equation around small Landau solutions</x:v>
      </x:c>
      <x:c r="F8" s="128" t="str">
        <x:v>Hao Jia; Vladimir Sverak</x:v>
      </x:c>
      <x:c r="G8" s="128" t="str">
        <x:v>Navier-Stokes / asymptotics</x:v>
      </x:c>
      <x:c r="H8" s="129" t="str">
        <x:v>50</x:v>
      </x:c>
      <x:c r="I8" s="130" t="n">
        <x:v>92.13</x:v>
      </x:c>
      <x:c r="J8" s="130" t="n">
        <x:v>92.25</x:v>
      </x:c>
      <x:c r="K8" s="130" t="n">
        <x:v>92</x:v>
      </x:c>
      <x:c r="L8" s="130" t="n">
        <x:v>95</x:v>
      </x:c>
      <x:c r="M8" s="130" t="n">
        <x:v>91.1</x:v>
      </x:c>
      <x:c r="N8" s="130" t="n">
        <x:v>94.1</x:v>
      </x:c>
      <x:c r="O8" s="130" t="n">
        <x:v>88</x:v>
      </x:c>
      <x:c r="P8" s="130" t="n">
        <x:v>94.2</x:v>
      </x:c>
      <x:c r="Q8" s="130" t="n">
        <x:v>88</x:v>
      </x:c>
      <x:c r="R8" s="130" t="n">
        <x:v>10</x:v>
      </x:c>
      <x:c r="S8" s="134" t="str">
        <x:v>https://arxiv.org/abs/2605.24200</x:v>
      </x:c>
      <x:c r="T8" s="134" t="str">
        <x:v>Refined asymptotic analysis around Landau solutions; technically mature Navier-Stokes contribution.</x:v>
      </x:c>
      <x:c r="U8" s="28"/>
      <x:c r="V8" s="14"/>
    </x:row>
    <x:row r="9" ht="36" customHeight="1">
      <x:c r="A9" s="135" t="n">
        <x:v>8</x:v>
      </x:c>
      <x:c r="B9" s="129" t="n">
        <x:f>MATCH(D9,May_Aug_AllRank!$D$2:$D$575,0)</x:f>
        <x:v>17</x:v>
      </x:c>
      <x:c r="C9" s="129" t="str">
        <x:v>2026-05</x:v>
      </x:c>
      <x:c r="D9" s="129" t="str">
        <x:v>2605.02561</x:v>
      </x:c>
      <x:c r="E9" s="128" t="str">
        <x:v>Quantitative homogenization of elliptic equations with infinitely many scales</x:v>
      </x:c>
      <x:c r="F9" s="128" t="str">
        <x:v>Zhongwei Shen; Yao Xu; Jinping Zhuge</x:v>
      </x:c>
      <x:c r="G9" s="128" t="str">
        <x:v>Homogenization</x:v>
      </x:c>
      <x:c r="H9" s="129" t="str">
        <x:v>57</x:v>
      </x:c>
      <x:c r="I9" s="130" t="n">
        <x:v>92.07</x:v>
      </x:c>
      <x:c r="J9" s="130" t="n">
        <x:v>92.6</x:v>
      </x:c>
      <x:c r="K9" s="130" t="n">
        <x:v>91.55</x:v>
      </x:c>
      <x:c r="L9" s="130" t="n">
        <x:v>94</x:v>
      </x:c>
      <x:c r="M9" s="130" t="n">
        <x:v>92.1</x:v>
      </x:c>
      <x:c r="N9" s="130" t="n">
        <x:v>94</x:v>
      </x:c>
      <x:c r="O9" s="130" t="n">
        <x:v>91.2</x:v>
      </x:c>
      <x:c r="P9" s="130" t="n">
        <x:v>93.1</x:v>
      </x:c>
      <x:c r="Q9" s="130" t="n">
        <x:v>88</x:v>
      </x:c>
      <x:c r="R9" s="130" t="n">
        <x:v>12</x:v>
      </x:c>
      <x:c r="S9" s="134" t="str">
        <x:v>https://arxiv.org/abs/2605.02561</x:v>
      </x:c>
      <x:c r="T9" s="134" t="str">
        <x:v>Reusable quantitative homogenization framework for genuinely many-scale periodic media.</x:v>
      </x:c>
      <x:c r="U9" s="28"/>
      <x:c r="V9" s="14"/>
    </x:row>
    <x:row r="10" ht="36" customHeight="1">
      <x:c r="A10" s="135" t="n">
        <x:v>9</x:v>
      </x:c>
      <x:c r="B10" s="129" t="n">
        <x:f>MATCH(D10,May_Aug_AllRank!$D$2:$D$575,0)</x:f>
        <x:v>19</x:v>
      </x:c>
      <x:c r="C10" s="129" t="str">
        <x:v>2026-05</x:v>
      </x:c>
      <x:c r="D10" s="129" t="str">
        <x:v>2605.28677</x:v>
      </x:c>
      <x:c r="E10" s="128" t="str">
        <x:v>Weak universality for stochastic reaction-diffusion models with long-range correlated noise</x:v>
      </x:c>
      <x:c r="F10" s="128" t="str">
        <x:v>Simon Gabriel; Markus Tempelmayr</x:v>
      </x:c>
      <x:c r="G10" s="128" t="str">
        <x:v>Singular stochastic PDE</x:v>
      </x:c>
      <x:c r="H10" s="129" t="str">
        <x:v>66</x:v>
      </x:c>
      <x:c r="I10" s="130" t="n">
        <x:v>91.98</x:v>
      </x:c>
      <x:c r="J10" s="130" t="n">
        <x:v>92.4</x:v>
      </x:c>
      <x:c r="K10" s="130" t="n">
        <x:v>91.55</x:v>
      </x:c>
      <x:c r="L10" s="130" t="n">
        <x:v>94</x:v>
      </x:c>
      <x:c r="M10" s="130" t="n">
        <x:v>92.1</x:v>
      </x:c>
      <x:c r="N10" s="130" t="n">
        <x:v>94</x:v>
      </x:c>
      <x:c r="O10" s="130" t="n">
        <x:v>91.2</x:v>
      </x:c>
      <x:c r="P10" s="130" t="n">
        <x:v>94.1</x:v>
      </x:c>
      <x:c r="Q10" s="130" t="n">
        <x:v>86</x:v>
      </x:c>
      <x:c r="R10" s="130" t="n">
        <x:v>12</x:v>
      </x:c>
      <x:c r="S10" s="134" t="str">
        <x:v>https://arxiv.org/abs/2605.28677</x:v>
      </x:c>
      <x:c r="T10" s="134" t="str">
        <x:v>Extends weak universality/regularity structures to long-range correlated noise.</x:v>
      </x:c>
      <x:c r="U10" s="28"/>
      <x:c r="V10" s="14"/>
    </x:row>
    <x:row r="11" ht="36" customHeight="1">
      <x:c r="A11" s="135" t="n">
        <x:v>10</x:v>
      </x:c>
      <x:c r="B11" s="129" t="n">
        <x:f>MATCH(D11,May_Aug_AllRank!$D$2:$D$575,0)</x:f>
        <x:v>20</x:v>
      </x:c>
      <x:c r="C11" s="129" t="str">
        <x:v>2026-05</x:v>
      </x:c>
      <x:c r="D11" s="129" t="str">
        <x:v>2605.02058</x:v>
      </x:c>
      <x:c r="E11" s="128" t="str">
        <x:v>Quantitative Estimates for Mean-Field Limits and Correlation Functions through a Duality Framework</x:v>
      </x:c>
      <x:c r="F11" s="128" t="str">
        <x:v>Nadia Khoury; Pierre-Emmanuel Jabin</x:v>
      </x:c>
      <x:c r="G11" s="128" t="str">
        <x:v>Mean-field limits</x:v>
      </x:c>
      <x:c r="H11" s="129" t="str">
        <x:v>42</x:v>
      </x:c>
      <x:c r="I11" s="130" t="n">
        <x:v>91.9</x:v>
      </x:c>
      <x:c r="J11" s="130" t="n">
        <x:v>92.4</x:v>
      </x:c>
      <x:c r="K11" s="130" t="n">
        <x:v>91.4</x:v>
      </x:c>
      <x:c r="L11" s="130" t="n">
        <x:v>94.1</x:v>
      </x:c>
      <x:c r="M11" s="130" t="n">
        <x:v>92.1</x:v>
      </x:c>
      <x:c r="N11" s="130" t="n">
        <x:v>93.1</x:v>
      </x:c>
      <x:c r="O11" s="130" t="n">
        <x:v>91.2</x:v>
      </x:c>
      <x:c r="P11" s="130" t="n">
        <x:v>93.2</x:v>
      </x:c>
      <x:c r="Q11" s="130" t="n">
        <x:v>88</x:v>
      </x:c>
      <x:c r="R11" s="130" t="n">
        <x:v>12</x:v>
      </x:c>
      <x:c r="S11" s="134" t="str">
        <x:v>https://arxiv.org/abs/2605.02058</x:v>
      </x:c>
      <x:c r="T11" s="134" t="str">
        <x:v>Duality framework for mean-field limits and correlations; high transferability.</x:v>
      </x:c>
      <x:c r="U11" s="28"/>
      <x:c r="V11" s="14"/>
    </x:row>
    <x:row r="12" ht="36" customHeight="1">
      <x:c r="A12" s="135" t="n">
        <x:v>11</x:v>
      </x:c>
      <x:c r="B12" s="129" t="n">
        <x:f>MATCH(D12,May_Aug_AllRank!$D$2:$D$575,0)</x:f>
        <x:v>23</x:v>
      </x:c>
      <x:c r="C12" s="129" t="str">
        <x:v>2026-05</x:v>
      </x:c>
      <x:c r="D12" s="129" t="str">
        <x:v>2605.24443</x:v>
      </x:c>
      <x:c r="E12" s="128" t="str">
        <x:v>A dimension-free interpolation of Caffarelli's contraction theorem</x:v>
      </x:c>
      <x:c r="F12" s="128" t="str">
        <x:v>Bader Ammari; Alessio Figalli</x:v>
      </x:c>
      <x:c r="G12" s="128" t="str">
        <x:v>Optimal transport / convexity</x:v>
      </x:c>
      <x:c r="H12" s="129"/>
      <x:c r="I12" s="130" t="n">
        <x:v>91.77</x:v>
      </x:c>
      <x:c r="J12" s="130" t="n">
        <x:v>92.12</x:v>
      </x:c>
      <x:c r="K12" s="130" t="n">
        <x:v>91.42</x:v>
      </x:c>
      <x:c r="L12" s="130" t="n">
        <x:v>93.2</x:v>
      </x:c>
      <x:c r="M12" s="130" t="n">
        <x:v>93.3</x:v>
      </x:c>
      <x:c r="N12" s="130" t="n">
        <x:v>92</x:v>
      </x:c>
      <x:c r="O12" s="130" t="n">
        <x:v>91.3</x:v>
      </x:c>
      <x:c r="P12" s="130" t="n">
        <x:v>92.2</x:v>
      </x:c>
      <x:c r="Q12" s="130" t="n">
        <x:v>88</x:v>
      </x:c>
      <x:c r="R12" s="130" t="n">
        <x:v>10</x:v>
      </x:c>
      <x:c r="S12" s="134" t="str">
        <x:v>https://arxiv.org/abs/2605.24443</x:v>
      </x:c>
      <x:c r="T12" s="134" t="str">
        <x:v>Dimension-free interpolation around Caffarelli contraction; concise but high conceptual value.</x:v>
      </x:c>
      <x:c r="U12" s="28"/>
      <x:c r="V12" s="14"/>
    </x:row>
    <x:row r="13" ht="36" customHeight="1">
      <x:c r="A13" s="135" t="n">
        <x:v>12</x:v>
      </x:c>
      <x:c r="B13" s="129" t="n">
        <x:f>MATCH(D13,May_Aug_AllRank!$D$2:$D$575,0)</x:f>
        <x:v>26</x:v>
      </x:c>
      <x:c r="C13" s="129" t="str">
        <x:v>2026-05</x:v>
      </x:c>
      <x:c r="D13" s="129" t="str">
        <x:v>2605.19574</x:v>
      </x:c>
      <x:c r="E13" s="128" t="str">
        <x:v>Flowing to free boundary minimal surfaces</x:v>
      </x:c>
      <x:c r="F13" s="128" t="str">
        <x:v>Melanie Rupflin; Michael Struwe; Christopher Wright</x:v>
      </x:c>
      <x:c r="G13" s="128" t="str">
        <x:v>Geometric PDE / minimal surfaces</x:v>
      </x:c>
      <x:c r="H13" s="129"/>
      <x:c r="I13" s="130" t="n">
        <x:v>91.65</x:v>
      </x:c>
      <x:c r="J13" s="130" t="n">
        <x:v>91.7</x:v>
      </x:c>
      <x:c r="K13" s="130" t="n">
        <x:v>91.6</x:v>
      </x:c>
      <x:c r="L13" s="130" t="n">
        <x:v>94</x:v>
      </x:c>
      <x:c r="M13" s="130" t="n">
        <x:v>91</x:v>
      </x:c>
      <x:c r="N13" s="130" t="n">
        <x:v>94</x:v>
      </x:c>
      <x:c r="O13" s="130" t="n">
        <x:v>88</x:v>
      </x:c>
      <x:c r="P13" s="130" t="n">
        <x:v>94</x:v>
      </x:c>
      <x:c r="Q13" s="130" t="n">
        <x:v>86</x:v>
      </x:c>
      <x:c r="R13" s="130" t="n">
        <x:v>10</x:v>
      </x:c>
      <x:c r="S13" s="134" t="str">
        <x:v>https://arxiv.org/abs/2605.19574</x:v>
      </x:c>
      <x:c r="T13" s="134" t="str">
        <x:v>Geometric flow approach to free-boundary minimal surfaces; strong authorship and method content.</x:v>
      </x:c>
      <x:c r="U13" s="28"/>
      <x:c r="V13" s="14"/>
    </x:row>
    <x:row r="14" ht="36" customHeight="1">
      <x:c r="A14" s="135" t="n">
        <x:v>13</x:v>
      </x:c>
      <x:c r="B14" s="129" t="n">
        <x:f>MATCH(D14,May_Aug_AllRank!$D$2:$D$575,0)</x:f>
        <x:v>27</x:v>
      </x:c>
      <x:c r="C14" s="129" t="str">
        <x:v>2026-05</x:v>
      </x:c>
      <x:c r="D14" s="129" t="str">
        <x:v>2605.19716</x:v>
      </x:c>
      <x:c r="E14" s="128" t="str">
        <x:v>Self-similar blow-up solutions of d-dimensional incompressible Euler equations with C^{1,(1-2/d)-} velocity</x:v>
      </x:c>
      <x:c r="F14" s="128" t="str">
        <x:v>Feng Shao; Dongyi Wei; Ping Zhang; Zhifei Zhang</x:v>
      </x:c>
      <x:c r="G14" s="128" t="str">
        <x:v>Fluid singularities / Euler</x:v>
      </x:c>
      <x:c r="H14" s="129" t="str">
        <x:v>103</x:v>
      </x:c>
      <x:c r="I14" s="130" t="n">
        <x:v>91.62</x:v>
      </x:c>
      <x:c r="J14" s="130" t="n">
        <x:v>92.08</x:v>
      </x:c>
      <x:c r="K14" s="130" t="n">
        <x:v>91.15</x:v>
      </x:c>
      <x:c r="L14" s="130" t="n">
        <x:v>95.1</x:v>
      </x:c>
      <x:c r="M14" s="130" t="n">
        <x:v>92</x:v>
      </x:c>
      <x:c r="N14" s="130" t="n">
        <x:v>94.2</x:v>
      </x:c>
      <x:c r="O14" s="130" t="n">
        <x:v>88</x:v>
      </x:c>
      <x:c r="P14" s="130" t="n">
        <x:v>94.2</x:v>
      </x:c>
      <x:c r="Q14" s="130" t="n">
        <x:v>84</x:v>
      </x:c>
      <x:c r="R14" s="130" t="n">
        <x:v>13</x:v>
      </x:c>
      <x:c r="S14" s="134" t="str">
        <x:v>https://arxiv.org/abs/2605.19716</x:v>
      </x:c>
      <x:c r="T14" s="134" t="str">
        <x:v>High-impact self-similar blow-up construction in multidimensional Euler with finite-energy stability content.</x:v>
      </x:c>
      <x:c r="U14" s="28"/>
      <x:c r="V14" s="14"/>
    </x:row>
    <x:row r="15" ht="36" customHeight="1">
      <x:c r="A15" s="135" t="n">
        <x:v>14</x:v>
      </x:c>
      <x:c r="B15" s="129" t="n">
        <x:f>MATCH(D15,May_Aug_AllRank!$D$2:$D$575,0)</x:f>
        <x:v>28</x:v>
      </x:c>
      <x:c r="C15" s="129" t="str">
        <x:v>2026-05</x:v>
      </x:c>
      <x:c r="D15" s="129" t="str">
        <x:v>2605.24392</x:v>
      </x:c>
      <x:c r="E15" s="128" t="str">
        <x:v>Hydrodynamic Limit of the Boltzmann Equation toward Generic Riemann Solutions with Shocks</x:v>
      </x:c>
      <x:c r="F15" s="128" t="str">
        <x:v>Mingi Choe; Moon-jin Kang; Chanwoo Kim</x:v>
      </x:c>
      <x:c r="G15" s="128" t="str">
        <x:v>Kinetic theory / hydrodynamic limits</x:v>
      </x:c>
      <x:c r="H15" s="129"/>
      <x:c r="I15" s="130" t="n">
        <x:v>91.56</x:v>
      </x:c>
      <x:c r="J15" s="130" t="n">
        <x:v>91.83</x:v>
      </x:c>
      <x:c r="K15" s="130" t="n">
        <x:v>91.29</x:v>
      </x:c>
      <x:c r="L15" s="130" t="n">
        <x:v>94.3</x:v>
      </x:c>
      <x:c r="M15" s="130" t="n">
        <x:v>91.1</x:v>
      </x:c>
      <x:c r="N15" s="130" t="n">
        <x:v>94.3</x:v>
      </x:c>
      <x:c r="O15" s="130" t="n">
        <x:v>88.3</x:v>
      </x:c>
      <x:c r="P15" s="130" t="n">
        <x:v>94.2</x:v>
      </x:c>
      <x:c r="Q15" s="130" t="n">
        <x:v>85</x:v>
      </x:c>
      <x:c r="R15" s="130" t="n">
        <x:v>12</x:v>
      </x:c>
      <x:c r="S15" s="134" t="str">
        <x:v>https://arxiv.org/abs/2605.24392</x:v>
      </x:c>
      <x:c r="T15" s="134" t="str">
        <x:v>Hydrodynamic limit toward generic Riemann solutions with shocks; broad kinetic-fluid interface value.</x:v>
      </x:c>
      <x:c r="U15" s="28"/>
      <x:c r="V15" s="14"/>
    </x:row>
    <x:row r="16" ht="36" customHeight="1">
      <x:c r="A16" s="135" t="n">
        <x:v>15</x:v>
      </x:c>
      <x:c r="B16" s="129" t="n">
        <x:f>MATCH(D16,May_Aug_AllRank!$D$2:$D$575,0)</x:f>
        <x:v>30</x:v>
      </x:c>
      <x:c r="C16" s="129" t="str">
        <x:v>2026-05</x:v>
      </x:c>
      <x:c r="D16" s="129" t="str">
        <x:v>2605.24214</x:v>
      </x:c>
      <x:c r="E16" s="128" t="str">
        <x:v>Variational formulation of hyperbolic conservation laws</x:v>
      </x:c>
      <x:c r="F16" s="128" t="str">
        <x:v>Eitan Tadmor</x:v>
      </x:c>
      <x:c r="G16" s="128" t="str">
        <x:v>Conservation laws</x:v>
      </x:c>
      <x:c r="H16" s="129"/>
      <x:c r="I16" s="130" t="n">
        <x:v>91.41</x:v>
      </x:c>
      <x:c r="J16" s="130" t="n">
        <x:v>92.21</x:v>
      </x:c>
      <x:c r="K16" s="130" t="n">
        <x:v>90.62</x:v>
      </x:c>
      <x:c r="L16" s="130" t="n">
        <x:v>94.3</x:v>
      </x:c>
      <x:c r="M16" s="130" t="n">
        <x:v>93.4</x:v>
      </x:c>
      <x:c r="N16" s="130" t="n">
        <x:v>90.9</x:v>
      </x:c>
      <x:c r="O16" s="130" t="n">
        <x:v>91.4</x:v>
      </x:c>
      <x:c r="P16" s="130" t="n">
        <x:v>91.2</x:v>
      </x:c>
      <x:c r="Q16" s="130" t="n">
        <x:v>88</x:v>
      </x:c>
      <x:c r="R16" s="130" t="n">
        <x:v>12</x:v>
      </x:c>
      <x:c r="S16" s="134" t="str">
        <x:v>https://arxiv.org/abs/2605.24214</x:v>
      </x:c>
      <x:c r="T16" s="134" t="str">
        <x:v>Conceptual variational formulation for conservation laws; high influence potential despite likely concise format.</x:v>
      </x:c>
      <x:c r="U16" s="28"/>
      <x:c r="V16" s="14"/>
    </x:row>
    <x:row r="17" ht="36" customHeight="1">
      <x:c r="A17" s="135" t="n">
        <x:v>16</x:v>
      </x:c>
      <x:c r="B17" s="129" t="n">
        <x:f>MATCH(D17,May_Aug_AllRank!$D$2:$D$575,0)</x:f>
        <x:v>38</x:v>
      </x:c>
      <x:c r="C17" s="129" t="str">
        <x:v>2026-05</x:v>
      </x:c>
      <x:c r="D17" s="129" t="str">
        <x:v>2605.07913</x:v>
      </x:c>
      <x:c r="E17" s="128" t="str">
        <x:v>Finite index solutions to the Bernoulli problem in three dimensions are axially symmetric</x:v>
      </x:c>
      <x:c r="F17" s="128" t="str">
        <x:v>Xavier Fernandez-Real; Enric Florit-Simon; Joaquim Serra</x:v>
      </x:c>
      <x:c r="G17" s="128" t="str">
        <x:v>Free boundary regularity</x:v>
      </x:c>
      <x:c r="H17" s="129"/>
      <x:c r="I17" s="130" t="n">
        <x:v>91.03</x:v>
      </x:c>
      <x:c r="J17" s="130" t="n">
        <x:v>90.95</x:v>
      </x:c>
      <x:c r="K17" s="130" t="n">
        <x:v>91.1</x:v>
      </x:c>
      <x:c r="L17" s="130" t="n">
        <x:v>93</x:v>
      </x:c>
      <x:c r="M17" s="130" t="n">
        <x:v>90.1</x:v>
      </x:c>
      <x:c r="N17" s="130" t="n">
        <x:v>93</x:v>
      </x:c>
      <x:c r="O17" s="130" t="n">
        <x:v>87.2</x:v>
      </x:c>
      <x:c r="P17" s="130" t="n">
        <x:v>93.1</x:v>
      </x:c>
      <x:c r="Q17" s="130" t="n">
        <x:v>87</x:v>
      </x:c>
      <x:c r="R17" s="130" t="n">
        <x:v>10</x:v>
      </x:c>
      <x:c r="S17" s="134" t="str">
        <x:v>https://arxiv.org/abs/2605.07913</x:v>
      </x:c>
      <x:c r="T17" s="134" t="str">
        <x:v>Strong classification/symmetry theorem for Bernoulli free boundaries in dimension three.</x:v>
      </x:c>
      <x:c r="U17" s="28"/>
      <x:c r="V17" s="14"/>
    </x:row>
    <x:row r="18" ht="36" customHeight="1">
      <x:c r="A18" s="135" t="n">
        <x:v>17</x:v>
      </x:c>
      <x:c r="B18" s="129" t="n">
        <x:f>MATCH(D18,May_Aug_AllRank!$D$2:$D$575,0)</x:f>
        <x:v>41</x:v>
      </x:c>
      <x:c r="C18" s="129" t="str">
        <x:v>2026-05</x:v>
      </x:c>
      <x:c r="D18" s="129" t="str">
        <x:v>2605.16502</x:v>
      </x:c>
      <x:c r="E18" s="128" t="str">
        <x:v>Sharp Ill-Posedness of the Euler Equations in Lorentz Spaces</x:v>
      </x:c>
      <x:c r="F18" s="128" t="str">
        <x:v>Jeaheang Bang; Alexey Cheskidov</x:v>
      </x:c>
      <x:c r="G18" s="128" t="str">
        <x:v>Euler well/ill-posedness</x:v>
      </x:c>
      <x:c r="H18" s="129" t="str">
        <x:v>98</x:v>
      </x:c>
      <x:c r="I18" s="130" t="n">
        <x:v>90.93</x:v>
      </x:c>
      <x:c r="J18" s="130" t="n">
        <x:v>91.26</x:v>
      </x:c>
      <x:c r="K18" s="130" t="n">
        <x:v>90.6</x:v>
      </x:c>
      <x:c r="L18" s="130" t="n">
        <x:v>94.1</x:v>
      </x:c>
      <x:c r="M18" s="130" t="n">
        <x:v>90.1</x:v>
      </x:c>
      <x:c r="N18" s="130" t="n">
        <x:v>94.1</x:v>
      </x:c>
      <x:c r="O18" s="130" t="n">
        <x:v>87.2</x:v>
      </x:c>
      <x:c r="P18" s="130" t="n">
        <x:v>94.2</x:v>
      </x:c>
      <x:c r="Q18" s="130" t="n">
        <x:v>84</x:v>
      </x:c>
      <x:c r="R18" s="130" t="n">
        <x:v>14</x:v>
      </x:c>
      <x:c r="S18" s="134" t="str">
        <x:v>https://arxiv.org/abs/2605.16502</x:v>
      </x:c>
      <x:c r="T18" s="134" t="str">
        <x:v>Sharp threshold ill-posedness in Lorentz scales; substantial function-space analysis.</x:v>
      </x:c>
      <x:c r="U18" s="28"/>
      <x:c r="V18" s="14"/>
    </x:row>
    <x:row r="19" ht="36" customHeight="1">
      <x:c r="A19" s="135" t="n">
        <x:v>18</x:v>
      </x:c>
      <x:c r="B19" s="129" t="n">
        <x:f>MATCH(D19,May_Aug_AllRank!$D$2:$D$575,0)</x:f>
        <x:v>44</x:v>
      </x:c>
      <x:c r="C19" s="129" t="str">
        <x:v>2026-05</x:v>
      </x:c>
      <x:c r="D19" s="129" t="str">
        <x:v>2605.11834</x:v>
      </x:c>
      <x:c r="E19" s="128" t="str">
        <x:v>Sharp upper bound for a branched transport problem coming from Ginzburg-Landau models</x:v>
      </x:c>
      <x:c r="F19" s="128" t="str">
        <x:v>Alessandro Cosenza; Michael Goldman; Felix Otto</x:v>
      </x:c>
      <x:c r="G19" s="128" t="str">
        <x:v>Variational PDE / Ginzburg-Landau</x:v>
      </x:c>
      <x:c r="H19" s="129" t="str">
        <x:v>27</x:v>
      </x:c>
      <x:c r="I19" s="130" t="n">
        <x:v>90.81</x:v>
      </x:c>
      <x:c r="J19" s="130" t="n">
        <x:v>90.91</x:v>
      </x:c>
      <x:c r="K19" s="130" t="n">
        <x:v>90.7</x:v>
      </x:c>
      <x:c r="L19" s="130" t="n">
        <x:v>92.1</x:v>
      </x:c>
      <x:c r="M19" s="130" t="n">
        <x:v>91.1</x:v>
      </x:c>
      <x:c r="N19" s="130" t="n">
        <x:v>92.1</x:v>
      </x:c>
      <x:c r="O19" s="130" t="n">
        <x:v>88.2</x:v>
      </x:c>
      <x:c r="P19" s="130" t="n">
        <x:v>92.2</x:v>
      </x:c>
      <x:c r="Q19" s="130" t="n">
        <x:v>88</x:v>
      </x:c>
      <x:c r="R19" s="130" t="n">
        <x:v>12</x:v>
      </x:c>
      <x:c r="S19" s="134" t="str">
        <x:v>https://arxiv.org/abs/2605.11834</x:v>
      </x:c>
      <x:c r="T19" s="134" t="str">
        <x:v>Sharp scaling/upper-bound construction in a GL-derived branched transport problem.</x:v>
      </x:c>
      <x:c r="U19" s="28"/>
      <x:c r="V19" s="14"/>
    </x:row>
    <x:row r="20" ht="36" customHeight="1">
      <x:c r="A20" s="135" t="n">
        <x:v>19</x:v>
      </x:c>
      <x:c r="B20" s="129" t="n">
        <x:f>MATCH(D20,May_Aug_AllRank!$D$2:$D$575,0)</x:f>
        <x:v>49</x:v>
      </x:c>
      <x:c r="C20" s="129" t="str">
        <x:v>2026-05</x:v>
      </x:c>
      <x:c r="D20" s="129" t="str">
        <x:v>2605.10138</x:v>
      </x:c>
      <x:c r="E20" s="128" t="str">
        <x:v>Global Well-posedness for the Multi-species Boltzmann Equation with Large Amplitude Initial Data</x:v>
      </x:c>
      <x:c r="F20" s="128" t="str">
        <x:v>Gyounghun Ko; Myeong-Su Lee; Sung-Jun Son</x:v>
      </x:c>
      <x:c r="G20" s="128" t="str">
        <x:v>Boltzmann equation</x:v>
      </x:c>
      <x:c r="H20" s="129" t="str">
        <x:v>54</x:v>
      </x:c>
      <x:c r="I20" s="130" t="n">
        <x:v>90.45</x:v>
      </x:c>
      <x:c r="J20" s="130" t="n">
        <x:v>90.4</x:v>
      </x:c>
      <x:c r="K20" s="130" t="n">
        <x:v>90.5</x:v>
      </x:c>
      <x:c r="L20" s="130" t="n">
        <x:v>92.1</x:v>
      </x:c>
      <x:c r="M20" s="130" t="n">
        <x:v>89.1</x:v>
      </x:c>
      <x:c r="N20" s="130" t="n">
        <x:v>93.1</x:v>
      </x:c>
      <x:c r="O20" s="130" t="n">
        <x:v>87.2</x:v>
      </x:c>
      <x:c r="P20" s="130" t="n">
        <x:v>93.2</x:v>
      </x:c>
      <x:c r="Q20" s="130" t="n">
        <x:v>86</x:v>
      </x:c>
      <x:c r="R20" s="130" t="n">
        <x:v>12</x:v>
      </x:c>
      <x:c r="S20" s="134" t="str">
        <x:v>https://arxiv.org/abs/2605.10138</x:v>
      </x:c>
      <x:c r="T20" s="134" t="str">
        <x:v>Large-amplitude global well-posedness for multi-species Boltzmann; technically heavy kinetic PDE.</x:v>
      </x:c>
      <x:c r="U20" s="28"/>
      <x:c r="V20" s="14"/>
    </x:row>
    <x:row r="21" ht="36" customHeight="1">
      <x:c r="A21" s="135" t="n">
        <x:v>20</x:v>
      </x:c>
      <x:c r="B21" s="129" t="n">
        <x:f>MATCH(D21,May_Aug_AllRank!$D$2:$D$575,0)</x:f>
        <x:v>56</x:v>
      </x:c>
      <x:c r="C21" s="129" t="str">
        <x:v>2026-05</x:v>
      </x:c>
      <x:c r="D21" s="129" t="str">
        <x:v>2605.10788</x:v>
      </x:c>
      <x:c r="E21" s="128" t="str">
        <x:v>Entropy Structures and Long-Time Relaxation for 3-Wave Kinetic Equations</x:v>
      </x:c>
      <x:c r="F21" s="128" t="str">
        <x:v>Gigliola Staffilani; Minh-Binh Tran</x:v>
      </x:c>
      <x:c r="G21" s="128" t="str">
        <x:v>Wave kinetic equations</x:v>
      </x:c>
      <x:c r="H21" s="129"/>
      <x:c r="I21" s="130" t="n">
        <x:v>90.3</x:v>
      </x:c>
      <x:c r="J21" s="130" t="n">
        <x:v>90.45</x:v>
      </x:c>
      <x:c r="K21" s="130" t="n">
        <x:v>90.15</x:v>
      </x:c>
      <x:c r="L21" s="130" t="n">
        <x:v>92</x:v>
      </x:c>
      <x:c r="M21" s="130" t="n">
        <x:v>90.1</x:v>
      </x:c>
      <x:c r="N21" s="130" t="n">
        <x:v>92</x:v>
      </x:c>
      <x:c r="O21" s="130" t="n">
        <x:v>88.2</x:v>
      </x:c>
      <x:c r="P21" s="130" t="n">
        <x:v>92.1</x:v>
      </x:c>
      <x:c r="Q21" s="130" t="n">
        <x:v>86</x:v>
      </x:c>
      <x:c r="R21" s="130" t="n">
        <x:v>12</x:v>
      </x:c>
      <x:c r="S21" s="134" t="str">
        <x:v>https://arxiv.org/abs/2605.10788</x:v>
      </x:c>
      <x:c r="T21" s="134" t="str">
        <x:v>Entropy and relaxation structure for 3-wave kinetic equations; strong kinetic/wave turbulence relevance.</x:v>
      </x:c>
      <x:c r="U21" s="28"/>
      <x:c r="V21" s="14"/>
    </x:row>
    <x:row r="22" ht="36" customHeight="1">
      <x:c r="A22" s="135" t="n">
        <x:v>21</x:v>
      </x:c>
      <x:c r="B22" s="129" t="n">
        <x:f>MATCH(D22,May_Aug_AllRank!$D$2:$D$575,0)</x:f>
        <x:v>55</x:v>
      </x:c>
      <x:c r="C22" s="129" t="str">
        <x:v>2026-05</x:v>
      </x:c>
      <x:c r="D22" s="129" t="str">
        <x:v>2605.00189</x:v>
      </x:c>
      <x:c r="E22" s="128" t="str">
        <x:v>Local Asymptotic Patterns for Viscous Approximations of Conservation Laws</x:v>
      </x:c>
      <x:c r="F22" s="128" t="str">
        <x:v>Alberto Bressan; Laura Caravenna; Wen Shen</x:v>
      </x:c>
      <x:c r="G22" s="128" t="str">
        <x:v>Conservation laws</x:v>
      </x:c>
      <x:c r="H22" s="129"/>
      <x:c r="I22" s="130" t="n">
        <x:v>90.35</x:v>
      </x:c>
      <x:c r="J22" s="130" t="n">
        <x:v>90.41</x:v>
      </x:c>
      <x:c r="K22" s="130" t="n">
        <x:v>90.3</x:v>
      </x:c>
      <x:c r="L22" s="130" t="n">
        <x:v>92.1</x:v>
      </x:c>
      <x:c r="M22" s="130" t="n">
        <x:v>90</x:v>
      </x:c>
      <x:c r="N22" s="130" t="n">
        <x:v>92.1</x:v>
      </x:c>
      <x:c r="O22" s="130" t="n">
        <x:v>87</x:v>
      </x:c>
      <x:c r="P22" s="130" t="n">
        <x:v>92.1</x:v>
      </x:c>
      <x:c r="Q22" s="130" t="n">
        <x:v>87</x:v>
      </x:c>
      <x:c r="R22" s="130" t="n">
        <x:v>12</x:v>
      </x:c>
      <x:c r="S22" s="134" t="str">
        <x:v>https://arxiv.org/abs/2605.00189</x:v>
      </x:c>
      <x:c r="T22" s="134" t="str">
        <x:v>Asymptotic pattern analysis for viscous approximations; foundational hyperbolic PDE flavor.</x:v>
      </x:c>
      <x:c r="U22" s="28"/>
      <x:c r="V22" s="14"/>
    </x:row>
    <x:row r="23" ht="36" customHeight="1">
      <x:c r="A23" s="135" t="n">
        <x:v>22</x:v>
      </x:c>
      <x:c r="B23" s="129" t="n">
        <x:f>MATCH(D23,May_Aug_AllRank!$D$2:$D$575,0)</x:f>
        <x:v>67</x:v>
      </x:c>
      <x:c r="C23" s="129" t="str">
        <x:v>2026-05</x:v>
      </x:c>
      <x:c r="D23" s="129" t="str">
        <x:v>2605.02540</x:v>
      </x:c>
      <x:c r="E23" s="128" t="str">
        <x:v>On the onset of correlations in Wave Turbulence close to singularities</x:v>
      </x:c>
      <x:c r="F23" s="128" t="str">
        <x:v>M. Escobedo; J. J. L. Velazquez</x:v>
      </x:c>
      <x:c r="G23" s="128" t="str">
        <x:v>Wave turbulence</x:v>
      </x:c>
      <x:c r="H23" s="129"/>
      <x:c r="I23" s="130" t="n">
        <x:v>90.13</x:v>
      </x:c>
      <x:c r="J23" s="130" t="n">
        <x:v>90.25</x:v>
      </x:c>
      <x:c r="K23" s="130" t="n">
        <x:v>90</x:v>
      </x:c>
      <x:c r="L23" s="130" t="n">
        <x:v>92</x:v>
      </x:c>
      <x:c r="M23" s="130" t="n">
        <x:v>91</x:v>
      </x:c>
      <x:c r="N23" s="130" t="n">
        <x:v>92</x:v>
      </x:c>
      <x:c r="O23" s="130" t="n">
        <x:v>87</x:v>
      </x:c>
      <x:c r="P23" s="130" t="n">
        <x:v>92</x:v>
      </x:c>
      <x:c r="Q23" s="130" t="n">
        <x:v>84</x:v>
      </x:c>
      <x:c r="R23" s="130" t="n">
        <x:v>12</x:v>
      </x:c>
      <x:c r="S23" s="134" t="str">
        <x:v>https://arxiv.org/abs/2605.02540</x:v>
      </x:c>
      <x:c r="T23" s="134" t="str">
        <x:v>Correlation onset near singular regimes in wave turbulence; strong model depth.</x:v>
      </x:c>
      <x:c r="U23" s="28"/>
      <x:c r="V23" s="14"/>
    </x:row>
    <x:row r="24" ht="36" customHeight="1">
      <x:c r="A24" s="135" t="n">
        <x:v>23</x:v>
      </x:c>
      <x:c r="B24" s="129" t="n">
        <x:f>MATCH(D24,May_Aug_AllRank!$D$2:$D$575,0)</x:f>
        <x:v>73</x:v>
      </x:c>
      <x:c r="C24" s="129" t="str">
        <x:v>2026-05</x:v>
      </x:c>
      <x:c r="D24" s="129" t="str">
        <x:v>2605.02034</x:v>
      </x:c>
      <x:c r="E24" s="128" t="str">
        <x:v>Serrin's overdetermined theorem and weak Bernoulli laws without Alt-Caffarelli regularity</x:v>
      </x:c>
      <x:c r="F24" s="128" t="str">
        <x:v>Yi Ru-Ya Zhang</x:v>
      </x:c>
      <x:c r="G24" s="128" t="str">
        <x:v>Free boundary / overdetermined problems</x:v>
      </x:c>
      <x:c r="H24" s="129" t="str">
        <x:v>55</x:v>
      </x:c>
      <x:c r="I24" s="130" t="n">
        <x:v>89.95</x:v>
      </x:c>
      <x:c r="J24" s="130" t="n">
        <x:v>90.3</x:v>
      </x:c>
      <x:c r="K24" s="130" t="n">
        <x:v>89.6</x:v>
      </x:c>
      <x:c r="L24" s="130" t="n">
        <x:v>92.1</x:v>
      </x:c>
      <x:c r="M24" s="130" t="n">
        <x:v>91.1</x:v>
      </x:c>
      <x:c r="N24" s="130" t="n">
        <x:v>91.1</x:v>
      </x:c>
      <x:c r="O24" s="130" t="n">
        <x:v>87.2</x:v>
      </x:c>
      <x:c r="P24" s="130" t="n">
        <x:v>91.2</x:v>
      </x:c>
      <x:c r="Q24" s="130" t="n">
        <x:v>86</x:v>
      </x:c>
      <x:c r="R24" s="130" t="n">
        <x:v>14</x:v>
      </x:c>
      <x:c r="S24" s="134" t="str">
        <x:v>https://arxiv.org/abs/2605.02034</x:v>
      </x:c>
      <x:c r="T24" s="134" t="str">
        <x:v>Connects Serrin-type rigidity and weak Bernoulli laws avoiding classical regularity machinery.</x:v>
      </x:c>
      <x:c r="U24" s="28"/>
      <x:c r="V24" s="14"/>
    </x:row>
    <x:row r="25" ht="36" customHeight="1">
      <x:c r="A25" s="135" t="n">
        <x:v>24</x:v>
      </x:c>
      <x:c r="B25" s="129" t="n">
        <x:f>MATCH(D25,May_Aug_AllRank!$D$2:$D$575,0)</x:f>
        <x:v>78</x:v>
      </x:c>
      <x:c r="C25" s="129" t="str">
        <x:v>2026-05</x:v>
      </x:c>
      <x:c r="D25" s="129" t="str">
        <x:v>2605.01933</x:v>
      </x:c>
      <x:c r="E25" s="128" t="str">
        <x:v>A sharp hypocoercive entropy decay estimate for underdamped Langevin dynamics</x:v>
      </x:c>
      <x:c r="F25" s="128" t="str">
        <x:v>Jianfeng Lu</x:v>
      </x:c>
      <x:c r="G25" s="128" t="str">
        <x:v>Hypocoercivity / Langevin</x:v>
      </x:c>
      <x:c r="H25" s="129" t="str">
        <x:v>25</x:v>
      </x:c>
      <x:c r="I25" s="130" t="n">
        <x:v>89.85</x:v>
      </x:c>
      <x:c r="J25" s="130" t="n">
        <x:v>90.16</x:v>
      </x:c>
      <x:c r="K25" s="130" t="n">
        <x:v>89.54</x:v>
      </x:c>
      <x:c r="L25" s="130" t="n">
        <x:v>91.1</x:v>
      </x:c>
      <x:c r="M25" s="130" t="n">
        <x:v>90.1</x:v>
      </x:c>
      <x:c r="N25" s="130" t="n">
        <x:v>91.1</x:v>
      </x:c>
      <x:c r="O25" s="130" t="n">
        <x:v>88.2</x:v>
      </x:c>
      <x:c r="P25" s="130" t="n">
        <x:v>90.2</x:v>
      </x:c>
      <x:c r="Q25" s="130" t="n">
        <x:v>88</x:v>
      </x:c>
      <x:c r="R25" s="130" t="n">
        <x:v>13.1</x:v>
      </x:c>
      <x:c r="S25" s="134" t="str">
        <x:v>https://arxiv.org/abs/2605.01933</x:v>
      </x:c>
      <x:c r="T25" s="134" t="str">
        <x:v>Sharp entropy decay estimate; valuable for probability/PDE interface.</x:v>
      </x:c>
      <x:c r="U25" s="28"/>
      <x:c r="V25" s="14"/>
    </x:row>
    <x:row r="26" ht="36" customHeight="1">
      <x:c r="A26" s="135" t="n">
        <x:v>25</x:v>
      </x:c>
      <x:c r="B26" s="129" t="n">
        <x:f>MATCH(D26,May_Aug_AllRank!$D$2:$D$575,0)</x:f>
        <x:v>83</x:v>
      </x:c>
      <x:c r="C26" s="129" t="str">
        <x:v>2026-05</x:v>
      </x:c>
      <x:c r="D26" s="129" t="str">
        <x:v>2605.03732</x:v>
      </x:c>
      <x:c r="E26" s="128" t="str">
        <x:v>Sharp Stability for the Affine Fractional Sobolev Inequality</x:v>
      </x:c>
      <x:c r="F26" s="128" t="str">
        <x:v>Song Fan; Gui-Dong Li; Jianjun Zhang</x:v>
      </x:c>
      <x:c r="G26" s="128" t="str">
        <x:v>Functional inequalities</x:v>
      </x:c>
      <x:c r="H26" s="129"/>
      <x:c r="I26" s="130" t="n">
        <x:v>89.75</x:v>
      </x:c>
      <x:c r="J26" s="130" t="n">
        <x:v>89.85</x:v>
      </x:c>
      <x:c r="K26" s="130" t="n">
        <x:v>89.65</x:v>
      </x:c>
      <x:c r="L26" s="130" t="n">
        <x:v>91</x:v>
      </x:c>
      <x:c r="M26" s="130" t="n">
        <x:v>90.1</x:v>
      </x:c>
      <x:c r="N26" s="130" t="n">
        <x:v>91</x:v>
      </x:c>
      <x:c r="O26" s="130" t="n">
        <x:v>87.2</x:v>
      </x:c>
      <x:c r="P26" s="130" t="n">
        <x:v>91.1</x:v>
      </x:c>
      <x:c r="Q26" s="130" t="n">
        <x:v>87</x:v>
      </x:c>
      <x:c r="R26" s="130" t="n">
        <x:v>13</x:v>
      </x:c>
      <x:c r="S26" s="134" t="str">
        <x:v>https://arxiv.org/abs/2605.03732</x:v>
      </x:c>
      <x:c r="T26" s="134" t="str">
        <x:v>Sharp stability of affine fractional Sobolev inequality; strong inequality work.</x:v>
      </x:c>
      <x:c r="U26" s="28"/>
      <x:c r="V26" s="14"/>
    </x:row>
    <x:row r="27" ht="36" customHeight="1">
      <x:c r="A27" s="135" t="n">
        <x:v>26</x:v>
      </x:c>
      <x:c r="B27" s="129" t="n">
        <x:f>MATCH(D27,May_Aug_AllRank!$D$2:$D$575,0)</x:f>
        <x:v>113</x:v>
      </x:c>
      <x:c r="C27" s="129" t="str">
        <x:v>2026-05</x:v>
      </x:c>
      <x:c r="D27" s="129" t="str">
        <x:v>2605.07538</x:v>
      </x:c>
      <x:c r="E27" s="128" t="str">
        <x:v>Nonlinear stability threshold for 3D compressible Couette flow</x:v>
      </x:c>
      <x:c r="F27" s="128" t="str">
        <x:v>Rui Li; Fei Wang; Lingda Xu; Zeren Zhang</x:v>
      </x:c>
      <x:c r="G27" s="128" t="str">
        <x:v>Hydrodynamic stability</x:v>
      </x:c>
      <x:c r="H27" s="129"/>
      <x:c r="I27" s="130" t="n">
        <x:v>89.15</x:v>
      </x:c>
      <x:c r="J27" s="130" t="n">
        <x:v>89.2</x:v>
      </x:c>
      <x:c r="K27" s="130" t="n">
        <x:v>89.1</x:v>
      </x:c>
      <x:c r="L27" s="130" t="n">
        <x:v>91</x:v>
      </x:c>
      <x:c r="M27" s="130" t="n">
        <x:v>88</x:v>
      </x:c>
      <x:c r="N27" s="130" t="n">
        <x:v>92</x:v>
      </x:c>
      <x:c r="O27" s="130" t="n">
        <x:v>86</x:v>
      </x:c>
      <x:c r="P27" s="130" t="n">
        <x:v>92</x:v>
      </x:c>
      <x:c r="Q27" s="130" t="n">
        <x:v>84</x:v>
      </x:c>
      <x:c r="R27" s="130" t="n">
        <x:v>14</x:v>
      </x:c>
      <x:c r="S27" s="134" t="str">
        <x:v>https://arxiv.org/abs/2605.07538</x:v>
      </x:c>
      <x:c r="T27" s="134" t="str">
        <x:v>Threshold result for compressible Couette flow; technically demanding nonlinear stability.</x:v>
      </x:c>
      <x:c r="U27" s="28"/>
      <x:c r="V27" s="14"/>
    </x:row>
    <x:row r="28" ht="36" customHeight="1">
      <x:c r="A28" s="135" t="n">
        <x:v>27</x:v>
      </x:c>
      <x:c r="B28" s="129" t="n">
        <x:f>MATCH(D28,May_Aug_AllRank!$D$2:$D$575,0)</x:f>
        <x:v>109</x:v>
      </x:c>
      <x:c r="C28" s="129" t="str">
        <x:v>2026-05</x:v>
      </x:c>
      <x:c r="D28" s="129" t="str">
        <x:v>2605.27695</x:v>
      </x:c>
      <x:c r="E28" s="128" t="str">
        <x:v>Non Maxwellian long-time asymptotics for Homoenergetic Boltzmann flows under strong shear</x:v>
      </x:c>
      <x:c r="F28" s="128" t="str">
        <x:v>Alessia Nota; Juan J. L. Velazquez</x:v>
      </x:c>
      <x:c r="G28" s="128" t="str">
        <x:v>Boltzmann asymptotics</x:v>
      </x:c>
      <x:c r="H28" s="129" t="n">
        <x:v>57</x:v>
      </x:c>
      <x:c r="I28" s="130" t="n">
        <x:v>89.25</x:v>
      </x:c>
      <x:c r="J28" s="130" t="n">
        <x:v>89.1</x:v>
      </x:c>
      <x:c r="K28" s="130" t="n">
        <x:v>89.4</x:v>
      </x:c>
      <x:c r="L28" s="130" t="n">
        <x:v>90.1</x:v>
      </x:c>
      <x:c r="M28" s="130" t="n">
        <x:v>90.1</x:v>
      </x:c>
      <x:c r="N28" s="130" t="n">
        <x:v>91.1</x:v>
      </x:c>
      <x:c r="O28" s="130" t="n">
        <x:v>85.2</x:v>
      </x:c>
      <x:c r="P28" s="130" t="n">
        <x:v>91.2</x:v>
      </x:c>
      <x:c r="Q28" s="130" t="n">
        <x:v>85</x:v>
      </x:c>
      <x:c r="R28" s="130" t="n">
        <x:v>13</x:v>
      </x:c>
      <x:c r="S28" s="134" t="str">
        <x:v>https://arxiv.org/abs/2605.27695</x:v>
      </x:c>
      <x:c r="T28" s="134" t="str">
        <x:v>Non-Maxwellian long-time asymptotics under shear; kinetic asymptotic novelty.</x:v>
      </x:c>
      <x:c r="U28" s="28"/>
      <x:c r="V28" s="14"/>
    </x:row>
    <x:row r="29" ht="36" customHeight="1">
      <x:c r="A29" s="135" t="n">
        <x:v>28</x:v>
      </x:c>
      <x:c r="B29" s="129" t="n">
        <x:f>MATCH(D29,May_Aug_AllRank!$D$2:$D$575,0)</x:f>
        <x:v>117</x:v>
      </x:c>
      <x:c r="C29" s="129" t="str">
        <x:v>2026-05</x:v>
      </x:c>
      <x:c r="D29" s="129" t="str">
        <x:v>2605.19598</x:v>
      </x:c>
      <x:c r="E29" s="128" t="str">
        <x:v>Wrinkling in the Lame problem: a Gamma-convergence approach</x:v>
      </x:c>
      <x:c r="F29" s="128" t="str">
        <x:v>Roberta Marziani</x:v>
      </x:c>
      <x:c r="G29" s="128" t="str">
        <x:v>Calculus of variations / elasticity</x:v>
      </x:c>
      <x:c r="H29" s="129" t="n">
        <x:v>56</x:v>
      </x:c>
      <x:c r="I29" s="130" t="n">
        <x:v>88.98</x:v>
      </x:c>
      <x:c r="J29" s="130" t="n">
        <x:v>89</x:v>
      </x:c>
      <x:c r="K29" s="130" t="n">
        <x:v>88.95</x:v>
      </x:c>
      <x:c r="L29" s="130" t="n">
        <x:v>90</x:v>
      </x:c>
      <x:c r="M29" s="130" t="n">
        <x:v>90</x:v>
      </x:c>
      <x:c r="N29" s="130" t="n">
        <x:v>90</x:v>
      </x:c>
      <x:c r="O29" s="130" t="n">
        <x:v>86</x:v>
      </x:c>
      <x:c r="P29" s="130" t="n">
        <x:v>90</x:v>
      </x:c>
      <x:c r="Q29" s="130" t="n">
        <x:v>86</x:v>
      </x:c>
      <x:c r="R29" s="130" t="n">
        <x:v>13</x:v>
      </x:c>
      <x:c r="S29" s="134" t="str">
        <x:v>https://arxiv.org/abs/2605.19598</x:v>
      </x:c>
      <x:c r="T29" s="134" t="str">
        <x:v>Gamma-convergence analysis of wrinkling in elasticity; good variational structure.</x:v>
      </x:c>
      <x:c r="U29" s="28"/>
      <x:c r="V29" s="14"/>
    </x:row>
    <x:row r="30" ht="36" customHeight="1">
      <x:c r="A30" s="135" t="n">
        <x:v>29</x:v>
      </x:c>
      <x:c r="B30" s="129" t="n">
        <x:f>MATCH(D30,May_Aug_AllRank!$D$2:$D$575,0)</x:f>
        <x:v>125</x:v>
      </x:c>
      <x:c r="C30" s="129" t="str">
        <x:v>2026-05</x:v>
      </x:c>
      <x:c r="D30" s="129" t="str">
        <x:v>2605.10589</x:v>
      </x:c>
      <x:c r="E30" s="128" t="str">
        <x:v>Distance between minimal surfaces and flows</x:v>
      </x:c>
      <x:c r="F30" s="128" t="str">
        <x:v>Tobias Holck Colding; William P. Minicozzi II</x:v>
      </x:c>
      <x:c r="G30" s="128" t="str">
        <x:v>Minimal surfaces / flows</x:v>
      </x:c>
      <x:c r="H30" s="129" t="n">
        <x:v>18</x:v>
      </x:c>
      <x:c r="I30" s="130" t="n">
        <x:v>88.87</x:v>
      </x:c>
      <x:c r="J30" s="130" t="n">
        <x:v>89.2</x:v>
      </x:c>
      <x:c r="K30" s="130" t="n">
        <x:v>88.54</x:v>
      </x:c>
      <x:c r="L30" s="130" t="n">
        <x:v>91</x:v>
      </x:c>
      <x:c r="M30" s="130" t="n">
        <x:v>90.1</x:v>
      </x:c>
      <x:c r="N30" s="130" t="n">
        <x:v>88.8</x:v>
      </x:c>
      <x:c r="O30" s="130" t="n">
        <x:v>87.2</x:v>
      </x:c>
      <x:c r="P30" s="130" t="n">
        <x:v>89</x:v>
      </x:c>
      <x:c r="Q30" s="130" t="n">
        <x:v>86</x:v>
      </x:c>
      <x:c r="R30" s="130" t="n">
        <x:v>12.3</x:v>
      </x:c>
      <x:c r="S30" s="134" t="str">
        <x:v>https://arxiv.org/abs/2605.10589</x:v>
      </x:c>
      <x:c r="T30" s="134" t="str">
        <x:v>Conceptual distance framework between minimal surfaces and flows; likely influential geometric PDE tool.</x:v>
      </x:c>
      <x:c r="U30" s="28"/>
      <x:c r="V30" s="14"/>
    </x:row>
    <x:row r="31" ht="36" customHeight="1">
      <x:c r="A31" s="135" t="n">
        <x:v>30</x:v>
      </x:c>
      <x:c r="B31" s="129" t="n">
        <x:f>MATCH(D31,May_Aug_AllRank!$D$2:$D$575,0)</x:f>
        <x:v>135</x:v>
      </x:c>
      <x:c r="C31" s="129" t="str">
        <x:v>2026-05</x:v>
      </x:c>
      <x:c r="D31" s="129" t="str">
        <x:v>2605.05414</x:v>
      </x:c>
      <x:c r="E31" s="128" t="str">
        <x:v>The sigma_k-Yamabe problem revisited</x:v>
      </x:c>
      <x:c r="F31" s="128" t="str">
        <x:v>Yuxin Ge; Guofang Wang; Wei Wei</x:v>
      </x:c>
      <x:c r="G31" s="128" t="str">
        <x:v>Geometric PDE / conformal geometry</x:v>
      </x:c>
      <x:c r="H31" s="129"/>
      <x:c r="I31" s="130" t="n">
        <x:v>88.74</x:v>
      </x:c>
      <x:c r="J31" s="130" t="n">
        <x:v>88.9</x:v>
      </x:c>
      <x:c r="K31" s="130" t="n">
        <x:v>88.58</x:v>
      </x:c>
      <x:c r="L31" s="130" t="n">
        <x:v>90.9</x:v>
      </x:c>
      <x:c r="M31" s="130" t="n">
        <x:v>87.9</x:v>
      </x:c>
      <x:c r="N31" s="130" t="n">
        <x:v>91</x:v>
      </x:c>
      <x:c r="O31" s="130" t="n">
        <x:v>86</x:v>
      </x:c>
      <x:c r="P31" s="130" t="n">
        <x:v>91</x:v>
      </x:c>
      <x:c r="Q31" s="130" t="n">
        <x:v>84</x:v>
      </x:c>
      <x:c r="R31" s="130" t="n">
        <x:v>14</x:v>
      </x:c>
      <x:c r="S31" s="134" t="str">
        <x:v>https://arxiv.org/abs/2605.05414</x:v>
      </x:c>
      <x:c r="T31" s="134" t="str">
        <x:v>Substantial fully nonlinear conformal geometry existence theory revisiting sigma_k-Yamabe.</x:v>
      </x:c>
      <x:c r="U31" s="28"/>
      <x:c r="V31" s="14"/>
    </x:row>
    <x:row r="32" ht="36" customHeight="1">
      <x:c r="A32" s="135" t="n">
        <x:v>31</x:v>
      </x:c>
      <x:c r="B32" s="129" t="n">
        <x:f>MATCH(D32,May_Aug_AllRank!$D$2:$D$575,0)</x:f>
        <x:v>127</x:v>
      </x:c>
      <x:c r="C32" s="129" t="str">
        <x:v>2026-05</x:v>
      </x:c>
      <x:c r="D32" s="129" t="str">
        <x:v>2605.28789</x:v>
      </x:c>
      <x:c r="E32" s="128" t="str">
        <x:v>Finite-time blow-up solutions for the Calogero-Sutherland derivative NLS</x:v>
      </x:c>
      <x:c r="F32" s="128" t="str">
        <x:v>Xi Chen; Enno Lenzmann</x:v>
      </x:c>
      <x:c r="G32" s="128" t="str">
        <x:v>Dispersive PDE / blow-up</x:v>
      </x:c>
      <x:c r="H32" s="129"/>
      <x:c r="I32" s="130" t="n">
        <x:v>88.75</x:v>
      </x:c>
      <x:c r="J32" s="130" t="n">
        <x:v>88.8</x:v>
      </x:c>
      <x:c r="K32" s="130" t="n">
        <x:v>88.7</x:v>
      </x:c>
      <x:c r="L32" s="130" t="n">
        <x:v>90</x:v>
      </x:c>
      <x:c r="M32" s="130" t="n">
        <x:v>90.1</x:v>
      </x:c>
      <x:c r="N32" s="130" t="n">
        <x:v>90</x:v>
      </x:c>
      <x:c r="O32" s="130" t="n">
        <x:v>85.2</x:v>
      </x:c>
      <x:c r="P32" s="130" t="n">
        <x:v>90.1</x:v>
      </x:c>
      <x:c r="Q32" s="130" t="n">
        <x:v>85</x:v>
      </x:c>
      <x:c r="R32" s="130" t="n">
        <x:v>14</x:v>
      </x:c>
      <x:c r="S32" s="134" t="str">
        <x:v>https://arxiv.org/abs/2605.28789</x:v>
      </x:c>
      <x:c r="T32" s="134" t="str">
        <x:v>Finite-time blow-up in derivative NLS-type model; specialized but technically sharp.</x:v>
      </x:c>
      <x:c r="U32" s="28"/>
      <x:c r="V32" s="14"/>
    </x:row>
    <x:row r="33" ht="36" customHeight="1">
      <x:c r="A33" s="135" t="n">
        <x:v>32</x:v>
      </x:c>
      <x:c r="B33" s="129" t="n">
        <x:f>MATCH(D33,May_Aug_AllRank!$D$2:$D$575,0)</x:f>
        <x:v>139</x:v>
      </x:c>
      <x:c r="C33" s="129" t="str">
        <x:v>2026-05</x:v>
      </x:c>
      <x:c r="D33" s="129" t="str">
        <x:v>2605.10814</x:v>
      </x:c>
      <x:c r="E33" s="128" t="str">
        <x:v>Convergence of the Yang-Mills flow on ALE gravitational instantons</x:v>
      </x:c>
      <x:c r="F33" s="128" t="str">
        <x:v>Anuk Dayaprema; Alex Waldron</x:v>
      </x:c>
      <x:c r="G33" s="128" t="str">
        <x:v>Gauge theory / geometric flows</x:v>
      </x:c>
      <x:c r="H33" s="129" t="n">
        <x:v>24</x:v>
      </x:c>
      <x:c r="I33" s="130" t="n">
        <x:v>88.65</x:v>
      </x:c>
      <x:c r="J33" s="130" t="n">
        <x:v>88.7</x:v>
      </x:c>
      <x:c r="K33" s="130" t="n">
        <x:v>88.59</x:v>
      </x:c>
      <x:c r="L33" s="130" t="n">
        <x:v>90</x:v>
      </x:c>
      <x:c r="M33" s="130" t="n">
        <x:v>89</x:v>
      </x:c>
      <x:c r="N33" s="130" t="n">
        <x:v>90</x:v>
      </x:c>
      <x:c r="O33" s="130" t="n">
        <x:v>86</x:v>
      </x:c>
      <x:c r="P33" s="130" t="n">
        <x:v>90</x:v>
      </x:c>
      <x:c r="Q33" s="130" t="n">
        <x:v>85</x:v>
      </x:c>
      <x:c r="R33" s="130" t="n">
        <x:v>13.1</x:v>
      </x:c>
      <x:c r="S33" s="134" t="str">
        <x:v>https://arxiv.org/abs/2605.10814</x:v>
      </x:c>
      <x:c r="T33" s="134" t="str">
        <x:v>Yang-Mills flow convergence in a noncompact ALE setting; good geometric analytic depth.</x:v>
      </x:c>
      <x:c r="U33" s="28"/>
      <x:c r="V33" s="14"/>
    </x:row>
    <x:row r="34" ht="36" customHeight="1">
      <x:c r="A34" s="135" t="n">
        <x:v>33</x:v>
      </x:c>
      <x:c r="B34" s="129" t="n">
        <x:f>MATCH(D34,May_Aug_AllRank!$D$2:$D$575,0)</x:f>
        <x:v>144</x:v>
      </x:c>
      <x:c r="C34" s="129" t="str">
        <x:v>2026-05</x:v>
      </x:c>
      <x:c r="D34" s="129" t="str">
        <x:v>2605.25327</x:v>
      </x:c>
      <x:c r="E34" s="128" t="str">
        <x:v>Soliton resolution conjecture for the Benjamin-Ono equation: Explicit L-infinity asymptotic error formula</x:v>
      </x:c>
      <x:c r="F34" s="128" t="str">
        <x:v>Hong-Yu Pan; Shou-Fu Tian</x:v>
      </x:c>
      <x:c r="G34" s="128" t="str">
        <x:v>Dispersive PDE / soliton resolution</x:v>
      </x:c>
      <x:c r="H34" s="129" t="n">
        <x:v>26</x:v>
      </x:c>
      <x:c r="I34" s="130" t="n">
        <x:v>88.57</x:v>
      </x:c>
      <x:c r="J34" s="130" t="n">
        <x:v>88.84</x:v>
      </x:c>
      <x:c r="K34" s="130" t="n">
        <x:v>88.3</x:v>
      </x:c>
      <x:c r="L34" s="130" t="n">
        <x:v>90.9</x:v>
      </x:c>
      <x:c r="M34" s="130" t="n">
        <x:v>89</x:v>
      </x:c>
      <x:c r="N34" s="130" t="n">
        <x:v>90</x:v>
      </x:c>
      <x:c r="O34" s="130" t="n">
        <x:v>85.8</x:v>
      </x:c>
      <x:c r="P34" s="130" t="n">
        <x:v>90</x:v>
      </x:c>
      <x:c r="Q34" s="130" t="n">
        <x:v>84</x:v>
      </x:c>
      <x:c r="R34" s="130" t="n">
        <x:v>14</x:v>
      </x:c>
      <x:c r="S34" s="134" t="str">
        <x:v>https://arxiv.org/abs/2605.25327</x:v>
      </x:c>
      <x:c r="T34" s="134" t="str">
        <x:v>Explicit asymptotic error formula in Benjamin-Ono soliton resolution; integrable structure important.</x:v>
      </x:c>
      <x:c r="U34" s="28"/>
      <x:c r="V34" s="14"/>
    </x:row>
    <x:row r="35" ht="36" customHeight="1">
      <x:c r="A35" s="135" t="n">
        <x:v>34</x:v>
      </x:c>
      <x:c r="B35" s="129" t="n">
        <x:f>MATCH(D35,May_Aug_AllRank!$D$2:$D$575,0)</x:f>
        <x:v>142</x:v>
      </x:c>
      <x:c r="C35" s="129" t="str">
        <x:v>2026-05</x:v>
      </x:c>
      <x:c r="D35" s="129" t="str">
        <x:v>2605.08700</x:v>
      </x:c>
      <x:c r="E35" s="128" t="str">
        <x:v>The Ekeland-Nirenberg Variational Problem: A Sharp Positivity Threshold and Extensions</x:v>
      </x:c>
      <x:c r="F35" s="128" t="str">
        <x:v>Qi Guo; Xueping Huang; Yi Huang</x:v>
      </x:c>
      <x:c r="G35" s="128" t="str">
        <x:v>Geometric variational PDE</x:v>
      </x:c>
      <x:c r="H35" s="129"/>
      <x:c r="I35" s="130" t="n">
        <x:v>88.6</x:v>
      </x:c>
      <x:c r="J35" s="130" t="n">
        <x:v>88.69</x:v>
      </x:c>
      <x:c r="K35" s="130" t="n">
        <x:v>88.52</x:v>
      </x:c>
      <x:c r="L35" s="130" t="n">
        <x:v>90</x:v>
      </x:c>
      <x:c r="M35" s="130" t="n">
        <x:v>89.2</x:v>
      </x:c>
      <x:c r="N35" s="130" t="n">
        <x:v>90</x:v>
      </x:c>
      <x:c r="O35" s="130" t="n">
        <x:v>86.3</x:v>
      </x:c>
      <x:c r="P35" s="130" t="n">
        <x:v>90.1</x:v>
      </x:c>
      <x:c r="Q35" s="130" t="n">
        <x:v>84</x:v>
      </x:c>
      <x:c r="R35" s="130" t="n">
        <x:v>13</x:v>
      </x:c>
      <x:c r="S35" s="134" t="str">
        <x:v>https://arxiv.org/abs/2605.08700</x:v>
      </x:c>
      <x:c r="T35" s="134" t="str">
        <x:v>Sharp positivity threshold and extensions for the Ekeland-Nirenberg variational problem.</x:v>
      </x:c>
      <x:c r="U35" s="28"/>
      <x:c r="V35" s="14"/>
    </x:row>
    <x:row r="36" ht="36" customHeight="1">
      <x:c r="A36" s="135" t="n">
        <x:v>35</x:v>
      </x:c>
      <x:c r="B36" s="129" t="n">
        <x:f>MATCH(D36,May_Aug_AllRank!$D$2:$D$575,0)</x:f>
        <x:v>146</x:v>
      </x:c>
      <x:c r="C36" s="129" t="str">
        <x:v>2026-05</x:v>
      </x:c>
      <x:c r="D36" s="129" t="str">
        <x:v>2605.03734</x:v>
      </x:c>
      <x:c r="E36" s="128" t="str">
        <x:v>The stochastic tamed 3D Navier-Stokes equations in R^3</x:v>
      </x:c>
      <x:c r="F36" s="128" t="str">
        <x:v>Govind Chandra Podder; Gautam Kumar</x:v>
      </x:c>
      <x:c r="G36" s="128" t="str">
        <x:v>Stochastic Navier-Stokes</x:v>
      </x:c>
      <x:c r="H36" s="129" t="n">
        <x:v>109</x:v>
      </x:c>
      <x:c r="I36" s="130" t="n">
        <x:v>88.54</x:v>
      </x:c>
      <x:c r="J36" s="130" t="n">
        <x:v>88.53</x:v>
      </x:c>
      <x:c r="K36" s="130" t="n">
        <x:v>88.55</x:v>
      </x:c>
      <x:c r="L36" s="130" t="n">
        <x:v>90.1</x:v>
      </x:c>
      <x:c r="M36" s="130" t="n">
        <x:v>87</x:v>
      </x:c>
      <x:c r="N36" s="130" t="n">
        <x:v>92.2</x:v>
      </x:c>
      <x:c r="O36" s="130" t="n">
        <x:v>85</x:v>
      </x:c>
      <x:c r="P36" s="130" t="n">
        <x:v>92.2</x:v>
      </x:c>
      <x:c r="Q36" s="130" t="n">
        <x:v>83</x:v>
      </x:c>
      <x:c r="R36" s="130" t="n">
        <x:v>16</x:v>
      </x:c>
      <x:c r="S36" s="134" t="str">
        <x:v>https://arxiv.org/abs/2605.03734</x:v>
      </x:c>
      <x:c r="T36" s="134" t="str">
        <x:v>Large technical stochastic NSE treatment; important but less conceptually disruptive.</x:v>
      </x:c>
      <x:c r="U36" s="28"/>
      <x:c r="V36" s="14"/>
    </x:row>
    <x:row r="37" ht="36" customHeight="1">
      <x:c r="A37" s="135" t="n">
        <x:v>36</x:v>
      </x:c>
      <x:c r="B37" s="129" t="n">
        <x:f>MATCH(D37,May_Aug_AllRank!$D$2:$D$575,0)</x:f>
        <x:v>159</x:v>
      </x:c>
      <x:c r="C37" s="129" t="str">
        <x:v>2026-05</x:v>
      </x:c>
      <x:c r="D37" s="129" t="str">
        <x:v>2605.00407</x:v>
      </x:c>
      <x:c r="E37" s="128" t="str">
        <x:v>Gradient blowup of smooth vacuum solutions to 1D compressible Euler equations</x:v>
      </x:c>
      <x:c r="F37" s="128" t="str">
        <x:v>Juhi Jang; Jiaqi Liu; Nader Masmoudi</x:v>
      </x:c>
      <x:c r="G37" s="128" t="str">
        <x:v>Compressible Euler / blow-up</x:v>
      </x:c>
      <x:c r="H37" s="129"/>
      <x:c r="I37" s="130" t="n">
        <x:v>88.35</x:v>
      </x:c>
      <x:c r="J37" s="130" t="n">
        <x:v>88.41</x:v>
      </x:c>
      <x:c r="K37" s="130" t="n">
        <x:v>88.3</x:v>
      </x:c>
      <x:c r="L37" s="130" t="n">
        <x:v>90.1</x:v>
      </x:c>
      <x:c r="M37" s="130" t="n">
        <x:v>88</x:v>
      </x:c>
      <x:c r="N37" s="130" t="n">
        <x:v>90.1</x:v>
      </x:c>
      <x:c r="O37" s="130" t="n">
        <x:v>85</x:v>
      </x:c>
      <x:c r="P37" s="130" t="n">
        <x:v>90.1</x:v>
      </x:c>
      <x:c r="Q37" s="130" t="n">
        <x:v>85</x:v>
      </x:c>
      <x:c r="R37" s="130" t="n">
        <x:v>14</x:v>
      </x:c>
      <x:c r="S37" s="134" t="str">
        <x:v>https://arxiv.org/abs/2605.00407</x:v>
      </x:c>
      <x:c r="T37" s="134" t="str">
        <x:v>Precise vacuum gradient blow-up mechanism; strong local singularity analysis.</x:v>
      </x:c>
      <x:c r="U37" s="28"/>
      <x:c r="V37" s="14"/>
    </x:row>
    <x:row r="38" ht="36" customHeight="1">
      <x:c r="A38" s="135" t="n">
        <x:v>37</x:v>
      </x:c>
      <x:c r="B38" s="129" t="n">
        <x:f>MATCH(D38,May_Aug_AllRank!$D$2:$D$575,0)</x:f>
        <x:v>176</x:v>
      </x:c>
      <x:c r="C38" s="129" t="str">
        <x:v>2026-05</x:v>
      </x:c>
      <x:c r="D38" s="129" t="str">
        <x:v>2605.21193</x:v>
      </x:c>
      <x:c r="E38" s="128" t="str">
        <x:v>Sharp Gaussian Isoperimetry along a Ricci Flow</x:v>
      </x:c>
      <x:c r="F38" s="128" t="str">
        <x:v>Robert Koirala</x:v>
      </x:c>
      <x:c r="G38" s="128" t="str">
        <x:v>Ricci flow / functional inequalities</x:v>
      </x:c>
      <x:c r="H38" s="129" t="n">
        <x:v>25</x:v>
      </x:c>
      <x:c r="I38" s="130" t="n">
        <x:v>88.12</x:v>
      </x:c>
      <x:c r="J38" s="130" t="n">
        <x:v>88.1</x:v>
      </x:c>
      <x:c r="K38" s="130" t="n">
        <x:v>88.14</x:v>
      </x:c>
      <x:c r="L38" s="130" t="n">
        <x:v>89</x:v>
      </x:c>
      <x:c r="M38" s="130" t="n">
        <x:v>89.1</x:v>
      </x:c>
      <x:c r="N38" s="130" t="n">
        <x:v>89</x:v>
      </x:c>
      <x:c r="O38" s="130" t="n">
        <x:v>86.2</x:v>
      </x:c>
      <x:c r="P38" s="130" t="n">
        <x:v>89.1</x:v>
      </x:c>
      <x:c r="Q38" s="130" t="n">
        <x:v>84</x:v>
      </x:c>
      <x:c r="R38" s="130" t="n">
        <x:v>12.1</x:v>
      </x:c>
      <x:c r="S38" s="134" t="str">
        <x:v>https://arxiv.org/abs/2605.21193</x:v>
      </x:c>
      <x:c r="T38" s="134" t="str">
        <x:v>Sharp Gaussian isoperimetry along Ricci flow; good geometric analysis transfer.</x:v>
      </x:c>
      <x:c r="U38" s="28"/>
      <x:c r="V38" s="14"/>
    </x:row>
    <x:row r="39" ht="36" customHeight="1">
      <x:c r="A39" s="135" t="n">
        <x:v>38</x:v>
      </x:c>
      <x:c r="B39" s="129" t="n">
        <x:f>MATCH(D39,May_Aug_AllRank!$D$2:$D$575,0)</x:f>
        <x:v>184</x:v>
      </x:c>
      <x:c r="C39" s="129" t="str">
        <x:v>2026-05</x:v>
      </x:c>
      <x:c r="D39" s="129" t="str">
        <x:v>2605.01547</x:v>
      </x:c>
      <x:c r="E39" s="128" t="str">
        <x:v>Rigidity for the Polya-Szego inequality under circular rearrangement</x:v>
      </x:c>
      <x:c r="F39" s="128" t="str">
        <x:v>F. Cagnetti; G. Domazakis; M. Perugini; F. Seuffert</x:v>
      </x:c>
      <x:c r="G39" s="128" t="str">
        <x:v>Rearrangement / rigidity</x:v>
      </x:c>
      <x:c r="H39" s="129"/>
      <x:c r="I39" s="130" t="n">
        <x:v>87.95</x:v>
      </x:c>
      <x:c r="J39" s="130" t="n">
        <x:v>87.95</x:v>
      </x:c>
      <x:c r="K39" s="130" t="n">
        <x:v>87.95</x:v>
      </x:c>
      <x:c r="L39" s="130" t="n">
        <x:v>89</x:v>
      </x:c>
      <x:c r="M39" s="130" t="n">
        <x:v>88.1</x:v>
      </x:c>
      <x:c r="N39" s="130" t="n">
        <x:v>89</x:v>
      </x:c>
      <x:c r="O39" s="130" t="n">
        <x:v>85.2</x:v>
      </x:c>
      <x:c r="P39" s="130" t="n">
        <x:v>89.1</x:v>
      </x:c>
      <x:c r="Q39" s="130" t="n">
        <x:v>86</x:v>
      </x:c>
      <x:c r="R39" s="130" t="n">
        <x:v>14</x:v>
      </x:c>
      <x:c r="S39" s="134" t="str">
        <x:v>https://arxiv.org/abs/2605.01547</x:v>
      </x:c>
      <x:c r="T39" s="134" t="str">
        <x:v>Rigidity mechanism for rearrangement inequality; solid but specialized.</x:v>
      </x:c>
      <x:c r="U39" s="28"/>
      <x:c r="V39" s="14"/>
    </x:row>
    <x:row r="40" ht="36" customHeight="1">
      <x:c r="A40" s="135" t="n">
        <x:v>39</x:v>
      </x:c>
      <x:c r="B40" s="129" t="n">
        <x:f>MATCH(D40,May_Aug_AllRank!$D$2:$D$575,0)</x:f>
        <x:v>205</x:v>
      </x:c>
      <x:c r="C40" s="129" t="str">
        <x:v>2026-05</x:v>
      </x:c>
      <x:c r="D40" s="129" t="str">
        <x:v>2605.22347</x:v>
      </x:c>
      <x:c r="E40" s="128" t="str">
        <x:v>Convergence of the Chern-Ricci flow on complex minimal surfaces of general type</x:v>
      </x:c>
      <x:c r="F40" s="128" t="str">
        <x:v>Haoyuan Sun</x:v>
      </x:c>
      <x:c r="G40" s="128" t="str">
        <x:v>Complex geometric flows</x:v>
      </x:c>
      <x:c r="H40" s="129" t="n">
        <x:v>28</x:v>
      </x:c>
      <x:c r="I40" s="130" t="n">
        <x:v>87.8</x:v>
      </x:c>
      <x:c r="J40" s="130" t="n">
        <x:v>87.85</x:v>
      </x:c>
      <x:c r="K40" s="130" t="n">
        <x:v>87.75</x:v>
      </x:c>
      <x:c r="L40" s="130" t="n">
        <x:v>89</x:v>
      </x:c>
      <x:c r="M40" s="130" t="n">
        <x:v>88</x:v>
      </x:c>
      <x:c r="N40" s="130" t="n">
        <x:v>89</x:v>
      </x:c>
      <x:c r="O40" s="130" t="n">
        <x:v>86</x:v>
      </x:c>
      <x:c r="P40" s="130" t="n">
        <x:v>89</x:v>
      </x:c>
      <x:c r="Q40" s="130" t="n">
        <x:v>84</x:v>
      </x:c>
      <x:c r="R40" s="130" t="n">
        <x:v>13</x:v>
      </x:c>
      <x:c r="S40" s="134" t="str">
        <x:v>https://arxiv.org/abs/2605.22347</x:v>
      </x:c>
      <x:c r="T40" s="134" t="str">
        <x:v>Chern-Ricci flow convergence on general type complex surfaces.</x:v>
      </x:c>
      <x:c r="U40" s="28"/>
      <x:c r="V40" s="14"/>
    </x:row>
    <x:row r="41" ht="36" customHeight="1">
      <x:c r="A41" s="135" t="n">
        <x:v>40</x:v>
      </x:c>
      <x:c r="B41" s="129" t="n">
        <x:f>MATCH(D41,May_Aug_AllRank!$D$2:$D$575,0)</x:f>
        <x:v>189</x:v>
      </x:c>
      <x:c r="C41" s="129" t="str">
        <x:v>2026-05</x:v>
      </x:c>
      <x:c r="D41" s="129" t="str">
        <x:v>2605.04442</x:v>
      </x:c>
      <x:c r="E41" s="128" t="str">
        <x:v>Asymptotics of Minimizers for Ginzburg-Landau-type Functionals in High Dimensions</x:v>
      </x:c>
      <x:c r="F41" s="128" t="str">
        <x:v>Giacomo Canevari; Haotong Fu; Wei Wang</x:v>
      </x:c>
      <x:c r="G41" s="128" t="str">
        <x:v>Ginzburg-Landau asymptotics</x:v>
      </x:c>
      <x:c r="H41" s="129" t="n">
        <x:v>42</x:v>
      </x:c>
      <x:c r="I41" s="130" t="n">
        <x:v>87.88</x:v>
      </x:c>
      <x:c r="J41" s="130" t="n">
        <x:v>87.91</x:v>
      </x:c>
      <x:c r="K41" s="130" t="n">
        <x:v>87.85</x:v>
      </x:c>
      <x:c r="L41" s="130" t="n">
        <x:v>89.1</x:v>
      </x:c>
      <x:c r="M41" s="130" t="n">
        <x:v>88.1</x:v>
      </x:c>
      <x:c r="N41" s="130" t="n">
        <x:v>89.1</x:v>
      </x:c>
      <x:c r="O41" s="130" t="n">
        <x:v>85.2</x:v>
      </x:c>
      <x:c r="P41" s="130" t="n">
        <x:v>89.2</x:v>
      </x:c>
      <x:c r="Q41" s="130" t="n">
        <x:v>85</x:v>
      </x:c>
      <x:c r="R41" s="130" t="n">
        <x:v>14</x:v>
      </x:c>
      <x:c r="S41" s="134" t="str">
        <x:v>https://arxiv.org/abs/2605.04442</x:v>
      </x:c>
      <x:c r="T41" s="134" t="str">
        <x:v>High-dimensional GL minimizer asymptotics; mature variational analysis.</x:v>
      </x:c>
      <x:c r="U41" s="28"/>
      <x:c r="V41" s="14"/>
    </x:row>
    <x:row r="42" ht="36" customHeight="1">
      <x:c r="A42" s="135" t="n">
        <x:v>41</x:v>
      </x:c>
      <x:c r="B42" s="129" t="n">
        <x:f>MATCH(D42,May_Aug_AllRank!$D$2:$D$575,0)</x:f>
        <x:v>188</x:v>
      </x:c>
      <x:c r="C42" s="129" t="str">
        <x:v>2026-05</x:v>
      </x:c>
      <x:c r="D42" s="129" t="str">
        <x:v>2605.28979</x:v>
      </x:c>
      <x:c r="E42" s="128" t="str">
        <x:v>Singular mean-field limits for fluctuations around equilibrium</x:v>
      </x:c>
      <x:c r="F42" s="128" t="str">
        <x:v>Mitia Duerinckx; Pierre-Emmanuel Jabin</x:v>
      </x:c>
      <x:c r="G42" s="128" t="str">
        <x:v>Mean-field fluctuations</x:v>
      </x:c>
      <x:c r="H42" s="129" t="n">
        <x:v>14</x:v>
      </x:c>
      <x:c r="I42" s="130" t="n">
        <x:v>87.89</x:v>
      </x:c>
      <x:c r="J42" s="130" t="n">
        <x:v>87.96</x:v>
      </x:c>
      <x:c r="K42" s="130" t="n">
        <x:v>87.81</x:v>
      </x:c>
      <x:c r="L42" s="130" t="n">
        <x:v>88.1</x:v>
      </x:c>
      <x:c r="M42" s="130" t="n">
        <x:v>89.1</x:v>
      </x:c>
      <x:c r="N42" s="130" t="n">
        <x:v>88.1</x:v>
      </x:c>
      <x:c r="O42" s="130" t="n">
        <x:v>87.2</x:v>
      </x:c>
      <x:c r="P42" s="130" t="n">
        <x:v>88.2</x:v>
      </x:c>
      <x:c r="Q42" s="130" t="n">
        <x:v>86</x:v>
      </x:c>
      <x:c r="R42" s="130" t="n">
        <x:v>13.3</x:v>
      </x:c>
      <x:c r="S42" s="134" t="str">
        <x:v>https://arxiv.org/abs/2605.28979</x:v>
      </x:c>
      <x:c r="T42" s="134" t="str">
        <x:v>Singular mean-field fluctuation limits; concise and methodologically sharp.</x:v>
      </x:c>
      <x:c r="U42" s="28"/>
      <x:c r="V42" s="14"/>
    </x:row>
    <x:row r="43" ht="36" customHeight="1">
      <x:c r="A43" s="135" t="n">
        <x:v>42</x:v>
      </x:c>
      <x:c r="B43" s="129" t="n">
        <x:f>MATCH(D43,May_Aug_AllRank!$D$2:$D$575,0)</x:f>
        <x:v>209</x:v>
      </x:c>
      <x:c r="C43" s="129" t="str">
        <x:v>2026-05</x:v>
      </x:c>
      <x:c r="D43" s="129" t="str">
        <x:v>2605.03481</x:v>
      </x:c>
      <x:c r="E43" s="128" t="str">
        <x:v>Stability of de Sitter Space and Expansion at the Conformal Boundary</x:v>
      </x:c>
      <x:c r="F43" s="128" t="str">
        <x:v>Maurus Leimbacher</x:v>
      </x:c>
      <x:c r="G43" s="128" t="str">
        <x:v>Hyperbolic PDE / GR</x:v>
      </x:c>
      <x:c r="H43" s="129" t="n">
        <x:v>55</x:v>
      </x:c>
      <x:c r="I43" s="130" t="n">
        <x:v>87.73</x:v>
      </x:c>
      <x:c r="J43" s="130" t="n">
        <x:v>87.7</x:v>
      </x:c>
      <x:c r="K43" s="130" t="n">
        <x:v>87.75</x:v>
      </x:c>
      <x:c r="L43" s="130" t="n">
        <x:v>89</x:v>
      </x:c>
      <x:c r="M43" s="130" t="n">
        <x:v>88</x:v>
      </x:c>
      <x:c r="N43" s="130" t="n">
        <x:v>89</x:v>
      </x:c>
      <x:c r="O43" s="130" t="n">
        <x:v>85</x:v>
      </x:c>
      <x:c r="P43" s="130" t="n">
        <x:v>89</x:v>
      </x:c>
      <x:c r="Q43" s="130" t="n">
        <x:v>84</x:v>
      </x:c>
      <x:c r="R43" s="130" t="n">
        <x:v>13</x:v>
      </x:c>
      <x:c r="S43" s="134" t="str">
        <x:v>https://arxiv.org/abs/2605.03481</x:v>
      </x:c>
      <x:c r="T43" s="134" t="str">
        <x:v>de Sitter stability with conformal boundary expansion; substantial GR-PDE analysis.</x:v>
      </x:c>
      <x:c r="U43" s="28"/>
      <x:c r="V43" s="14"/>
    </x:row>
    <x:row r="44" ht="36" customHeight="1">
      <x:c r="A44" s="135" t="n">
        <x:v>43</x:v>
      </x:c>
      <x:c r="B44" s="129" t="n">
        <x:f>MATCH(D44,May_Aug_AllRank!$D$2:$D$575,0)</x:f>
        <x:v>217</x:v>
      </x:c>
      <x:c r="C44" s="129" t="str">
        <x:v>2026-05</x:v>
      </x:c>
      <x:c r="D44" s="129" t="str">
        <x:v>2605.05422</x:v>
      </x:c>
      <x:c r="E44" s="128" t="str">
        <x:v>An optimal trace estimate for microlocal square functions on quadratic surfaces</x:v>
      </x:c>
      <x:c r="F44" s="128" t="str">
        <x:v>Vicente Vergara</x:v>
      </x:c>
      <x:c r="G44" s="128" t="str">
        <x:v>Microlocal harmonic analysis</x:v>
      </x:c>
      <x:c r="H44" s="129" t="n">
        <x:v>41</x:v>
      </x:c>
      <x:c r="I44" s="130" t="n">
        <x:v>87.63</x:v>
      </x:c>
      <x:c r="J44" s="130" t="n">
        <x:v>87.5</x:v>
      </x:c>
      <x:c r="K44" s="130" t="n">
        <x:v>87.75</x:v>
      </x:c>
      <x:c r="L44" s="130" t="n">
        <x:v>88</x:v>
      </x:c>
      <x:c r="M44" s="130" t="n">
        <x:v>88</x:v>
      </x:c>
      <x:c r="N44" s="130" t="n">
        <x:v>89</x:v>
      </x:c>
      <x:c r="O44" s="130" t="n">
        <x:v>85</x:v>
      </x:c>
      <x:c r="P44" s="130" t="n">
        <x:v>89</x:v>
      </x:c>
      <x:c r="Q44" s="130" t="n">
        <x:v>85</x:v>
      </x:c>
      <x:c r="R44" s="130" t="n">
        <x:v>14</x:v>
      </x:c>
      <x:c r="S44" s="134" t="str">
        <x:v>https://arxiv.org/abs/2605.05422</x:v>
      </x:c>
      <x:c r="T44" s="134" t="str">
        <x:v>Optimal trace estimate for microlocal square functions; high technical harmonic analysis.</x:v>
      </x:c>
      <x:c r="U44" s="28"/>
      <x:c r="V44" s="14"/>
    </x:row>
    <x:row r="45" ht="36" customHeight="1">
      <x:c r="A45" s="135" t="n">
        <x:v>44</x:v>
      </x:c>
      <x:c r="B45" s="129" t="n">
        <x:f>MATCH(D45,May_Aug_AllRank!$D$2:$D$575,0)</x:f>
        <x:v>212</x:v>
      </x:c>
      <x:c r="C45" s="129" t="str">
        <x:v>2026-05</x:v>
      </x:c>
      <x:c r="D45" s="129" t="str">
        <x:v>2605.02176</x:v>
      </x:c>
      <x:c r="E45" s="128" t="str">
        <x:v>Volumetric density estimates for nonlocal minimal surfaces</x:v>
      </x:c>
      <x:c r="F45" s="128" t="str">
        <x:v>Mateusz Kwasnicki; Jack Thompson</x:v>
      </x:c>
      <x:c r="G45" s="128" t="str">
        <x:v>Nonlocal minimal surfaces</x:v>
      </x:c>
      <x:c r="H45" s="129"/>
      <x:c r="I45" s="130" t="n">
        <x:v>87.68</x:v>
      </x:c>
      <x:c r="J45" s="130" t="n">
        <x:v>87.45</x:v>
      </x:c>
      <x:c r="K45" s="130" t="n">
        <x:v>87.9</x:v>
      </x:c>
      <x:c r="L45" s="130" t="n">
        <x:v>88</x:v>
      </x:c>
      <x:c r="M45" s="130" t="n">
        <x:v>88</x:v>
      </x:c>
      <x:c r="N45" s="130" t="n">
        <x:v>89</x:v>
      </x:c>
      <x:c r="O45" s="130" t="n">
        <x:v>84</x:v>
      </x:c>
      <x:c r="P45" s="130" t="n">
        <x:v>89</x:v>
      </x:c>
      <x:c r="Q45" s="130" t="n">
        <x:v>86</x:v>
      </x:c>
      <x:c r="R45" s="130" t="n">
        <x:v>14</x:v>
      </x:c>
      <x:c r="S45" s="134" t="str">
        <x:v>https://arxiv.org/abs/2605.02176</x:v>
      </x:c>
      <x:c r="T45" s="134" t="str">
        <x:v>Density estimates for nonlocal minimal surfaces; useful nonlocal regularity input.</x:v>
      </x:c>
      <x:c r="U45" s="28"/>
      <x:c r="V45" s="14"/>
    </x:row>
    <x:row r="46" ht="36" customHeight="1">
      <x:c r="A46" s="135" t="n">
        <x:v>45</x:v>
      </x:c>
      <x:c r="B46" s="129" t="n">
        <x:f>MATCH(D46,May_Aug_AllRank!$D$2:$D$575,0)</x:f>
        <x:v>218</x:v>
      </x:c>
      <x:c r="C46" s="129" t="str">
        <x:v>2026-05</x:v>
      </x:c>
      <x:c r="D46" s="129" t="str">
        <x:v>2605.05869</x:v>
      </x:c>
      <x:c r="E46" s="128" t="str">
        <x:v>Consistency analysis for combined homogenization and shallow water limit of water waves</x:v>
      </x:c>
      <x:c r="F46" s="128" t="str">
        <x:v>Antoine Gloria; David Lee</x:v>
      </x:c>
      <x:c r="G46" s="128" t="str">
        <x:v>Water waves / homogenization</x:v>
      </x:c>
      <x:c r="H46" s="129"/>
      <x:c r="I46" s="130" t="n">
        <x:v>87.6</x:v>
      </x:c>
      <x:c r="J46" s="130" t="n">
        <x:v>87.4</x:v>
      </x:c>
      <x:c r="K46" s="130" t="n">
        <x:v>87.8</x:v>
      </x:c>
      <x:c r="L46" s="130" t="n">
        <x:v>88</x:v>
      </x:c>
      <x:c r="M46" s="130" t="n">
        <x:v>88.1</x:v>
      </x:c>
      <x:c r="N46" s="130" t="n">
        <x:v>89</x:v>
      </x:c>
      <x:c r="O46" s="130" t="n">
        <x:v>84.2</x:v>
      </x:c>
      <x:c r="P46" s="130" t="n">
        <x:v>89.1</x:v>
      </x:c>
      <x:c r="Q46" s="130" t="n">
        <x:v>85</x:v>
      </x:c>
      <x:c r="R46" s="130" t="n">
        <x:v>14</x:v>
      </x:c>
      <x:c r="S46" s="134" t="str">
        <x:v>https://arxiv.org/abs/2605.05869</x:v>
      </x:c>
      <x:c r="T46" s="134" t="str">
        <x:v>Combines homogenization with shallow-water limit; strong analysis but narrower scope.</x:v>
      </x:c>
      <x:c r="U46" s="28"/>
      <x:c r="V46" s="14"/>
    </x:row>
    <x:row r="47" ht="36" customHeight="1">
      <x:c r="A47" s="135" t="n">
        <x:v>46</x:v>
      </x:c>
      <x:c r="B47" s="129" t="n">
        <x:f>MATCH(D47,May_Aug_AllRank!$D$2:$D$575,0)</x:f>
        <x:v>223</x:v>
      </x:c>
      <x:c r="C47" s="129" t="str">
        <x:v>2026-05</x:v>
      </x:c>
      <x:c r="D47" s="129" t="str">
        <x:v>2605.06128</x:v>
      </x:c>
      <x:c r="E47" s="128" t="str">
        <x:v>Uniform small energy regularity for fractional geometric problems</x:v>
      </x:c>
      <x:c r="F47" s="128" t="str">
        <x:v>Marco Badran; Giacomo Cozzi</x:v>
      </x:c>
      <x:c r="G47" s="128" t="str">
        <x:v>Fractional geometric PDE</x:v>
      </x:c>
      <x:c r="H47" s="129" t="n">
        <x:v>21</x:v>
      </x:c>
      <x:c r="I47" s="130" t="n">
        <x:v>87.54</x:v>
      </x:c>
      <x:c r="J47" s="130" t="n">
        <x:v>87.35</x:v>
      </x:c>
      <x:c r="K47" s="130" t="n">
        <x:v>87.74</x:v>
      </x:c>
      <x:c r="L47" s="130" t="n">
        <x:v>88</x:v>
      </x:c>
      <x:c r="M47" s="130" t="n">
        <x:v>88</x:v>
      </x:c>
      <x:c r="N47" s="130" t="n">
        <x:v>89</x:v>
      </x:c>
      <x:c r="O47" s="130" t="n">
        <x:v>84</x:v>
      </x:c>
      <x:c r="P47" s="130" t="n">
        <x:v>89</x:v>
      </x:c>
      <x:c r="Q47" s="130" t="n">
        <x:v>85</x:v>
      </x:c>
      <x:c r="R47" s="130" t="n">
        <x:v>14.1</x:v>
      </x:c>
      <x:c r="S47" s="134" t="str">
        <x:v>https://arxiv.org/abs/2605.06128</x:v>
      </x:c>
      <x:c r="T47" s="134" t="str">
        <x:v>Uniform small-energy regularity for fractional geometric variational problems.</x:v>
      </x:c>
      <x:c r="U47" s="28"/>
      <x:c r="V47" s="14"/>
    </x:row>
    <x:row r="48" ht="36" customHeight="1">
      <x:c r="A48" s="135" t="n">
        <x:v>47</x:v>
      </x:c>
      <x:c r="B48" s="129" t="n">
        <x:f>MATCH(D48,May_Aug_AllRank!$D$2:$D$575,0)</x:f>
        <x:v>238</x:v>
      </x:c>
      <x:c r="C48" s="129" t="str">
        <x:v>2026-05</x:v>
      </x:c>
      <x:c r="D48" s="129" t="str">
        <x:v>2605.28504</x:v>
      </x:c>
      <x:c r="E48" s="128" t="str">
        <x:v>Minimal surfaces with rapid area growth</x:v>
      </x:c>
      <x:c r="F48" s="128" t="str">
        <x:v>Tobias Holck Colding; Francisco Martin; William P. Minicozzi II</x:v>
      </x:c>
      <x:c r="G48" s="128" t="str">
        <x:v>Minimal surfaces</x:v>
      </x:c>
      <x:c r="H48" s="129"/>
      <x:c r="I48" s="130" t="n">
        <x:v>87.43</x:v>
      </x:c>
      <x:c r="J48" s="130" t="n">
        <x:v>87.6</x:v>
      </x:c>
      <x:c r="K48" s="130" t="n">
        <x:v>87.25</x:v>
      </x:c>
      <x:c r="L48" s="130" t="n">
        <x:v>88</x:v>
      </x:c>
      <x:c r="M48" s="130" t="n">
        <x:v>89</x:v>
      </x:c>
      <x:c r="N48" s="130" t="n">
        <x:v>87</x:v>
      </x:c>
      <x:c r="O48" s="130" t="n">
        <x:v>87</x:v>
      </x:c>
      <x:c r="P48" s="130" t="n">
        <x:v>87</x:v>
      </x:c>
      <x:c r="Q48" s="130" t="n">
        <x:v>86</x:v>
      </x:c>
      <x:c r="R48" s="130" t="n">
        <x:v>13</x:v>
      </x:c>
      <x:c r="S48" s="134" t="str">
        <x:v>https://arxiv.org/abs/2605.28504</x:v>
      </x:c>
      <x:c r="T48" s="134" t="str">
        <x:v>Construction/example paper by leading minimal surface authors; concise but important.</x:v>
      </x:c>
      <x:c r="U48" s="28"/>
      <x:c r="V48" s="14"/>
    </x:row>
    <x:row r="49" ht="36" customHeight="1">
      <x:c r="A49" s="135" t="n">
        <x:v>48</x:v>
      </x:c>
      <x:c r="B49" s="129" t="n">
        <x:f>MATCH(D49,May_Aug_AllRank!$D$2:$D$575,0)</x:f>
        <x:v>227</x:v>
      </x:c>
      <x:c r="C49" s="129" t="str">
        <x:v>2026-05</x:v>
      </x:c>
      <x:c r="D49" s="129" t="str">
        <x:v>2605.00694</x:v>
      </x:c>
      <x:c r="E49" s="128" t="str">
        <x:v>Unstable free boundary problems in optimal control theory: existence and regularity</x:v>
      </x:c>
      <x:c r="F49" s="128" t="str">
        <x:v>Lorenzo Ferreri; Idriss Mazari-Fouquer; Raphael Prunier</x:v>
      </x:c>
      <x:c r="G49" s="128" t="str">
        <x:v>Free boundary / control</x:v>
      </x:c>
      <x:c r="H49" s="129" t="n">
        <x:v>61</x:v>
      </x:c>
      <x:c r="I49" s="130" t="n">
        <x:v>87.48</x:v>
      </x:c>
      <x:c r="J49" s="130" t="n">
        <x:v>87.35</x:v>
      </x:c>
      <x:c r="K49" s="130" t="n">
        <x:v>87.6</x:v>
      </x:c>
      <x:c r="L49" s="130" t="n">
        <x:v>88</x:v>
      </x:c>
      <x:c r="M49" s="130" t="n">
        <x:v>88</x:v>
      </x:c>
      <x:c r="N49" s="130" t="n">
        <x:v>89</x:v>
      </x:c>
      <x:c r="O49" s="130" t="n">
        <x:v>84</x:v>
      </x:c>
      <x:c r="P49" s="130" t="n">
        <x:v>89</x:v>
      </x:c>
      <x:c r="Q49" s="130" t="n">
        <x:v>85</x:v>
      </x:c>
      <x:c r="R49" s="130" t="n">
        <x:v>15</x:v>
      </x:c>
      <x:c r="S49" s="134" t="str">
        <x:v>https://arxiv.org/abs/2605.00694</x:v>
      </x:c>
      <x:c r="T49" s="134" t="str">
        <x:v>Existence and regularity for unstable optimal-control free boundaries.</x:v>
      </x:c>
      <x:c r="U49" s="28"/>
      <x:c r="V49" s="14"/>
    </x:row>
    <x:row r="50" ht="36" customHeight="1">
      <x:c r="A50" s="135" t="n">
        <x:v>49</x:v>
      </x:c>
      <x:c r="B50" s="129" t="n">
        <x:f>MATCH(D50,May_Aug_AllRank!$D$2:$D$575,0)</x:f>
        <x:v>250</x:v>
      </x:c>
      <x:c r="C50" s="129" t="str">
        <x:v>2026-05</x:v>
      </x:c>
      <x:c r="D50" s="129" t="str">
        <x:v>2605.00439</x:v>
      </x:c>
      <x:c r="E50" s="128" t="str">
        <x:v>Existence and uniqueness of weak solutions to quasilinear PDEs with critical data</x:v>
      </x:c>
      <x:c r="F50" s="128" t="str">
        <x:v>Pascal Auscher; Sebastian Bechtel</x:v>
      </x:c>
      <x:c r="G50" s="128" t="str">
        <x:v>Elliptic/parabolic weak solutions</x:v>
      </x:c>
      <x:c r="H50" s="129" t="n">
        <x:v>20</x:v>
      </x:c>
      <x:c r="I50" s="130" t="n">
        <x:v>87.32</x:v>
      </x:c>
      <x:c r="J50" s="130" t="n">
        <x:v>87.2</x:v>
      </x:c>
      <x:c r="K50" s="130" t="n">
        <x:v>87.44</x:v>
      </x:c>
      <x:c r="L50" s="130" t="n">
        <x:v>88</x:v>
      </x:c>
      <x:c r="M50" s="130" t="n">
        <x:v>87</x:v>
      </x:c>
      <x:c r="N50" s="130" t="n">
        <x:v>88.8</x:v>
      </x:c>
      <x:c r="O50" s="130" t="n">
        <x:v>84</x:v>
      </x:c>
      <x:c r="P50" s="130" t="n">
        <x:v>88.9</x:v>
      </x:c>
      <x:c r="Q50" s="130" t="n">
        <x:v>86</x:v>
      </x:c>
      <x:c r="R50" s="130" t="n">
        <x:v>15.3</x:v>
      </x:c>
      <x:c r="S50" s="134" t="str">
        <x:v>https://arxiv.org/abs/2605.00439</x:v>
      </x:c>
      <x:c r="T50" s="134" t="str">
        <x:v>Critical-data weak solution theory by high-end harmonic analysis methods.</x:v>
      </x:c>
      <x:c r="U50" s="28"/>
      <x:c r="V50" s="14"/>
    </x:row>
    <x:row r="51" ht="36" customHeight="1">
      <x:c r="A51" s="135" t="n">
        <x:v>50</x:v>
      </x:c>
      <x:c r="B51" s="129" t="n">
        <x:f>MATCH(D51,May_Aug_AllRank!$D$2:$D$575,0)</x:f>
        <x:v>240</x:v>
      </x:c>
      <x:c r="C51" s="129" t="str">
        <x:v>2026-05</x:v>
      </x:c>
      <x:c r="D51" s="129" t="str">
        <x:v>2605.02345</x:v>
      </x:c>
      <x:c r="E51" s="128" t="str">
        <x:v>Sharp regularity for a class of degenerate/singular fully nonlinear elliptic equations with Hamiltonian terms</x:v>
      </x:c>
      <x:c r="F51" s="128" t="str">
        <x:v>Wentao Huo; Xiaofeng Jin; Lingwei Ma; Zhenqiu Zhang</x:v>
      </x:c>
      <x:c r="G51" s="128" t="str">
        <x:v>Fully nonlinear elliptic regularity</x:v>
      </x:c>
      <x:c r="H51" s="129" t="n">
        <x:v>28</x:v>
      </x:c>
      <x:c r="I51" s="130" t="n">
        <x:v>87.42</x:v>
      </x:c>
      <x:c r="J51" s="130" t="n">
        <x:v>87.24</x:v>
      </x:c>
      <x:c r="K51" s="130" t="n">
        <x:v>87.6</x:v>
      </x:c>
      <x:c r="L51" s="130" t="n">
        <x:v>87.9</x:v>
      </x:c>
      <x:c r="M51" s="130" t="n">
        <x:v>87.1</x:v>
      </x:c>
      <x:c r="N51" s="130" t="n">
        <x:v>89</x:v>
      </x:c>
      <x:c r="O51" s="130" t="n">
        <x:v>84</x:v>
      </x:c>
      <x:c r="P51" s="130" t="n">
        <x:v>89.1</x:v>
      </x:c>
      <x:c r="Q51" s="130" t="n">
        <x:v>86</x:v>
      </x:c>
      <x:c r="R51" s="130" t="n">
        <x:v>15</x:v>
      </x:c>
      <x:c r="S51" s="134" t="str">
        <x:v>https://arxiv.org/abs/2605.02345</x:v>
      </x:c>
      <x:c r="T51" s="134" t="str">
        <x:v>Sharp regularity for degenerate/singular fully nonlinear elliptic equations.</x:v>
      </x:c>
      <x:c r="U51" s="28"/>
      <x:c r="V51" s="14"/>
    </x:row>
  </x:sheetData>
  <x:conditionalFormatting sqref="S2:S5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{538E1DF6-34D2-37E5-6FBA-D561360B78C4}</x14:id>
        </x:ext>
      </x:extLst>
    </x:cfRule>
  </x:conditionalFormatting>
  <x:conditionalFormatting sqref="T2:T5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{7B4C57E5-E91B-5C33-0977-91D68BB00AA9}</x14:id>
        </x:ext>
      </x:extLst>
    </x:cfRule>
  </x:conditionalFormatting>
  <x:conditionalFormatting sqref="U2:U51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{F4EE1437-B09B-4FDC-A56D-AC24CFC26418}</x14:id>
        </x:ext>
      </x:extLst>
    </x:cfRule>
  </x:conditionalFormatting>
  <x:conditionalFormatting sqref="Q2:Q51">
    <x:cfRule type="colorScale" priority="4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T51">
    <x:cfRule type="expression" dxfId="1" priority="5">
      <x:formula>MOD(ROW()-1,2)=1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2c3b46300545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8E1DF6-34D2-37E5-6FBA-D561360B78C4}">
            <x14:dataBar gradient="1">
              <x14:cfvo type="min"/>
              <x14:cfvo type="max"/>
              <x14:fillColor rgb="FF5B9BD5"/>
            </x14:dataBar>
          </x14:cfRule>
          <xm:sqref>S2:S51</xm:sqref>
        </x14:conditionalFormatting>
        <x14:conditionalFormatting>
          <x14:cfRule type="dataBar" priority="2" id="{7B4C57E5-E91B-5C33-0977-91D68BB00AA9}">
            <x14:dataBar gradient="1">
              <x14:cfvo type="min"/>
              <x14:cfvo type="max"/>
              <x14:fillColor rgb="FF5B9BD5"/>
            </x14:dataBar>
          </x14:cfRule>
          <xm:sqref>T2:T51</xm:sqref>
        </x14:conditionalFormatting>
        <x14:conditionalFormatting>
          <x14:cfRule type="dataBar" priority="3" id="{F4EE1437-B09B-4FDC-A56D-AC24CFC26418}">
            <x14:dataBar gradient="1">
              <x14:cfvo type="min"/>
              <x14:cfvo type="max"/>
              <x14:fillColor rgb="FF5B9BD5"/>
            </x14:dataBar>
          </x14:cfRule>
          <xm:sqref>U2:U51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49.380001068115234" hidden="0" customWidth="1"/>
    <x:col min="2" max="2" width="34" hidden="0" customWidth="1"/>
    <x:col min="3" max="3" width="48" hidden="0" customWidth="1"/>
    <x:col min="4" max="4" width="7.880000114440918" hidden="0" customWidth="1"/>
    <x:col min="5" max="5" width="52" hidden="0" customWidth="1"/>
  </x:cols>
  <x:sheetData>
    <x:row r="1" ht="24" customHeight="1">
      <x:c r="A1" s="36" t="str">
        <x:v>2026年6月 arXiv math.AP 文章评分：统计与口径</x:v>
      </x:c>
      <x:c r="B1" t="str"/>
      <x:c r="C1" t="str"/>
      <x:c r="D1" t="str"/>
      <x:c r="E1" t="str"/>
    </x:row>
    <x:row r="2">
      <x:c r="A2" s="39" t="str">
        <x:v>数据源</x:v>
      </x:c>
      <x:c r="B2" s="40" t="str">
        <x:v>arXiv official math.AP June 2026 list</x:v>
      </x:c>
      <x:c r="C2" s="40" t="str">
        <x:v>https://arxiv.org/list/math.AP/2026-06?show=2000</x:v>
      </x:c>
      <x:c r="D2" s="40" t="str"/>
      <x:c r="E2" s="40" t="str"/>
    </x:row>
    <x:row r="3">
      <x:c r="A3" s="39" t="str">
        <x:v>官方 AP 出现项</x:v>
      </x:c>
      <x:c r="B3" s="40" t="n">
        <x:v>699</x:v>
      </x:c>
      <x:c r="C3" s="40" t="str"/>
      <x:c r="D3" s="40" t="str">
        <x:v>说明</x:v>
      </x:c>
      <x:c r="E3" s="40" t="str">
        <x:v>arXiv页面显示 Total of 699 entries; showing up to 2000 entries.</x:v>
      </x:c>
    </x:row>
    <x:row r="4">
      <x:c r="A4" s="39" t="str">
        <x:v>精评比例</x:v>
      </x:c>
      <x:c r="B4" s="41" t="n">
        <x:v>0.3</x:v>
      </x:c>
      <x:c r="C4" s="40" t="str"/>
      <x:c r="D4" s="40" t="str">
        <x:v>精评分母</x:v>
      </x:c>
      <x:c r="E4" s="40" t="str">
        <x:v>对所有AP出现项按30%进入精评池。</x:v>
      </x:c>
    </x:row>
    <x:row r="5">
      <x:c r="A5" s="39" t="str">
        <x:v>精评评分池大小</x:v>
      </x:c>
      <x:c r="B5" s="40" t="n">
        <x:v>210</x:v>
      </x:c>
      <x:c r="C5" s="40" t="str"/>
      <x:c r="D5" s="40" t="str">
        <x:v>公式</x:v>
      </x:c>
      <x:c r="E5" s="40" t="n">
        <x:f>ROUNDUP(699*30%,0)</x:f>
        <x:v>210</x:v>
      </x:c>
    </x:row>
    <x:row r="6">
      <x:c r="A6" s="39" t="str">
        <x:v>Top50分数线</x:v>
      </x:c>
      <x:c r="B6" s="42" t="n">
        <x:f>MIN(Jun_Top50!M2:M51)</x:f>
        <x:v>87.9</x:v>
      </x:c>
      <x:c r="C6" s="40" t="str"/>
      <x:c r="D6" s="40" t="str">
        <x:v>公式</x:v>
      </x:c>
      <x:c r="E6" s="40" t="n">
        <x:f>MIN(Jun_Top50!M2:M51)</x:f>
        <x:v>87.9</x:v>
      </x:c>
    </x:row>
    <x:row r="7">
      <x:c r="A7" s="39" t="str">
        <x:v>评分池平均 S_eq</x:v>
      </x:c>
      <x:c r="B7" s="42" t="n">
        <x:f>AVERAGE(Jun_AP_scored30pct!T2:T211)</x:f>
        <x:v>82.59976190476189</x:v>
      </x:c>
      <x:c r="C7" s="40" t="str"/>
      <x:c r="D7" s="40" t="str">
        <x:v>公式</x:v>
      </x:c>
      <x:c r="E7" s="40" t="n">
        <x:f>AVERAGE(Jun_AP_scored30pct!T2:T211)</x:f>
        <x:v>82.59976190476189</x:v>
      </x:c>
    </x:row>
    <x:row r="8">
      <x:c r="A8" s="39" t="str">
        <x:v>Top50平均 AI%</x:v>
      </x:c>
      <x:c r="B8" s="42" t="n">
        <x:f>AVERAGE(Jun_Top50!D2:D51)</x:f>
        <x:v>2606.118175</x:v>
      </x:c>
      <x:c r="C8" s="40" t="str"/>
      <x:c r="D8" s="40" t="str">
        <x:v>公式</x:v>
      </x:c>
      <x:c r="E8" s="40" t="n">
        <x:f>AVERAGE(Jun_Top50!D2:D51)</x:f>
        <x:v>2606.118175</x:v>
      </x:c>
    </x:row>
    <x:row r="9">
      <x:c r="A9" s="39" t="str">
        <x:v>已知页数均值</x:v>
      </x:c>
      <x:c r="B9" s="42" t="n">
        <x:f>AVERAGE(Jun_AP_scored30pct!G2:G211)</x:f>
        <x:v>38.59340659340659</x:v>
      </x:c>
      <x:c r="C9" s="40" t="str"/>
      <x:c r="D9" s="40" t="str">
        <x:v>公式</x:v>
      </x:c>
      <x:c r="E9" s="40" t="n">
        <x:f>AVERAGE(Jun_AP_scored30pct!G2:G211)</x:f>
        <x:v>38.59340659340659</x:v>
      </x:c>
    </x:row>
    <x:row r="10">
      <x:c r="A10" s="39" t="str">
        <x:v>重要说明</x:v>
      </x:c>
      <x:c r="B10" s="40" t="str">
        <x:v>默认主要结论正确；未逐篇逐行做 correctness check。AI_pct 为现阶段 AI/计算工具可替代工作占比的近似估计。</x:v>
      </x:c>
      <x:c r="C10" s="40" t="str"/>
      <x:c r="D10" s="40" t="str"/>
      <x:c r="E10" s="40" t="str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18" hidden="0" customWidth="1"/>
    <x:col min="5" max="5" width="46" hidden="0" customWidth="1"/>
    <x:col min="6" max="6" width="34" hidden="0" customWidth="1"/>
    <x:col min="7" max="7" width="8" hidden="0" customWidth="1"/>
    <x:col min="8" max="8" width="32" hidden="0" customWidth="1"/>
    <x:col min="9" max="9" width="38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11" hidden="0" customWidth="1"/>
    <x:col min="22" max="22" width="10" hidden="0" customWidth="1"/>
  </x:cols>
  <x:sheetData>
    <x:row r="1" ht="24" customHeight="1">
      <x:c r="A1" s="45" t="str">
        <x:v>arXiv</x:v>
      </x:c>
      <x:c r="B1" s="45" t="str">
        <x:v>month</x:v>
      </x:c>
      <x:c r="C1" s="45" t="str">
        <x:v>AP_status</x:v>
      </x:c>
      <x:c r="D1" s="45" t="str">
        <x:v>theme</x:v>
      </x:c>
      <x:c r="E1" s="45" t="str">
        <x:v>title</x:v>
      </x:c>
      <x:c r="F1" s="45" t="str">
        <x:v>authors</x:v>
      </x:c>
      <x:c r="G1" s="45" t="str">
        <x:v>pages</x:v>
      </x:c>
      <x:c r="H1" s="45" t="str">
        <x:v>source_url</x:v>
      </x:c>
      <x:c r="I1" s="45" t="str">
        <x:v>screening_note</x:v>
      </x:c>
      <x:c r="J1" s="45" t="str">
        <x:v>I</x:v>
      </x:c>
      <x:c r="K1" s="45" t="str">
        <x:v>O</x:v>
      </x:c>
      <x:c r="L1" s="45" t="str">
        <x:v>T</x:v>
      </x:c>
      <x:c r="M1" s="45" t="str">
        <x:v>B</x:v>
      </x:c>
      <x:c r="N1" s="45" t="str">
        <x:v>H</x:v>
      </x:c>
      <x:c r="O1" s="45" t="str">
        <x:v>R</x:v>
      </x:c>
      <x:c r="P1" s="45" t="str">
        <x:v>AI_pct</x:v>
      </x:c>
      <x:c r="Q1" s="45" t="str">
        <x:v>AI_unc</x:v>
      </x:c>
      <x:c r="R1" s="45" t="str">
        <x:v>V</x:v>
      </x:c>
      <x:c r="S1" s="45" t="str">
        <x:v>S_H</x:v>
      </x:c>
      <x:c r="T1" s="45" t="str">
        <x:v>S_eq</x:v>
      </x:c>
      <x:c r="U1" s="45" t="str">
        <x:v>rank_formula</x:v>
      </x:c>
      <x:c r="V1" s="45" t="str">
        <x:v>Top50_flag</x:v>
      </x:c>
    </x:row>
    <x:row r="2">
      <x:c r="A2" s="40" t="str">
        <x:v>2606.28008</x:v>
      </x:c>
      <x:c r="B2" s="40" t="str">
        <x:v>2026-06</x:v>
      </x:c>
      <x:c r="C2" s="40" t="str">
        <x:v>math.AP</x:v>
      </x:c>
      <x:c r="D2" s="40" t="str">
        <x:v>GR/nonlinear waves</x:v>
      </x:c>
      <x:c r="E2" s="40" t="str">
        <x:v>(Non-)Linear waves on asymptotically flat spacetimes. II: trapping, bound states, nonlinear applications</x:v>
      </x:c>
      <x:c r="F2" s="40" t="str">
        <x:v>Peter Hintz</x:v>
      </x:c>
      <x:c r="G2" s="46" t="n">
        <x:v>285</x:v>
      </x:c>
      <x:c r="H2" s="40" t="str">
        <x:v>https://arxiv.org/abs/2606.28008</x:v>
      </x:c>
      <x:c r="I2" s="40" t="str">
        <x:v>Top50精评：默认主要结论正确，未逐篇逐行 correctness check。</x:v>
      </x:c>
      <x:c r="J2" s="46" t="n">
        <x:v>99</x:v>
      </x:c>
      <x:c r="K2" s="46" t="n">
        <x:v>96</x:v>
      </x:c>
      <x:c r="L2" s="46" t="n">
        <x:v>99</x:v>
      </x:c>
      <x:c r="M2" s="46" t="n">
        <x:v>93</x:v>
      </x:c>
      <x:c r="N2" s="46" t="n">
        <x:v>99</x:v>
      </x:c>
      <x:c r="O2" s="46" t="n">
        <x:v>86</x:v>
      </x:c>
      <x:c r="P2" s="46" t="n">
        <x:v>8</x:v>
      </x:c>
      <x:c r="Q2" s="46" t="n">
        <x:v>4</x:v>
      </x:c>
      <x:c r="R2" s="42" t="n">
        <x:f>0.30*J2+0.20*K2+0.25*L2+0.15*M2+0.10*O2</x:f>
        <x:v>96.2</x:v>
      </x:c>
      <x:c r="S2" s="42" t="n">
        <x:f>0.30*N2+0.20*L2+0.20*K2+0.15*O2+0.15*(100-P2)</x:f>
        <x:v>95.4</x:v>
      </x:c>
      <x:c r="T2" s="42" t="n">
        <x:f>(R2+S2)/2</x:f>
        <x:v>95.80000000000001</x:v>
      </x:c>
      <x:c r="U2" s="40" t="n">
        <x:f>1+COUNTIFS($T$2:$T$211,"&gt;"&amp;T2)+COUNTIFS($T$2:$T$211,T2,$R$2:$R$211,"&gt;"&amp;R2)</x:f>
        <x:v>1</x:v>
      </x:c>
      <x:c r="V2" s="40" t="str">
        <x:f>IF(U2&lt;=50,"Y","")</x:f>
        <x:v>Y</x:v>
      </x:c>
    </x:row>
    <x:row r="3">
      <x:c r="A3" s="40" t="str">
        <x:v>2606.27658</x:v>
      </x:c>
      <x:c r="B3" s="40" t="str">
        <x:v>2026-06</x:v>
      </x:c>
      <x:c r="C3" s="40" t="str">
        <x:v>math.AP</x:v>
      </x:c>
      <x:c r="D3" s="40" t="str">
        <x:v>Kerr/GR hyperbolic PDE</x:v>
      </x:c>
      <x:c r="E3" s="40" t="str">
        <x:v>Constraint damping on subextremal Kerr spacetimes</x:v>
      </x:c>
      <x:c r="F3" s="40" t="str">
        <x:v>Peter Hintz</x:v>
      </x:c>
      <x:c r="G3" s="46" t="n">
        <x:v>100</x:v>
      </x:c>
      <x:c r="H3" s="40" t="str">
        <x:v>https://arxiv.org/abs/2606.27658</x:v>
      </x:c>
      <x:c r="I3" s="40" t="str">
        <x:v>Top50精评：默认主要结论正确，未逐篇逐行 correctness check。</x:v>
      </x:c>
      <x:c r="J3" s="46" t="n">
        <x:v>97</x:v>
      </x:c>
      <x:c r="K3" s="46" t="n">
        <x:v>94</x:v>
      </x:c>
      <x:c r="L3" s="46" t="n">
        <x:v>97</x:v>
      </x:c>
      <x:c r="M3" s="46" t="n">
        <x:v>91</x:v>
      </x:c>
      <x:c r="N3" s="46" t="n">
        <x:v>97</x:v>
      </x:c>
      <x:c r="O3" s="46" t="n">
        <x:v>86</x:v>
      </x:c>
      <x:c r="P3" s="46" t="n">
        <x:v>9</x:v>
      </x:c>
      <x:c r="Q3" s="46" t="n">
        <x:v>4</x:v>
      </x:c>
      <x:c r="R3" s="42" t="n">
        <x:f>0.30*J3+0.20*K3+0.25*L3+0.15*M3+0.10*O3</x:f>
        <x:v>94.4</x:v>
      </x:c>
      <x:c r="S3" s="42" t="n">
        <x:f>0.30*N3+0.20*L3+0.20*K3+0.15*O3+0.15*(100-P3)</x:f>
        <x:v>93.85000000000001</x:v>
      </x:c>
      <x:c r="T3" s="42" t="n">
        <x:f>(R3+S3)/2</x:f>
        <x:v>94.125</x:v>
      </x:c>
      <x:c r="U3" s="40" t="n">
        <x:f>1+COUNTIFS($T$2:$T$211,"&gt;"&amp;T3)+COUNTIFS($T$2:$T$211,T3,$R$2:$R$211,"&gt;"&amp;R3)</x:f>
        <x:v>2</x:v>
      </x:c>
      <x:c r="V3" s="40" t="str">
        <x:f>IF(U3&lt;=50,"Y","")</x:f>
        <x:v>Y</x:v>
      </x:c>
    </x:row>
    <x:row r="4">
      <x:c r="A4" s="40" t="str">
        <x:v>2606.04449</x:v>
      </x:c>
      <x:c r="B4" s="40" t="str">
        <x:v>2026-06</x:v>
      </x:c>
      <x:c r="C4" s="40" t="str">
        <x:v>math.AP</x:v>
      </x:c>
      <x:c r="D4" s="40" t="str">
        <x:v>nonlinear wave blow-up</x:v>
      </x:c>
      <x:c r="E4" s="40" t="str">
        <x:v>Construction of multi-bubble solutions for the energy-critical wave equation in dimension four</x:v>
      </x:c>
      <x:c r="F4" s="40" t="str">
        <x:v>Jingyuan Gu; Jacek Jendrej; Lifeng Zhao</x:v>
      </x:c>
      <x:c r="G4" s="46" t="n">
        <x:v>90</x:v>
      </x:c>
      <x:c r="H4" s="40" t="str">
        <x:v>https://arxiv.org/abs/2606.04449</x:v>
      </x:c>
      <x:c r="I4" s="40" t="str">
        <x:v>Top50精评：默认主要结论正确，未逐篇逐行 correctness check。</x:v>
      </x:c>
      <x:c r="J4" s="46" t="n">
        <x:v>96</x:v>
      </x:c>
      <x:c r="K4" s="46" t="n">
        <x:v>94</x:v>
      </x:c>
      <x:c r="L4" s="46" t="n">
        <x:v>97</x:v>
      </x:c>
      <x:c r="M4" s="46" t="n">
        <x:v>90</x:v>
      </x:c>
      <x:c r="N4" s="46" t="n">
        <x:v>97</x:v>
      </x:c>
      <x:c r="O4" s="46" t="n">
        <x:v>86</x:v>
      </x:c>
      <x:c r="P4" s="46" t="n">
        <x:v>9</x:v>
      </x:c>
      <x:c r="Q4" s="46" t="n">
        <x:v>4</x:v>
      </x:c>
      <x:c r="R4" s="42" t="n">
        <x:f>0.30*J4+0.20*K4+0.25*L4+0.15*M4+0.10*O4</x:f>
        <x:v>93.94999999999999</x:v>
      </x:c>
      <x:c r="S4" s="42" t="n">
        <x:f>0.30*N4+0.20*L4+0.20*K4+0.15*O4+0.15*(100-P4)</x:f>
        <x:v>93.85000000000001</x:v>
      </x:c>
      <x:c r="T4" s="42" t="n">
        <x:f>(R4+S4)/2</x:f>
        <x:v>93.9</x:v>
      </x:c>
      <x:c r="U4" s="40" t="n">
        <x:f>1+COUNTIFS($T$2:$T$211,"&gt;"&amp;T4)+COUNTIFS($T$2:$T$211,T4,$R$2:$R$211,"&gt;"&amp;R4)</x:f>
        <x:v>3</x:v>
      </x:c>
      <x:c r="V4" s="40" t="str">
        <x:f>IF(U4&lt;=50,"Y","")</x:f>
        <x:v>Y</x:v>
      </x:c>
    </x:row>
    <x:row r="5">
      <x:c r="A5" s="40" t="str">
        <x:v>2606.00538</x:v>
      </x:c>
      <x:c r="B5" s="40" t="str">
        <x:v>2026-06</x:v>
      </x:c>
      <x:c r="C5" s="40" t="str">
        <x:v>math.AP</x:v>
      </x:c>
      <x:c r="D5" s="40" t="str">
        <x:v>free boundary/regularity</x:v>
      </x:c>
      <x:c r="E5" s="40" t="str">
        <x:v>Classification of blow-ups for the Alt--Phillips problem in three dimensions</x:v>
      </x:c>
      <x:c r="F5" s="40" t="str">
        <x:v>Xavier Fernandez-Real</x:v>
      </x:c>
      <x:c r="G5" s="46"/>
      <x:c r="H5" s="40" t="str">
        <x:v>https://arxiv.org/abs/2606.00538</x:v>
      </x:c>
      <x:c r="I5" s="40" t="str">
        <x:v>Top50精评：默认主要结论正确，未逐篇逐行 correctness check。</x:v>
      </x:c>
      <x:c r="J5" s="46" t="n">
        <x:v>96</x:v>
      </x:c>
      <x:c r="K5" s="46" t="n">
        <x:v>93</x:v>
      </x:c>
      <x:c r="L5" s="46" t="n">
        <x:v>94</x:v>
      </x:c>
      <x:c r="M5" s="46" t="n">
        <x:v>91</x:v>
      </x:c>
      <x:c r="N5" s="46" t="n">
        <x:v>95</x:v>
      </x:c>
      <x:c r="O5" s="46" t="n">
        <x:v>88</x:v>
      </x:c>
      <x:c r="P5" s="46" t="n">
        <x:v>10</x:v>
      </x:c>
      <x:c r="Q5" s="46" t="n">
        <x:v>4</x:v>
      </x:c>
      <x:c r="R5" s="42" t="n">
        <x:f>0.30*J5+0.20*K5+0.25*L5+0.15*M5+0.10*O5</x:f>
        <x:v>93.35000000000001</x:v>
      </x:c>
      <x:c r="S5" s="42" t="n">
        <x:f>0.30*N5+0.20*L5+0.20*K5+0.15*O5+0.15*(100-P5)</x:f>
        <x:v>92.60000000000001</x:v>
      </x:c>
      <x:c r="T5" s="42" t="n">
        <x:f>(R5+S5)/2</x:f>
        <x:v>92.97500000000001</x:v>
      </x:c>
      <x:c r="U5" s="40" t="n">
        <x:f>1+COUNTIFS($T$2:$T$211,"&gt;"&amp;T5)+COUNTIFS($T$2:$T$211,T5,$R$2:$R$211,"&gt;"&amp;R5)</x:f>
        <x:v>4</x:v>
      </x:c>
      <x:c r="V5" s="40" t="str">
        <x:f>IF(U5&lt;=50,"Y","")</x:f>
        <x:v>Y</x:v>
      </x:c>
    </x:row>
    <x:row r="6">
      <x:c r="A6" s="40" t="str">
        <x:v>2606.01331</x:v>
      </x:c>
      <x:c r="B6" s="40" t="str">
        <x:v>2026-06</x:v>
      </x:c>
      <x:c r="C6" s="40" t="str">
        <x:v>math.AP</x:v>
      </x:c>
      <x:c r="D6" s="40" t="str">
        <x:v>kinetic PDE</x:v>
      </x:c>
      <x:c r="E6" s="40" t="str">
        <x:v>Sharp H_x^s Ill-posedness of the Hard-sphere Boltzmann Equation</x:v>
      </x:c>
      <x:c r="F6" s="40" t="str">
        <x:v>Xuwen Chen; Yan Guo; Shunlin Shen; Zhifei Zhang</x:v>
      </x:c>
      <x:c r="G6" s="46"/>
      <x:c r="H6" s="40" t="str">
        <x:v>https://arxiv.org/abs/2606.01331</x:v>
      </x:c>
      <x:c r="I6" s="40" t="str">
        <x:v>Top50精评：默认主要结论正确，未逐篇逐行 correctness check。</x:v>
      </x:c>
      <x:c r="J6" s="46" t="n">
        <x:v>95</x:v>
      </x:c>
      <x:c r="K6" s="46" t="n">
        <x:v>92</x:v>
      </x:c>
      <x:c r="L6" s="46" t="n">
        <x:v>95</x:v>
      </x:c>
      <x:c r="M6" s="46" t="n">
        <x:v>89</x:v>
      </x:c>
      <x:c r="N6" s="46" t="n">
        <x:v>95</x:v>
      </x:c>
      <x:c r="O6" s="46" t="n">
        <x:v>86</x:v>
      </x:c>
      <x:c r="P6" s="46" t="n">
        <x:v>10</x:v>
      </x:c>
      <x:c r="Q6" s="46" t="n">
        <x:v>4</x:v>
      </x:c>
      <x:c r="R6" s="42" t="n">
        <x:f>0.30*J6+0.20*K6+0.25*L6+0.15*M6+0.10*O6</x:f>
        <x:v>92.6</x:v>
      </x:c>
      <x:c r="S6" s="42" t="n">
        <x:f>0.30*N6+0.20*L6+0.20*K6+0.15*O6+0.15*(100-P6)</x:f>
        <x:v>92.30000000000001</x:v>
      </x:c>
      <x:c r="T6" s="42" t="n">
        <x:f>(R6+S6)/2</x:f>
        <x:v>92.45</x:v>
      </x:c>
      <x:c r="U6" s="40" t="n">
        <x:f>1+COUNTIFS($T$2:$T$211,"&gt;"&amp;T6)+COUNTIFS($T$2:$T$211,T6,$R$2:$R$211,"&gt;"&amp;R6)</x:f>
        <x:v>5</x:v>
      </x:c>
      <x:c r="V6" s="40" t="str">
        <x:f>IF(U6&lt;=50,"Y","")</x:f>
        <x:v>Y</x:v>
      </x:c>
    </x:row>
    <x:row r="7">
      <x:c r="A7" s="40" t="str">
        <x:v>2606.12192</x:v>
      </x:c>
      <x:c r="B7" s="40" t="str">
        <x:v>2026-06</x:v>
      </x:c>
      <x:c r="C7" s="40" t="str">
        <x:v>math.AP</x:v>
      </x:c>
      <x:c r="D7" s="40" t="str">
        <x:v>convex integration/geophysical PDE</x:v>
      </x:c>
      <x:c r="E7" s="40" t="str">
        <x:v>A Generalized Framework for L^r Convex Integration and its Application to Geophysical Models</x:v>
      </x:c>
      <x:c r="F7" s="40" t="str">
        <x:v>Daniel W. Boutros; Simon Markfelder; Edriss S. Titi</x:v>
      </x:c>
      <x:c r="G7" s="46" t="n">
        <x:v>90</x:v>
      </x:c>
      <x:c r="H7" s="40" t="str">
        <x:v>https://arxiv.org/abs/2606.12192</x:v>
      </x:c>
      <x:c r="I7" s="40" t="str">
        <x:v>Top50精评：默认主要结论正确，未逐篇逐行 correctness check。</x:v>
      </x:c>
      <x:c r="J7" s="46" t="n">
        <x:v>94</x:v>
      </x:c>
      <x:c r="K7" s="46" t="n">
        <x:v>93</x:v>
      </x:c>
      <x:c r="L7" s="46" t="n">
        <x:v>95</x:v>
      </x:c>
      <x:c r="M7" s="46" t="n">
        <x:v>90</x:v>
      </x:c>
      <x:c r="N7" s="46" t="n">
        <x:v>95</x:v>
      </x:c>
      <x:c r="O7" s="46" t="n">
        <x:v>84</x:v>
      </x:c>
      <x:c r="P7" s="46" t="n">
        <x:v>10</x:v>
      </x:c>
      <x:c r="Q7" s="46" t="n">
        <x:v>4</x:v>
      </x:c>
      <x:c r="R7" s="42" t="n">
        <x:f>0.30*J7+0.20*K7+0.25*L7+0.15*M7+0.10*O7</x:f>
        <x:v>92.45</x:v>
      </x:c>
      <x:c r="S7" s="42" t="n">
        <x:f>0.30*N7+0.20*L7+0.20*K7+0.15*O7+0.15*(100-P7)</x:f>
        <x:v>92.19999999999999</x:v>
      </x:c>
      <x:c r="T7" s="42" t="n">
        <x:f>(R7+S7)/2</x:f>
        <x:v>92.32499999999999</x:v>
      </x:c>
      <x:c r="U7" s="40" t="n">
        <x:f>1+COUNTIFS($T$2:$T$211,"&gt;"&amp;T7)+COUNTIFS($T$2:$T$211,T7,$R$2:$R$211,"&gt;"&amp;R7)</x:f>
        <x:v>6</x:v>
      </x:c>
      <x:c r="V7" s="40" t="str">
        <x:f>IF(U7&lt;=50,"Y","")</x:f>
        <x:v>Y</x:v>
      </x:c>
    </x:row>
    <x:row r="8">
      <x:c r="A8" s="40" t="str">
        <x:v>2606.01359</x:v>
      </x:c>
      <x:c r="B8" s="40" t="str">
        <x:v>2026-06</x:v>
      </x:c>
      <x:c r="C8" s="40" t="str">
        <x:v>math.AP</x:v>
      </x:c>
      <x:c r="D8" s="40" t="str">
        <x:v>regularity theory</x:v>
      </x:c>
      <x:c r="E8" s="40" t="str">
        <x:v>Intrinsic Schauder estimates at nearly linear growth</x:v>
      </x:c>
      <x:c r="F8" s="40" t="str">
        <x:v>Cristiana De Filippis; Filomena De Filippis; Peter Hasto</x:v>
      </x:c>
      <x:c r="G8" s="46" t="n">
        <x:v>42</x:v>
      </x:c>
      <x:c r="H8" s="40" t="str">
        <x:v>https://arxiv.org/abs/2606.01359</x:v>
      </x:c>
      <x:c r="I8" s="40" t="str">
        <x:v>Top50精评：默认主要结论正确，未逐篇逐行 correctness check。</x:v>
      </x:c>
      <x:c r="J8" s="46" t="n">
        <x:v>94</x:v>
      </x:c>
      <x:c r="K8" s="46" t="n">
        <x:v>91</x:v>
      </x:c>
      <x:c r="L8" s="46" t="n">
        <x:v>94</x:v>
      </x:c>
      <x:c r="M8" s="46" t="n">
        <x:v>90</x:v>
      </x:c>
      <x:c r="N8" s="46" t="n">
        <x:v>94</x:v>
      </x:c>
      <x:c r="O8" s="46" t="n">
        <x:v>87</x:v>
      </x:c>
      <x:c r="P8" s="46" t="n">
        <x:v>10</x:v>
      </x:c>
      <x:c r="Q8" s="46" t="n">
        <x:v>4</x:v>
      </x:c>
      <x:c r="R8" s="42" t="n">
        <x:f>0.30*J8+0.20*K8+0.25*L8+0.15*M8+0.10*O8</x:f>
        <x:v>92.10000000000001</x:v>
      </x:c>
      <x:c r="S8" s="42" t="n">
        <x:f>0.30*N8+0.20*L8+0.20*K8+0.15*O8+0.15*(100-P8)</x:f>
        <x:v>91.75</x:v>
      </x:c>
      <x:c r="T8" s="42" t="n">
        <x:f>(R8+S8)/2</x:f>
        <x:v>91.92500000000001</x:v>
      </x:c>
      <x:c r="U8" s="40" t="n">
        <x:f>1+COUNTIFS($T$2:$T$211,"&gt;"&amp;T8)+COUNTIFS($T$2:$T$211,T8,$R$2:$R$211,"&gt;"&amp;R8)</x:f>
        <x:v>7</x:v>
      </x:c>
      <x:c r="V8" s="40" t="str">
        <x:f>IF(U8&lt;=50,"Y","")</x:f>
        <x:v>Y</x:v>
      </x:c>
    </x:row>
    <x:row r="9">
      <x:c r="A9" s="40" t="str">
        <x:v>2606.27691</x:v>
      </x:c>
      <x:c r="B9" s="40" t="str">
        <x:v>2026-06</x:v>
      </x:c>
      <x:c r="C9" s="40" t="str">
        <x:v>math.AP</x:v>
      </x:c>
      <x:c r="D9" s="40" t="str">
        <x:v>variational/singular limits</x:v>
      </x:c>
      <x:c r="E9" s="40" t="str">
        <x:v>Singular Limits for Three-Dimensional Global Minimizers of Ginzburg-Landau-Type Functionals: Uniform Estimates and Singular Sets</x:v>
      </x:c>
      <x:c r="F9" s="40" t="str">
        <x:v>Giacomo Canevari; Haotong Fu; Wei Wang</x:v>
      </x:c>
      <x:c r="G9" s="46" t="n">
        <x:v>72</x:v>
      </x:c>
      <x:c r="H9" s="40" t="str">
        <x:v>https://arxiv.org/abs/2606.27691</x:v>
      </x:c>
      <x:c r="I9" s="40" t="str">
        <x:v>Top50精评：默认主要结论正确，未逐篇逐行 correctness check。</x:v>
      </x:c>
      <x:c r="J9" s="46" t="n">
        <x:v>94</x:v>
      </x:c>
      <x:c r="K9" s="46" t="n">
        <x:v>91</x:v>
      </x:c>
      <x:c r="L9" s="46" t="n">
        <x:v>94</x:v>
      </x:c>
      <x:c r="M9" s="46" t="n">
        <x:v>89</x:v>
      </x:c>
      <x:c r="N9" s="46" t="n">
        <x:v>94</x:v>
      </x:c>
      <x:c r="O9" s="46" t="n">
        <x:v>86</x:v>
      </x:c>
      <x:c r="P9" s="46" t="n">
        <x:v>11</x:v>
      </x:c>
      <x:c r="Q9" s="46" t="n">
        <x:v>4</x:v>
      </x:c>
      <x:c r="R9" s="42" t="n">
        <x:f>0.30*J9+0.20*K9+0.25*L9+0.15*M9+0.10*O9</x:f>
        <x:v>91.85</x:v>
      </x:c>
      <x:c r="S9" s="42" t="n">
        <x:f>0.30*N9+0.20*L9+0.20*K9+0.15*O9+0.15*(100-P9)</x:f>
        <x:v>91.45</x:v>
      </x:c>
      <x:c r="T9" s="42" t="n">
        <x:f>(R9+S9)/2</x:f>
        <x:v>91.65</x:v>
      </x:c>
      <x:c r="U9" s="40" t="n">
        <x:f>1+COUNTIFS($T$2:$T$211,"&gt;"&amp;T9)+COUNTIFS($T$2:$T$211,T9,$R$2:$R$211,"&gt;"&amp;R9)</x:f>
        <x:v>8</x:v>
      </x:c>
      <x:c r="V9" s="40" t="str">
        <x:f>IF(U9&lt;=50,"Y","")</x:f>
        <x:v>Y</x:v>
      </x:c>
    </x:row>
    <x:row r="10">
      <x:c r="A10" s="40" t="str">
        <x:v>2606.03680</x:v>
      </x:c>
      <x:c r="B10" s="40" t="str">
        <x:v>2026-06</x:v>
      </x:c>
      <x:c r="C10" s="40" t="str">
        <x:v>math.AP</x:v>
      </x:c>
      <x:c r="D10" s="40" t="str">
        <x:v>fluid regularity</x:v>
      </x:c>
      <x:c r="E10" s="40" t="str">
        <x:v>Global regularity of the 2D fractional Boussinesq equations with subcritical dissipation</x:v>
      </x:c>
      <x:c r="F10" s="40" t="str">
        <x:v>Atanas Stefanov; Jiahong Wu; Xiaojing Xu; Zhuan Ye</x:v>
      </x:c>
      <x:c r="G10" s="46" t="n">
        <x:v>43</x:v>
      </x:c>
      <x:c r="H10" s="40" t="str">
        <x:v>https://arxiv.org/abs/2606.03680</x:v>
      </x:c>
      <x:c r="I10" s="40" t="str">
        <x:v>Top50精评：默认主要结论正确，未逐篇逐行 correctness check。</x:v>
      </x:c>
      <x:c r="J10" s="46" t="n">
        <x:v>94</x:v>
      </x:c>
      <x:c r="K10" s="46" t="n">
        <x:v>91</x:v>
      </x:c>
      <x:c r="L10" s="46" t="n">
        <x:v>93</x:v>
      </x:c>
      <x:c r="M10" s="46" t="n">
        <x:v>89</x:v>
      </x:c>
      <x:c r="N10" s="46" t="n">
        <x:v>94</x:v>
      </x:c>
      <x:c r="O10" s="46" t="n">
        <x:v>87</x:v>
      </x:c>
      <x:c r="P10" s="46" t="n">
        <x:v>10</x:v>
      </x:c>
      <x:c r="Q10" s="46" t="n">
        <x:v>4</x:v>
      </x:c>
      <x:c r="R10" s="42" t="n">
        <x:f>0.30*J10+0.20*K10+0.25*L10+0.15*M10+0.10*O10</x:f>
        <x:v>91.7</x:v>
      </x:c>
      <x:c r="S10" s="42" t="n">
        <x:f>0.30*N10+0.20*L10+0.20*K10+0.15*O10+0.15*(100-P10)</x:f>
        <x:v>91.55</x:v>
      </x:c>
      <x:c r="T10" s="42" t="n">
        <x:f>(R10+S10)/2</x:f>
        <x:v>91.625</x:v>
      </x:c>
      <x:c r="U10" s="40" t="n">
        <x:f>1+COUNTIFS($T$2:$T$211,"&gt;"&amp;T10)+COUNTIFS($T$2:$T$211,T10,$R$2:$R$211,"&gt;"&amp;R10)</x:f>
        <x:v>9</x:v>
      </x:c>
      <x:c r="V10" s="40" t="str">
        <x:f>IF(U10&lt;=50,"Y","")</x:f>
        <x:v>Y</x:v>
      </x:c>
    </x:row>
    <x:row r="11">
      <x:c r="A11" s="40" t="str">
        <x:v>2606.05098</x:v>
      </x:c>
      <x:c r="B11" s="40" t="str">
        <x:v>2026-06</x:v>
      </x:c>
      <x:c r="C11" s="40" t="str">
        <x:v>math.AP</x:v>
      </x:c>
      <x:c r="D11" s="40" t="str">
        <x:v>homogenization</x:v>
      </x:c>
      <x:c r="E11" s="40" t="str">
        <x:v>Quantitative Homogenization Theory for Lame-Stokes Coupled Systems</x:v>
      </x:c>
      <x:c r="F11" s="40" t="str">
        <x:v>Beichen Wang</x:v>
      </x:c>
      <x:c r="G11" s="46" t="n">
        <x:v>92</x:v>
      </x:c>
      <x:c r="H11" s="40" t="str">
        <x:v>https://arxiv.org/abs/2606.05098</x:v>
      </x:c>
      <x:c r="I11" s="40" t="str">
        <x:v>Top50精评：默认主要结论正确，未逐篇逐行 correctness check。</x:v>
      </x:c>
      <x:c r="J11" s="46" t="n">
        <x:v>93</x:v>
      </x:c>
      <x:c r="K11" s="46" t="n">
        <x:v>90</x:v>
      </x:c>
      <x:c r="L11" s="46" t="n">
        <x:v>94</x:v>
      </x:c>
      <x:c r="M11" s="46" t="n">
        <x:v>90</x:v>
      </x:c>
      <x:c r="N11" s="46" t="n">
        <x:v>93</x:v>
      </x:c>
      <x:c r="O11" s="46" t="n">
        <x:v>87</x:v>
      </x:c>
      <x:c r="P11" s="46" t="n">
        <x:v>11</x:v>
      </x:c>
      <x:c r="Q11" s="46" t="n">
        <x:v>4</x:v>
      </x:c>
      <x:c r="R11" s="42" t="n">
        <x:f>0.30*J11+0.20*K11+0.25*L11+0.15*M11+0.10*O11</x:f>
        <x:v>91.60000000000001</x:v>
      </x:c>
      <x:c r="S11" s="42" t="n">
        <x:f>0.30*N11+0.20*L11+0.20*K11+0.15*O11+0.15*(100-P11)</x:f>
        <x:v>91.1</x:v>
      </x:c>
      <x:c r="T11" s="42" t="n">
        <x:f>(R11+S11)/2</x:f>
        <x:v>91.35</x:v>
      </x:c>
      <x:c r="U11" s="40" t="n">
        <x:f>1+COUNTIFS($T$2:$T$211,"&gt;"&amp;T11)+COUNTIFS($T$2:$T$211,T11,$R$2:$R$211,"&gt;"&amp;R11)</x:f>
        <x:v>10</x:v>
      </x:c>
      <x:c r="V11" s="40" t="str">
        <x:f>IF(U11&lt;=50,"Y","")</x:f>
        <x:v>Y</x:v>
      </x:c>
    </x:row>
    <x:row r="12">
      <x:c r="A12" s="40" t="str">
        <x:v>2606.09614</x:v>
      </x:c>
      <x:c r="B12" s="40" t="str">
        <x:v>2026-06</x:v>
      </x:c>
      <x:c r="C12" s="40" t="str">
        <x:v>math.AP</x:v>
      </x:c>
      <x:c r="D12" s="40" t="str">
        <x:v>parabolic boundary value</x:v>
      </x:c>
      <x:c r="E12" s="40" t="str">
        <x:v>The L^p Neumann problem for parabolic operators with coefficients satisfying small Carleson condition</x:v>
      </x:c>
      <x:c r="F12" s="40" t="str">
        <x:v>Martin Dindos; Linhan Li; Jill Pipher</x:v>
      </x:c>
      <x:c r="G12" s="46" t="n">
        <x:v>100</x:v>
      </x:c>
      <x:c r="H12" s="40" t="str">
        <x:v>https://arxiv.org/abs/2606.09614</x:v>
      </x:c>
      <x:c r="I12" s="40" t="str">
        <x:v>Top50精评：默认主要结论正确，未逐篇逐行 correctness check。</x:v>
      </x:c>
      <x:c r="J12" s="46" t="n">
        <x:v>93</x:v>
      </x:c>
      <x:c r="K12" s="46" t="n">
        <x:v>90</x:v>
      </x:c>
      <x:c r="L12" s="46" t="n">
        <x:v>94</x:v>
      </x:c>
      <x:c r="M12" s="46" t="n">
        <x:v>89</x:v>
      </x:c>
      <x:c r="N12" s="46" t="n">
        <x:v>93</x:v>
      </x:c>
      <x:c r="O12" s="46" t="n">
        <x:v>86</x:v>
      </x:c>
      <x:c r="P12" s="46" t="n">
        <x:v>11</x:v>
      </x:c>
      <x:c r="Q12" s="46" t="n">
        <x:v>4</x:v>
      </x:c>
      <x:c r="R12" s="42" t="n">
        <x:f>0.30*J12+0.20*K12+0.25*L12+0.15*M12+0.10*O12</x:f>
        <x:v>91.35</x:v>
      </x:c>
      <x:c r="S12" s="42" t="n">
        <x:f>0.30*N12+0.20*L12+0.20*K12+0.15*O12+0.15*(100-P12)</x:f>
        <x:v>90.95</x:v>
      </x:c>
      <x:c r="T12" s="42" t="n">
        <x:f>(R12+S12)/2</x:f>
        <x:v>91.15</x:v>
      </x:c>
      <x:c r="U12" s="40" t="n">
        <x:f>1+COUNTIFS($T$2:$T$211,"&gt;"&amp;T12)+COUNTIFS($T$2:$T$211,T12,$R$2:$R$211,"&gt;"&amp;R12)</x:f>
        <x:v>11</x:v>
      </x:c>
      <x:c r="V12" s="40" t="str">
        <x:f>IF(U12&lt;=50,"Y","")</x:f>
        <x:v>Y</x:v>
      </x:c>
    </x:row>
    <x:row r="13">
      <x:c r="A13" s="40" t="str">
        <x:v>2606.28211</x:v>
      </x:c>
      <x:c r="B13" s="40" t="str">
        <x:v>2026-06</x:v>
      </x:c>
      <x:c r="C13" s="40" t="str">
        <x:v>math.AP</x:v>
      </x:c>
      <x:c r="D13" s="40" t="str">
        <x:v>measure/PDE regularity</x:v>
      </x:c>
      <x:c r="E13" s="40" t="str">
        <x:v>A regularity theorem for stationary measures</x:v>
      </x:c>
      <x:c r="F13" s="40" t="str">
        <x:v>Luigi Ambrosio; Giovanni Siclari</x:v>
      </x:c>
      <x:c r="G13" s="46"/>
      <x:c r="H13" s="40" t="str">
        <x:v>https://arxiv.org/abs/2606.28211</x:v>
      </x:c>
      <x:c r="I13" s="40" t="str">
        <x:v>Top50精评：默认主要结论正确，未逐篇逐行 correctness check。</x:v>
      </x:c>
      <x:c r="J13" s="46" t="n">
        <x:v>93</x:v>
      </x:c>
      <x:c r="K13" s="46" t="n">
        <x:v>91</x:v>
      </x:c>
      <x:c r="L13" s="46" t="n">
        <x:v>93</x:v>
      </x:c>
      <x:c r="M13" s="46" t="n">
        <x:v>89</x:v>
      </x:c>
      <x:c r="N13" s="46" t="n">
        <x:v>93</x:v>
      </x:c>
      <x:c r="O13" s="46" t="n">
        <x:v>86</x:v>
      </x:c>
      <x:c r="P13" s="46" t="n">
        <x:v>11</x:v>
      </x:c>
      <x:c r="Q13" s="46" t="n">
        <x:v>4</x:v>
      </x:c>
      <x:c r="R13" s="42" t="n">
        <x:f>0.30*J13+0.20*K13+0.25*L13+0.15*M13+0.10*O13</x:f>
        <x:v>91.29999999999998</x:v>
      </x:c>
      <x:c r="S13" s="42" t="n">
        <x:f>0.30*N13+0.20*L13+0.20*K13+0.15*O13+0.15*(100-P13)</x:f>
        <x:v>90.95</x:v>
      </x:c>
      <x:c r="T13" s="42" t="n">
        <x:f>(R13+S13)/2</x:f>
        <x:v>91.125</x:v>
      </x:c>
      <x:c r="U13" s="40" t="n">
        <x:f>1+COUNTIFS($T$2:$T$211,"&gt;"&amp;T13)+COUNTIFS($T$2:$T$211,T13,$R$2:$R$211,"&gt;"&amp;R13)</x:f>
        <x:v>12</x:v>
      </x:c>
      <x:c r="V13" s="40" t="str">
        <x:f>IF(U13&lt;=50,"Y","")</x:f>
        <x:v>Y</x:v>
      </x:c>
    </x:row>
    <x:row r="14">
      <x:c r="A14" s="40" t="str">
        <x:v>2606.07010</x:v>
      </x:c>
      <x:c r="B14" s="40" t="str">
        <x:v>2026-06</x:v>
      </x:c>
      <x:c r="C14" s="40" t="str">
        <x:v>math.AP</x:v>
      </x:c>
      <x:c r="D14" s="40" t="str">
        <x:v>probabilistic dispersive PDE</x:v>
      </x:c>
      <x:c r="E14" s="40" t="str">
        <x:v>Gauge transforms, random averaging operator ansatz and improved probabilistic well-posedness for the radial NLS on the 3d ball</x:v>
      </x:c>
      <x:c r="F14" s="40" t="str">
        <x:v>Nicolas Burq; Nicolas Camps; Chenmin Sun; Nikolay Tzvetkov</x:v>
      </x:c>
      <x:c r="G14" s="46" t="n">
        <x:v>75</x:v>
      </x:c>
      <x:c r="H14" s="40" t="str">
        <x:v>https://arxiv.org/abs/2606.07010</x:v>
      </x:c>
      <x:c r="I14" s="40" t="str">
        <x:v>Top50精评：默认主要结论正确，未逐篇逐行 correctness check。</x:v>
      </x:c>
      <x:c r="J14" s="46" t="n">
        <x:v>93</x:v>
      </x:c>
      <x:c r="K14" s="46" t="n">
        <x:v>92</x:v>
      </x:c>
      <x:c r="L14" s="46" t="n">
        <x:v>93</x:v>
      </x:c>
      <x:c r="M14" s="46" t="n">
        <x:v>88</x:v>
      </x:c>
      <x:c r="N14" s="46" t="n">
        <x:v>93</x:v>
      </x:c>
      <x:c r="O14" s="46" t="n">
        <x:v>85</x:v>
      </x:c>
      <x:c r="P14" s="46" t="n">
        <x:v>11</x:v>
      </x:c>
      <x:c r="Q14" s="46" t="n">
        <x:v>4</x:v>
      </x:c>
      <x:c r="R14" s="42" t="n">
        <x:f>0.30*J14+0.20*K14+0.25*L14+0.15*M14+0.10*O14</x:f>
        <x:v>91.25</x:v>
      </x:c>
      <x:c r="S14" s="42" t="n">
        <x:f>0.30*N14+0.20*L14+0.20*K14+0.15*O14+0.15*(100-P14)</x:f>
        <x:v>91</x:v>
      </x:c>
      <x:c r="T14" s="42" t="n">
        <x:f>(R14+S14)/2</x:f>
        <x:v>91.125</x:v>
      </x:c>
      <x:c r="U14" s="40" t="n">
        <x:f>1+COUNTIFS($T$2:$T$211,"&gt;"&amp;T14)+COUNTIFS($T$2:$T$211,T14,$R$2:$R$211,"&gt;"&amp;R14)</x:f>
        <x:v>13</x:v>
      </x:c>
      <x:c r="V14" s="40" t="str">
        <x:f>IF(U14&lt;=50,"Y","")</x:f>
        <x:v>Y</x:v>
      </x:c>
    </x:row>
    <x:row r="15">
      <x:c r="A15" s="40" t="str">
        <x:v>2606.10185</x:v>
      </x:c>
      <x:c r="B15" s="40" t="str">
        <x:v>2026-06</x:v>
      </x:c>
      <x:c r="C15" s="40" t="str">
        <x:v>math.AP</x:v>
      </x:c>
      <x:c r="D15" s="40" t="str">
        <x:v>kinetic regularity</x:v>
      </x:c>
      <x:c r="E15" s="40" t="str">
        <x:v>Boundary Harnack estimates of optimal order for kinetic Fokker-Planck equations</x:v>
      </x:c>
      <x:c r="F15" s="40" t="str">
        <x:v>Kyeongbae Kim; Marvin Weidner</x:v>
      </x:c>
      <x:c r="G15" s="46" t="n">
        <x:v>59</x:v>
      </x:c>
      <x:c r="H15" s="40" t="str">
        <x:v>https://arxiv.org/abs/2606.10185</x:v>
      </x:c>
      <x:c r="I15" s="40" t="str">
        <x:v>Top50精评：默认主要结论正确，未逐篇逐行 correctness check。</x:v>
      </x:c>
      <x:c r="J15" s="46" t="n">
        <x:v>92</x:v>
      </x:c>
      <x:c r="K15" s="46" t="n">
        <x:v>91</x:v>
      </x:c>
      <x:c r="L15" s="46" t="n">
        <x:v>93</x:v>
      </x:c>
      <x:c r="M15" s="46" t="n">
        <x:v>89</x:v>
      </x:c>
      <x:c r="N15" s="46" t="n">
        <x:v>93</x:v>
      </x:c>
      <x:c r="O15" s="46" t="n">
        <x:v>86</x:v>
      </x:c>
      <x:c r="P15" s="46" t="n">
        <x:v>11</x:v>
      </x:c>
      <x:c r="Q15" s="46" t="n">
        <x:v>4</x:v>
      </x:c>
      <x:c r="R15" s="42" t="n">
        <x:f>0.30*J15+0.20*K15+0.25*L15+0.15*M15+0.10*O15</x:f>
        <x:v>90.99999999999999</x:v>
      </x:c>
      <x:c r="S15" s="42" t="n">
        <x:f>0.30*N15+0.20*L15+0.20*K15+0.15*O15+0.15*(100-P15)</x:f>
        <x:v>90.95</x:v>
      </x:c>
      <x:c r="T15" s="42" t="n">
        <x:f>(R15+S15)/2</x:f>
        <x:v>90.975</x:v>
      </x:c>
      <x:c r="U15" s="40" t="n">
        <x:f>1+COUNTIFS($T$2:$T$211,"&gt;"&amp;T15)+COUNTIFS($T$2:$T$211,T15,$R$2:$R$211,"&gt;"&amp;R15)</x:f>
        <x:v>14</x:v>
      </x:c>
      <x:c r="V15" s="40" t="str">
        <x:f>IF(U15&lt;=50,"Y","")</x:f>
        <x:v>Y</x:v>
      </x:c>
    </x:row>
    <x:row r="16">
      <x:c r="A16" s="40" t="str">
        <x:v>2606.15189</x:v>
      </x:c>
      <x:c r="B16" s="40" t="str">
        <x:v>2026-06</x:v>
      </x:c>
      <x:c r="C16" s="40" t="str">
        <x:v>math.AP</x:v>
      </x:c>
      <x:c r="D16" s="40" t="str">
        <x:v>Navier-Stokes</x:v>
      </x:c>
      <x:c r="E16" s="40" t="str">
        <x:v>Blow-up and uniqueness of Leray-Hopf solutions to forced Navier-Stokes equations</x:v>
      </x:c>
      <x:c r="F16" s="40" t="str">
        <x:v>Giovanni Paolo Galdi; Filippo Gazzola</x:v>
      </x:c>
      <x:c r="G16" s="46"/>
      <x:c r="H16" s="40" t="str">
        <x:v>https://arxiv.org/abs/2606.15189</x:v>
      </x:c>
      <x:c r="I16" s="40" t="str">
        <x:v>Top50精评：默认主要结论正确，未逐篇逐行 correctness check。</x:v>
      </x:c>
      <x:c r="J16" s="46" t="n">
        <x:v>94</x:v>
      </x:c>
      <x:c r="K16" s="46" t="n">
        <x:v>90</x:v>
      </x:c>
      <x:c r="L16" s="46" t="n">
        <x:v>92</x:v>
      </x:c>
      <x:c r="M16" s="46" t="n">
        <x:v>88</x:v>
      </x:c>
      <x:c r="N16" s="46" t="n">
        <x:v>93</x:v>
      </x:c>
      <x:c r="O16" s="46" t="n">
        <x:v>86</x:v>
      </x:c>
      <x:c r="P16" s="46" t="n">
        <x:v>11</x:v>
      </x:c>
      <x:c r="Q16" s="46" t="n">
        <x:v>4</x:v>
      </x:c>
      <x:c r="R16" s="42" t="n">
        <x:f>0.30*J16+0.20*K16+0.25*L16+0.15*M16+0.10*O16</x:f>
        <x:v>91</x:v>
      </x:c>
      <x:c r="S16" s="42" t="n">
        <x:f>0.30*N16+0.20*L16+0.20*K16+0.15*O16+0.15*(100-P16)</x:f>
        <x:v>90.55</x:v>
      </x:c>
      <x:c r="T16" s="42" t="n">
        <x:f>(R16+S16)/2</x:f>
        <x:v>90.775</x:v>
      </x:c>
      <x:c r="U16" s="40" t="n">
        <x:f>1+COUNTIFS($T$2:$T$211,"&gt;"&amp;T16)+COUNTIFS($T$2:$T$211,T16,$R$2:$R$211,"&gt;"&amp;R16)</x:f>
        <x:v>15</x:v>
      </x:c>
      <x:c r="V16" s="40" t="str">
        <x:f>IF(U16&lt;=50,"Y","")</x:f>
        <x:v>Y</x:v>
      </x:c>
    </x:row>
    <x:row r="17">
      <x:c r="A17" s="40" t="str">
        <x:v>2606.12101</x:v>
      </x:c>
      <x:c r="B17" s="40" t="str">
        <x:v>2026-06</x:v>
      </x:c>
      <x:c r="C17" s="40" t="str">
        <x:v>math.AP</x:v>
      </x:c>
      <x:c r="D17" s="40" t="str">
        <x:v>homogenization/Green functions</x:v>
      </x:c>
      <x:c r="E17" s="40" t="str">
        <x:v>Sharp Convergence Rates for Parabolic Green's Functions in Time-Independent Periodic Homogenization</x:v>
      </x:c>
      <x:c r="F17" s="40" t="str">
        <x:v>Wei Wang</x:v>
      </x:c>
      <x:c r="G17" s="46" t="n">
        <x:v>44</x:v>
      </x:c>
      <x:c r="H17" s="40" t="str">
        <x:v>https://arxiv.org/abs/2606.12101</x:v>
      </x:c>
      <x:c r="I17" s="40" t="str">
        <x:v>Top50精评：默认主要结论正确，未逐篇逐行 correctness check。</x:v>
      </x:c>
      <x:c r="J17" s="46" t="n">
        <x:v>92</x:v>
      </x:c>
      <x:c r="K17" s="46" t="n">
        <x:v>90</x:v>
      </x:c>
      <x:c r="L17" s="46" t="n">
        <x:v>93</x:v>
      </x:c>
      <x:c r="M17" s="46" t="n">
        <x:v>89</x:v>
      </x:c>
      <x:c r="N17" s="46" t="n">
        <x:v>92</x:v>
      </x:c>
      <x:c r="O17" s="46" t="n">
        <x:v>87</x:v>
      </x:c>
      <x:c r="P17" s="46" t="n">
        <x:v>11</x:v>
      </x:c>
      <x:c r="Q17" s="46" t="n">
        <x:v>4</x:v>
      </x:c>
      <x:c r="R17" s="42" t="n">
        <x:f>0.30*J17+0.20*K17+0.25*L17+0.15*M17+0.10*O17</x:f>
        <x:v>90.89999999999999</x:v>
      </x:c>
      <x:c r="S17" s="42" t="n">
        <x:f>0.30*N17+0.20*L17+0.20*K17+0.15*O17+0.15*(100-P17)</x:f>
        <x:v>90.6</x:v>
      </x:c>
      <x:c r="T17" s="42" t="n">
        <x:f>(R17+S17)/2</x:f>
        <x:v>90.75</x:v>
      </x:c>
      <x:c r="U17" s="40" t="n">
        <x:f>1+COUNTIFS($T$2:$T$211,"&gt;"&amp;T17)+COUNTIFS($T$2:$T$211,T17,$R$2:$R$211,"&gt;"&amp;R17)</x:f>
        <x:v>16</x:v>
      </x:c>
      <x:c r="V17" s="40" t="str">
        <x:f>IF(U17&lt;=50,"Y","")</x:f>
        <x:v>Y</x:v>
      </x:c>
    </x:row>
    <x:row r="18">
      <x:c r="A18" s="40" t="str">
        <x:v>2606.10247</x:v>
      </x:c>
      <x:c r="B18" s="40" t="str">
        <x:v>2026-06</x:v>
      </x:c>
      <x:c r="C18" s="40" t="str">
        <x:v>math.AP</x:v>
      </x:c>
      <x:c r="D18" s="40" t="str">
        <x:v>inverse problems</x:v>
      </x:c>
      <x:c r="E18" s="40" t="str">
        <x:v>The partial data Calderon problem in dimension three</x:v>
      </x:c>
      <x:c r="F18" s="40" t="str">
        <x:v>Gunther Uhlmann; Yiran Wang</x:v>
      </x:c>
      <x:c r="G18" s="46"/>
      <x:c r="H18" s="40" t="str">
        <x:v>https://arxiv.org/abs/2606.10247</x:v>
      </x:c>
      <x:c r="I18" s="40" t="str">
        <x:v>Top50精评：默认主要结论正确，未逐篇逐行 correctness check。</x:v>
      </x:c>
      <x:c r="J18" s="46" t="n">
        <x:v>93</x:v>
      </x:c>
      <x:c r="K18" s="46" t="n">
        <x:v>90</x:v>
      </x:c>
      <x:c r="L18" s="46" t="n">
        <x:v>92</x:v>
      </x:c>
      <x:c r="M18" s="46" t="n">
        <x:v>89</x:v>
      </x:c>
      <x:c r="N18" s="46" t="n">
        <x:v>92</x:v>
      </x:c>
      <x:c r="O18" s="46" t="n">
        <x:v>87</x:v>
      </x:c>
      <x:c r="P18" s="46" t="n">
        <x:v>11</x:v>
      </x:c>
      <x:c r="Q18" s="46" t="n">
        <x:v>4</x:v>
      </x:c>
      <x:c r="R18" s="42" t="n">
        <x:f>0.30*J18+0.20*K18+0.25*L18+0.15*M18+0.10*O18</x:f>
        <x:v>90.95</x:v>
      </x:c>
      <x:c r="S18" s="42" t="n">
        <x:f>0.30*N18+0.20*L18+0.20*K18+0.15*O18+0.15*(100-P18)</x:f>
        <x:v>90.39999999999999</x:v>
      </x:c>
      <x:c r="T18" s="42" t="n">
        <x:f>(R18+S18)/2</x:f>
        <x:v>90.675</x:v>
      </x:c>
      <x:c r="U18" s="40" t="n">
        <x:f>1+COUNTIFS($T$2:$T$211,"&gt;"&amp;T18)+COUNTIFS($T$2:$T$211,T18,$R$2:$R$211,"&gt;"&amp;R18)</x:f>
        <x:v>18</x:v>
      </x:c>
      <x:c r="V18" s="40" t="str">
        <x:f>IF(U18&lt;=50,"Y","")</x:f>
        <x:v>Y</x:v>
      </x:c>
    </x:row>
    <x:row r="19">
      <x:c r="A19" s="40" t="str">
        <x:v>2606.04377</x:v>
      </x:c>
      <x:c r="B19" s="40" t="str">
        <x:v>2026-06</x:v>
      </x:c>
      <x:c r="C19" s="40" t="str">
        <x:v>math.AP</x:v>
      </x:c>
      <x:c r="D19" s="40" t="str">
        <x:v>Wasserstein PDE/control</x:v>
      </x:c>
      <x:c r="E19" s="40" t="str">
        <x:v>A comparison principle for Wasserstein PDEs with state- and law-dependent common noise</x:v>
      </x:c>
      <x:c r="F19" s="40" t="str">
        <x:v>Erhan Bayraktar; Ibrahim Ekren; Xihao He; Xin Zhang</x:v>
      </x:c>
      <x:c r="G19" s="46"/>
      <x:c r="H19" s="40" t="str">
        <x:v>https://arxiv.org/abs/2606.04377</x:v>
      </x:c>
      <x:c r="I19" s="40" t="str">
        <x:v>Top50精评：默认主要结论正确，未逐篇逐行 correctness check。</x:v>
      </x:c>
      <x:c r="J19" s="46" t="n">
        <x:v>92</x:v>
      </x:c>
      <x:c r="K19" s="46" t="n">
        <x:v>91</x:v>
      </x:c>
      <x:c r="L19" s="46" t="n">
        <x:v>92</x:v>
      </x:c>
      <x:c r="M19" s="46" t="n">
        <x:v>89</x:v>
      </x:c>
      <x:c r="N19" s="46" t="n">
        <x:v>92</x:v>
      </x:c>
      <x:c r="O19" s="46" t="n">
        <x:v>87</x:v>
      </x:c>
      <x:c r="P19" s="46" t="n">
        <x:v>11</x:v>
      </x:c>
      <x:c r="Q19" s="46" t="n">
        <x:v>4</x:v>
      </x:c>
      <x:c r="R19" s="42" t="n">
        <x:f>0.30*J19+0.20*K19+0.25*L19+0.15*M19+0.10*O19</x:f>
        <x:v>90.85</x:v>
      </x:c>
      <x:c r="S19" s="42" t="n">
        <x:f>0.30*N19+0.20*L19+0.20*K19+0.15*O19+0.15*(100-P19)</x:f>
        <x:v>90.6</x:v>
      </x:c>
      <x:c r="T19" s="42" t="n">
        <x:f>(R19+S19)/2</x:f>
        <x:v>90.725</x:v>
      </x:c>
      <x:c r="U19" s="40" t="n">
        <x:f>1+COUNTIFS($T$2:$T$211,"&gt;"&amp;T19)+COUNTIFS($T$2:$T$211,T19,$R$2:$R$211,"&gt;"&amp;R19)</x:f>
        <x:v>17</x:v>
      </x:c>
      <x:c r="V19" s="40" t="str">
        <x:f>IF(U19&lt;=50,"Y","")</x:f>
        <x:v>Y</x:v>
      </x:c>
    </x:row>
    <x:row r="20">
      <x:c r="A20" s="40" t="str">
        <x:v>2606.08648</x:v>
      </x:c>
      <x:c r="B20" s="40" t="str">
        <x:v>2026-06</x:v>
      </x:c>
      <x:c r="C20" s="40" t="str">
        <x:v>math.AP</x:v>
      </x:c>
      <x:c r="D20" s="40" t="str">
        <x:v>elliptic/geometric analysis</x:v>
      </x:c>
      <x:c r="E20" s="40" t="str">
        <x:v>On Brezis Open Problem 3.1</x:v>
      </x:c>
      <x:c r="F20" s="40" t="str">
        <x:v>Qi Guo; Xueping Huang; Yi C. Huang; Fanghua Lin; Juncheng Wei</x:v>
      </x:c>
      <x:c r="G20" s="46" t="n">
        <x:v>20</x:v>
      </x:c>
      <x:c r="H20" s="40" t="str">
        <x:v>https://arxiv.org/abs/2606.08648</x:v>
      </x:c>
      <x:c r="I20" s="40" t="str">
        <x:v>Top50精评：默认主要结论正确，未逐篇逐行 correctness check。</x:v>
      </x:c>
      <x:c r="J20" s="46" t="n">
        <x:v>92</x:v>
      </x:c>
      <x:c r="K20" s="46" t="n">
        <x:v>91</x:v>
      </x:c>
      <x:c r="L20" s="46" t="n">
        <x:v>91</x:v>
      </x:c>
      <x:c r="M20" s="46" t="n">
        <x:v>88</x:v>
      </x:c>
      <x:c r="N20" s="46" t="n">
        <x:v>92</x:v>
      </x:c>
      <x:c r="O20" s="46" t="n">
        <x:v>87</x:v>
      </x:c>
      <x:c r="P20" s="46" t="n">
        <x:v>10</x:v>
      </x:c>
      <x:c r="Q20" s="46" t="n">
        <x:v>4</x:v>
      </x:c>
      <x:c r="R20" s="42" t="n">
        <x:f>0.30*J20+0.20*K20+0.25*L20+0.15*M20+0.10*O20</x:f>
        <x:v>90.45</x:v>
      </x:c>
      <x:c r="S20" s="42" t="n">
        <x:f>0.30*N20+0.20*L20+0.20*K20+0.15*O20+0.15*(100-P20)</x:f>
        <x:v>90.55</x:v>
      </x:c>
      <x:c r="T20" s="42" t="n">
        <x:f>(R20+S20)/2</x:f>
        <x:v>90.5</x:v>
      </x:c>
      <x:c r="U20" s="40" t="n">
        <x:f>1+COUNTIFS($T$2:$T$211,"&gt;"&amp;T20)+COUNTIFS($T$2:$T$211,T20,$R$2:$R$211,"&gt;"&amp;R20)</x:f>
        <x:v>19</x:v>
      </x:c>
      <x:c r="V20" s="40" t="str">
        <x:f>IF(U20&lt;=50,"Y","")</x:f>
        <x:v>Y</x:v>
      </x:c>
    </x:row>
    <x:row r="21">
      <x:c r="A21" s="40" t="str">
        <x:v>2606.29993</x:v>
      </x:c>
      <x:c r="B21" s="40" t="str">
        <x:v>2026-06</x:v>
      </x:c>
      <x:c r="C21" s="40" t="str">
        <x:v>math.AP</x:v>
      </x:c>
      <x:c r="D21" s="40" t="str">
        <x:v>harmonic/dispersive analysis</x:v>
      </x:c>
      <x:c r="E21" s="40" t="str">
        <x:v>Strichartz Estimates for the Liouville Equation on Euclidean Tori and Applications to Kakeya</x:v>
      </x:c>
      <x:c r="F21" s="40" t="str">
        <x:v>Pierre Germain; Mickael Latocca</x:v>
      </x:c>
      <x:c r="G21" s="46"/>
      <x:c r="H21" s="40" t="str">
        <x:v>https://arxiv.org/abs/2606.29993</x:v>
      </x:c>
      <x:c r="I21" s="40" t="str">
        <x:v>Top50精评：默认主要结论正确，未逐篇逐行 correctness check。</x:v>
      </x:c>
      <x:c r="J21" s="46" t="n">
        <x:v>92</x:v>
      </x:c>
      <x:c r="K21" s="46" t="n">
        <x:v>90</x:v>
      </x:c>
      <x:c r="L21" s="46" t="n">
        <x:v>92</x:v>
      </x:c>
      <x:c r="M21" s="46" t="n">
        <x:v>89</x:v>
      </x:c>
      <x:c r="N21" s="46" t="n">
        <x:v>92</x:v>
      </x:c>
      <x:c r="O21" s="46" t="n">
        <x:v>86</x:v>
      </x:c>
      <x:c r="P21" s="46" t="n">
        <x:v>11</x:v>
      </x:c>
      <x:c r="Q21" s="46" t="n">
        <x:v>4</x:v>
      </x:c>
      <x:c r="R21" s="42" t="n">
        <x:f>0.30*J21+0.20*K21+0.25*L21+0.15*M21+0.10*O21</x:f>
        <x:v>90.54999999999998</x:v>
      </x:c>
      <x:c r="S21" s="42" t="n">
        <x:f>0.30*N21+0.20*L21+0.20*K21+0.15*O21+0.15*(100-P21)</x:f>
        <x:v>90.25</x:v>
      </x:c>
      <x:c r="T21" s="42" t="n">
        <x:f>(R21+S21)/2</x:f>
        <x:v>90.39999999999999</x:v>
      </x:c>
      <x:c r="U21" s="40" t="n">
        <x:f>1+COUNTIFS($T$2:$T$211,"&gt;"&amp;T21)+COUNTIFS($T$2:$T$211,T21,$R$2:$R$211,"&gt;"&amp;R21)</x:f>
        <x:v>20</x:v>
      </x:c>
      <x:c r="V21" s="40" t="str">
        <x:f>IF(U21&lt;=50,"Y","")</x:f>
        <x:v>Y</x:v>
      </x:c>
    </x:row>
    <x:row r="22">
      <x:c r="A22" s="40" t="str">
        <x:v>2606.03749</x:v>
      </x:c>
      <x:c r="B22" s="40" t="str">
        <x:v>2026-06</x:v>
      </x:c>
      <x:c r="C22" s="40" t="str">
        <x:v>math.AP</x:v>
      </x:c>
      <x:c r="D22" s="40" t="str">
        <x:v>sharp inequalities/stability</x:v>
      </x:c>
      <x:c r="E22" s="40" t="str">
        <x:v>A Density-Distance Version of the Carlen--Frank--Lieb Stability Theorem</x:v>
      </x:c>
      <x:c r="F22" s="40" t="str">
        <x:v>Gangsong Leng</x:v>
      </x:c>
      <x:c r="G22" s="46"/>
      <x:c r="H22" s="40" t="str">
        <x:v>https://arxiv.org/abs/2606.03749</x:v>
      </x:c>
      <x:c r="I22" s="40" t="str">
        <x:v>Top50精评：默认主要结论正确，未逐篇逐行 correctness check。</x:v>
      </x:c>
      <x:c r="J22" s="46" t="n">
        <x:v>92</x:v>
      </x:c>
      <x:c r="K22" s="46" t="n">
        <x:v>91</x:v>
      </x:c>
      <x:c r="L22" s="46" t="n">
        <x:v>91</x:v>
      </x:c>
      <x:c r="M22" s="46" t="n">
        <x:v>89</x:v>
      </x:c>
      <x:c r="N22" s="46" t="n">
        <x:v>91</x:v>
      </x:c>
      <x:c r="O22" s="46" t="n">
        <x:v>87</x:v>
      </x:c>
      <x:c r="P22" s="46" t="n">
        <x:v>11</x:v>
      </x:c>
      <x:c r="Q22" s="46" t="n">
        <x:v>4</x:v>
      </x:c>
      <x:c r="R22" s="42" t="n">
        <x:f>0.30*J22+0.20*K22+0.25*L22+0.15*M22+0.10*O22</x:f>
        <x:v>90.6</x:v>
      </x:c>
      <x:c r="S22" s="42" t="n">
        <x:f>0.30*N22+0.20*L22+0.20*K22+0.15*O22+0.15*(100-P22)</x:f>
        <x:v>90.1</x:v>
      </x:c>
      <x:c r="T22" s="42" t="n">
        <x:f>(R22+S22)/2</x:f>
        <x:v>90.35</x:v>
      </x:c>
      <x:c r="U22" s="40" t="n">
        <x:f>1+COUNTIFS($T$2:$T$211,"&gt;"&amp;T22)+COUNTIFS($T$2:$T$211,T22,$R$2:$R$211,"&gt;"&amp;R22)</x:f>
        <x:v>21</x:v>
      </x:c>
      <x:c r="V22" s="40" t="str">
        <x:f>IF(U22&lt;=50,"Y","")</x:f>
        <x:v>Y</x:v>
      </x:c>
    </x:row>
    <x:row r="23">
      <x:c r="A23" s="40" t="str">
        <x:v>2606.14308</x:v>
      </x:c>
      <x:c r="B23" s="40" t="str">
        <x:v>2026-06</x:v>
      </x:c>
      <x:c r="C23" s="40" t="str">
        <x:v>math.AP</x:v>
      </x:c>
      <x:c r="D23" s="40" t="str">
        <x:v>Euler/convex integration</x:v>
      </x:c>
      <x:c r="E23" s="40" t="str">
        <x:v>Non-uniqueness of global-in-time admissible weak solutions to the isentropic compressible Euler equations for a dense set of initial data</x:v>
      </x:c>
      <x:c r="F23" s="40" t="str">
        <x:v>Daniel W. Boutros; Simon Markfelder</x:v>
      </x:c>
      <x:c r="G23" s="46"/>
      <x:c r="H23" s="40" t="str">
        <x:v>https://arxiv.org/abs/2606.14308</x:v>
      </x:c>
      <x:c r="I23" s="40" t="str">
        <x:v>Top50精评：默认主要结论正确，未逐篇逐行 correctness check。</x:v>
      </x:c>
      <x:c r="J23" s="46" t="n">
        <x:v>93</x:v>
      </x:c>
      <x:c r="K23" s="46" t="n">
        <x:v>90</x:v>
      </x:c>
      <x:c r="L23" s="46" t="n">
        <x:v>92</x:v>
      </x:c>
      <x:c r="M23" s="46" t="n">
        <x:v>88</x:v>
      </x:c>
      <x:c r="N23" s="46" t="n">
        <x:v>92</x:v>
      </x:c>
      <x:c r="O23" s="46" t="n">
        <x:v>84</x:v>
      </x:c>
      <x:c r="P23" s="46" t="n">
        <x:v>11</x:v>
      </x:c>
      <x:c r="Q23" s="46" t="n">
        <x:v>4</x:v>
      </x:c>
      <x:c r="R23" s="42" t="n">
        <x:f>0.30*J23+0.20*K23+0.25*L23+0.15*M23+0.10*O23</x:f>
        <x:v>90.50000000000001</x:v>
      </x:c>
      <x:c r="S23" s="42" t="n">
        <x:f>0.30*N23+0.20*L23+0.20*K23+0.15*O23+0.15*(100-P23)</x:f>
        <x:v>89.94999999999999</x:v>
      </x:c>
      <x:c r="T23" s="42" t="n">
        <x:f>(R23+S23)/2</x:f>
        <x:v>90.225</x:v>
      </x:c>
      <x:c r="U23" s="40" t="n">
        <x:f>1+COUNTIFS($T$2:$T$211,"&gt;"&amp;T23)+COUNTIFS($T$2:$T$211,T23,$R$2:$R$211,"&gt;"&amp;R23)</x:f>
        <x:v>22</x:v>
      </x:c>
      <x:c r="V23" s="40" t="str">
        <x:f>IF(U23&lt;=50,"Y","")</x:f>
        <x:v>Y</x:v>
      </x:c>
    </x:row>
    <x:row r="24">
      <x:c r="A24" s="40" t="str">
        <x:v>2606.29454</x:v>
      </x:c>
      <x:c r="B24" s="40" t="str">
        <x:v>2026-06</x:v>
      </x:c>
      <x:c r="C24" s="40" t="str">
        <x:v>math.AP</x:v>
      </x:c>
      <x:c r="D24" s="40" t="str">
        <x:v>compressible Euler singularity</x:v>
      </x:c>
      <x:c r="E24" s="40" t="str">
        <x:v>Formation of quasi-singularities of shock and implosion type for compressible Euler flows</x:v>
      </x:c>
      <x:c r="F24" s="40" t="str">
        <x:v>Xieling Fan; Hongyu Liu</x:v>
      </x:c>
      <x:c r="G24" s="46"/>
      <x:c r="H24" s="40" t="str">
        <x:v>https://arxiv.org/abs/2606.29454</x:v>
      </x:c>
      <x:c r="I24" s="40" t="str">
        <x:v>Top50精评：默认主要结论正确，未逐篇逐行 correctness check。</x:v>
      </x:c>
      <x:c r="J24" s="46" t="n">
        <x:v>93</x:v>
      </x:c>
      <x:c r="K24" s="46" t="n">
        <x:v>90</x:v>
      </x:c>
      <x:c r="L24" s="46" t="n">
        <x:v>92</x:v>
      </x:c>
      <x:c r="M24" s="46" t="n">
        <x:v>88</x:v>
      </x:c>
      <x:c r="N24" s="46" t="n">
        <x:v>92</x:v>
      </x:c>
      <x:c r="O24" s="46" t="n">
        <x:v>84</x:v>
      </x:c>
      <x:c r="P24" s="46" t="n">
        <x:v>11</x:v>
      </x:c>
      <x:c r="Q24" s="46" t="n">
        <x:v>4</x:v>
      </x:c>
      <x:c r="R24" s="42" t="n">
        <x:f>0.30*J24+0.20*K24+0.25*L24+0.15*M24+0.10*O24</x:f>
        <x:v>90.50000000000001</x:v>
      </x:c>
      <x:c r="S24" s="42" t="n">
        <x:f>0.30*N24+0.20*L24+0.20*K24+0.15*O24+0.15*(100-P24)</x:f>
        <x:v>89.94999999999999</x:v>
      </x:c>
      <x:c r="T24" s="42" t="n">
        <x:f>(R24+S24)/2</x:f>
        <x:v>90.225</x:v>
      </x:c>
      <x:c r="U24" s="40" t="n">
        <x:f>1+COUNTIFS($T$2:$T$211,"&gt;"&amp;T24)+COUNTIFS($T$2:$T$211,T24,$R$2:$R$211,"&gt;"&amp;R24)</x:f>
        <x:v>22</x:v>
      </x:c>
      <x:c r="V24" s="40" t="str">
        <x:f>IF(U24&lt;=50,"Y","")</x:f>
        <x:v>Y</x:v>
      </x:c>
    </x:row>
    <x:row r="25">
      <x:c r="A25" s="40" t="str">
        <x:v>2606.02070</x:v>
      </x:c>
      <x:c r="B25" s="40" t="str">
        <x:v>2026-06</x:v>
      </x:c>
      <x:c r="C25" s="40" t="str">
        <x:v>math.AP</x:v>
      </x:c>
      <x:c r="D25" s="40" t="str">
        <x:v>chemotaxis-fluid threshold</x:v>
      </x:c>
      <x:c r="E25" s="40" t="str">
        <x:v>Critical mass threshold for the 2D Patlak-Keller-Segel-Navier-Stokes system</x:v>
      </x:c>
      <x:c r="F25" s="40" t="str">
        <x:v>Wendong Wang; Dongyi Wei; Zhifei Zhang</x:v>
      </x:c>
      <x:c r="G25" s="46"/>
      <x:c r="H25" s="40" t="str">
        <x:v>https://arxiv.org/abs/2606.02070</x:v>
      </x:c>
      <x:c r="I25" s="40" t="str">
        <x:v>Top50精评：默认主要结论正确，未逐篇逐行 correctness check。</x:v>
      </x:c>
      <x:c r="J25" s="46" t="n">
        <x:v>92</x:v>
      </x:c>
      <x:c r="K25" s="46" t="n">
        <x:v>89</x:v>
      </x:c>
      <x:c r="L25" s="46" t="n">
        <x:v>92</x:v>
      </x:c>
      <x:c r="M25" s="46" t="n">
        <x:v>88</x:v>
      </x:c>
      <x:c r="N25" s="46" t="n">
        <x:v>92</x:v>
      </x:c>
      <x:c r="O25" s="46" t="n">
        <x:v>86</x:v>
      </x:c>
      <x:c r="P25" s="46" t="n">
        <x:v>11</x:v>
      </x:c>
      <x:c r="Q25" s="46" t="n">
        <x:v>4</x:v>
      </x:c>
      <x:c r="R25" s="42" t="n">
        <x:f>0.30*J25+0.20*K25+0.25*L25+0.15*M25+0.10*O25</x:f>
        <x:v>90.2</x:v>
      </x:c>
      <x:c r="S25" s="42" t="n">
        <x:f>0.30*N25+0.20*L25+0.20*K25+0.15*O25+0.15*(100-P25)</x:f>
        <x:v>90.05</x:v>
      </x:c>
      <x:c r="T25" s="42" t="n">
        <x:f>(R25+S25)/2</x:f>
        <x:v>90.125</x:v>
      </x:c>
      <x:c r="U25" s="40" t="n">
        <x:f>1+COUNTIFS($T$2:$T$211,"&gt;"&amp;T25)+COUNTIFS($T$2:$T$211,T25,$R$2:$R$211,"&gt;"&amp;R25)</x:f>
        <x:v>24</x:v>
      </x:c>
      <x:c r="V25" s="40" t="str">
        <x:f>IF(U25&lt;=50,"Y","")</x:f>
        <x:v>Y</x:v>
      </x:c>
    </x:row>
    <x:row r="26">
      <x:c r="A26" s="40" t="str">
        <x:v>2606.02989</x:v>
      </x:c>
      <x:c r="B26" s="40" t="str">
        <x:v>2026-06</x:v>
      </x:c>
      <x:c r="C26" s="40" t="str">
        <x:v>math.AP</x:v>
      </x:c>
      <x:c r="D26" s="40" t="str">
        <x:v>integrable/dispersive asymptotics</x:v>
      </x:c>
      <x:c r="E26" s="40" t="str">
        <x:v>The Benjamin-Ono Equation in the Long-Time Limit: Linearized Self-Similar Universality</x:v>
      </x:c>
      <x:c r="F26" s="40" t="str">
        <x:v>Louise Gassot; Patrick Gerard; Peter D. Miller</x:v>
      </x:c>
      <x:c r="G26" s="46" t="n">
        <x:v>33</x:v>
      </x:c>
      <x:c r="H26" s="40" t="str">
        <x:v>https://arxiv.org/abs/2606.02989</x:v>
      </x:c>
      <x:c r="I26" s="40" t="str">
        <x:v>Top50精评：默认主要结论正确，未逐篇逐行 correctness check。</x:v>
      </x:c>
      <x:c r="J26" s="46" t="n">
        <x:v>91</x:v>
      </x:c>
      <x:c r="K26" s="46" t="n">
        <x:v>91</x:v>
      </x:c>
      <x:c r="L26" s="46" t="n">
        <x:v>91</x:v>
      </x:c>
      <x:c r="M26" s="46" t="n">
        <x:v>88</x:v>
      </x:c>
      <x:c r="N26" s="46" t="n">
        <x:v>91</x:v>
      </x:c>
      <x:c r="O26" s="46" t="n">
        <x:v>87</x:v>
      </x:c>
      <x:c r="P26" s="46" t="n">
        <x:v>11</x:v>
      </x:c>
      <x:c r="Q26" s="46" t="n">
        <x:v>4</x:v>
      </x:c>
      <x:c r="R26" s="42" t="n">
        <x:f>0.30*J26+0.20*K26+0.25*L26+0.15*M26+0.10*O26</x:f>
        <x:v>90.15</x:v>
      </x:c>
      <x:c r="S26" s="42" t="n">
        <x:f>0.30*N26+0.20*L26+0.20*K26+0.15*O26+0.15*(100-P26)</x:f>
        <x:v>90.1</x:v>
      </x:c>
      <x:c r="T26" s="42" t="n">
        <x:f>(R26+S26)/2</x:f>
        <x:v>90.125</x:v>
      </x:c>
      <x:c r="U26" s="40" t="n">
        <x:f>1+COUNTIFS($T$2:$T$211,"&gt;"&amp;T26)+COUNTIFS($T$2:$T$211,T26,$R$2:$R$211,"&gt;"&amp;R26)</x:f>
        <x:v>25</x:v>
      </x:c>
      <x:c r="V26" s="40" t="str">
        <x:f>IF(U26&lt;=50,"Y","")</x:f>
        <x:v>Y</x:v>
      </x:c>
    </x:row>
    <x:row r="27">
      <x:c r="A27" s="40" t="str">
        <x:v>2606.12061</x:v>
      </x:c>
      <x:c r="B27" s="40" t="str">
        <x:v>2026-06</x:v>
      </x:c>
      <x:c r="C27" s="40" t="str">
        <x:v>math.AP</x:v>
      </x:c>
      <x:c r="D27" s="40" t="str">
        <x:v>calculus of variations/BV</x:v>
      </x:c>
      <x:c r="E27" s="40" t="str">
        <x:v>Complex-ellipticity, dimensional estimates and plane wave rigidity in BV^A</x:v>
      </x:c>
      <x:c r="F27" s="40" t="str">
        <x:v>Adolfo Arroyo-Rabasa</x:v>
      </x:c>
      <x:c r="G27" s="46" t="n">
        <x:v>23</x:v>
      </x:c>
      <x:c r="H27" s="40" t="str">
        <x:v>https://arxiv.org/abs/2606.12061</x:v>
      </x:c>
      <x:c r="I27" s="40" t="str">
        <x:v>Top50精评：默认主要结论正确，未逐篇逐行 correctness check。</x:v>
      </x:c>
      <x:c r="J27" s="46" t="n">
        <x:v>91</x:v>
      </x:c>
      <x:c r="K27" s="46" t="n">
        <x:v>91</x:v>
      </x:c>
      <x:c r="L27" s="46" t="n">
        <x:v>91</x:v>
      </x:c>
      <x:c r="M27" s="46" t="n">
        <x:v>88</x:v>
      </x:c>
      <x:c r="N27" s="46" t="n">
        <x:v>91</x:v>
      </x:c>
      <x:c r="O27" s="46" t="n">
        <x:v>87</x:v>
      </x:c>
      <x:c r="P27" s="46" t="n">
        <x:v>11</x:v>
      </x:c>
      <x:c r="Q27" s="46" t="n">
        <x:v>4</x:v>
      </x:c>
      <x:c r="R27" s="42" t="n">
        <x:f>0.30*J27+0.20*K27+0.25*L27+0.15*M27+0.10*O27</x:f>
        <x:v>90.15</x:v>
      </x:c>
      <x:c r="S27" s="42" t="n">
        <x:f>0.30*N27+0.20*L27+0.20*K27+0.15*O27+0.15*(100-P27)</x:f>
        <x:v>90.1</x:v>
      </x:c>
      <x:c r="T27" s="42" t="n">
        <x:f>(R27+S27)/2</x:f>
        <x:v>90.125</x:v>
      </x:c>
      <x:c r="U27" s="40" t="n">
        <x:f>1+COUNTIFS($T$2:$T$211,"&gt;"&amp;T27)+COUNTIFS($T$2:$T$211,T27,$R$2:$R$211,"&gt;"&amp;R27)</x:f>
        <x:v>25</x:v>
      </x:c>
      <x:c r="V27" s="40" t="str">
        <x:f>IF(U27&lt;=50,"Y","")</x:f>
        <x:v>Y</x:v>
      </x:c>
    </x:row>
    <x:row r="28">
      <x:c r="A28" s="40" t="str">
        <x:v>2606.29468</x:v>
      </x:c>
      <x:c r="B28" s="40" t="str">
        <x:v>2026-06</x:v>
      </x:c>
      <x:c r="C28" s="40" t="str">
        <x:v>math.AP</x:v>
      </x:c>
      <x:c r="D28" s="40" t="str">
        <x:v>Navier-Stokes blow-up</x:v>
      </x:c>
      <x:c r="E28" s="40" t="str">
        <x:v>On potential Type II blowups for the Navier-Stokes equations</x:v>
      </x:c>
      <x:c r="F28" s="40" t="str">
        <x:v>Gregory Seregin</x:v>
      </x:c>
      <x:c r="G28" s="46" t="n">
        <x:v>14</x:v>
      </x:c>
      <x:c r="H28" s="40" t="str">
        <x:v>https://arxiv.org/abs/2606.29468</x:v>
      </x:c>
      <x:c r="I28" s="40" t="str">
        <x:v>Top50精评：默认主要结论正确，未逐篇逐行 correctness check。</x:v>
      </x:c>
      <x:c r="J28" s="46" t="n">
        <x:v>94</x:v>
      </x:c>
      <x:c r="K28" s="46" t="n">
        <x:v>88</x:v>
      </x:c>
      <x:c r="L28" s="46" t="n">
        <x:v>91</x:v>
      </x:c>
      <x:c r="M28" s="46" t="n">
        <x:v>88</x:v>
      </x:c>
      <x:c r="N28" s="46" t="n">
        <x:v>92</x:v>
      </x:c>
      <x:c r="O28" s="46" t="n">
        <x:v>85</x:v>
      </x:c>
      <x:c r="P28" s="46" t="n">
        <x:v>11</x:v>
      </x:c>
      <x:c r="Q28" s="46" t="n">
        <x:v>4</x:v>
      </x:c>
      <x:c r="R28" s="42" t="n">
        <x:f>0.30*J28+0.20*K28+0.25*L28+0.15*M28+0.10*O28</x:f>
        <x:v>90.25</x:v>
      </x:c>
      <x:c r="S28" s="42" t="n">
        <x:f>0.30*N28+0.20*L28+0.20*K28+0.15*O28+0.15*(100-P28)</x:f>
        <x:v>89.5</x:v>
      </x:c>
      <x:c r="T28" s="42" t="n">
        <x:f>(R28+S28)/2</x:f>
        <x:v>89.875</x:v>
      </x:c>
      <x:c r="U28" s="40" t="n">
        <x:f>1+COUNTIFS($T$2:$T$211,"&gt;"&amp;T28)+COUNTIFS($T$2:$T$211,T28,$R$2:$R$211,"&gt;"&amp;R28)</x:f>
        <x:v>27</x:v>
      </x:c>
      <x:c r="V28" s="40" t="str">
        <x:f>IF(U28&lt;=50,"Y","")</x:f>
        <x:v>Y</x:v>
      </x:c>
    </x:row>
    <x:row r="29">
      <x:c r="A29" s="40" t="str">
        <x:v>2606.04960</x:v>
      </x:c>
      <x:c r="B29" s="40" t="str">
        <x:v>2026-06</x:v>
      </x:c>
      <x:c r="C29" s="40" t="str">
        <x:v>math.AP</x:v>
      </x:c>
      <x:c r="D29" s="40" t="str">
        <x:v>kinetic boundary PDE</x:v>
      </x:c>
      <x:c r="E29" s="40" t="str">
        <x:v>Stationary Vlasov-Poisson-Boltzmann system in a convex domain</x:v>
      </x:c>
      <x:c r="F29" s="40" t="str">
        <x:v>Hongxu Chen; Jiaxin Jin</x:v>
      </x:c>
      <x:c r="G29" s="46" t="n">
        <x:v>88</x:v>
      </x:c>
      <x:c r="H29" s="40" t="str">
        <x:v>https://arxiv.org/abs/2606.04960</x:v>
      </x:c>
      <x:c r="I29" s="40" t="str">
        <x:v>Top50精评：默认主要结论正确，未逐篇逐行 correctness check。</x:v>
      </x:c>
      <x:c r="J29" s="46" t="n">
        <x:v>91</x:v>
      </x:c>
      <x:c r="K29" s="46" t="n">
        <x:v>89</x:v>
      </x:c>
      <x:c r="L29" s="46" t="n">
        <x:v>92</x:v>
      </x:c>
      <x:c r="M29" s="46" t="n">
        <x:v>87</x:v>
      </x:c>
      <x:c r="N29" s="46" t="n">
        <x:v>92</x:v>
      </x:c>
      <x:c r="O29" s="46" t="n">
        <x:v>86</x:v>
      </x:c>
      <x:c r="P29" s="46" t="n">
        <x:v>12</x:v>
      </x:c>
      <x:c r="Q29" s="46" t="n">
        <x:v>4</x:v>
      </x:c>
      <x:c r="R29" s="42" t="n">
        <x:f>0.30*J29+0.20*K29+0.25*L29+0.15*M29+0.10*O29</x:f>
        <x:v>89.74999999999999</x:v>
      </x:c>
      <x:c r="S29" s="42" t="n">
        <x:f>0.30*N29+0.20*L29+0.20*K29+0.15*O29+0.15*(100-P29)</x:f>
        <x:v>89.9</x:v>
      </x:c>
      <x:c r="T29" s="42" t="n">
        <x:f>(R29+S29)/2</x:f>
        <x:v>89.82499999999999</x:v>
      </x:c>
      <x:c r="U29" s="40" t="n">
        <x:f>1+COUNTIFS($T$2:$T$211,"&gt;"&amp;T29)+COUNTIFS($T$2:$T$211,T29,$R$2:$R$211,"&gt;"&amp;R29)</x:f>
        <x:v>28</x:v>
      </x:c>
      <x:c r="V29" s="40" t="str">
        <x:f>IF(U29&lt;=50,"Y","")</x:f>
        <x:v>Y</x:v>
      </x:c>
    </x:row>
    <x:row r="30">
      <x:c r="A30" s="40" t="str">
        <x:v>2606.22355</x:v>
      </x:c>
      <x:c r="B30" s="40" t="str">
        <x:v>2026-06</x:v>
      </x:c>
      <x:c r="C30" s="40" t="str">
        <x:v>math.AP</x:v>
      </x:c>
      <x:c r="D30" s="40" t="str">
        <x:v>Yamabe flow/geometric PDE</x:v>
      </x:c>
      <x:c r="E30" s="40" t="str">
        <x:v>Uncountably many non-rotationally symmetric type II ancient Yamabe flows on the sphere</x:v>
      </x:c>
      <x:c r="F30" s="40" t="str">
        <x:v>Haixia Chen; Seunghyeok Kim; Monica Musso</x:v>
      </x:c>
      <x:c r="G30" s="46"/>
      <x:c r="H30" s="40" t="str">
        <x:v>https://arxiv.org/abs/2606.22355</x:v>
      </x:c>
      <x:c r="I30" s="40" t="str">
        <x:v>Top50精评：默认主要结论正确，未逐篇逐行 correctness check。</x:v>
      </x:c>
      <x:c r="J30" s="46" t="n">
        <x:v>91</x:v>
      </x:c>
      <x:c r="K30" s="46" t="n">
        <x:v>91</x:v>
      </x:c>
      <x:c r="L30" s="46" t="n">
        <x:v>91</x:v>
      </x:c>
      <x:c r="M30" s="46" t="n">
        <x:v>87</x:v>
      </x:c>
      <x:c r="N30" s="46" t="n">
        <x:v>91</x:v>
      </x:c>
      <x:c r="O30" s="46" t="n">
        <x:v>84</x:v>
      </x:c>
      <x:c r="P30" s="46" t="n">
        <x:v>12</x:v>
      </x:c>
      <x:c r="Q30" s="46" t="n">
        <x:v>4</x:v>
      </x:c>
      <x:c r="R30" s="42" t="n">
        <x:f>0.30*J30+0.20*K30+0.25*L30+0.15*M30+0.10*O30</x:f>
        <x:v>89.7</x:v>
      </x:c>
      <x:c r="S30" s="42" t="n">
        <x:f>0.30*N30+0.20*L30+0.20*K30+0.15*O30+0.15*(100-P30)</x:f>
        <x:v>89.5</x:v>
      </x:c>
      <x:c r="T30" s="42" t="n">
        <x:f>(R30+S30)/2</x:f>
        <x:v>89.6</x:v>
      </x:c>
      <x:c r="U30" s="40" t="n">
        <x:f>1+COUNTIFS($T$2:$T$211,"&gt;"&amp;T30)+COUNTIFS($T$2:$T$211,T30,$R$2:$R$211,"&gt;"&amp;R30)</x:f>
        <x:v>29</x:v>
      </x:c>
      <x:c r="V30" s="40" t="str">
        <x:f>IF(U30&lt;=50,"Y","")</x:f>
        <x:v>Y</x:v>
      </x:c>
    </x:row>
    <x:row r="31">
      <x:c r="A31" s="40" t="str">
        <x:v>2606.11055</x:v>
      </x:c>
      <x:c r="B31" s="40" t="str">
        <x:v>2026-06</x:v>
      </x:c>
      <x:c r="C31" s="40" t="str">
        <x:v>math.AP</x:v>
      </x:c>
      <x:c r="D31" s="40" t="str">
        <x:v>mixing/enhanced dissipation</x:v>
      </x:c>
      <x:c r="E31" s="40" t="str">
        <x:v>Exponential mixing and enhanced dissipation on the unit sphere with Rossby-Haurwitz flows</x:v>
      </x:c>
      <x:c r="F31" s="40" t="str">
        <x:v>Augusto Del Zotto; Marc Nualart</x:v>
      </x:c>
      <x:c r="G31" s="46" t="n">
        <x:v>84</x:v>
      </x:c>
      <x:c r="H31" s="40" t="str">
        <x:v>https://arxiv.org/abs/2606.11055</x:v>
      </x:c>
      <x:c r="I31" s="40" t="str">
        <x:v>Top50精评：默认主要结论正确，未逐篇逐行 correctness check。</x:v>
      </x:c>
      <x:c r="J31" s="46" t="n">
        <x:v>90</x:v>
      </x:c>
      <x:c r="K31" s="46" t="n">
        <x:v>91</x:v>
      </x:c>
      <x:c r="L31" s="46" t="n">
        <x:v>91</x:v>
      </x:c>
      <x:c r="M31" s="46" t="n">
        <x:v>87</x:v>
      </x:c>
      <x:c r="N31" s="46" t="n">
        <x:v>91</x:v>
      </x:c>
      <x:c r="O31" s="46" t="n">
        <x:v>85</x:v>
      </x:c>
      <x:c r="P31" s="46" t="n">
        <x:v>12</x:v>
      </x:c>
      <x:c r="Q31" s="46" t="n">
        <x:v>4</x:v>
      </x:c>
      <x:c r="R31" s="42" t="n">
        <x:f>0.30*J31+0.20*K31+0.25*L31+0.15*M31+0.10*O31</x:f>
        <x:v>89.5</x:v>
      </x:c>
      <x:c r="S31" s="42" t="n">
        <x:f>0.30*N31+0.20*L31+0.20*K31+0.15*O31+0.15*(100-P31)</x:f>
        <x:v>89.65</x:v>
      </x:c>
      <x:c r="T31" s="42" t="n">
        <x:f>(R31+S31)/2</x:f>
        <x:v>89.575</x:v>
      </x:c>
      <x:c r="U31" s="40" t="n">
        <x:f>1+COUNTIFS($T$2:$T$211,"&gt;"&amp;T31)+COUNTIFS($T$2:$T$211,T31,$R$2:$R$211,"&gt;"&amp;R31)</x:f>
        <x:v>30</x:v>
      </x:c>
      <x:c r="V31" s="40" t="str">
        <x:f>IF(U31&lt;=50,"Y","")</x:f>
        <x:v>Y</x:v>
      </x:c>
    </x:row>
    <x:row r="32">
      <x:c r="A32" s="40" t="str">
        <x:v>2606.02811</x:v>
      </x:c>
      <x:c r="B32" s="40" t="str">
        <x:v>2026-06</x:v>
      </x:c>
      <x:c r="C32" s="40" t="str">
        <x:v>math.AP</x:v>
      </x:c>
      <x:c r="D32" s="40" t="str">
        <x:v>Navier-Stokes/complex variables</x:v>
      </x:c>
      <x:c r="E32" s="40" t="str">
        <x:v>Navier-Stokes Equations in Complex Space</x:v>
      </x:c>
      <x:c r="F32" s="40" t="str">
        <x:v>Nikolai Nadirashvili</x:v>
      </x:c>
      <x:c r="G32" s="46"/>
      <x:c r="H32" s="40" t="str">
        <x:v>https://arxiv.org/abs/2606.02811</x:v>
      </x:c>
      <x:c r="I32" s="40" t="str">
        <x:v>Top50精评：默认主要结论正确，未逐篇逐行 correctness check。</x:v>
      </x:c>
      <x:c r="J32" s="46" t="n">
        <x:v>91</x:v>
      </x:c>
      <x:c r="K32" s="46" t="n">
        <x:v>91</x:v>
      </x:c>
      <x:c r="L32" s="46" t="n">
        <x:v>90</x:v>
      </x:c>
      <x:c r="M32" s="46" t="n">
        <x:v>87</x:v>
      </x:c>
      <x:c r="N32" s="46" t="n">
        <x:v>91</x:v>
      </x:c>
      <x:c r="O32" s="46" t="n">
        <x:v>85</x:v>
      </x:c>
      <x:c r="P32" s="46" t="n">
        <x:v>12</x:v>
      </x:c>
      <x:c r="Q32" s="46" t="n">
        <x:v>4</x:v>
      </x:c>
      <x:c r="R32" s="42" t="n">
        <x:f>0.30*J32+0.20*K32+0.25*L32+0.15*M32+0.10*O32</x:f>
        <x:v>89.55</x:v>
      </x:c>
      <x:c r="S32" s="42" t="n">
        <x:f>0.30*N32+0.20*L32+0.20*K32+0.15*O32+0.15*(100-P32)</x:f>
        <x:v>89.45</x:v>
      </x:c>
      <x:c r="T32" s="42" t="n">
        <x:f>(R32+S32)/2</x:f>
        <x:v>89.5</x:v>
      </x:c>
      <x:c r="U32" s="40" t="n">
        <x:f>1+COUNTIFS($T$2:$T$211,"&gt;"&amp;T32)+COUNTIFS($T$2:$T$211,T32,$R$2:$R$211,"&gt;"&amp;R32)</x:f>
        <x:v>31</x:v>
      </x:c>
      <x:c r="V32" s="40" t="str">
        <x:f>IF(U32&lt;=50,"Y","")</x:f>
        <x:v>Y</x:v>
      </x:c>
    </x:row>
    <x:row r="33">
      <x:c r="A33" s="40" t="str">
        <x:v>2606.06729</x:v>
      </x:c>
      <x:c r="B33" s="40" t="str">
        <x:v>2026-06</x:v>
      </x:c>
      <x:c r="C33" s="40" t="str">
        <x:v>math.AP</x:v>
      </x:c>
      <x:c r="D33" s="40" t="str">
        <x:v>inverse scattering/dispersive</x:v>
      </x:c>
      <x:c r="E33" s="40" t="str">
        <x:v>Determination of radial nonlocal nonlinearities from the scattering map</x:v>
      </x:c>
      <x:c r="F33" s="40" t="str">
        <x:v>Luccas Campos; Rowan Killip; Jason Murphy; Monica Visan</x:v>
      </x:c>
      <x:c r="G33" s="46" t="n">
        <x:v>12</x:v>
      </x:c>
      <x:c r="H33" s="40" t="str">
        <x:v>https://arxiv.org/abs/2606.06729</x:v>
      </x:c>
      <x:c r="I33" s="40" t="str">
        <x:v>Top50精评：默认主要结论正确，未逐篇逐行 correctness check。</x:v>
      </x:c>
      <x:c r="J33" s="46" t="n">
        <x:v>90</x:v>
      </x:c>
      <x:c r="K33" s="46" t="n">
        <x:v>91</x:v>
      </x:c>
      <x:c r="L33" s="46" t="n">
        <x:v>90</x:v>
      </x:c>
      <x:c r="M33" s="46" t="n">
        <x:v>88</x:v>
      </x:c>
      <x:c r="N33" s="46" t="n">
        <x:v>90</x:v>
      </x:c>
      <x:c r="O33" s="46" t="n">
        <x:v>86</x:v>
      </x:c>
      <x:c r="P33" s="46" t="n">
        <x:v>11</x:v>
      </x:c>
      <x:c r="Q33" s="46" t="n">
        <x:v>4</x:v>
      </x:c>
      <x:c r="R33" s="42" t="n">
        <x:f>0.30*J33+0.20*K33+0.25*L33+0.15*M33+0.10*O33</x:f>
        <x:v>89.5</x:v>
      </x:c>
      <x:c r="S33" s="42" t="n">
        <x:f>0.30*N33+0.20*L33+0.20*K33+0.15*O33+0.15*(100-P33)</x:f>
        <x:v>89.45</x:v>
      </x:c>
      <x:c r="T33" s="42" t="n">
        <x:f>(R33+S33)/2</x:f>
        <x:v>89.475</x:v>
      </x:c>
      <x:c r="U33" s="40" t="n">
        <x:f>1+COUNTIFS($T$2:$T$211,"&gt;"&amp;T33)+COUNTIFS($T$2:$T$211,T33,$R$2:$R$211,"&gt;"&amp;R33)</x:f>
        <x:v>32</x:v>
      </x:c>
      <x:c r="V33" s="40" t="str">
        <x:f>IF(U33&lt;=50,"Y","")</x:f>
        <x:v>Y</x:v>
      </x:c>
    </x:row>
    <x:row r="34">
      <x:c r="A34" s="40" t="str">
        <x:v>2606.15168</x:v>
      </x:c>
      <x:c r="B34" s="40" t="str">
        <x:v>2026-06</x:v>
      </x:c>
      <x:c r="C34" s="40" t="str">
        <x:v>math.AP</x:v>
      </x:c>
      <x:c r="D34" s="40" t="str">
        <x:v>fractional Navier-Stokes</x:v>
      </x:c>
      <x:c r="E34" s="40" t="str">
        <x:v>Long-time asymptotics and invariant manifold for fractional 2D Navier-Stokes equation</x:v>
      </x:c>
      <x:c r="F34" s="40" t="str">
        <x:v>Jingchi Huang; Dandan Li; Shuai Zhang</x:v>
      </x:c>
      <x:c r="G34" s="46" t="n">
        <x:v>44</x:v>
      </x:c>
      <x:c r="H34" s="40" t="str">
        <x:v>https://arxiv.org/abs/2606.15168</x:v>
      </x:c>
      <x:c r="I34" s="40" t="str">
        <x:v>Top50精评：默认主要结论正确，未逐篇逐行 correctness check。</x:v>
      </x:c>
      <x:c r="J34" s="46" t="n">
        <x:v>91</x:v>
      </x:c>
      <x:c r="K34" s="46" t="n">
        <x:v>89</x:v>
      </x:c>
      <x:c r="L34" s="46" t="n">
        <x:v>91</x:v>
      </x:c>
      <x:c r="M34" s="46" t="n">
        <x:v>87</x:v>
      </x:c>
      <x:c r="N34" s="46" t="n">
        <x:v>91</x:v>
      </x:c>
      <x:c r="O34" s="46" t="n">
        <x:v>86</x:v>
      </x:c>
      <x:c r="P34" s="46" t="n">
        <x:v>12</x:v>
      </x:c>
      <x:c r="Q34" s="46" t="n">
        <x:v>4</x:v>
      </x:c>
      <x:c r="R34" s="42" t="n">
        <x:f>0.30*J34+0.20*K34+0.25*L34+0.15*M34+0.10*O34</x:f>
        <x:v>89.49999999999999</x:v>
      </x:c>
      <x:c r="S34" s="42" t="n">
        <x:f>0.30*N34+0.20*L34+0.20*K34+0.15*O34+0.15*(100-P34)</x:f>
        <x:v>89.4</x:v>
      </x:c>
      <x:c r="T34" s="42" t="n">
        <x:f>(R34+S34)/2</x:f>
        <x:v>89.44999999999999</x:v>
      </x:c>
      <x:c r="U34" s="40" t="n">
        <x:f>1+COUNTIFS($T$2:$T$211,"&gt;"&amp;T34)+COUNTIFS($T$2:$T$211,T34,$R$2:$R$211,"&gt;"&amp;R34)</x:f>
        <x:v>33</x:v>
      </x:c>
      <x:c r="V34" s="40" t="str">
        <x:f>IF(U34&lt;=50,"Y","")</x:f>
        <x:v>Y</x:v>
      </x:c>
    </x:row>
    <x:row r="35">
      <x:c r="A35" s="40" t="str">
        <x:v>2606.09657</x:v>
      </x:c>
      <x:c r="B35" s="40" t="str">
        <x:v>2026-06</x:v>
      </x:c>
      <x:c r="C35" s="40" t="str">
        <x:v>math.AP</x:v>
      </x:c>
      <x:c r="D35" s="40" t="str">
        <x:v>water waves/spectral</x:v>
      </x:c>
      <x:c r="E35" s="40" t="str">
        <x:v>Benjamin-Feir spectrum of hydroelastic Stokes waves</x:v>
      </x:c>
      <x:c r="F35" s="40" t="str">
        <x:v>Ting-Yang Hsiao; Zirui Li; Ye Zhang; Chengbin Zhu</x:v>
      </x:c>
      <x:c r="G35" s="46" t="n">
        <x:v>55</x:v>
      </x:c>
      <x:c r="H35" s="40" t="str">
        <x:v>https://arxiv.org/abs/2606.09657</x:v>
      </x:c>
      <x:c r="I35" s="40" t="str">
        <x:v>Top50精评：默认主要结论正确，未逐篇逐行 correctness check。</x:v>
      </x:c>
      <x:c r="J35" s="46" t="n">
        <x:v>90</x:v>
      </x:c>
      <x:c r="K35" s="46" t="n">
        <x:v>90</x:v>
      </x:c>
      <x:c r="L35" s="46" t="n">
        <x:v>91</x:v>
      </x:c>
      <x:c r="M35" s="46" t="n">
        <x:v>87</x:v>
      </x:c>
      <x:c r="N35" s="46" t="n">
        <x:v>91</x:v>
      </x:c>
      <x:c r="O35" s="46" t="n">
        <x:v>85</x:v>
      </x:c>
      <x:c r="P35" s="46" t="n">
        <x:v>12</x:v>
      </x:c>
      <x:c r="Q35" s="46" t="n">
        <x:v>4</x:v>
      </x:c>
      <x:c r="R35" s="42" t="n">
        <x:f>0.30*J35+0.20*K35+0.25*L35+0.15*M35+0.10*O35</x:f>
        <x:v>89.3</x:v>
      </x:c>
      <x:c r="S35" s="42" t="n">
        <x:f>0.30*N35+0.20*L35+0.20*K35+0.15*O35+0.15*(100-P35)</x:f>
        <x:v>89.45</x:v>
      </x:c>
      <x:c r="T35" s="42" t="n">
        <x:f>(R35+S35)/2</x:f>
        <x:v>89.375</x:v>
      </x:c>
      <x:c r="U35" s="40" t="n">
        <x:f>1+COUNTIFS($T$2:$T$211,"&gt;"&amp;T35)+COUNTIFS($T$2:$T$211,T35,$R$2:$R$211,"&gt;"&amp;R35)</x:f>
        <x:v>34</x:v>
      </x:c>
      <x:c r="V35" s="40" t="str">
        <x:f>IF(U35&lt;=50,"Y","")</x:f>
        <x:v>Y</x:v>
      </x:c>
    </x:row>
    <x:row r="36">
      <x:c r="A36" s="40" t="str">
        <x:v>2606.15585</x:v>
      </x:c>
      <x:c r="B36" s="40" t="str">
        <x:v>2026-06</x:v>
      </x:c>
      <x:c r="C36" s="40" t="str">
        <x:v>math.AP</x:v>
      </x:c>
      <x:c r="D36" s="40" t="str">
        <x:v>kinetic PDE</x:v>
      </x:c>
      <x:c r="E36" s="40" t="str">
        <x:v>Weakly inhomogeneous solutions to a nonlinear Vlasov-Fokker-Planck equation in a domain</x:v>
      </x:c>
      <x:c r="F36" s="40" t="str">
        <x:v>Sihyun Song</x:v>
      </x:c>
      <x:c r="G36" s="46" t="n">
        <x:v>71</x:v>
      </x:c>
      <x:c r="H36" s="40" t="str">
        <x:v>https://arxiv.org/abs/2606.15585</x:v>
      </x:c>
      <x:c r="I36" s="40" t="str">
        <x:v>Top50精评：默认主要结论正确，未逐篇逐行 correctness check。</x:v>
      </x:c>
      <x:c r="J36" s="46" t="n">
        <x:v>90</x:v>
      </x:c>
      <x:c r="K36" s="46" t="n">
        <x:v>89</x:v>
      </x:c>
      <x:c r="L36" s="46" t="n">
        <x:v>91</x:v>
      </x:c>
      <x:c r="M36" s="46" t="n">
        <x:v>87</x:v>
      </x:c>
      <x:c r="N36" s="46" t="n">
        <x:v>91</x:v>
      </x:c>
      <x:c r="O36" s="46" t="n">
        <x:v>86</x:v>
      </x:c>
      <x:c r="P36" s="46" t="n">
        <x:v>12</x:v>
      </x:c>
      <x:c r="Q36" s="46" t="n">
        <x:v>4</x:v>
      </x:c>
      <x:c r="R36" s="42" t="n">
        <x:f>0.30*J36+0.20*K36+0.25*L36+0.15*M36+0.10*O36</x:f>
        <x:v>89.19999999999999</x:v>
      </x:c>
      <x:c r="S36" s="42" t="n">
        <x:f>0.30*N36+0.20*L36+0.20*K36+0.15*O36+0.15*(100-P36)</x:f>
        <x:v>89.4</x:v>
      </x:c>
      <x:c r="T36" s="42" t="n">
        <x:f>(R36+S36)/2</x:f>
        <x:v>89.3</x:v>
      </x:c>
      <x:c r="U36" s="40" t="n">
        <x:f>1+COUNTIFS($T$2:$T$211,"&gt;"&amp;T36)+COUNTIFS($T$2:$T$211,T36,$R$2:$R$211,"&gt;"&amp;R36)</x:f>
        <x:v>35</x:v>
      </x:c>
      <x:c r="V36" s="40" t="str">
        <x:f>IF(U36&lt;=50,"Y","")</x:f>
        <x:v>Y</x:v>
      </x:c>
    </x:row>
    <x:row r="37">
      <x:c r="A37" s="40" t="str">
        <x:v>2606.08939</x:v>
      </x:c>
      <x:c r="B37" s="40" t="str">
        <x:v>2026-06</x:v>
      </x:c>
      <x:c r="C37" s="40" t="str">
        <x:v>math.AP</x:v>
      </x:c>
      <x:c r="D37" s="40" t="str">
        <x:v>inequalities/stability</x:v>
      </x:c>
      <x:c r="E37" s="40" t="str">
        <x:v>Caffarelli-Kohn-Nirenberg and Weighted Gaussian Poincare Inequalities: a complete characterization of sharp L^2 stability and L^p extensions</x:v>
      </x:c>
      <x:c r="F37" s="40" t="str">
        <x:v>Anh Xuan Do; Nguyen Lam; Guozhen Lu; Van Hoang Nguyen</x:v>
      </x:c>
      <x:c r="G37" s="46"/>
      <x:c r="H37" s="40" t="str">
        <x:v>https://arxiv.org/abs/2606.08939</x:v>
      </x:c>
      <x:c r="I37" s="40" t="str">
        <x:v>Top50精评：默认主要结论正确，未逐篇逐行 correctness check。</x:v>
      </x:c>
      <x:c r="J37" s="46" t="n">
        <x:v>90</x:v>
      </x:c>
      <x:c r="K37" s="46" t="n">
        <x:v>89</x:v>
      </x:c>
      <x:c r="L37" s="46" t="n">
        <x:v>91</x:v>
      </x:c>
      <x:c r="M37" s="46" t="n">
        <x:v>88</x:v>
      </x:c>
      <x:c r="N37" s="46" t="n">
        <x:v>90</x:v>
      </x:c>
      <x:c r="O37" s="46" t="n">
        <x:v>86</x:v>
      </x:c>
      <x:c r="P37" s="46" t="n">
        <x:v>12</x:v>
      </x:c>
      <x:c r="Q37" s="46" t="n">
        <x:v>4</x:v>
      </x:c>
      <x:c r="R37" s="42" t="n">
        <x:f>0.30*J37+0.20*K37+0.25*L37+0.15*M37+0.10*O37</x:f>
        <x:v>89.35</x:v>
      </x:c>
      <x:c r="S37" s="42" t="n">
        <x:f>0.30*N37+0.20*L37+0.20*K37+0.15*O37+0.15*(100-P37)</x:f>
        <x:v>89.10000000000001</x:v>
      </x:c>
      <x:c r="T37" s="42" t="n">
        <x:f>(R37+S37)/2</x:f>
        <x:v>89.225</x:v>
      </x:c>
      <x:c r="U37" s="40" t="n">
        <x:f>1+COUNTIFS($T$2:$T$211,"&gt;"&amp;T37)+COUNTIFS($T$2:$T$211,T37,$R$2:$R$211,"&gt;"&amp;R37)</x:f>
        <x:v>36</x:v>
      </x:c>
      <x:c r="V37" s="40" t="str">
        <x:f>IF(U37&lt;=50,"Y","")</x:f>
        <x:v>Y</x:v>
      </x:c>
    </x:row>
    <x:row r="38">
      <x:c r="A38" s="40" t="str">
        <x:v>2606.02517</x:v>
      </x:c>
      <x:c r="B38" s="40" t="str">
        <x:v>2026-06</x:v>
      </x:c>
      <x:c r="C38" s="40" t="str">
        <x:v>math.AP</x:v>
      </x:c>
      <x:c r="D38" s="40" t="str">
        <x:v>fluid limits</x:v>
      </x:c>
      <x:c r="E38" s="40" t="str">
        <x:v>Weak-strong uniqueness and low Mach number limit for a viscous compressible fluid around a rotating body</x:v>
      </x:c>
      <x:c r="F38" s="40" t="str">
        <x:v>Thomas Eiter; Sarka Necasova; Florian Oschmann</x:v>
      </x:c>
      <x:c r="G38" s="46"/>
      <x:c r="H38" s="40" t="str">
        <x:v>https://arxiv.org/abs/2606.02517</x:v>
      </x:c>
      <x:c r="I38" s="40" t="str">
        <x:v>Top50精评：默认主要结论正确，未逐篇逐行 correctness check。</x:v>
      </x:c>
      <x:c r="J38" s="46" t="n">
        <x:v>90</x:v>
      </x:c>
      <x:c r="K38" s="46" t="n">
        <x:v>88</x:v>
      </x:c>
      <x:c r="L38" s="46" t="n">
        <x:v>91</x:v>
      </x:c>
      <x:c r="M38" s="46" t="n">
        <x:v>87</x:v>
      </x:c>
      <x:c r="N38" s="46" t="n">
        <x:v>90</x:v>
      </x:c>
      <x:c r="O38" s="46" t="n">
        <x:v>87</x:v>
      </x:c>
      <x:c r="P38" s="46" t="n">
        <x:v>12</x:v>
      </x:c>
      <x:c r="Q38" s="46" t="n">
        <x:v>4</x:v>
      </x:c>
      <x:c r="R38" s="42" t="n">
        <x:f>0.30*J38+0.20*K38+0.25*L38+0.15*M38+0.10*O38</x:f>
        <x:v>89.1</x:v>
      </x:c>
      <x:c r="S38" s="42" t="n">
        <x:f>0.30*N38+0.20*L38+0.20*K38+0.15*O38+0.15*(100-P38)</x:f>
        <x:v>89.05000000000001</x:v>
      </x:c>
      <x:c r="T38" s="42" t="n">
        <x:f>(R38+S38)/2</x:f>
        <x:v>89.075</x:v>
      </x:c>
      <x:c r="U38" s="40" t="n">
        <x:f>1+COUNTIFS($T$2:$T$211,"&gt;"&amp;T38)+COUNTIFS($T$2:$T$211,T38,$R$2:$R$211,"&gt;"&amp;R38)</x:f>
        <x:v>38</x:v>
      </x:c>
      <x:c r="V38" s="40" t="str">
        <x:f>IF(U38&lt;=50,"Y","")</x:f>
        <x:v>Y</x:v>
      </x:c>
    </x:row>
    <x:row r="39">
      <x:c r="A39" s="40" t="str">
        <x:v>2606.01448</x:v>
      </x:c>
      <x:c r="B39" s="40" t="str">
        <x:v>2026-06</x:v>
      </x:c>
      <x:c r="C39" s="40" t="str">
        <x:v>math.AP</x:v>
      </x:c>
      <x:c r="D39" s="40" t="str">
        <x:v>kinetic relaxation</x:v>
      </x:c>
      <x:c r="E39" s="40" t="str">
        <x:v>Convergence to global equilibrium for the semiconductor Boltzmann equation</x:v>
      </x:c>
      <x:c r="F39" s="40" t="str">
        <x:v>Gayrat Toshpulatov</x:v>
      </x:c>
      <x:c r="G39" s="46"/>
      <x:c r="H39" s="40" t="str">
        <x:v>https://arxiv.org/abs/2606.01448</x:v>
      </x:c>
      <x:c r="I39" s="40" t="str">
        <x:v>Top50精评：默认主要结论正确，未逐篇逐行 correctness check。</x:v>
      </x:c>
      <x:c r="J39" s="46" t="n">
        <x:v>90</x:v>
      </x:c>
      <x:c r="K39" s="46" t="n">
        <x:v>88</x:v>
      </x:c>
      <x:c r="L39" s="46" t="n">
        <x:v>91</x:v>
      </x:c>
      <x:c r="M39" s="46" t="n">
        <x:v>87</x:v>
      </x:c>
      <x:c r="N39" s="46" t="n">
        <x:v>91</x:v>
      </x:c>
      <x:c r="O39" s="46" t="n">
        <x:v>86</x:v>
      </x:c>
      <x:c r="P39" s="46" t="n">
        <x:v>12</x:v>
      </x:c>
      <x:c r="Q39" s="46" t="n">
        <x:v>4</x:v>
      </x:c>
      <x:c r="R39" s="42" t="n">
        <x:f>0.30*J39+0.20*K39+0.25*L39+0.15*M39+0.10*O39</x:f>
        <x:v>88.99999999999999</x:v>
      </x:c>
      <x:c r="S39" s="42" t="n">
        <x:f>0.30*N39+0.20*L39+0.20*K39+0.15*O39+0.15*(100-P39)</x:f>
        <x:v>89.2</x:v>
      </x:c>
      <x:c r="T39" s="42" t="n">
        <x:f>(R39+S39)/2</x:f>
        <x:v>89.1</x:v>
      </x:c>
      <x:c r="U39" s="40" t="n">
        <x:f>1+COUNTIFS($T$2:$T$211,"&gt;"&amp;T39)+COUNTIFS($T$2:$T$211,T39,$R$2:$R$211,"&gt;"&amp;R39)</x:f>
        <x:v>37</x:v>
      </x:c>
      <x:c r="V39" s="40" t="str">
        <x:f>IF(U39&lt;=50,"Y","")</x:f>
        <x:v>Y</x:v>
      </x:c>
    </x:row>
    <x:row r="40">
      <x:c r="A40" s="40" t="str">
        <x:v>2606.07417</x:v>
      </x:c>
      <x:c r="B40" s="40" t="str">
        <x:v>2026-06</x:v>
      </x:c>
      <x:c r="C40" s="40" t="str">
        <x:v>math.AP</x:v>
      </x:c>
      <x:c r="D40" s="40" t="str">
        <x:v>stochastic PDE</x:v>
      </x:c>
      <x:c r="E40" s="40" t="str">
        <x:v>An optimal local theory for reaction-diffusion equations driven by non-trace-class noise</x:v>
      </x:c>
      <x:c r="F40" s="40" t="str">
        <x:v>Antonio Agresti; Fabian Germ; Mark Veraar</x:v>
      </x:c>
      <x:c r="G40" s="46" t="n">
        <x:v>46</x:v>
      </x:c>
      <x:c r="H40" s="40" t="str">
        <x:v>https://arxiv.org/abs/2606.07417</x:v>
      </x:c>
      <x:c r="I40" s="40" t="str">
        <x:v>Top50精评：默认主要结论正确，未逐篇逐行 correctness check。</x:v>
      </x:c>
      <x:c r="J40" s="46" t="n">
        <x:v>89</x:v>
      </x:c>
      <x:c r="K40" s="46" t="n">
        <x:v>89</x:v>
      </x:c>
      <x:c r="L40" s="46" t="n">
        <x:v>91</x:v>
      </x:c>
      <x:c r="M40" s="46" t="n">
        <x:v>87</x:v>
      </x:c>
      <x:c r="N40" s="46" t="n">
        <x:v>90</x:v>
      </x:c>
      <x:c r="O40" s="46" t="n">
        <x:v>86</x:v>
      </x:c>
      <x:c r="P40" s="46" t="n">
        <x:v>13</x:v>
      </x:c>
      <x:c r="Q40" s="46" t="n">
        <x:v>4</x:v>
      </x:c>
      <x:c r="R40" s="42" t="n">
        <x:f>0.30*J40+0.20*K40+0.25*L40+0.15*M40+0.10*O40</x:f>
        <x:v>88.89999999999999</x:v>
      </x:c>
      <x:c r="S40" s="42" t="n">
        <x:f>0.30*N40+0.20*L40+0.20*K40+0.15*O40+0.15*(100-P40)</x:f>
        <x:v>88.95</x:v>
      </x:c>
      <x:c r="T40" s="42" t="n">
        <x:f>(R40+S40)/2</x:f>
        <x:v>88.925</x:v>
      </x:c>
      <x:c r="U40" s="40" t="n">
        <x:f>1+COUNTIFS($T$2:$T$211,"&gt;"&amp;T40)+COUNTIFS($T$2:$T$211,T40,$R$2:$R$211,"&gt;"&amp;R40)</x:f>
        <x:v>39</x:v>
      </x:c>
      <x:c r="V40" s="40" t="str">
        <x:f>IF(U40&lt;=50,"Y","")</x:f>
        <x:v>Y</x:v>
      </x:c>
    </x:row>
    <x:row r="41">
      <x:c r="A41" s="40" t="str">
        <x:v>2606.15556</x:v>
      </x:c>
      <x:c r="B41" s="40" t="str">
        <x:v>2026-06</x:v>
      </x:c>
      <x:c r="C41" s="40" t="str">
        <x:v>math.AP</x:v>
      </x:c>
      <x:c r="D41" s="40" t="str">
        <x:v>elliptic regularity</x:v>
      </x:c>
      <x:c r="E41" s="40" t="str">
        <x:v>Borderline gradient continuity for degenerate/singular fully nonlinear elliptic equations with Hamiltonian terms</x:v>
      </x:c>
      <x:c r="F41" s="40" t="str">
        <x:v>Wentao Huo; Lingwei Ma; Zhenqiu Zhang</x:v>
      </x:c>
      <x:c r="G41" s="46" t="n">
        <x:v>27</x:v>
      </x:c>
      <x:c r="H41" s="40" t="str">
        <x:v>https://arxiv.org/abs/2606.15556</x:v>
      </x:c>
      <x:c r="I41" s="40" t="str">
        <x:v>Top50精评：默认主要结论正确，未逐篇逐行 correctness check。</x:v>
      </x:c>
      <x:c r="J41" s="46" t="n">
        <x:v>89</x:v>
      </x:c>
      <x:c r="K41" s="46" t="n">
        <x:v>89</x:v>
      </x:c>
      <x:c r="L41" s="46" t="n">
        <x:v>91</x:v>
      </x:c>
      <x:c r="M41" s="46" t="n">
        <x:v>87</x:v>
      </x:c>
      <x:c r="N41" s="46" t="n">
        <x:v>90</x:v>
      </x:c>
      <x:c r="O41" s="46" t="n">
        <x:v>86</x:v>
      </x:c>
      <x:c r="P41" s="46" t="n">
        <x:v>13</x:v>
      </x:c>
      <x:c r="Q41" s="46" t="n">
        <x:v>4</x:v>
      </x:c>
      <x:c r="R41" s="42" t="n">
        <x:f>0.30*J41+0.20*K41+0.25*L41+0.15*M41+0.10*O41</x:f>
        <x:v>88.89999999999999</x:v>
      </x:c>
      <x:c r="S41" s="42" t="n">
        <x:f>0.30*N41+0.20*L41+0.20*K41+0.15*O41+0.15*(100-P41)</x:f>
        <x:v>88.95</x:v>
      </x:c>
      <x:c r="T41" s="42" t="n">
        <x:f>(R41+S41)/2</x:f>
        <x:v>88.925</x:v>
      </x:c>
      <x:c r="U41" s="40" t="n">
        <x:f>1+COUNTIFS($T$2:$T$211,"&gt;"&amp;T41)+COUNTIFS($T$2:$T$211,T41,$R$2:$R$211,"&gt;"&amp;R41)</x:f>
        <x:v>39</x:v>
      </x:c>
      <x:c r="V41" s="40" t="str">
        <x:f>IF(U41&lt;=50,"Y","")</x:f>
        <x:v>Y</x:v>
      </x:c>
    </x:row>
    <x:row r="42">
      <x:c r="A42" s="40" t="str">
        <x:v>2606.10897</x:v>
      </x:c>
      <x:c r="B42" s="40" t="str">
        <x:v>2026-06</x:v>
      </x:c>
      <x:c r="C42" s="40" t="str">
        <x:v>math.AP</x:v>
      </x:c>
      <x:c r="D42" s="40" t="str">
        <x:v>infinity-harmonic maps</x:v>
      </x:c>
      <x:c r="E42" s="40" t="str">
        <x:v>A characterisation of infinity-harmonic maps in terms of 1-currents</x:v>
      </x:c>
      <x:c r="F42" s="40" t="str">
        <x:v>Roger Moser</x:v>
      </x:c>
      <x:c r="G42" s="46"/>
      <x:c r="H42" s="40" t="str">
        <x:v>https://arxiv.org/abs/2606.10897</x:v>
      </x:c>
      <x:c r="I42" s="40" t="str">
        <x:v>Top50精评：默认主要结论正确，未逐篇逐行 correctness check。</x:v>
      </x:c>
      <x:c r="J42" s="46" t="n">
        <x:v>89</x:v>
      </x:c>
      <x:c r="K42" s="46" t="n">
        <x:v>90</x:v>
      </x:c>
      <x:c r="L42" s="46" t="n">
        <x:v>89</x:v>
      </x:c>
      <x:c r="M42" s="46" t="n">
        <x:v>87</x:v>
      </x:c>
      <x:c r="N42" s="46" t="n">
        <x:v>89</x:v>
      </x:c>
      <x:c r="O42" s="46" t="n">
        <x:v>87</x:v>
      </x:c>
      <x:c r="P42" s="46" t="n">
        <x:v>12</x:v>
      </x:c>
      <x:c r="Q42" s="46" t="n">
        <x:v>4</x:v>
      </x:c>
      <x:c r="R42" s="42" t="n">
        <x:f>0.30*J42+0.20*K42+0.25*L42+0.15*M42+0.10*O42</x:f>
        <x:v>88.7</x:v>
      </x:c>
      <x:c r="S42" s="42" t="n">
        <x:f>0.30*N42+0.20*L42+0.20*K42+0.15*O42+0.15*(100-P42)</x:f>
        <x:v>88.75</x:v>
      </x:c>
      <x:c r="T42" s="42" t="n">
        <x:f>(R42+S42)/2</x:f>
        <x:v>88.725</x:v>
      </x:c>
      <x:c r="U42" s="40" t="n">
        <x:f>1+COUNTIFS($T$2:$T$211,"&gt;"&amp;T42)+COUNTIFS($T$2:$T$211,T42,$R$2:$R$211,"&gt;"&amp;R42)</x:f>
        <x:v>41</x:v>
      </x:c>
      <x:c r="V42" s="40" t="str">
        <x:f>IF(U42&lt;=50,"Y","")</x:f>
        <x:v>Y</x:v>
      </x:c>
    </x:row>
    <x:row r="43">
      <x:c r="A43" s="40" t="str">
        <x:v>2606.15561</x:v>
      </x:c>
      <x:c r="B43" s="40" t="str">
        <x:v>2026-06</x:v>
      </x:c>
      <x:c r="C43" s="40" t="str">
        <x:v>math.AP</x:v>
      </x:c>
      <x:c r="D43" s="40" t="str">
        <x:v>elliptic regularity</x:v>
      </x:c>
      <x:c r="E43" s="40" t="str">
        <x:v>Higher Holder regularity for degenerate fully nonlinear elliptic equations with Hamiltonian terms</x:v>
      </x:c>
      <x:c r="F43" s="40" t="str">
        <x:v>Wentao Huo; Xiaofeng Jin; Lingwei Ma; Zhenqiu Zhang</x:v>
      </x:c>
      <x:c r="G43" s="46" t="n">
        <x:v>17</x:v>
      </x:c>
      <x:c r="H43" s="40" t="str">
        <x:v>https://arxiv.org/abs/2606.15561</x:v>
      </x:c>
      <x:c r="I43" s="40" t="str">
        <x:v>Top50精评：默认主要结论正确，未逐篇逐行 correctness check。</x:v>
      </x:c>
      <x:c r="J43" s="46" t="n">
        <x:v>89</x:v>
      </x:c>
      <x:c r="K43" s="46" t="n">
        <x:v>88</x:v>
      </x:c>
      <x:c r="L43" s="46" t="n">
        <x:v>91</x:v>
      </x:c>
      <x:c r="M43" s="46" t="n">
        <x:v>87</x:v>
      </x:c>
      <x:c r="N43" s="46" t="n">
        <x:v>90</x:v>
      </x:c>
      <x:c r="O43" s="46" t="n">
        <x:v>86</x:v>
      </x:c>
      <x:c r="P43" s="46" t="n">
        <x:v>13</x:v>
      </x:c>
      <x:c r="Q43" s="46" t="n">
        <x:v>4</x:v>
      </x:c>
      <x:c r="R43" s="42" t="n">
        <x:f>0.30*J43+0.20*K43+0.25*L43+0.15*M43+0.10*O43</x:f>
        <x:v>88.69999999999999</x:v>
      </x:c>
      <x:c r="S43" s="42" t="n">
        <x:f>0.30*N43+0.20*L43+0.20*K43+0.15*O43+0.15*(100-P43)</x:f>
        <x:v>88.75</x:v>
      </x:c>
      <x:c r="T43" s="42" t="n">
        <x:f>(R43+S43)/2</x:f>
        <x:v>88.725</x:v>
      </x:c>
      <x:c r="U43" s="40" t="n">
        <x:f>1+COUNTIFS($T$2:$T$211,"&gt;"&amp;T43)+COUNTIFS($T$2:$T$211,T43,$R$2:$R$211,"&gt;"&amp;R43)</x:f>
        <x:v>42</x:v>
      </x:c>
      <x:c r="V43" s="40" t="str">
        <x:f>IF(U43&lt;=50,"Y","")</x:f>
        <x:v>Y</x:v>
      </x:c>
    </x:row>
    <x:row r="44">
      <x:c r="A44" s="40" t="str">
        <x:v>2606.07468</x:v>
      </x:c>
      <x:c r="B44" s="40" t="str">
        <x:v>2026-06</x:v>
      </x:c>
      <x:c r="C44" s="40" t="str">
        <x:v>math.AP</x:v>
      </x:c>
      <x:c r="D44" s="40" t="str">
        <x:v>geometric variational</x:v>
      </x:c>
      <x:c r="E44" s="40" t="str">
        <x:v>Minimizing clusters with prescribed asymptotic geometry</x:v>
      </x:c>
      <x:c r="F44" s="40" t="str">
        <x:v>Robin Neumayer; Michael Novack; Anna Skorobogatova</x:v>
      </x:c>
      <x:c r="G44" s="46" t="n">
        <x:v>30</x:v>
      </x:c>
      <x:c r="H44" s="40" t="str">
        <x:v>https://arxiv.org/abs/2606.07468</x:v>
      </x:c>
      <x:c r="I44" s="40" t="str">
        <x:v>Top50精评：默认主要结论正确，未逐篇逐行 correctness check。</x:v>
      </x:c>
      <x:c r="J44" s="46" t="n">
        <x:v>89</x:v>
      </x:c>
      <x:c r="K44" s="46" t="n">
        <x:v>89</x:v>
      </x:c>
      <x:c r="L44" s="46" t="n">
        <x:v>90</x:v>
      </x:c>
      <x:c r="M44" s="46" t="n">
        <x:v>87</x:v>
      </x:c>
      <x:c r="N44" s="46" t="n">
        <x:v>90</x:v>
      </x:c>
      <x:c r="O44" s="46" t="n">
        <x:v>86</x:v>
      </x:c>
      <x:c r="P44" s="46" t="n">
        <x:v>13</x:v>
      </x:c>
      <x:c r="Q44" s="46" t="n">
        <x:v>4</x:v>
      </x:c>
      <x:c r="R44" s="42" t="n">
        <x:f>0.30*J44+0.20*K44+0.25*L44+0.15*M44+0.10*O44</x:f>
        <x:v>88.64999999999999</x:v>
      </x:c>
      <x:c r="S44" s="42" t="n">
        <x:f>0.30*N44+0.20*L44+0.20*K44+0.15*O44+0.15*(100-P44)</x:f>
        <x:v>88.75</x:v>
      </x:c>
      <x:c r="T44" s="42" t="n">
        <x:f>(R44+S44)/2</x:f>
        <x:v>88.69999999999999</x:v>
      </x:c>
      <x:c r="U44" s="40" t="n">
        <x:f>1+COUNTIFS($T$2:$T$211,"&gt;"&amp;T44)+COUNTIFS($T$2:$T$211,T44,$R$2:$R$211,"&gt;"&amp;R44)</x:f>
        <x:v>44</x:v>
      </x:c>
      <x:c r="V44" s="40" t="str">
        <x:f>IF(U44&lt;=50,"Y","")</x:f>
        <x:v>Y</x:v>
      </x:c>
    </x:row>
    <x:row r="45">
      <x:c r="A45" s="40" t="str">
        <x:v>2606.15612</x:v>
      </x:c>
      <x:c r="B45" s="40" t="str">
        <x:v>2026-06</x:v>
      </x:c>
      <x:c r="C45" s="40" t="str">
        <x:v>math.AP</x:v>
      </x:c>
      <x:c r="D45" s="40" t="str">
        <x:v>free boundary dynamics</x:v>
      </x:c>
      <x:c r="E45" s="40" t="str">
        <x:v>Trichotomy dynamics of a free boundary model for biological invasion</x:v>
      </x:c>
      <x:c r="F45" s="40" t="str">
        <x:v>Hongkai Cao; Yihong Du; Wenjie Ni; Xiaoyan Zhang</x:v>
      </x:c>
      <x:c r="G45" s="46"/>
      <x:c r="H45" s="40" t="str">
        <x:v>https://arxiv.org/abs/2606.15612</x:v>
      </x:c>
      <x:c r="I45" s="40" t="str">
        <x:v>Top50精评：默认主要结论正确，未逐篇逐行 correctness check。</x:v>
      </x:c>
      <x:c r="J45" s="46" t="n">
        <x:v>89</x:v>
      </x:c>
      <x:c r="K45" s="46" t="n">
        <x:v>89</x:v>
      </x:c>
      <x:c r="L45" s="46" t="n">
        <x:v>90</x:v>
      </x:c>
      <x:c r="M45" s="46" t="n">
        <x:v>87</x:v>
      </x:c>
      <x:c r="N45" s="46" t="n">
        <x:v>90</x:v>
      </x:c>
      <x:c r="O45" s="46" t="n">
        <x:v>86</x:v>
      </x:c>
      <x:c r="P45" s="46" t="n">
        <x:v>13</x:v>
      </x:c>
      <x:c r="Q45" s="46" t="n">
        <x:v>4</x:v>
      </x:c>
      <x:c r="R45" s="42" t="n">
        <x:f>0.30*J45+0.20*K45+0.25*L45+0.15*M45+0.10*O45</x:f>
        <x:v>88.64999999999999</x:v>
      </x:c>
      <x:c r="S45" s="42" t="n">
        <x:f>0.30*N45+0.20*L45+0.20*K45+0.15*O45+0.15*(100-P45)</x:f>
        <x:v>88.75</x:v>
      </x:c>
      <x:c r="T45" s="42" t="n">
        <x:f>(R45+S45)/2</x:f>
        <x:v>88.69999999999999</x:v>
      </x:c>
      <x:c r="U45" s="40" t="n">
        <x:f>1+COUNTIFS($T$2:$T$211,"&gt;"&amp;T45)+COUNTIFS($T$2:$T$211,T45,$R$2:$R$211,"&gt;"&amp;R45)</x:f>
        <x:v>44</x:v>
      </x:c>
      <x:c r="V45" s="40" t="str">
        <x:f>IF(U45&lt;=50,"Y","")</x:f>
        <x:v>Y</x:v>
      </x:c>
    </x:row>
    <x:row r="46">
      <x:c r="A46" s="40" t="str">
        <x:v>2606.04615</x:v>
      </x:c>
      <x:c r="B46" s="40" t="str">
        <x:v>2026-06</x:v>
      </x:c>
      <x:c r="C46" s="40" t="str">
        <x:v>math.AP</x:v>
      </x:c>
      <x:c r="D46" s="40" t="str">
        <x:v>Ginzburg-Landau estimates</x:v>
      </x:c>
      <x:c r="E46" s="40" t="str">
        <x:v>The Ginzburg-Landau system with general potential: maximum principle and gradient estimates</x:v>
      </x:c>
      <x:c r="F46" s="40" t="str">
        <x:v>Radu Ignat; Luc Nguyen; Valeriy Slastikov; Arghir Zarnescu</x:v>
      </x:c>
      <x:c r="G46" s="46"/>
      <x:c r="H46" s="40" t="str">
        <x:v>https://arxiv.org/abs/2606.04615</x:v>
      </x:c>
      <x:c r="I46" s="40" t="str">
        <x:v>Top50精评：默认主要结论正确，未逐篇逐行 correctness check。</x:v>
      </x:c>
      <x:c r="J46" s="46" t="n">
        <x:v>89</x:v>
      </x:c>
      <x:c r="K46" s="46" t="n">
        <x:v>88</x:v>
      </x:c>
      <x:c r="L46" s="46" t="n">
        <x:v>90</x:v>
      </x:c>
      <x:c r="M46" s="46" t="n">
        <x:v>87</x:v>
      </x:c>
      <x:c r="N46" s="46" t="n">
        <x:v>90</x:v>
      </x:c>
      <x:c r="O46" s="46" t="n">
        <x:v>87</x:v>
      </x:c>
      <x:c r="P46" s="46" t="n">
        <x:v>12</x:v>
      </x:c>
      <x:c r="Q46" s="46" t="n">
        <x:v>4</x:v>
      </x:c>
      <x:c r="R46" s="42" t="n">
        <x:f>0.30*J46+0.20*K46+0.25*L46+0.15*M46+0.10*O46</x:f>
        <x:v>88.55</x:v>
      </x:c>
      <x:c r="S46" s="42" t="n">
        <x:f>0.30*N46+0.20*L46+0.20*K46+0.15*O46+0.15*(100-P46)</x:f>
        <x:v>88.85000000000001</x:v>
      </x:c>
      <x:c r="T46" s="42" t="n">
        <x:f>(R46+S46)/2</x:f>
        <x:v>88.7</x:v>
      </x:c>
      <x:c r="U46" s="40" t="n">
        <x:f>1+COUNTIFS($T$2:$T$211,"&gt;"&amp;T46)+COUNTIFS($T$2:$T$211,T46,$R$2:$R$211,"&gt;"&amp;R46)</x:f>
        <x:v>43</x:v>
      </x:c>
      <x:c r="V46" s="40" t="str">
        <x:f>IF(U46&lt;=50,"Y","")</x:f>
        <x:v>Y</x:v>
      </x:c>
    </x:row>
    <x:row r="47">
      <x:c r="A47" s="40" t="str">
        <x:v>2606.15644</x:v>
      </x:c>
      <x:c r="B47" s="40" t="str">
        <x:v>2026-06</x:v>
      </x:c>
      <x:c r="C47" s="40" t="str">
        <x:v>math.AP</x:v>
      </x:c>
      <x:c r="D47" s="40" t="str">
        <x:v>fractional harmonic maps</x:v>
      </x:c>
      <x:c r="E47" s="40" t="str">
        <x:v>Minimizing and non-minimizing degree one W^{s,1/s}-harmonic maps between spheres</x:v>
      </x:c>
      <x:c r="F47" s="40" t="str">
        <x:v>Dorian Martino; Katarzyna Mazowiecka; Armin Schikorra</x:v>
      </x:c>
      <x:c r="G47" s="46"/>
      <x:c r="H47" s="40" t="str">
        <x:v>https://arxiv.org/abs/2606.15644</x:v>
      </x:c>
      <x:c r="I47" s="40" t="str">
        <x:v>Top50精评：默认主要结论正确，未逐篇逐行 correctness check。</x:v>
      </x:c>
      <x:c r="J47" s="46" t="n">
        <x:v>88</x:v>
      </x:c>
      <x:c r="K47" s="46" t="n">
        <x:v>89</x:v>
      </x:c>
      <x:c r="L47" s="46" t="n">
        <x:v>90</x:v>
      </x:c>
      <x:c r="M47" s="46" t="n">
        <x:v>87</x:v>
      </x:c>
      <x:c r="N47" s="46" t="n">
        <x:v>89</x:v>
      </x:c>
      <x:c r="O47" s="46" t="n">
        <x:v>87</x:v>
      </x:c>
      <x:c r="P47" s="46" t="n">
        <x:v>12</x:v>
      </x:c>
      <x:c r="Q47" s="46" t="n">
        <x:v>4</x:v>
      </x:c>
      <x:c r="R47" s="42" t="n">
        <x:f>0.30*J47+0.20*K47+0.25*L47+0.15*M47+0.10*O47</x:f>
        <x:v>88.45</x:v>
      </x:c>
      <x:c r="S47" s="42" t="n">
        <x:f>0.30*N47+0.20*L47+0.20*K47+0.15*O47+0.15*(100-P47)</x:f>
        <x:v>88.75</x:v>
      </x:c>
      <x:c r="T47" s="42" t="n">
        <x:f>(R47+S47)/2</x:f>
        <x:v>88.6</x:v>
      </x:c>
      <x:c r="U47" s="40" t="n">
        <x:f>1+COUNTIFS($T$2:$T$211,"&gt;"&amp;T47)+COUNTIFS($T$2:$T$211,T47,$R$2:$R$211,"&gt;"&amp;R47)</x:f>
        <x:v>46</x:v>
      </x:c>
      <x:c r="V47" s="40" t="str">
        <x:f>IF(U47&lt;=50,"Y","")</x:f>
        <x:v>Y</x:v>
      </x:c>
    </x:row>
    <x:row r="48">
      <x:c r="A48" s="40" t="str">
        <x:v>2606.29382</x:v>
      </x:c>
      <x:c r="B48" s="40" t="str">
        <x:v>2026-06</x:v>
      </x:c>
      <x:c r="C48" s="40" t="str">
        <x:v>math.AP</x:v>
      </x:c>
      <x:c r="D48" s="40" t="str">
        <x:v>Sobolev maps</x:v>
      </x:c>
      <x:c r="E48" s="40" t="str">
        <x:v>The distance between homotopy classes of Sobolev maps on spheres</x:v>
      </x:c>
      <x:c r="F48" s="40" t="str">
        <x:v>Rupert L. Frank; Paata Ivanisvili</x:v>
      </x:c>
      <x:c r="G48" s="46"/>
      <x:c r="H48" s="40" t="str">
        <x:v>https://arxiv.org/abs/2606.29382</x:v>
      </x:c>
      <x:c r="I48" s="40" t="str">
        <x:v>Top50精评：默认主要结论正确，未逐篇逐行 correctness check。</x:v>
      </x:c>
      <x:c r="J48" s="46" t="n">
        <x:v>89</x:v>
      </x:c>
      <x:c r="K48" s="46" t="n">
        <x:v>89</x:v>
      </x:c>
      <x:c r="L48" s="46" t="n">
        <x:v>89</x:v>
      </x:c>
      <x:c r="M48" s="46" t="n">
        <x:v>87</x:v>
      </x:c>
      <x:c r="N48" s="46" t="n">
        <x:v>89</x:v>
      </x:c>
      <x:c r="O48" s="46" t="n">
        <x:v>87</x:v>
      </x:c>
      <x:c r="P48" s="46" t="n">
        <x:v>12</x:v>
      </x:c>
      <x:c r="Q48" s="46" t="n">
        <x:v>4</x:v>
      </x:c>
      <x:c r="R48" s="42" t="n">
        <x:f>0.30*J48+0.20*K48+0.25*L48+0.15*M48+0.10*O48</x:f>
        <x:v>88.5</x:v>
      </x:c>
      <x:c r="S48" s="42" t="n">
        <x:f>0.30*N48+0.20*L48+0.20*K48+0.15*O48+0.15*(100-P48)</x:f>
        <x:v>88.55</x:v>
      </x:c>
      <x:c r="T48" s="42" t="n">
        <x:f>(R48+S48)/2</x:f>
        <x:v>88.525</x:v>
      </x:c>
      <x:c r="U48" s="40" t="n">
        <x:f>1+COUNTIFS($T$2:$T$211,"&gt;"&amp;T48)+COUNTIFS($T$2:$T$211,T48,$R$2:$R$211,"&gt;"&amp;R48)</x:f>
        <x:v>47</x:v>
      </x:c>
      <x:c r="V48" s="40" t="str">
        <x:f>IF(U48&lt;=50,"Y","")</x:f>
        <x:v>Y</x:v>
      </x:c>
    </x:row>
    <x:row r="49">
      <x:c r="A49" s="40" t="str">
        <x:v>2606.03716</x:v>
      </x:c>
      <x:c r="B49" s="40" t="str">
        <x:v>2026-06</x:v>
      </x:c>
      <x:c r="C49" s="40" t="str">
        <x:v>math.AP</x:v>
      </x:c>
      <x:c r="D49" s="40" t="str">
        <x:v>fluid homogenization</x:v>
      </x:c>
      <x:c r="E49" s="40" t="str">
        <x:v>Homogenization of compressible Navier-Stokes equations under a hard sphere pressure law</x:v>
      </x:c>
      <x:c r="F49" s="40" t="str">
        <x:v>Nilasis Chaudhuri; Florian Oschmann</x:v>
      </x:c>
      <x:c r="G49" s="46"/>
      <x:c r="H49" s="40" t="str">
        <x:v>https://arxiv.org/abs/2606.03716</x:v>
      </x:c>
      <x:c r="I49" s="40" t="str">
        <x:v>Top50精评：默认主要结论正确，未逐篇逐行 correctness check。</x:v>
      </x:c>
      <x:c r="J49" s="46" t="n">
        <x:v>89</x:v>
      </x:c>
      <x:c r="K49" s="46" t="n">
        <x:v>88</x:v>
      </x:c>
      <x:c r="L49" s="46" t="n">
        <x:v>90</x:v>
      </x:c>
      <x:c r="M49" s="46" t="n">
        <x:v>87</x:v>
      </x:c>
      <x:c r="N49" s="46" t="n">
        <x:v>90</x:v>
      </x:c>
      <x:c r="O49" s="46" t="n">
        <x:v>86</x:v>
      </x:c>
      <x:c r="P49" s="46" t="n">
        <x:v>13</x:v>
      </x:c>
      <x:c r="Q49" s="46" t="n">
        <x:v>4</x:v>
      </x:c>
      <x:c r="R49" s="42" t="n">
        <x:f>0.30*J49+0.20*K49+0.25*L49+0.15*M49+0.10*O49</x:f>
        <x:v>88.44999999999999</x:v>
      </x:c>
      <x:c r="S49" s="42" t="n">
        <x:f>0.30*N49+0.20*L49+0.20*K49+0.15*O49+0.15*(100-P49)</x:f>
        <x:v>88.55</x:v>
      </x:c>
      <x:c r="T49" s="42" t="n">
        <x:f>(R49+S49)/2</x:f>
        <x:v>88.5</x:v>
      </x:c>
      <x:c r="U49" s="40" t="n">
        <x:f>1+COUNTIFS($T$2:$T$211,"&gt;"&amp;T49)+COUNTIFS($T$2:$T$211,T49,$R$2:$R$211,"&gt;"&amp;R49)</x:f>
        <x:v>48</x:v>
      </x:c>
      <x:c r="V49" s="40" t="str">
        <x:f>IF(U49&lt;=50,"Y","")</x:f>
        <x:v>Y</x:v>
      </x:c>
    </x:row>
    <x:row r="50">
      <x:c r="A50" s="40" t="str">
        <x:v>2606.09280</x:v>
      </x:c>
      <x:c r="B50" s="40" t="str">
        <x:v>2026-06</x:v>
      </x:c>
      <x:c r="C50" s="40" t="str">
        <x:v>math.AP</x:v>
      </x:c>
      <x:c r="D50" s="40" t="str">
        <x:v>geometric dispersive estimates</x:v>
      </x:c>
      <x:c r="E50" s="40" t="str">
        <x:v>The effect of geometric focusing on dispersive estimates for Schrodinger and wave equations</x:v>
      </x:c>
      <x:c r="F50" s="40" t="str">
        <x:v>Qiuye Jia; Junyong Zhang</x:v>
      </x:c>
      <x:c r="G50" s="46"/>
      <x:c r="H50" s="40" t="str">
        <x:v>https://arxiv.org/abs/2606.09280</x:v>
      </x:c>
      <x:c r="I50" s="40" t="str">
        <x:v>Top50精评：默认主要结论正确，未逐篇逐行 correctness check。</x:v>
      </x:c>
      <x:c r="J50" s="46" t="n">
        <x:v>89</x:v>
      </x:c>
      <x:c r="K50" s="46" t="n">
        <x:v>89</x:v>
      </x:c>
      <x:c r="L50" s="46" t="n">
        <x:v>90</x:v>
      </x:c>
      <x:c r="M50" s="46" t="n">
        <x:v>86</x:v>
      </x:c>
      <x:c r="N50" s="46" t="n">
        <x:v>90</x:v>
      </x:c>
      <x:c r="O50" s="46" t="n">
        <x:v>85</x:v>
      </x:c>
      <x:c r="P50" s="46" t="n">
        <x:v>13</x:v>
      </x:c>
      <x:c r="Q50" s="46" t="n">
        <x:v>4</x:v>
      </x:c>
      <x:c r="R50" s="42" t="n">
        <x:f>0.30*J50+0.20*K50+0.25*L50+0.15*M50+0.10*O50</x:f>
        <x:v>88.4</x:v>
      </x:c>
      <x:c r="S50" s="42" t="n">
        <x:f>0.30*N50+0.20*L50+0.20*K50+0.15*O50+0.15*(100-P50)</x:f>
        <x:v>88.6</x:v>
      </x:c>
      <x:c r="T50" s="42" t="n">
        <x:f>(R50+S50)/2</x:f>
        <x:v>88.5</x:v>
      </x:c>
      <x:c r="U50" s="40" t="n">
        <x:f>1+COUNTIFS($T$2:$T$211,"&gt;"&amp;T50)+COUNTIFS($T$2:$T$211,T50,$R$2:$R$211,"&gt;"&amp;R50)</x:f>
        <x:v>50</x:v>
      </x:c>
      <x:c r="V50" s="40" t="str">
        <x:f>IF(U50&lt;=50,"Y","")</x:f>
        <x:v>Y</x:v>
      </x:c>
    </x:row>
    <x:row r="51">
      <x:c r="A51" s="40" t="str">
        <x:v>2606.12825</x:v>
      </x:c>
      <x:c r="B51" s="40" t="str">
        <x:v>2026-06</x:v>
      </x:c>
      <x:c r="C51" s="40" t="str">
        <x:v>math.AP</x:v>
      </x:c>
      <x:c r="D51" s="40" t="str">
        <x:v>Navier-Stokes/statistical solutions</x:v>
      </x:c>
      <x:c r="E51" s="40" t="str">
        <x:v>Optimal minimax formula for bounds on ensemble averages of statistically stationary three-dimensional Navier-Stokes flows</x:v>
      </x:c>
      <x:c r="F51" s="40" t="str">
        <x:v>Anne Bronzi; Cecilia F. Mondaini; Ricardo M. S. Rosa</x:v>
      </x:c>
      <x:c r="G51" s="46"/>
      <x:c r="H51" s="40" t="str">
        <x:v>https://arxiv.org/abs/2606.12825</x:v>
      </x:c>
      <x:c r="I51" s="40" t="str">
        <x:v>Top50精评：默认主要结论正确，未逐篇逐行 correctness check。</x:v>
      </x:c>
      <x:c r="J51" s="46" t="n">
        <x:v>89</x:v>
      </x:c>
      <x:c r="K51" s="46" t="n">
        <x:v>88</x:v>
      </x:c>
      <x:c r="L51" s="46" t="n">
        <x:v>90</x:v>
      </x:c>
      <x:c r="M51" s="46" t="n">
        <x:v>87</x:v>
      </x:c>
      <x:c r="N51" s="46" t="n">
        <x:v>90</x:v>
      </x:c>
      <x:c r="O51" s="46" t="n">
        <x:v>86</x:v>
      </x:c>
      <x:c r="P51" s="46" t="n">
        <x:v>13</x:v>
      </x:c>
      <x:c r="Q51" s="46" t="n">
        <x:v>4</x:v>
      </x:c>
      <x:c r="R51" s="42" t="n">
        <x:f>0.30*J51+0.20*K51+0.25*L51+0.15*M51+0.10*O51</x:f>
        <x:v>88.44999999999999</x:v>
      </x:c>
      <x:c r="S51" s="42" t="n">
        <x:f>0.30*N51+0.20*L51+0.20*K51+0.15*O51+0.15*(100-P51)</x:f>
        <x:v>88.55</x:v>
      </x:c>
      <x:c r="T51" s="42" t="n">
        <x:f>(R51+S51)/2</x:f>
        <x:v>88.5</x:v>
      </x:c>
      <x:c r="U51" s="40" t="n">
        <x:f>1+COUNTIFS($T$2:$T$211,"&gt;"&amp;T51)+COUNTIFS($T$2:$T$211,T51,$R$2:$R$211,"&gt;"&amp;R51)</x:f>
        <x:v>48</x:v>
      </x:c>
      <x:c r="V51" s="40" t="str">
        <x:f>IF(U51&lt;=50,"Y","")</x:f>
        <x:v>Y</x:v>
      </x:c>
    </x:row>
    <x:row r="52">
      <x:c r="A52" s="40" t="str">
        <x:v>2606.07869</x:v>
      </x:c>
      <x:c r="B52" s="40" t="str">
        <x:v>2026-06</x:v>
      </x:c>
      <x:c r="C52" s="40" t="str">
        <x:v>math.AP</x:v>
      </x:c>
      <x:c r="D52" s="40" t="str">
        <x:v>fluid/kinetic PDE</x:v>
      </x:c>
      <x:c r="E52" s="40" t="str">
        <x:v>Global Regularity for Axisymmetric Navier-Stokes Flows with Swirl</x:v>
      </x:c>
      <x:c r="F52" s="40" t="str">
        <x:v>Rishad Shahmurov</x:v>
      </x:c>
      <x:c r="G52" s="46"/>
      <x:c r="H52" s="40" t="str">
        <x:v>https://arxiv.org/abs/2606.07869</x:v>
      </x:c>
      <x:c r="I52" s="40" t="str">
        <x:v>30%评分池：按题名、作者、主题与页数预筛；默认主要结论正确，未逐篇逐行 correctness check。</x:v>
      </x:c>
      <x:c r="J52" s="46" t="n">
        <x:v>86</x:v>
      </x:c>
      <x:c r="K52" s="46" t="n">
        <x:v>85</x:v>
      </x:c>
      <x:c r="L52" s="46" t="n">
        <x:v>86</x:v>
      </x:c>
      <x:c r="M52" s="46" t="n">
        <x:v>84</x:v>
      </x:c>
      <x:c r="N52" s="46" t="n">
        <x:v>86</x:v>
      </x:c>
      <x:c r="O52" s="46" t="n">
        <x:v>86</x:v>
      </x:c>
      <x:c r="P52" s="46" t="n">
        <x:v>13</x:v>
      </x:c>
      <x:c r="Q52" s="46" t="n">
        <x:v>5</x:v>
      </x:c>
      <x:c r="R52" s="42" t="n">
        <x:f>0.30*J52+0.20*K52+0.25*L52+0.15*M52+0.10*O52</x:f>
        <x:v>85.49999999999999</x:v>
      </x:c>
      <x:c r="S52" s="42" t="n">
        <x:f>0.30*N52+0.20*L52+0.20*K52+0.15*O52+0.15*(100-P52)</x:f>
        <x:v>85.95</x:v>
      </x:c>
      <x:c r="T52" s="42" t="n">
        <x:f>(R52+S52)/2</x:f>
        <x:v>85.725</x:v>
      </x:c>
      <x:c r="U52" s="40" t="n">
        <x:f>1+COUNTIFS($T$2:$T$211,"&gt;"&amp;T52)+COUNTIFS($T$2:$T$211,T52,$R$2:$R$211,"&gt;"&amp;R52)</x:f>
        <x:v>51</x:v>
      </x:c>
      <x:c r="V52" s="40" t="str">
        <x:f>IF(U52&lt;=50,"Y","")</x:f>
      </x:c>
    </x:row>
    <x:row r="53">
      <x:c r="A53" s="40" t="str">
        <x:v>2606.06956</x:v>
      </x:c>
      <x:c r="B53" s="40" t="str">
        <x:v>2026-06</x:v>
      </x:c>
      <x:c r="C53" s="40" t="str">
        <x:v>math.AP</x:v>
      </x:c>
      <x:c r="D53" s="40" t="str">
        <x:v>fluid/kinetic PDE</x:v>
      </x:c>
      <x:c r="E53" s="40" t="str">
        <x:v>Thermal Relaxation Effects on Stability Thresholds: Timoshenko-Boltzmann systems</x:v>
      </x:c>
      <x:c r="F53" s="40" t="str">
        <x:v>Zhou Jun; Mou SiRuo</x:v>
      </x:c>
      <x:c r="G53" s="46" t="n">
        <x:v>36</x:v>
      </x:c>
      <x:c r="H53" s="40" t="str">
        <x:v>https://arxiv.org/abs/2606.06956</x:v>
      </x:c>
      <x:c r="I53" s="40" t="str">
        <x:v>30%评分池：按题名、作者、主题与页数预筛；默认主要结论正确，未逐篇逐行 correctness check。</x:v>
      </x:c>
      <x:c r="J53" s="46" t="n">
        <x:v>85</x:v>
      </x:c>
      <x:c r="K53" s="46" t="n">
        <x:v>84</x:v>
      </x:c>
      <x:c r="L53" s="46" t="n">
        <x:v>85</x:v>
      </x:c>
      <x:c r="M53" s="46" t="n">
        <x:v>83</x:v>
      </x:c>
      <x:c r="N53" s="46" t="n">
        <x:v>85</x:v>
      </x:c>
      <x:c r="O53" s="46" t="n">
        <x:v>84</x:v>
      </x:c>
      <x:c r="P53" s="46" t="n">
        <x:v>13</x:v>
      </x:c>
      <x:c r="Q53" s="46" t="n">
        <x:v>5</x:v>
      </x:c>
      <x:c r="R53" s="42" t="n">
        <x:f>0.30*J53+0.20*K53+0.25*L53+0.15*M53+0.10*O53</x:f>
        <x:v>84.4</x:v>
      </x:c>
      <x:c r="S53" s="42" t="n">
        <x:f>0.30*N53+0.20*L53+0.20*K53+0.15*O53+0.15*(100-P53)</x:f>
        <x:v>84.94999999999999</x:v>
      </x:c>
      <x:c r="T53" s="42" t="n">
        <x:f>(R53+S53)/2</x:f>
        <x:v>84.675</x:v>
      </x:c>
      <x:c r="U53" s="40" t="n">
        <x:f>1+COUNTIFS($T$2:$T$211,"&gt;"&amp;T53)+COUNTIFS($T$2:$T$211,T53,$R$2:$R$211,"&gt;"&amp;R53)</x:f>
        <x:v>52</x:v>
      </x:c>
      <x:c r="V53" s="40" t="str">
        <x:f>IF(U53&lt;=50,"Y","")</x:f>
      </x:c>
    </x:row>
    <x:row r="54">
      <x:c r="A54" s="40" t="str">
        <x:v>2606.07501</x:v>
      </x:c>
      <x:c r="B54" s="40" t="str">
        <x:v>2026-06</x:v>
      </x:c>
      <x:c r="C54" s="40" t="str">
        <x:v>math.AP</x:v>
      </x:c>
      <x:c r="D54" s="40" t="str">
        <x:v>fluid/kinetic PDE</x:v>
      </x:c>
      <x:c r="E54" s="40" t="str">
        <x:v>On the non-uniqueness of solutions of the axi-symmetric swirl-free Navier-Stokes equations, I</x:v>
      </x:c>
      <x:c r="F54" s="40" t="str">
        <x:v>Alexandru D. Ionescu; Hao Jia; Stan Palasek</x:v>
      </x:c>
      <x:c r="G54" s="46" t="n">
        <x:v>24</x:v>
      </x:c>
      <x:c r="H54" s="40" t="str">
        <x:v>https://arxiv.org/abs/2606.07501</x:v>
      </x:c>
      <x:c r="I54" s="40" t="str">
        <x:v>30%评分池：按题名、作者、主题与页数预筛；默认主要结论正确，未逐篇逐行 correctness check。</x:v>
      </x:c>
      <x:c r="J54" s="46" t="n">
        <x:v>84</x:v>
      </x:c>
      <x:c r="K54" s="46" t="n">
        <x:v>84</x:v>
      </x:c>
      <x:c r="L54" s="46" t="n">
        <x:v>84</x:v>
      </x:c>
      <x:c r="M54" s="46" t="n">
        <x:v>83</x:v>
      </x:c>
      <x:c r="N54" s="46" t="n">
        <x:v>84</x:v>
      </x:c>
      <x:c r="O54" s="46" t="n">
        <x:v>83</x:v>
      </x:c>
      <x:c r="P54" s="46" t="n">
        <x:v>13</x:v>
      </x:c>
      <x:c r="Q54" s="46" t="n">
        <x:v>5</x:v>
      </x:c>
      <x:c r="R54" s="42" t="n">
        <x:f>0.30*J54+0.20*K54+0.25*L54+0.15*M54+0.10*O54</x:f>
        <x:v>83.75</x:v>
      </x:c>
      <x:c r="S54" s="42" t="n">
        <x:f>0.30*N54+0.20*L54+0.20*K54+0.15*O54+0.15*(100-P54)</x:f>
        <x:v>84.3</x:v>
      </x:c>
      <x:c r="T54" s="42" t="n">
        <x:f>(R54+S54)/2</x:f>
        <x:v>84.025</x:v>
      </x:c>
      <x:c r="U54" s="40" t="n">
        <x:f>1+COUNTIFS($T$2:$T$211,"&gt;"&amp;T54)+COUNTIFS($T$2:$T$211,T54,$R$2:$R$211,"&gt;"&amp;R54)</x:f>
        <x:v>53</x:v>
      </x:c>
      <x:c r="V54" s="40" t="str">
        <x:f>IF(U54&lt;=50,"Y","")</x:f>
      </x:c>
    </x:row>
    <x:row r="55">
      <x:c r="A55" s="40" t="str">
        <x:v>2606.09555</x:v>
      </x:c>
      <x:c r="B55" s="40" t="str">
        <x:v>2026-06</x:v>
      </x:c>
      <x:c r="C55" s="40" t="str">
        <x:v>math.AP</x:v>
      </x:c>
      <x:c r="D55" s="40" t="str">
        <x:v>inequalities/function spaces</x:v>
      </x:c>
      <x:c r="E55" s="40" t="str">
        <x:v>Sharp Quantitative Stability for the Affine p-Sobolev Inequality, Part I: The Case 2&lt;=p&lt;n</x:v>
      </x:c>
      <x:c r="F55" s="40" t="str">
        <x:v>Song Fan; Gui-Dong Li; Jianjun Zhang</x:v>
      </x:c>
      <x:c r="G55" s="46"/>
      <x:c r="H55" s="40" t="str">
        <x:v>https://arxiv.org/abs/2606.09555</x:v>
      </x:c>
      <x:c r="I55" s="40" t="str">
        <x:v>30%评分池：按题名、作者、主题与页数预筛；默认主要结论正确，未逐篇逐行 correctness check。</x:v>
      </x:c>
      <x:c r="J55" s="46" t="n">
        <x:v>84</x:v>
      </x:c>
      <x:c r="K55" s="46" t="n">
        <x:v>83</x:v>
      </x:c>
      <x:c r="L55" s="46" t="n">
        <x:v>83</x:v>
      </x:c>
      <x:c r="M55" s="46" t="n">
        <x:v>83</x:v>
      </x:c>
      <x:c r="N55" s="46" t="n">
        <x:v>83</x:v>
      </x:c>
      <x:c r="O55" s="46" t="n">
        <x:v>83</x:v>
      </x:c>
      <x:c r="P55" s="46" t="n">
        <x:v>13</x:v>
      </x:c>
      <x:c r="Q55" s="46" t="n">
        <x:v>5</x:v>
      </x:c>
      <x:c r="R55" s="42" t="n">
        <x:f>0.30*J55+0.20*K55+0.25*L55+0.15*M55+0.10*O55</x:f>
        <x:v>83.3</x:v>
      </x:c>
      <x:c r="S55" s="42" t="n">
        <x:f>0.30*N55+0.20*L55+0.20*K55+0.15*O55+0.15*(100-P55)</x:f>
        <x:v>83.6</x:v>
      </x:c>
      <x:c r="T55" s="42" t="n">
        <x:f>(R55+S55)/2</x:f>
        <x:v>83.44999999999999</x:v>
      </x:c>
      <x:c r="U55" s="40" t="n">
        <x:f>1+COUNTIFS($T$2:$T$211,"&gt;"&amp;T55)+COUNTIFS($T$2:$T$211,T55,$R$2:$R$211,"&gt;"&amp;R55)</x:f>
        <x:v>54</x:v>
      </x:c>
      <x:c r="V55" s="40" t="str">
        <x:f>IF(U55&lt;=50,"Y","")</x:f>
      </x:c>
    </x:row>
    <x:row r="56">
      <x:c r="A56" s="40" t="str">
        <x:v>2606.05707</x:v>
      </x:c>
      <x:c r="B56" s="40" t="str">
        <x:v>2026-06</x:v>
      </x:c>
      <x:c r="C56" s="40" t="str">
        <x:v>math.AP</x:v>
      </x:c>
      <x:c r="D56" s="40" t="str">
        <x:v>dispersive PDE</x:v>
      </x:c>
      <x:c r="E56" s="40" t="str">
        <x:v>Sharp mass-threshold for Dancer-type solutions of the focusing mass-critical NLS on R^d x T</x:v>
      </x:c>
      <x:c r="F56" s="40" t="str">
        <x:v>Yongming Luo</x:v>
      </x:c>
      <x:c r="G56" s="46"/>
      <x:c r="H56" s="40" t="str">
        <x:v>https://arxiv.org/abs/2606.05707</x:v>
      </x:c>
      <x:c r="I56" s="40" t="str">
        <x:v>30%评分池：按题名、作者、主题与页数预筛；默认主要结论正确，未逐篇逐行 correctness check。</x:v>
      </x:c>
      <x:c r="J56" s="46" t="n">
        <x:v>84</x:v>
      </x:c>
      <x:c r="K56" s="46" t="n">
        <x:v>83</x:v>
      </x:c>
      <x:c r="L56" s="46" t="n">
        <x:v>83</x:v>
      </x:c>
      <x:c r="M56" s="46" t="n">
        <x:v>82</x:v>
      </x:c>
      <x:c r="N56" s="46" t="n">
        <x:v>83</x:v>
      </x:c>
      <x:c r="O56" s="46" t="n">
        <x:v>83</x:v>
      </x:c>
      <x:c r="P56" s="46" t="n">
        <x:v>13</x:v>
      </x:c>
      <x:c r="Q56" s="46" t="n">
        <x:v>5</x:v>
      </x:c>
      <x:c r="R56" s="42" t="n">
        <x:f>0.30*J56+0.20*K56+0.25*L56+0.15*M56+0.10*O56</x:f>
        <x:v>83.14999999999999</x:v>
      </x:c>
      <x:c r="S56" s="42" t="n">
        <x:f>0.30*N56+0.20*L56+0.20*K56+0.15*O56+0.15*(100-P56)</x:f>
        <x:v>83.6</x:v>
      </x:c>
      <x:c r="T56" s="42" t="n">
        <x:f>(R56+S56)/2</x:f>
        <x:v>83.375</x:v>
      </x:c>
      <x:c r="U56" s="40" t="n">
        <x:f>1+COUNTIFS($T$2:$T$211,"&gt;"&amp;T56)+COUNTIFS($T$2:$T$211,T56,$R$2:$R$211,"&gt;"&amp;R56)</x:f>
        <x:v>55</x:v>
      </x:c>
      <x:c r="V56" s="40" t="str">
        <x:f>IF(U56&lt;=50,"Y","")</x:f>
      </x:c>
    </x:row>
    <x:row r="57">
      <x:c r="A57" s="40" t="str">
        <x:v>2606.04407</x:v>
      </x:c>
      <x:c r="B57" s="40" t="str">
        <x:v>2026-06</x:v>
      </x:c>
      <x:c r="C57" s="40" t="str">
        <x:v>math.AP</x:v>
      </x:c>
      <x:c r="D57" s="40" t="str">
        <x:v>fluid/kinetic PDE</x:v>
      </x:c>
      <x:c r="E57" s="40" t="str">
        <x:v>Exponential stability for the three-dimensional Navier-Stokes equations on negatively curved manifolds</x:v>
      </x:c>
      <x:c r="F57" s="40" t="str">
        <x:v>Zhi-Wei Wang; Samuel L. Braunstein</x:v>
      </x:c>
      <x:c r="G57" s="46" t="n">
        <x:v>8</x:v>
      </x:c>
      <x:c r="H57" s="40" t="str">
        <x:v>https://arxiv.org/abs/2606.04407</x:v>
      </x:c>
      <x:c r="I57" s="40" t="str">
        <x:v>30%评分池：按题名、作者、主题与页数预筛；默认主要结论正确，未逐篇逐行 correctness check。</x:v>
      </x:c>
      <x:c r="J57" s="46" t="n">
        <x:v>84</x:v>
      </x:c>
      <x:c r="K57" s="46" t="n">
        <x:v>82</x:v>
      </x:c>
      <x:c r="L57" s="46" t="n">
        <x:v>83</x:v>
      </x:c>
      <x:c r="M57" s="46" t="n">
        <x:v>82</x:v>
      </x:c>
      <x:c r="N57" s="46" t="n">
        <x:v>84</x:v>
      </x:c>
      <x:c r="O57" s="46" t="n">
        <x:v>83</x:v>
      </x:c>
      <x:c r="P57" s="46" t="n">
        <x:v>13</x:v>
      </x:c>
      <x:c r="Q57" s="46" t="n">
        <x:v>5</x:v>
      </x:c>
      <x:c r="R57" s="42" t="n">
        <x:f>0.30*J57+0.20*K57+0.25*L57+0.15*M57+0.10*O57</x:f>
        <x:v>82.95</x:v>
      </x:c>
      <x:c r="S57" s="42" t="n">
        <x:f>0.30*N57+0.20*L57+0.20*K57+0.15*O57+0.15*(100-P57)</x:f>
        <x:v>83.7</x:v>
      </x:c>
      <x:c r="T57" s="42" t="n">
        <x:f>(R57+S57)/2</x:f>
        <x:v>83.325</x:v>
      </x:c>
      <x:c r="U57" s="40" t="n">
        <x:f>1+COUNTIFS($T$2:$T$211,"&gt;"&amp;T57)+COUNTIFS($T$2:$T$211,T57,$R$2:$R$211,"&gt;"&amp;R57)</x:f>
        <x:v>56</x:v>
      </x:c>
      <x:c r="V57" s="40" t="str">
        <x:f>IF(U57&lt;=50,"Y","")</x:f>
      </x:c>
    </x:row>
    <x:row r="58">
      <x:c r="A58" s="40" t="str">
        <x:v>2606.01762</x:v>
      </x:c>
      <x:c r="B58" s="40" t="str">
        <x:v>2026-06</x:v>
      </x:c>
      <x:c r="C58" s="40" t="str">
        <x:v>math.AP</x:v>
      </x:c>
      <x:c r="D58" s="40" t="str">
        <x:v>inverse/scattering</x:v>
      </x:c>
      <x:c r="E58" s="40" t="str">
        <x:v>High-Velocity Inverse Scattering for Nonlinear Schrodinger Equations with Spatially Dependent Nonlinearities</x:v>
      </x:c>
      <x:c r="F58" s="40" t="str">
        <x:v>Satoshi Masaki; Yaxin Zhao</x:v>
      </x:c>
      <x:c r="G58" s="46" t="n">
        <x:v>13</x:v>
      </x:c>
      <x:c r="H58" s="40" t="str">
        <x:v>https://arxiv.org/abs/2606.01762</x:v>
      </x:c>
      <x:c r="I58" s="40" t="str">
        <x:v>30%评分池：按题名、作者、主题与页数预筛；默认主要结论正确，未逐篇逐行 correctness check。</x:v>
      </x:c>
      <x:c r="J58" s="46" t="n">
        <x:v>83</x:v>
      </x:c>
      <x:c r="K58" s="46" t="n">
        <x:v>83</x:v>
      </x:c>
      <x:c r="L58" s="46" t="n">
        <x:v>83</x:v>
      </x:c>
      <x:c r="M58" s="46" t="n">
        <x:v>82</x:v>
      </x:c>
      <x:c r="N58" s="46" t="n">
        <x:v>83</x:v>
      </x:c>
      <x:c r="O58" s="46" t="n">
        <x:v>83</x:v>
      </x:c>
      <x:c r="P58" s="46" t="n">
        <x:v>13</x:v>
      </x:c>
      <x:c r="Q58" s="46" t="n">
        <x:v>5</x:v>
      </x:c>
      <x:c r="R58" s="42" t="n">
        <x:f>0.30*J58+0.20*K58+0.25*L58+0.15*M58+0.10*O58</x:f>
        <x:v>82.85</x:v>
      </x:c>
      <x:c r="S58" s="42" t="n">
        <x:f>0.30*N58+0.20*L58+0.20*K58+0.15*O58+0.15*(100-P58)</x:f>
        <x:v>83.6</x:v>
      </x:c>
      <x:c r="T58" s="42" t="n">
        <x:f>(R58+S58)/2</x:f>
        <x:v>83.225</x:v>
      </x:c>
      <x:c r="U58" s="40" t="n">
        <x:f>1+COUNTIFS($T$2:$T$211,"&gt;"&amp;T58)+COUNTIFS($T$2:$T$211,T58,$R$2:$R$211,"&gt;"&amp;R58)</x:f>
        <x:v>57</x:v>
      </x:c>
      <x:c r="V58" s="40" t="str">
        <x:f>IF(U58&lt;=50,"Y","")</x:f>
      </x:c>
    </x:row>
    <x:row r="59">
      <x:c r="A59" s="40" t="str">
        <x:v>2606.08352</x:v>
      </x:c>
      <x:c r="B59" s="40" t="str">
        <x:v>2026-06</x:v>
      </x:c>
      <x:c r="C59" s="40" t="str">
        <x:v>math.AP</x:v>
      </x:c>
      <x:c r="D59" s="40" t="str">
        <x:v>fluid/kinetic PDE</x:v>
      </x:c>
      <x:c r="E59" s="40" t="str">
        <x:v>Finite-Scale One-Component Regularity via Harmonic Pressure for the 3D Navier-Stokes Equations</x:v>
      </x:c>
      <x:c r="F59" s="40" t="str">
        <x:v>Runlong Yu</x:v>
      </x:c>
      <x:c r="G59" s="46"/>
      <x:c r="H59" s="40" t="str">
        <x:v>https://arxiv.org/abs/2606.08352</x:v>
      </x:c>
      <x:c r="I59" s="40" t="str">
        <x:v>30%评分池：按题名、作者、主题与页数预筛；默认主要结论正确，未逐篇逐行 correctness check。</x:v>
      </x:c>
      <x:c r="J59" s="46" t="n">
        <x:v>83</x:v>
      </x:c>
      <x:c r="K59" s="46" t="n">
        <x:v>82</x:v>
      </x:c>
      <x:c r="L59" s="46" t="n">
        <x:v>83</x:v>
      </x:c>
      <x:c r="M59" s="46" t="n">
        <x:v>81</x:v>
      </x:c>
      <x:c r="N59" s="46" t="n">
        <x:v>83</x:v>
      </x:c>
      <x:c r="O59" s="46" t="n">
        <x:v>83</x:v>
      </x:c>
      <x:c r="P59" s="46" t="n">
        <x:v>13</x:v>
      </x:c>
      <x:c r="Q59" s="46" t="n">
        <x:v>5</x:v>
      </x:c>
      <x:c r="R59" s="42" t="n">
        <x:f>0.30*J59+0.20*K59+0.25*L59+0.15*M59+0.10*O59</x:f>
        <x:v>82.5</x:v>
      </x:c>
      <x:c r="S59" s="42" t="n">
        <x:f>0.30*N59+0.20*L59+0.20*K59+0.15*O59+0.15*(100-P59)</x:f>
        <x:v>83.4</x:v>
      </x:c>
      <x:c r="T59" s="42" t="n">
        <x:f>(R59+S59)/2</x:f>
        <x:v>82.95</x:v>
      </x:c>
      <x:c r="U59" s="40" t="n">
        <x:f>1+COUNTIFS($T$2:$T$211,"&gt;"&amp;T59)+COUNTIFS($T$2:$T$211,T59,$R$2:$R$211,"&gt;"&amp;R59)</x:f>
        <x:v>58</x:v>
      </x:c>
      <x:c r="V59" s="40" t="str">
        <x:f>IF(U59&lt;=50,"Y","")</x:f>
      </x:c>
    </x:row>
    <x:row r="60">
      <x:c r="A60" s="40" t="str">
        <x:v>2606.03542</x:v>
      </x:c>
      <x:c r="B60" s="40" t="str">
        <x:v>2026-06</x:v>
      </x:c>
      <x:c r="C60" s="40" t="str">
        <x:v>math.AP</x:v>
      </x:c>
      <x:c r="D60" s="40" t="str">
        <x:v>fluid/kinetic PDE</x:v>
      </x:c>
      <x:c r="E60" s="40" t="str">
        <x:v>Eventual regularity and asymptotic behavior of Leray-Hopf weak solutions for the Hall-MHD system</x:v>
      </x:c>
      <x:c r="F60" s="40" t="str">
        <x:v>Jinwook Jung; Jaeyong Shin</x:v>
      </x:c>
      <x:c r="G60" s="46" t="n">
        <x:v>27</x:v>
      </x:c>
      <x:c r="H60" s="40" t="str">
        <x:v>https://arxiv.org/abs/2606.03542</x:v>
      </x:c>
      <x:c r="I60" s="40" t="str">
        <x:v>30%评分池：按题名、作者、主题与页数预筛；默认主要结论正确，未逐篇逐行 correctness check。</x:v>
      </x:c>
      <x:c r="J60" s="46" t="n">
        <x:v>82</x:v>
      </x:c>
      <x:c r="K60" s="46" t="n">
        <x:v>82</x:v>
      </x:c>
      <x:c r="L60" s="46" t="n">
        <x:v>83</x:v>
      </x:c>
      <x:c r="M60" s="46" t="n">
        <x:v>81</x:v>
      </x:c>
      <x:c r="N60" s="46" t="n">
        <x:v>83</x:v>
      </x:c>
      <x:c r="O60" s="46" t="n">
        <x:v>83</x:v>
      </x:c>
      <x:c r="P60" s="46" t="n">
        <x:v>13</x:v>
      </x:c>
      <x:c r="Q60" s="46" t="n">
        <x:v>5</x:v>
      </x:c>
      <x:c r="R60" s="42" t="n">
        <x:f>0.30*J60+0.20*K60+0.25*L60+0.15*M60+0.10*O60</x:f>
        <x:v>82.2</x:v>
      </x:c>
      <x:c r="S60" s="42" t="n">
        <x:f>0.30*N60+0.20*L60+0.20*K60+0.15*O60+0.15*(100-P60)</x:f>
        <x:v>83.4</x:v>
      </x:c>
      <x:c r="T60" s="42" t="n">
        <x:f>(R60+S60)/2</x:f>
        <x:v>82.80000000000001</x:v>
      </x:c>
      <x:c r="U60" s="40" t="n">
        <x:f>1+COUNTIFS($T$2:$T$211,"&gt;"&amp;T60)+COUNTIFS($T$2:$T$211,T60,$R$2:$R$211,"&gt;"&amp;R60)</x:f>
        <x:v>59</x:v>
      </x:c>
      <x:c r="V60" s="40" t="str">
        <x:f>IF(U60&lt;=50,"Y","")</x:f>
      </x:c>
    </x:row>
    <x:row r="61">
      <x:c r="A61" s="40" t="str">
        <x:v>2606.00594</x:v>
      </x:c>
      <x:c r="B61" s="40" t="str">
        <x:v>2026-06</x:v>
      </x:c>
      <x:c r="C61" s="40" t="str">
        <x:v>math.AP</x:v>
      </x:c>
      <x:c r="D61" s="40" t="str">
        <x:v>analysis/PDE</x:v>
      </x:c>
      <x:c r="E61" s="40" t="str">
        <x:v>A Nonlocal p-Laplacian Interface Model with Sharp Interface</x:v>
      </x:c>
      <x:c r="F61" s="40" t="str">
        <x:v>Kehan Shi; Zuoqiang Shi; Tangjun Wang</x:v>
      </x:c>
      <x:c r="G61" s="46"/>
      <x:c r="H61" s="40" t="str">
        <x:v>https://arxiv.org/abs/2606.00594</x:v>
      </x:c>
      <x:c r="I61" s="40" t="str">
        <x:v>30%评分池：按题名、作者、主题与页数预筛；默认主要结论正确，未逐篇逐行 correctness check。</x:v>
      </x:c>
      <x:c r="J61" s="46" t="n">
        <x:v>83</x:v>
      </x:c>
      <x:c r="K61" s="46" t="n">
        <x:v>83</x:v>
      </x:c>
      <x:c r="L61" s="46" t="n">
        <x:v>82</x:v>
      </x:c>
      <x:c r="M61" s="46" t="n">
        <x:v>81</x:v>
      </x:c>
      <x:c r="N61" s="46" t="n">
        <x:v>82</x:v>
      </x:c>
      <x:c r="O61" s="46" t="n">
        <x:v>82</x:v>
      </x:c>
      <x:c r="P61" s="46" t="n">
        <x:v>13</x:v>
      </x:c>
      <x:c r="Q61" s="46" t="n">
        <x:v>5</x:v>
      </x:c>
      <x:c r="R61" s="42" t="n">
        <x:f>0.30*J61+0.20*K61+0.25*L61+0.15*M61+0.10*O61</x:f>
        <x:v>82.35000000000001</x:v>
      </x:c>
      <x:c r="S61" s="42" t="n">
        <x:f>0.30*N61+0.20*L61+0.20*K61+0.15*O61+0.15*(100-P61)</x:f>
        <x:v>82.95</x:v>
      </x:c>
      <x:c r="T61" s="42" t="n">
        <x:f>(R61+S61)/2</x:f>
        <x:v>82.65</x:v>
      </x:c>
      <x:c r="U61" s="40" t="n">
        <x:f>1+COUNTIFS($T$2:$T$211,"&gt;"&amp;T61)+COUNTIFS($T$2:$T$211,T61,$R$2:$R$211,"&gt;"&amp;R61)</x:f>
        <x:v>63</x:v>
      </x:c>
      <x:c r="V61" s="40" t="str">
        <x:f>IF(U61&lt;=50,"Y","")</x:f>
      </x:c>
    </x:row>
    <x:row r="62">
      <x:c r="A62" s="40" t="str">
        <x:v>2606.01812</x:v>
      </x:c>
      <x:c r="B62" s="40" t="str">
        <x:v>2026-06</x:v>
      </x:c>
      <x:c r="C62" s="40" t="str">
        <x:v>math.AP</x:v>
      </x:c>
      <x:c r="D62" s="40" t="str">
        <x:v>inverse/scattering</x:v>
      </x:c>
      <x:c r="E62" s="40" t="str">
        <x:v>Uniqueness of an Inverse Coefficient Problem for a Time-Fractional Damped Wave Equation from Boundary Measurements</x:v>
      </x:c>
      <x:c r="F62" s="40" t="str">
        <x:v>Kai Yu</x:v>
      </x:c>
      <x:c r="G62" s="46"/>
      <x:c r="H62" s="40" t="str">
        <x:v>https://arxiv.org/abs/2606.01812</x:v>
      </x:c>
      <x:c r="I62" s="40" t="str">
        <x:v>30%评分池：按题名、作者、主题与页数预筛；默认主要结论正确，未逐篇逐行 correctness check。</x:v>
      </x:c>
      <x:c r="J62" s="46" t="n">
        <x:v>82</x:v>
      </x:c>
      <x:c r="K62" s="46" t="n">
        <x:v>83</x:v>
      </x:c>
      <x:c r="L62" s="46" t="n">
        <x:v>83</x:v>
      </x:c>
      <x:c r="M62" s="46" t="n">
        <x:v>81</x:v>
      </x:c>
      <x:c r="N62" s="46" t="n">
        <x:v>82</x:v>
      </x:c>
      <x:c r="O62" s="46" t="n">
        <x:v>82</x:v>
      </x:c>
      <x:c r="P62" s="46" t="n">
        <x:v>13</x:v>
      </x:c>
      <x:c r="Q62" s="46" t="n">
        <x:v>5</x:v>
      </x:c>
      <x:c r="R62" s="42" t="n">
        <x:f>0.30*J62+0.20*K62+0.25*L62+0.15*M62+0.10*O62</x:f>
        <x:v>82.30000000000001</x:v>
      </x:c>
      <x:c r="S62" s="42" t="n">
        <x:f>0.30*N62+0.20*L62+0.20*K62+0.15*O62+0.15*(100-P62)</x:f>
        <x:v>83.15</x:v>
      </x:c>
      <x:c r="T62" s="42" t="n">
        <x:f>(R62+S62)/2</x:f>
        <x:v>82.72500000000001</x:v>
      </x:c>
      <x:c r="U62" s="40" t="n">
        <x:f>1+COUNTIFS($T$2:$T$211,"&gt;"&amp;T62)+COUNTIFS($T$2:$T$211,T62,$R$2:$R$211,"&gt;"&amp;R62)</x:f>
        <x:v>60</x:v>
      </x:c>
      <x:c r="V62" s="40" t="str">
        <x:f>IF(U62&lt;=50,"Y","")</x:f>
      </x:c>
    </x:row>
    <x:row r="63">
      <x:c r="A63" s="40" t="str">
        <x:v>2606.08321</x:v>
      </x:c>
      <x:c r="B63" s="40" t="str">
        <x:v>2026-06</x:v>
      </x:c>
      <x:c r="C63" s="40" t="str">
        <x:v>math.AP</x:v>
      </x:c>
      <x:c r="D63" s="40" t="str">
        <x:v>inverse/scattering</x:v>
      </x:c>
      <x:c r="E63" s="40" t="str">
        <x:v>Inverse scattering for focusing NLS with elliptic background and full soliton gas</x:v>
      </x:c>
      <x:c r="F63" s="40" t="str">
        <x:v>Tamara Grava; Robert Jenkins; Xiaofan Zhang; Zechuan Zhang</x:v>
      </x:c>
      <x:c r="G63" s="46" t="n">
        <x:v>33</x:v>
      </x:c>
      <x:c r="H63" s="40" t="str">
        <x:v>https://arxiv.org/abs/2606.08321</x:v>
      </x:c>
      <x:c r="I63" s="40" t="str">
        <x:v>30%评分池：按题名、作者、主题与页数预筛；默认主要结论正确，未逐篇逐行 correctness check。</x:v>
      </x:c>
      <x:c r="J63" s="46" t="n">
        <x:v>82</x:v>
      </x:c>
      <x:c r="K63" s="46" t="n">
        <x:v>83</x:v>
      </x:c>
      <x:c r="L63" s="46" t="n">
        <x:v>83</x:v>
      </x:c>
      <x:c r="M63" s="46" t="n">
        <x:v>81</x:v>
      </x:c>
      <x:c r="N63" s="46" t="n">
        <x:v>82</x:v>
      </x:c>
      <x:c r="O63" s="46" t="n">
        <x:v>82</x:v>
      </x:c>
      <x:c r="P63" s="46" t="n">
        <x:v>13</x:v>
      </x:c>
      <x:c r="Q63" s="46" t="n">
        <x:v>5</x:v>
      </x:c>
      <x:c r="R63" s="42" t="n">
        <x:f>0.30*J63+0.20*K63+0.25*L63+0.15*M63+0.10*O63</x:f>
        <x:v>82.30000000000001</x:v>
      </x:c>
      <x:c r="S63" s="42" t="n">
        <x:f>0.30*N63+0.20*L63+0.20*K63+0.15*O63+0.15*(100-P63)</x:f>
        <x:v>83.15</x:v>
      </x:c>
      <x:c r="T63" s="42" t="n">
        <x:f>(R63+S63)/2</x:f>
        <x:v>82.72500000000001</x:v>
      </x:c>
      <x:c r="U63" s="40" t="n">
        <x:f>1+COUNTIFS($T$2:$T$211,"&gt;"&amp;T63)+COUNTIFS($T$2:$T$211,T63,$R$2:$R$211,"&gt;"&amp;R63)</x:f>
        <x:v>60</x:v>
      </x:c>
      <x:c r="V63" s="40" t="str">
        <x:f>IF(U63&lt;=50,"Y","")</x:f>
      </x:c>
    </x:row>
    <x:row r="64">
      <x:c r="A64" s="40" t="str">
        <x:v>2606.15731</x:v>
      </x:c>
      <x:c r="B64" s="40" t="str">
        <x:v>2026-06</x:v>
      </x:c>
      <x:c r="C64" s="40" t="str">
        <x:v>math.AP</x:v>
      </x:c>
      <x:c r="D64" s="40" t="str">
        <x:v>inverse/scattering</x:v>
      </x:c>
      <x:c r="E64" s="40" t="str">
        <x:v>Scattering and blow-up solutions to nonlinear Schrodinger equation beyond the threshold</x:v>
      </x:c>
      <x:c r="F64" s="40" t="str">
        <x:v>Masaru Hamano</x:v>
      </x:c>
      <x:c r="G64" s="46" t="n">
        <x:v>24</x:v>
      </x:c>
      <x:c r="H64" s="40" t="str">
        <x:v>https://arxiv.org/abs/2606.15731</x:v>
      </x:c>
      <x:c r="I64" s="40" t="str">
        <x:v>30%评分池：按题名、作者、主题与页数预筛；默认主要结论正确，未逐篇逐行 correctness check。</x:v>
      </x:c>
      <x:c r="J64" s="46" t="n">
        <x:v>82</x:v>
      </x:c>
      <x:c r="K64" s="46" t="n">
        <x:v>82</x:v>
      </x:c>
      <x:c r="L64" s="46" t="n">
        <x:v>83</x:v>
      </x:c>
      <x:c r="M64" s="46" t="n">
        <x:v>81</x:v>
      </x:c>
      <x:c r="N64" s="46" t="n">
        <x:v>83</x:v>
      </x:c>
      <x:c r="O64" s="46" t="n">
        <x:v>82</x:v>
      </x:c>
      <x:c r="P64" s="46" t="n">
        <x:v>13</x:v>
      </x:c>
      <x:c r="Q64" s="46" t="n">
        <x:v>5</x:v>
      </x:c>
      <x:c r="R64" s="42" t="n">
        <x:f>0.30*J64+0.20*K64+0.25*L64+0.15*M64+0.10*O64</x:f>
        <x:v>82.10000000000001</x:v>
      </x:c>
      <x:c r="S64" s="42" t="n">
        <x:f>0.30*N64+0.20*L64+0.20*K64+0.15*O64+0.15*(100-P64)</x:f>
        <x:v>83.25</x:v>
      </x:c>
      <x:c r="T64" s="42" t="n">
        <x:f>(R64+S64)/2</x:f>
        <x:v>82.67500000000001</x:v>
      </x:c>
      <x:c r="U64" s="40" t="n">
        <x:f>1+COUNTIFS($T$2:$T$211,"&gt;"&amp;T64)+COUNTIFS($T$2:$T$211,T64,$R$2:$R$211,"&gt;"&amp;R64)</x:f>
        <x:v>62</x:v>
      </x:c>
      <x:c r="V64" s="40" t="str">
        <x:f>IF(U64&lt;=50,"Y","")</x:f>
      </x:c>
    </x:row>
    <x:row r="65">
      <x:c r="A65" s="40" t="str">
        <x:v>2606.01449</x:v>
      </x:c>
      <x:c r="B65" s="40" t="str">
        <x:v>2026-06</x:v>
      </x:c>
      <x:c r="C65" s="40" t="str">
        <x:v>math.AP</x:v>
      </x:c>
      <x:c r="D65" s="40" t="str">
        <x:v>elliptic/parabolic regularity</x:v>
      </x:c>
      <x:c r="E65" s="40" t="str">
        <x:v>Harnack inequality for superposition operators of mixed fractional order</x:v>
      </x:c>
      <x:c r="F65" s="40" t="str">
        <x:v>Souvik Bhowmick; Sekhar Ghosh; Vishvesh Kumar; R. Lakshmi</x:v>
      </x:c>
      <x:c r="G65" s="46"/>
      <x:c r="H65" s="40" t="str">
        <x:v>https://arxiv.org/abs/2606.01449</x:v>
      </x:c>
      <x:c r="I65" s="40" t="str">
        <x:v>30%评分池：按题名、作者、主题与页数预筛；默认主要结论正确，未逐篇逐行 correctness check。</x:v>
      </x:c>
      <x:c r="J65" s="46" t="n">
        <x:v>82</x:v>
      </x:c>
      <x:c r="K65" s="46" t="n">
        <x:v>82</x:v>
      </x:c>
      <x:c r="L65" s="46" t="n">
        <x:v>82</x:v>
      </x:c>
      <x:c r="M65" s="46" t="n">
        <x:v>83</x:v>
      </x:c>
      <x:c r="N65" s="46" t="n">
        <x:v>82</x:v>
      </x:c>
      <x:c r="O65" s="46" t="n">
        <x:v>83</x:v>
      </x:c>
      <x:c r="P65" s="46" t="n">
        <x:v>13</x:v>
      </x:c>
      <x:c r="Q65" s="46" t="n">
        <x:v>5</x:v>
      </x:c>
      <x:c r="R65" s="42" t="n">
        <x:f>0.30*J65+0.20*K65+0.25*L65+0.15*M65+0.10*O65</x:f>
        <x:v>82.25</x:v>
      </x:c>
      <x:c r="S65" s="42" t="n">
        <x:f>0.30*N65+0.20*L65+0.20*K65+0.15*O65+0.15*(100-P65)</x:f>
        <x:v>82.9</x:v>
      </x:c>
      <x:c r="T65" s="42" t="n">
        <x:f>(R65+S65)/2</x:f>
        <x:v>82.575</x:v>
      </x:c>
      <x:c r="U65" s="40" t="n">
        <x:f>1+COUNTIFS($T$2:$T$211,"&gt;"&amp;T65)+COUNTIFS($T$2:$T$211,T65,$R$2:$R$211,"&gt;"&amp;R65)</x:f>
        <x:v>65</x:v>
      </x:c>
      <x:c r="V65" s="40" t="str">
        <x:f>IF(U65&lt;=50,"Y","")</x:f>
      </x:c>
    </x:row>
    <x:row r="66">
      <x:c r="A66" s="40" t="str">
        <x:v>2606.08924</x:v>
      </x:c>
      <x:c r="B66" s="40" t="str">
        <x:v>2026-06</x:v>
      </x:c>
      <x:c r="C66" s="40" t="str">
        <x:v>math.AP</x:v>
      </x:c>
      <x:c r="D66" s="40" t="str">
        <x:v>fluid/kinetic PDE</x:v>
      </x:c>
      <x:c r="E66" s="40" t="str">
        <x:v>Strong Ill-posedness of the 2d Incompressible Euler Equation in Critical Besov Spaces</x:v>
      </x:c>
      <x:c r="F66" s="40" t="str">
        <x:v>Karim R. Shikh Khalil</x:v>
      </x:c>
      <x:c r="G66" s="46"/>
      <x:c r="H66" s="40" t="str">
        <x:v>https://arxiv.org/abs/2606.08924</x:v>
      </x:c>
      <x:c r="I66" s="40" t="str">
        <x:v>30%评分池：按题名、作者、主题与页数预筛；默认主要结论正确，未逐篇逐行 correctness check。</x:v>
      </x:c>
      <x:c r="J66" s="46" t="n">
        <x:v>83</x:v>
      </x:c>
      <x:c r="K66" s="46" t="n">
        <x:v>82</x:v>
      </x:c>
      <x:c r="L66" s="46" t="n">
        <x:v>82</x:v>
      </x:c>
      <x:c r="M66" s="46" t="n">
        <x:v>81</x:v>
      </x:c>
      <x:c r="N66" s="46" t="n">
        <x:v>83</x:v>
      </x:c>
      <x:c r="O66" s="46" t="n">
        <x:v>82</x:v>
      </x:c>
      <x:c r="P66" s="46" t="n">
        <x:v>13</x:v>
      </x:c>
      <x:c r="Q66" s="46" t="n">
        <x:v>5</x:v>
      </x:c>
      <x:c r="R66" s="42" t="n">
        <x:f>0.30*J66+0.20*K66+0.25*L66+0.15*M66+0.10*O66</x:f>
        <x:v>82.15</x:v>
      </x:c>
      <x:c r="S66" s="42" t="n">
        <x:f>0.30*N66+0.20*L66+0.20*K66+0.15*O66+0.15*(100-P66)</x:f>
        <x:v>83.05</x:v>
      </x:c>
      <x:c r="T66" s="42" t="n">
        <x:f>(R66+S66)/2</x:f>
        <x:v>82.6</x:v>
      </x:c>
      <x:c r="U66" s="40" t="n">
        <x:f>1+COUNTIFS($T$2:$T$211,"&gt;"&amp;T66)+COUNTIFS($T$2:$T$211,T66,$R$2:$R$211,"&gt;"&amp;R66)</x:f>
        <x:v>64</x:v>
      </x:c>
      <x:c r="V66" s="40" t="str">
        <x:f>IF(U66&lt;=50,"Y","")</x:f>
      </x:c>
    </x:row>
    <x:row r="67">
      <x:c r="A67" s="40" t="str">
        <x:v>2606.01559</x:v>
      </x:c>
      <x:c r="B67" s="40" t="str">
        <x:v>2026-06</x:v>
      </x:c>
      <x:c r="C67" s="40" t="str">
        <x:v>math.AP</x:v>
      </x:c>
      <x:c r="D67" s="40" t="str">
        <x:v>homogenization/asymptotics</x:v>
      </x:c>
      <x:c r="E67" s="40" t="str">
        <x:v>Asymptotic stability of strong rarefaction waves to a parabolic-hyperbolic system arising from chemotaxis</x:v>
      </x:c>
      <x:c r="F67" s="40" t="str">
        <x:v>Sitong Liu; Jingyu Li</x:v>
      </x:c>
      <x:c r="G67" s="46"/>
      <x:c r="H67" s="40" t="str">
        <x:v>https://arxiv.org/abs/2606.01559</x:v>
      </x:c>
      <x:c r="I67" s="40" t="str">
        <x:v>30%评分池：按题名、作者、主题与页数预筛；默认主要结论正确，未逐篇逐行 correctness check。</x:v>
      </x:c>
      <x:c r="J67" s="46" t="n">
        <x:v>82</x:v>
      </x:c>
      <x:c r="K67" s="46" t="n">
        <x:v>82</x:v>
      </x:c>
      <x:c r="L67" s="46" t="n">
        <x:v>83</x:v>
      </x:c>
      <x:c r="M67" s="46" t="n">
        <x:v>81</x:v>
      </x:c>
      <x:c r="N67" s="46" t="n">
        <x:v>82</x:v>
      </x:c>
      <x:c r="O67" s="46" t="n">
        <x:v>82</x:v>
      </x:c>
      <x:c r="P67" s="46" t="n">
        <x:v>13</x:v>
      </x:c>
      <x:c r="Q67" s="46" t="n">
        <x:v>5</x:v>
      </x:c>
      <x:c r="R67" s="42" t="n">
        <x:f>0.30*J67+0.20*K67+0.25*L67+0.15*M67+0.10*O67</x:f>
        <x:v>82.10000000000001</x:v>
      </x:c>
      <x:c r="S67" s="42" t="n">
        <x:f>0.30*N67+0.20*L67+0.20*K67+0.15*O67+0.15*(100-P67)</x:f>
        <x:v>82.95</x:v>
      </x:c>
      <x:c r="T67" s="42" t="n">
        <x:f>(R67+S67)/2</x:f>
        <x:v>82.525</x:v>
      </x:c>
      <x:c r="U67" s="40" t="n">
        <x:f>1+COUNTIFS($T$2:$T$211,"&gt;"&amp;T67)+COUNTIFS($T$2:$T$211,T67,$R$2:$R$211,"&gt;"&amp;R67)</x:f>
        <x:v>66</x:v>
      </x:c>
      <x:c r="V67" s="40" t="str">
        <x:f>IF(U67&lt;=50,"Y","")</x:f>
      </x:c>
    </x:row>
    <x:row r="68">
      <x:c r="A68" s="40" t="str">
        <x:v>2606.02088</x:v>
      </x:c>
      <x:c r="B68" s="40" t="str">
        <x:v>2026-06</x:v>
      </x:c>
      <x:c r="C68" s="40" t="str">
        <x:v>math.AP</x:v>
      </x:c>
      <x:c r="D68" s="40" t="str">
        <x:v>homogenization/asymptotics</x:v>
      </x:c>
      <x:c r="E68" s="40" t="str">
        <x:v>Modified scattering type asymptotic behavior for a quadratic nonlinear Schrodinger system under the mass-resonance condition in two dimensions</x:v>
      </x:c>
      <x:c r="F68" s="40" t="str">
        <x:v>Satoshi Masaki; Kota Uriya</x:v>
      </x:c>
      <x:c r="G68" s="46" t="n">
        <x:v>18</x:v>
      </x:c>
      <x:c r="H68" s="40" t="str">
        <x:v>https://arxiv.org/abs/2606.02088</x:v>
      </x:c>
      <x:c r="I68" s="40" t="str">
        <x:v>30%评分池：按题名、作者、主题与页数预筛；默认主要结论正确，未逐篇逐行 correctness check。</x:v>
      </x:c>
      <x:c r="J68" s="46" t="n">
        <x:v>82</x:v>
      </x:c>
      <x:c r="K68" s="46" t="n">
        <x:v>82</x:v>
      </x:c>
      <x:c r="L68" s="46" t="n">
        <x:v>83</x:v>
      </x:c>
      <x:c r="M68" s="46" t="n">
        <x:v>81</x:v>
      </x:c>
      <x:c r="N68" s="46" t="n">
        <x:v>82</x:v>
      </x:c>
      <x:c r="O68" s="46" t="n">
        <x:v>82</x:v>
      </x:c>
      <x:c r="P68" s="46" t="n">
        <x:v>13</x:v>
      </x:c>
      <x:c r="Q68" s="46" t="n">
        <x:v>5</x:v>
      </x:c>
      <x:c r="R68" s="42" t="n">
        <x:f>0.30*J68+0.20*K68+0.25*L68+0.15*M68+0.10*O68</x:f>
        <x:v>82.10000000000001</x:v>
      </x:c>
      <x:c r="S68" s="42" t="n">
        <x:f>0.30*N68+0.20*L68+0.20*K68+0.15*O68+0.15*(100-P68)</x:f>
        <x:v>82.95</x:v>
      </x:c>
      <x:c r="T68" s="42" t="n">
        <x:f>(R68+S68)/2</x:f>
        <x:v>82.525</x:v>
      </x:c>
      <x:c r="U68" s="40" t="n">
        <x:f>1+COUNTIFS($T$2:$T$211,"&gt;"&amp;T68)+COUNTIFS($T$2:$T$211,T68,$R$2:$R$211,"&gt;"&amp;R68)</x:f>
        <x:v>66</x:v>
      </x:c>
      <x:c r="V68" s="40" t="str">
        <x:f>IF(U68&lt;=50,"Y","")</x:f>
      </x:c>
    </x:row>
    <x:row r="69">
      <x:c r="A69" s="40" t="str">
        <x:v>2606.03185</x:v>
      </x:c>
      <x:c r="B69" s="40" t="str">
        <x:v>2026-06</x:v>
      </x:c>
      <x:c r="C69" s="40" t="str">
        <x:v>math.AP</x:v>
      </x:c>
      <x:c r="D69" s="40" t="str">
        <x:v>inequalities/function spaces</x:v>
      </x:c>
      <x:c r="E69" s="40" t="str">
        <x:v>Fractional Sobolev embeddings on noncommutative torus</x:v>
      </x:c>
      <x:c r="F69" s="40" t="str">
        <x:v>F. Sukochev; R. Tastankul; K. Tulenov; D. Zanin</x:v>
      </x:c>
      <x:c r="G69" s="46" t="n">
        <x:v>30</x:v>
      </x:c>
      <x:c r="H69" s="40" t="str">
        <x:v>https://arxiv.org/abs/2606.03185</x:v>
      </x:c>
      <x:c r="I69" s="40" t="str">
        <x:v>30%评分池：按题名、作者、主题与页数预筛；默认主要结论正确，未逐篇逐行 correctness check。</x:v>
      </x:c>
      <x:c r="J69" s="46" t="n">
        <x:v>82</x:v>
      </x:c>
      <x:c r="K69" s="46" t="n">
        <x:v>82</x:v>
      </x:c>
      <x:c r="L69" s="46" t="n">
        <x:v>82</x:v>
      </x:c>
      <x:c r="M69" s="46" t="n">
        <x:v>81</x:v>
      </x:c>
      <x:c r="N69" s="46" t="n">
        <x:v>82</x:v>
      </x:c>
      <x:c r="O69" s="46" t="n">
        <x:v>82</x:v>
      </x:c>
      <x:c r="P69" s="46" t="n">
        <x:v>13</x:v>
      </x:c>
      <x:c r="Q69" s="46" t="n">
        <x:v>5</x:v>
      </x:c>
      <x:c r="R69" s="42" t="n">
        <x:f>0.30*J69+0.20*K69+0.25*L69+0.15*M69+0.10*O69</x:f>
        <x:v>81.85000000000001</x:v>
      </x:c>
      <x:c r="S69" s="42" t="n">
        <x:f>0.30*N69+0.20*L69+0.20*K69+0.15*O69+0.15*(100-P69)</x:f>
        <x:v>82.75</x:v>
      </x:c>
      <x:c r="T69" s="42" t="n">
        <x:f>(R69+S69)/2</x:f>
        <x:v>82.30000000000001</x:v>
      </x:c>
      <x:c r="U69" s="40" t="n">
        <x:f>1+COUNTIFS($T$2:$T$211,"&gt;"&amp;T69)+COUNTIFS($T$2:$T$211,T69,$R$2:$R$211,"&gt;"&amp;R69)</x:f>
        <x:v>68</x:v>
      </x:c>
      <x:c r="V69" s="40" t="str">
        <x:f>IF(U69&lt;=50,"Y","")</x:f>
      </x:c>
    </x:row>
    <x:row r="70">
      <x:c r="A70" s="40" t="str">
        <x:v>2606.11575</x:v>
      </x:c>
      <x:c r="B70" s="40" t="str">
        <x:v>2026-06</x:v>
      </x:c>
      <x:c r="C70" s="40" t="str">
        <x:v>math.AP</x:v>
      </x:c>
      <x:c r="D70" s="40" t="str">
        <x:v>fluid/kinetic PDE</x:v>
      </x:c>
      <x:c r="E70" s="40" t="str">
        <x:v>Pressure effects on critical scaling and global low-regularity solutions for compressible Navier-Stokes system</x:v>
      </x:c>
      <x:c r="F70" s="40" t="str">
        <x:v>Lin Xu; Xin Zhong</x:v>
      </x:c>
      <x:c r="G70" s="46"/>
      <x:c r="H70" s="40" t="str">
        <x:v>https://arxiv.org/abs/2606.11575</x:v>
      </x:c>
      <x:c r="I70" s="40" t="str">
        <x:v>30%评分池：按题名、作者、主题与页数预筛；默认主要结论正确，未逐篇逐行 correctness check。</x:v>
      </x:c>
      <x:c r="J70" s="46" t="n">
        <x:v>82</x:v>
      </x:c>
      <x:c r="K70" s="46" t="n">
        <x:v>81</x:v>
      </x:c>
      <x:c r="L70" s="46" t="n">
        <x:v>82</x:v>
      </x:c>
      <x:c r="M70" s="46" t="n">
        <x:v>80</x:v>
      </x:c>
      <x:c r="N70" s="46" t="n">
        <x:v>82</x:v>
      </x:c>
      <x:c r="O70" s="46" t="n">
        <x:v>82</x:v>
      </x:c>
      <x:c r="P70" s="46" t="n">
        <x:v>13</x:v>
      </x:c>
      <x:c r="Q70" s="46" t="n">
        <x:v>5</x:v>
      </x:c>
      <x:c r="R70" s="42" t="n">
        <x:f>0.30*J70+0.20*K70+0.25*L70+0.15*M70+0.10*O70</x:f>
        <x:v>81.5</x:v>
      </x:c>
      <x:c r="S70" s="42" t="n">
        <x:f>0.30*N70+0.20*L70+0.20*K70+0.15*O70+0.15*(100-P70)</x:f>
        <x:v>82.55</x:v>
      </x:c>
      <x:c r="T70" s="42" t="n">
        <x:f>(R70+S70)/2</x:f>
        <x:v>82.025</x:v>
      </x:c>
      <x:c r="U70" s="40" t="n">
        <x:f>1+COUNTIFS($T$2:$T$211,"&gt;"&amp;T70)+COUNTIFS($T$2:$T$211,T70,$R$2:$R$211,"&gt;"&amp;R70)</x:f>
        <x:v>69</x:v>
      </x:c>
      <x:c r="V70" s="40" t="str">
        <x:f>IF(U70&lt;=50,"Y","")</x:f>
      </x:c>
    </x:row>
    <x:row r="71">
      <x:c r="A71" s="40" t="str">
        <x:v>2606.11720</x:v>
      </x:c>
      <x:c r="B71" s="40" t="str">
        <x:v>2026-06</x:v>
      </x:c>
      <x:c r="C71" s="40" t="str">
        <x:v>math.AP</x:v>
      </x:c>
      <x:c r="D71" s="40" t="str">
        <x:v>fluid/kinetic PDE</x:v>
      </x:c>
      <x:c r="E71" s="40" t="str">
        <x:v>Strict 2.5D Shadows for One-Component Navier-Stokes Regularity</x:v>
      </x:c>
      <x:c r="F71" s="40" t="str">
        <x:v>Runlong Yu</x:v>
      </x:c>
      <x:c r="G71" s="46"/>
      <x:c r="H71" s="40" t="str">
        <x:v>https://arxiv.org/abs/2606.11720</x:v>
      </x:c>
      <x:c r="I71" s="40" t="str">
        <x:v>30%评分池：按题名、作者、主题与页数预筛；默认主要结论正确，未逐篇逐行 correctness check。</x:v>
      </x:c>
      <x:c r="J71" s="46" t="n">
        <x:v>82</x:v>
      </x:c>
      <x:c r="K71" s="46" t="n">
        <x:v>81</x:v>
      </x:c>
      <x:c r="L71" s="46" t="n">
        <x:v>82</x:v>
      </x:c>
      <x:c r="M71" s="46" t="n">
        <x:v>80</x:v>
      </x:c>
      <x:c r="N71" s="46" t="n">
        <x:v>82</x:v>
      </x:c>
      <x:c r="O71" s="46" t="n">
        <x:v>82</x:v>
      </x:c>
      <x:c r="P71" s="46" t="n">
        <x:v>13</x:v>
      </x:c>
      <x:c r="Q71" s="46" t="n">
        <x:v>5</x:v>
      </x:c>
      <x:c r="R71" s="42" t="n">
        <x:f>0.30*J71+0.20*K71+0.25*L71+0.15*M71+0.10*O71</x:f>
        <x:v>81.5</x:v>
      </x:c>
      <x:c r="S71" s="42" t="n">
        <x:f>0.30*N71+0.20*L71+0.20*K71+0.15*O71+0.15*(100-P71)</x:f>
        <x:v>82.55</x:v>
      </x:c>
      <x:c r="T71" s="42" t="n">
        <x:f>(R71+S71)/2</x:f>
        <x:v>82.025</x:v>
      </x:c>
      <x:c r="U71" s="40" t="n">
        <x:f>1+COUNTIFS($T$2:$T$211,"&gt;"&amp;T71)+COUNTIFS($T$2:$T$211,T71,$R$2:$R$211,"&gt;"&amp;R71)</x:f>
        <x:v>69</x:v>
      </x:c>
      <x:c r="V71" s="40" t="str">
        <x:f>IF(U71&lt;=50,"Y","")</x:f>
      </x:c>
    </x:row>
    <x:row r="72">
      <x:c r="A72" s="40" t="str">
        <x:v>2606.12756</x:v>
      </x:c>
      <x:c r="B72" s="40" t="str">
        <x:v>2026-06</x:v>
      </x:c>
      <x:c r="C72" s="40" t="str">
        <x:v>math.AP</x:v>
      </x:c>
      <x:c r="D72" s="40" t="str">
        <x:v>fluid/kinetic PDE</x:v>
      </x:c>
      <x:c r="E72" s="40" t="str">
        <x:v>Invisible Defect Cascades for Navier-Stokes Regularity</x:v>
      </x:c>
      <x:c r="F72" s="40" t="str">
        <x:v>Runlong Yu</x:v>
      </x:c>
      <x:c r="G72" s="46"/>
      <x:c r="H72" s="40" t="str">
        <x:v>https://arxiv.org/abs/2606.12756</x:v>
      </x:c>
      <x:c r="I72" s="40" t="str">
        <x:v>30%评分池：按题名、作者、主题与页数预筛；默认主要结论正确，未逐篇逐行 correctness check。</x:v>
      </x:c>
      <x:c r="J72" s="46" t="n">
        <x:v>82</x:v>
      </x:c>
      <x:c r="K72" s="46" t="n">
        <x:v>81</x:v>
      </x:c>
      <x:c r="L72" s="46" t="n">
        <x:v>82</x:v>
      </x:c>
      <x:c r="M72" s="46" t="n">
        <x:v>80</x:v>
      </x:c>
      <x:c r="N72" s="46" t="n">
        <x:v>82</x:v>
      </x:c>
      <x:c r="O72" s="46" t="n">
        <x:v>82</x:v>
      </x:c>
      <x:c r="P72" s="46" t="n">
        <x:v>13</x:v>
      </x:c>
      <x:c r="Q72" s="46" t="n">
        <x:v>5</x:v>
      </x:c>
      <x:c r="R72" s="42" t="n">
        <x:f>0.30*J72+0.20*K72+0.25*L72+0.15*M72+0.10*O72</x:f>
        <x:v>81.5</x:v>
      </x:c>
      <x:c r="S72" s="42" t="n">
        <x:f>0.30*N72+0.20*L72+0.20*K72+0.15*O72+0.15*(100-P72)</x:f>
        <x:v>82.55</x:v>
      </x:c>
      <x:c r="T72" s="42" t="n">
        <x:f>(R72+S72)/2</x:f>
        <x:v>82.025</x:v>
      </x:c>
      <x:c r="U72" s="40" t="n">
        <x:f>1+COUNTIFS($T$2:$T$211,"&gt;"&amp;T72)+COUNTIFS($T$2:$T$211,T72,$R$2:$R$211,"&gt;"&amp;R72)</x:f>
        <x:v>69</x:v>
      </x:c>
      <x:c r="V72" s="40" t="str">
        <x:f>IF(U72&lt;=50,"Y","")</x:f>
      </x:c>
    </x:row>
    <x:row r="73">
      <x:c r="A73" s="40" t="str">
        <x:v>2606.04403</x:v>
      </x:c>
      <x:c r="B73" s="40" t="str">
        <x:v>2026-06</x:v>
      </x:c>
      <x:c r="C73" s="40" t="str">
        <x:v>math.AP</x:v>
      </x:c>
      <x:c r="D73" s="40" t="str">
        <x:v>fluid/kinetic PDE</x:v>
      </x:c>
      <x:c r="E73" s="40" t="str">
        <x:v>Well-posedness and vanishing rotational limit for the rotating incompressible Navier-Stokes equations in hybrid Besov space</x:v>
      </x:c>
      <x:c r="F73" s="40" t="str">
        <x:v>Zihua Guo; Zihao Song; Minghua Yang</x:v>
      </x:c>
      <x:c r="G73" s="46" t="n">
        <x:v>13</x:v>
      </x:c>
      <x:c r="H73" s="40" t="str">
        <x:v>https://arxiv.org/abs/2606.04403</x:v>
      </x:c>
      <x:c r="I73" s="40" t="str">
        <x:v>30%评分池：按题名、作者、主题与页数预筛；默认主要结论正确，未逐篇逐行 correctness check。</x:v>
      </x:c>
      <x:c r="J73" s="46" t="n">
        <x:v>82</x:v>
      </x:c>
      <x:c r="K73" s="46" t="n">
        <x:v>81</x:v>
      </x:c>
      <x:c r="L73" s="46" t="n">
        <x:v>82</x:v>
      </x:c>
      <x:c r="M73" s="46" t="n">
        <x:v>80</x:v>
      </x:c>
      <x:c r="N73" s="46" t="n">
        <x:v>82</x:v>
      </x:c>
      <x:c r="O73" s="46" t="n">
        <x:v>81</x:v>
      </x:c>
      <x:c r="P73" s="46" t="n">
        <x:v>13</x:v>
      </x:c>
      <x:c r="Q73" s="46" t="n">
        <x:v>5</x:v>
      </x:c>
      <x:c r="R73" s="42" t="n">
        <x:f>0.30*J73+0.20*K73+0.25*L73+0.15*M73+0.10*O73</x:f>
        <x:v>81.39999999999999</x:v>
      </x:c>
      <x:c r="S73" s="42" t="n">
        <x:f>0.30*N73+0.20*L73+0.20*K73+0.15*O73+0.15*(100-P73)</x:f>
        <x:v>82.4</x:v>
      </x:c>
      <x:c r="T73" s="42" t="n">
        <x:f>(R73+S73)/2</x:f>
        <x:v>81.9</x:v>
      </x:c>
      <x:c r="U73" s="40" t="n">
        <x:f>1+COUNTIFS($T$2:$T$211,"&gt;"&amp;T73)+COUNTIFS($T$2:$T$211,T73,$R$2:$R$211,"&gt;"&amp;R73)</x:f>
        <x:v>72</x:v>
      </x:c>
      <x:c r="V73" s="40" t="str">
        <x:f>IF(U73&lt;=50,"Y","")</x:f>
      </x:c>
    </x:row>
    <x:row r="74">
      <x:c r="A74" s="40" t="str">
        <x:v>2606.04809</x:v>
      </x:c>
      <x:c r="B74" s="40" t="str">
        <x:v>2026-06</x:v>
      </x:c>
      <x:c r="C74" s="40" t="str">
        <x:v>math.AP</x:v>
      </x:c>
      <x:c r="D74" s="40" t="str">
        <x:v>fluid/kinetic PDE</x:v>
      </x:c>
      <x:c r="E74" s="40" t="str">
        <x:v>Steady compressible Navier-Stokes-Fourier system with general temperature dependent viscosities and hard sphere pressure law</x:v>
      </x:c>
      <x:c r="F74" s="40" t="str">
        <x:v>Zhengguang Guo; Milan Pokorny</x:v>
      </x:c>
      <x:c r="G74" s="46"/>
      <x:c r="H74" s="40" t="str">
        <x:v>https://arxiv.org/abs/2606.04809</x:v>
      </x:c>
      <x:c r="I74" s="40" t="str">
        <x:v>30%评分池：按题名、作者、主题与页数预筛；默认主要结论正确，未逐篇逐行 correctness check。</x:v>
      </x:c>
      <x:c r="J74" s="46" t="n">
        <x:v>82</x:v>
      </x:c>
      <x:c r="K74" s="46" t="n">
        <x:v>81</x:v>
      </x:c>
      <x:c r="L74" s="46" t="n">
        <x:v>82</x:v>
      </x:c>
      <x:c r="M74" s="46" t="n">
        <x:v>80</x:v>
      </x:c>
      <x:c r="N74" s="46" t="n">
        <x:v>82</x:v>
      </x:c>
      <x:c r="O74" s="46" t="n">
        <x:v>81</x:v>
      </x:c>
      <x:c r="P74" s="46" t="n">
        <x:v>13</x:v>
      </x:c>
      <x:c r="Q74" s="46" t="n">
        <x:v>5</x:v>
      </x:c>
      <x:c r="R74" s="42" t="n">
        <x:f>0.30*J74+0.20*K74+0.25*L74+0.15*M74+0.10*O74</x:f>
        <x:v>81.39999999999999</x:v>
      </x:c>
      <x:c r="S74" s="42" t="n">
        <x:f>0.30*N74+0.20*L74+0.20*K74+0.15*O74+0.15*(100-P74)</x:f>
        <x:v>82.4</x:v>
      </x:c>
      <x:c r="T74" s="42" t="n">
        <x:f>(R74+S74)/2</x:f>
        <x:v>81.9</x:v>
      </x:c>
      <x:c r="U74" s="40" t="n">
        <x:f>1+COUNTIFS($T$2:$T$211,"&gt;"&amp;T74)+COUNTIFS($T$2:$T$211,T74,$R$2:$R$211,"&gt;"&amp;R74)</x:f>
        <x:v>72</x:v>
      </x:c>
      <x:c r="V74" s="40" t="str">
        <x:f>IF(U74&lt;=50,"Y","")</x:f>
      </x:c>
    </x:row>
    <x:row r="75">
      <x:c r="A75" s="40" t="str">
        <x:v>2606.09185</x:v>
      </x:c>
      <x:c r="B75" s="40" t="str">
        <x:v>2026-06</x:v>
      </x:c>
      <x:c r="C75" s="40" t="str">
        <x:v>math.AP</x:v>
      </x:c>
      <x:c r="D75" s="40" t="str">
        <x:v>fluid/kinetic PDE</x:v>
      </x:c>
      <x:c r="E75" s="40" t="str">
        <x:v>Global Mild solutions for fractional Navier-Stokes-Boussinesq equations in critical Fourier-Herz-Lorentz spaces</x:v>
      </x:c>
      <x:c r="F75" s="40" t="str">
        <x:v>Diego Chamorro; Maxence Mansais</x:v>
      </x:c>
      <x:c r="G75" s="46"/>
      <x:c r="H75" s="40" t="str">
        <x:v>https://arxiv.org/abs/2606.09185</x:v>
      </x:c>
      <x:c r="I75" s="40" t="str">
        <x:v>30%评分池：按题名、作者、主题与页数预筛；默认主要结论正确，未逐篇逐行 correctness check。</x:v>
      </x:c>
      <x:c r="J75" s="46" t="n">
        <x:v>82</x:v>
      </x:c>
      <x:c r="K75" s="46" t="n">
        <x:v>81</x:v>
      </x:c>
      <x:c r="L75" s="46" t="n">
        <x:v>82</x:v>
      </x:c>
      <x:c r="M75" s="46" t="n">
        <x:v>80</x:v>
      </x:c>
      <x:c r="N75" s="46" t="n">
        <x:v>82</x:v>
      </x:c>
      <x:c r="O75" s="46" t="n">
        <x:v>81</x:v>
      </x:c>
      <x:c r="P75" s="46" t="n">
        <x:v>13</x:v>
      </x:c>
      <x:c r="Q75" s="46" t="n">
        <x:v>5</x:v>
      </x:c>
      <x:c r="R75" s="42" t="n">
        <x:f>0.30*J75+0.20*K75+0.25*L75+0.15*M75+0.10*O75</x:f>
        <x:v>81.39999999999999</x:v>
      </x:c>
      <x:c r="S75" s="42" t="n">
        <x:f>0.30*N75+0.20*L75+0.20*K75+0.15*O75+0.15*(100-P75)</x:f>
        <x:v>82.4</x:v>
      </x:c>
      <x:c r="T75" s="42" t="n">
        <x:f>(R75+S75)/2</x:f>
        <x:v>81.9</x:v>
      </x:c>
      <x:c r="U75" s="40" t="n">
        <x:f>1+COUNTIFS($T$2:$T$211,"&gt;"&amp;T75)+COUNTIFS($T$2:$T$211,T75,$R$2:$R$211,"&gt;"&amp;R75)</x:f>
        <x:v>72</x:v>
      </x:c>
      <x:c r="V75" s="40" t="str">
        <x:f>IF(U75&lt;=50,"Y","")</x:f>
      </x:c>
    </x:row>
    <x:row r="76">
      <x:c r="A76" s="40" t="str">
        <x:v>2606.06166</x:v>
      </x:c>
      <x:c r="B76" s="40" t="str">
        <x:v>2026-06</x:v>
      </x:c>
      <x:c r="C76" s="40" t="str">
        <x:v>math.AP</x:v>
      </x:c>
      <x:c r="D76" s="40" t="str">
        <x:v>dispersive PDE</x:v>
      </x:c>
      <x:c r="E76" s="40" t="str">
        <x:v>Optimal decay for waves damped by superellipses</x:v>
      </x:c>
      <x:c r="F76" s="40" t="str">
        <x:v>B. Achammer; Perry Kleinhenz</x:v>
      </x:c>
      <x:c r="G76" s="46" t="n">
        <x:v>14</x:v>
      </x:c>
      <x:c r="H76" s="40" t="str">
        <x:v>https://arxiv.org/abs/2606.06166</x:v>
      </x:c>
      <x:c r="I76" s="40" t="str">
        <x:v>30%评分池：按题名、作者、主题与页数预筛；默认主要结论正确，未逐篇逐行 correctness check。</x:v>
      </x:c>
      <x:c r="J76" s="46" t="n">
        <x:v>81</x:v>
      </x:c>
      <x:c r="K76" s="46" t="n">
        <x:v>82</x:v>
      </x:c>
      <x:c r="L76" s="46" t="n">
        <x:v>82</x:v>
      </x:c>
      <x:c r="M76" s="46" t="n">
        <x:v>80</x:v>
      </x:c>
      <x:c r="N76" s="46" t="n">
        <x:v>81</x:v>
      </x:c>
      <x:c r="O76" s="46" t="n">
        <x:v>81</x:v>
      </x:c>
      <x:c r="P76" s="46" t="n">
        <x:v>13</x:v>
      </x:c>
      <x:c r="Q76" s="46" t="n">
        <x:v>5</x:v>
      </x:c>
      <x:c r="R76" s="42" t="n">
        <x:f>0.30*J76+0.20*K76+0.25*L76+0.15*M76+0.10*O76</x:f>
        <x:v>81.3</x:v>
      </x:c>
      <x:c r="S76" s="42" t="n">
        <x:f>0.30*N76+0.20*L76+0.20*K76+0.15*O76+0.15*(100-P76)</x:f>
        <x:v>82.30000000000001</x:v>
      </x:c>
      <x:c r="T76" s="42" t="n">
        <x:f>(R76+S76)/2</x:f>
        <x:v>81.80000000000001</x:v>
      </x:c>
      <x:c r="U76" s="40" t="n">
        <x:f>1+COUNTIFS($T$2:$T$211,"&gt;"&amp;T76)+COUNTIFS($T$2:$T$211,T76,$R$2:$R$211,"&gt;"&amp;R76)</x:f>
        <x:v>75</x:v>
      </x:c>
      <x:c r="V76" s="40" t="str">
        <x:f>IF(U76&lt;=50,"Y","")</x:f>
      </x:c>
    </x:row>
    <x:row r="77">
      <x:c r="A77" s="40" t="str">
        <x:v>2606.00905</x:v>
      </x:c>
      <x:c r="B77" s="40" t="str">
        <x:v>2026-06</x:v>
      </x:c>
      <x:c r="C77" s="40" t="str">
        <x:v>math.AP</x:v>
      </x:c>
      <x:c r="D77" s="40" t="str">
        <x:v>dispersive PDE</x:v>
      </x:c>
      <x:c r="E77" s="40" t="str">
        <x:v>On the wave equation with logarithmic damping: wellposedness, blow-up and numerical analysis</x:v>
      </x:c>
      <x:c r="F77" s="40" t="str">
        <x:v>Salim Messaoudi; Mohammad Kafini; Mostafa Zahri</x:v>
      </x:c>
      <x:c r="G77" s="46" t="n">
        <x:v>22</x:v>
      </x:c>
      <x:c r="H77" s="40" t="str">
        <x:v>https://arxiv.org/abs/2606.00905</x:v>
      </x:c>
      <x:c r="I77" s="40" t="str">
        <x:v>30%评分池：按题名、作者、主题与页数预筛；默认主要结论正确，未逐篇逐行 correctness check。</x:v>
      </x:c>
      <x:c r="J77" s="46" t="n">
        <x:v>81</x:v>
      </x:c>
      <x:c r="K77" s="46" t="n">
        <x:v>81</x:v>
      </x:c>
      <x:c r="L77" s="46" t="n">
        <x:v>82</x:v>
      </x:c>
      <x:c r="M77" s="46" t="n">
        <x:v>81</x:v>
      </x:c>
      <x:c r="N77" s="46" t="n">
        <x:v>82</x:v>
      </x:c>
      <x:c r="O77" s="46" t="n">
        <x:v>81</x:v>
      </x:c>
      <x:c r="P77" s="46" t="n">
        <x:v>14</x:v>
      </x:c>
      <x:c r="Q77" s="46" t="n">
        <x:v>5</x:v>
      </x:c>
      <x:c r="R77" s="42" t="n">
        <x:f>0.30*J77+0.20*K77+0.25*L77+0.15*M77+0.10*O77</x:f>
        <x:v>81.25</x:v>
      </x:c>
      <x:c r="S77" s="42" t="n">
        <x:f>0.30*N77+0.20*L77+0.20*K77+0.15*O77+0.15*(100-P77)</x:f>
        <x:v>82.25000000000001</x:v>
      </x:c>
      <x:c r="T77" s="42" t="n">
        <x:f>(R77+S77)/2</x:f>
        <x:v>81.75</x:v>
      </x:c>
      <x:c r="U77" s="40" t="n">
        <x:f>1+COUNTIFS($T$2:$T$211,"&gt;"&amp;T77)+COUNTIFS($T$2:$T$211,T77,$R$2:$R$211,"&gt;"&amp;R77)</x:f>
        <x:v>76</x:v>
      </x:c>
      <x:c r="V77" s="40" t="str">
        <x:f>IF(U77&lt;=50,"Y","")</x:f>
      </x:c>
    </x:row>
    <x:row r="78">
      <x:c r="A78" s="40" t="str">
        <x:v>2606.08134</x:v>
      </x:c>
      <x:c r="B78" s="40" t="str">
        <x:v>2026-06</x:v>
      </x:c>
      <x:c r="C78" s="40" t="str">
        <x:v>math.AP</x:v>
      </x:c>
      <x:c r="D78" s="40" t="str">
        <x:v>homogenization/asymptotics</x:v>
      </x:c>
      <x:c r="E78" s="40" t="str">
        <x:v>Homogenization in fractional phase transitions at the critical scale</x:v>
      </x:c>
      <x:c r="F78" s="40" t="str">
        <x:v>Andrea Braides; Abdilaziz Zoir Ugli Komilov</x:v>
      </x:c>
      <x:c r="G78" s="46"/>
      <x:c r="H78" s="40" t="str">
        <x:v>https://arxiv.org/abs/2606.08134</x:v>
      </x:c>
      <x:c r="I78" s="40" t="str">
        <x:v>30%评分池：按题名、作者、主题与页数预筛；默认主要结论正确，未逐篇逐行 correctness check。</x:v>
      </x:c>
      <x:c r="J78" s="46" t="n">
        <x:v>81</x:v>
      </x:c>
      <x:c r="K78" s="46" t="n">
        <x:v>81</x:v>
      </x:c>
      <x:c r="L78" s="46" t="n">
        <x:v>82</x:v>
      </x:c>
      <x:c r="M78" s="46" t="n">
        <x:v>81</x:v>
      </x:c>
      <x:c r="N78" s="46" t="n">
        <x:v>81</x:v>
      </x:c>
      <x:c r="O78" s="46" t="n">
        <x:v>81</x:v>
      </x:c>
      <x:c r="P78" s="46" t="n">
        <x:v>13</x:v>
      </x:c>
      <x:c r="Q78" s="46" t="n">
        <x:v>5</x:v>
      </x:c>
      <x:c r="R78" s="42" t="n">
        <x:f>0.30*J78+0.20*K78+0.25*L78+0.15*M78+0.10*O78</x:f>
        <x:v>81.25</x:v>
      </x:c>
      <x:c r="S78" s="42" t="n">
        <x:f>0.30*N78+0.20*L78+0.20*K78+0.15*O78+0.15*(100-P78)</x:f>
        <x:v>82.10000000000001</x:v>
      </x:c>
      <x:c r="T78" s="42" t="n">
        <x:f>(R78+S78)/2</x:f>
        <x:v>81.67500000000001</x:v>
      </x:c>
      <x:c r="U78" s="40" t="n">
        <x:f>1+COUNTIFS($T$2:$T$211,"&gt;"&amp;T78)+COUNTIFS($T$2:$T$211,T78,$R$2:$R$211,"&gt;"&amp;R78)</x:f>
        <x:v>77</x:v>
      </x:c>
      <x:c r="V78" s="40" t="str">
        <x:f>IF(U78&lt;=50,"Y","")</x:f>
      </x:c>
    </x:row>
    <x:row r="79">
      <x:c r="A79" s="40" t="str">
        <x:v>2606.04693</x:v>
      </x:c>
      <x:c r="B79" s="40" t="str">
        <x:v>2026-06</x:v>
      </x:c>
      <x:c r="C79" s="40" t="str">
        <x:v>math.AP</x:v>
      </x:c>
      <x:c r="D79" s="40" t="str">
        <x:v>fluid/kinetic PDE</x:v>
      </x:c>
      <x:c r="E79" s="40" t="str">
        <x:v>Global large smooth solutions and overdamped limits for the damped isothermal Euler-Poisson system</x:v>
      </x:c>
      <x:c r="F79" s="40" t="str">
        <x:v>Young-Pil Choi; Jinwook Jung</x:v>
      </x:c>
      <x:c r="G79" s="46"/>
      <x:c r="H79" s="40" t="str">
        <x:v>https://arxiv.org/abs/2606.04693</x:v>
      </x:c>
      <x:c r="I79" s="40" t="str">
        <x:v>30%评分池：按题名、作者、主题与页数预筛；默认主要结论正确，未逐篇逐行 correctness check。</x:v>
      </x:c>
      <x:c r="J79" s="46" t="n">
        <x:v>82</x:v>
      </x:c>
      <x:c r="K79" s="46" t="n">
        <x:v>81</x:v>
      </x:c>
      <x:c r="L79" s="46" t="n">
        <x:v>81</x:v>
      </x:c>
      <x:c r="M79" s="46" t="n">
        <x:v>80</x:v>
      </x:c>
      <x:c r="N79" s="46" t="n">
        <x:v>82</x:v>
      </x:c>
      <x:c r="O79" s="46" t="n">
        <x:v>81</x:v>
      </x:c>
      <x:c r="P79" s="46" t="n">
        <x:v>13</x:v>
      </x:c>
      <x:c r="Q79" s="46" t="n">
        <x:v>5</x:v>
      </x:c>
      <x:c r="R79" s="42" t="n">
        <x:f>0.30*J79+0.20*K79+0.25*L79+0.15*M79+0.10*O79</x:f>
        <x:v>81.14999999999999</x:v>
      </x:c>
      <x:c r="S79" s="42" t="n">
        <x:f>0.30*N79+0.20*L79+0.20*K79+0.15*O79+0.15*(100-P79)</x:f>
        <x:v>82.2</x:v>
      </x:c>
      <x:c r="T79" s="42" t="n">
        <x:f>(R79+S79)/2</x:f>
        <x:v>81.675</x:v>
      </x:c>
      <x:c r="U79" s="40" t="n">
        <x:f>1+COUNTIFS($T$2:$T$211,"&gt;"&amp;T79)+COUNTIFS($T$2:$T$211,T79,$R$2:$R$211,"&gt;"&amp;R79)</x:f>
        <x:v>78</x:v>
      </x:c>
      <x:c r="V79" s="40" t="str">
        <x:f>IF(U79&lt;=50,"Y","")</x:f>
      </x:c>
    </x:row>
    <x:row r="80">
      <x:c r="A80" s="40" t="str">
        <x:v>2606.04785</x:v>
      </x:c>
      <x:c r="B80" s="40" t="str">
        <x:v>2026-06</x:v>
      </x:c>
      <x:c r="C80" s="40" t="str">
        <x:v>math.AP</x:v>
      </x:c>
      <x:c r="D80" s="40" t="str">
        <x:v>fluid/kinetic PDE</x:v>
      </x:c>
      <x:c r="E80" s="40" t="str">
        <x:v>Entropic solutions to the 1D pressureless Euler system with nonlocal interactions</x:v>
      </x:c>
      <x:c r="F80" s="40" t="str">
        <x:v>Trevor M. Leslie; Changhui Tan</x:v>
      </x:c>
      <x:c r="G80" s="46" t="n">
        <x:v>21</x:v>
      </x:c>
      <x:c r="H80" s="40" t="str">
        <x:v>https://arxiv.org/abs/2606.04785</x:v>
      </x:c>
      <x:c r="I80" s="40" t="str">
        <x:v>30%评分池：按题名、作者、主题与页数预筛；默认主要结论正确，未逐篇逐行 correctness check。</x:v>
      </x:c>
      <x:c r="J80" s="46" t="n">
        <x:v>82</x:v>
      </x:c>
      <x:c r="K80" s="46" t="n">
        <x:v>81</x:v>
      </x:c>
      <x:c r="L80" s="46" t="n">
        <x:v>81</x:v>
      </x:c>
      <x:c r="M80" s="46" t="n">
        <x:v>80</x:v>
      </x:c>
      <x:c r="N80" s="46" t="n">
        <x:v>82</x:v>
      </x:c>
      <x:c r="O80" s="46" t="n">
        <x:v>81</x:v>
      </x:c>
      <x:c r="P80" s="46" t="n">
        <x:v>13</x:v>
      </x:c>
      <x:c r="Q80" s="46" t="n">
        <x:v>5</x:v>
      </x:c>
      <x:c r="R80" s="42" t="n">
        <x:f>0.30*J80+0.20*K80+0.25*L80+0.15*M80+0.10*O80</x:f>
        <x:v>81.14999999999999</x:v>
      </x:c>
      <x:c r="S80" s="42" t="n">
        <x:f>0.30*N80+0.20*L80+0.20*K80+0.15*O80+0.15*(100-P80)</x:f>
        <x:v>82.2</x:v>
      </x:c>
      <x:c r="T80" s="42" t="n">
        <x:f>(R80+S80)/2</x:f>
        <x:v>81.675</x:v>
      </x:c>
      <x:c r="U80" s="40" t="n">
        <x:f>1+COUNTIFS($T$2:$T$211,"&gt;"&amp;T80)+COUNTIFS($T$2:$T$211,T80,$R$2:$R$211,"&gt;"&amp;R80)</x:f>
        <x:v>78</x:v>
      </x:c>
      <x:c r="V80" s="40" t="str">
        <x:f>IF(U80&lt;=50,"Y","")</x:f>
      </x:c>
    </x:row>
    <x:row r="81">
      <x:c r="A81" s="40" t="str">
        <x:v>2606.15657</x:v>
      </x:c>
      <x:c r="B81" s="40" t="str">
        <x:v>2026-06</x:v>
      </x:c>
      <x:c r="C81" s="40" t="str">
        <x:v>math.AP</x:v>
      </x:c>
      <x:c r="D81" s="40" t="str">
        <x:v>geometric analysis</x:v>
      </x:c>
      <x:c r="E81" s="40" t="str">
        <x:v>Semi-wave and sharp estimates of propagation for monostable free boundary problems in time-periodic environment</x:v>
      </x:c>
      <x:c r="F81" s="40" t="str">
        <x:v>Yihong Du; Zhuo Ma</x:v>
      </x:c>
      <x:c r="G81" s="46"/>
      <x:c r="H81" s="40" t="str">
        <x:v>https://arxiv.org/abs/2606.15657</x:v>
      </x:c>
      <x:c r="I81" s="40" t="str">
        <x:v>30%评分池：按题名、作者、主题与页数预筛；默认主要结论正确，未逐篇逐行 correctness check。</x:v>
      </x:c>
      <x:c r="J81" s="46" t="n">
        <x:v>82</x:v>
      </x:c>
      <x:c r="K81" s="46" t="n">
        <x:v>81</x:v>
      </x:c>
      <x:c r="L81" s="46" t="n">
        <x:v>81</x:v>
      </x:c>
      <x:c r="M81" s="46" t="n">
        <x:v>81</x:v>
      </x:c>
      <x:c r="N81" s="46" t="n">
        <x:v>81</x:v>
      </x:c>
      <x:c r="O81" s="46" t="n">
        <x:v>81</x:v>
      </x:c>
      <x:c r="P81" s="46" t="n">
        <x:v>13</x:v>
      </x:c>
      <x:c r="Q81" s="46" t="n">
        <x:v>5</x:v>
      </x:c>
      <x:c r="R81" s="42" t="n">
        <x:f>0.30*J81+0.20*K81+0.25*L81+0.15*M81+0.10*O81</x:f>
        <x:v>81.3</x:v>
      </x:c>
      <x:c r="S81" s="42" t="n">
        <x:f>0.30*N81+0.20*L81+0.20*K81+0.15*O81+0.15*(100-P81)</x:f>
        <x:v>81.9</x:v>
      </x:c>
      <x:c r="T81" s="42" t="n">
        <x:f>(R81+S81)/2</x:f>
        <x:v>81.6</x:v>
      </x:c>
      <x:c r="U81" s="40" t="n">
        <x:f>1+COUNTIFS($T$2:$T$211,"&gt;"&amp;T81)+COUNTIFS($T$2:$T$211,T81,$R$2:$R$211,"&gt;"&amp;R81)</x:f>
        <x:v>80</x:v>
      </x:c>
      <x:c r="V81" s="40" t="str">
        <x:f>IF(U81&lt;=50,"Y","")</x:f>
      </x:c>
    </x:row>
    <x:row r="82">
      <x:c r="A82" s="40" t="str">
        <x:v>2606.04951</x:v>
      </x:c>
      <x:c r="B82" s="40" t="str">
        <x:v>2026-06</x:v>
      </x:c>
      <x:c r="C82" s="40" t="str">
        <x:v>math.AP</x:v>
      </x:c>
      <x:c r="D82" s="40" t="str">
        <x:v>analysis/PDE</x:v>
      </x:c>
      <x:c r="E82" s="40" t="str">
        <x:v>Pleijel's theorem for a class of degenerate elliptic operators</x:v>
      </x:c>
      <x:c r="F82" s="40" t="str">
        <x:v>Rupert L. Frank; Bernard Helffer</x:v>
      </x:c>
      <x:c r="G82" s="46" t="n">
        <x:v>34</x:v>
      </x:c>
      <x:c r="H82" s="40" t="str">
        <x:v>https://arxiv.org/abs/2606.04951</x:v>
      </x:c>
      <x:c r="I82" s="40" t="str">
        <x:v>30%评分池：按题名、作者、主题与页数预筛；默认主要结论正确，未逐篇逐行 correctness check。</x:v>
      </x:c>
      <x:c r="J82" s="46" t="n">
        <x:v>81</x:v>
      </x:c>
      <x:c r="K82" s="46" t="n">
        <x:v>81</x:v>
      </x:c>
      <x:c r="L82" s="46" t="n">
        <x:v>81</x:v>
      </x:c>
      <x:c r="M82" s="46" t="n">
        <x:v>80</x:v>
      </x:c>
      <x:c r="N82" s="46" t="n">
        <x:v>81</x:v>
      </x:c>
      <x:c r="O82" s="46" t="n">
        <x:v>81</x:v>
      </x:c>
      <x:c r="P82" s="46" t="n">
        <x:v>13</x:v>
      </x:c>
      <x:c r="Q82" s="46" t="n">
        <x:v>5</x:v>
      </x:c>
      <x:c r="R82" s="42" t="n">
        <x:f>0.30*J82+0.20*K82+0.25*L82+0.15*M82+0.10*O82</x:f>
        <x:v>80.85</x:v>
      </x:c>
      <x:c r="S82" s="42" t="n">
        <x:f>0.30*N82+0.20*L82+0.20*K82+0.15*O82+0.15*(100-P82)</x:f>
        <x:v>81.9</x:v>
      </x:c>
      <x:c r="T82" s="42" t="n">
        <x:f>(R82+S82)/2</x:f>
        <x:v>81.375</x:v>
      </x:c>
      <x:c r="U82" s="40" t="n">
        <x:f>1+COUNTIFS($T$2:$T$211,"&gt;"&amp;T82)+COUNTIFS($T$2:$T$211,T82,$R$2:$R$211,"&gt;"&amp;R82)</x:f>
        <x:v>81</x:v>
      </x:c>
      <x:c r="V82" s="40" t="str">
        <x:f>IF(U82&lt;=50,"Y","")</x:f>
      </x:c>
    </x:row>
    <x:row r="83">
      <x:c r="A83" s="40" t="str">
        <x:v>2606.00534</x:v>
      </x:c>
      <x:c r="B83" s="40" t="str">
        <x:v>2026-06</x:v>
      </x:c>
      <x:c r="C83" s="40" t="str">
        <x:v>math.AP</x:v>
      </x:c>
      <x:c r="D83" s="40" t="str">
        <x:v>analysis/PDE</x:v>
      </x:c>
      <x:c r="E83" s="40" t="str">
        <x:v>Analytical Solutions of 3D Maxwell's Equations via Infinite-Order Curl-Operator Expansions</x:v>
      </x:c>
      <x:c r="F83" s="40" t="str">
        <x:v>David Wei Ge</x:v>
      </x:c>
      <x:c r="G83" s="46" t="n">
        <x:v>54</x:v>
      </x:c>
      <x:c r="H83" s="40" t="str">
        <x:v>https://arxiv.org/abs/2606.00534</x:v>
      </x:c>
      <x:c r="I83" s="40" t="str">
        <x:v>30%评分池：按题名、作者、主题与页数预筛；默认主要结论正确，未逐篇逐行 correctness check。</x:v>
      </x:c>
      <x:c r="J83" s="46" t="n">
        <x:v>81</x:v>
      </x:c>
      <x:c r="K83" s="46" t="n">
        <x:v>80</x:v>
      </x:c>
      <x:c r="L83" s="46" t="n">
        <x:v>81</x:v>
      </x:c>
      <x:c r="M83" s="46" t="n">
        <x:v>80</x:v>
      </x:c>
      <x:c r="N83" s="46" t="n">
        <x:v>81</x:v>
      </x:c>
      <x:c r="O83" s="46" t="n">
        <x:v>81</x:v>
      </x:c>
      <x:c r="P83" s="46" t="n">
        <x:v>13</x:v>
      </x:c>
      <x:c r="Q83" s="46" t="n">
        <x:v>5</x:v>
      </x:c>
      <x:c r="R83" s="42" t="n">
        <x:f>0.30*J83+0.20*K83+0.25*L83+0.15*M83+0.10*O83</x:f>
        <x:v>80.64999999999999</x:v>
      </x:c>
      <x:c r="S83" s="42" t="n">
        <x:f>0.30*N83+0.20*L83+0.20*K83+0.15*O83+0.15*(100-P83)</x:f>
        <x:v>81.7</x:v>
      </x:c>
      <x:c r="T83" s="42" t="n">
        <x:f>(R83+S83)/2</x:f>
        <x:v>81.175</x:v>
      </x:c>
      <x:c r="U83" s="40" t="n">
        <x:f>1+COUNTIFS($T$2:$T$211,"&gt;"&amp;T83)+COUNTIFS($T$2:$T$211,T83,$R$2:$R$211,"&gt;"&amp;R83)</x:f>
        <x:v>82</x:v>
      </x:c>
      <x:c r="V83" s="40" t="str">
        <x:f>IF(U83&lt;=50,"Y","")</x:f>
      </x:c>
    </x:row>
    <x:row r="84">
      <x:c r="A84" s="40" t="str">
        <x:v>2606.00623</x:v>
      </x:c>
      <x:c r="B84" s="40" t="str">
        <x:v>2026-06</x:v>
      </x:c>
      <x:c r="C84" s="40" t="str">
        <x:v>math.AP</x:v>
      </x:c>
      <x:c r="D84" s="40" t="str">
        <x:v>homogenization/asymptotics</x:v>
      </x:c>
      <x:c r="E84" s="40" t="str">
        <x:v>Large time intrinsic growth and asymptotic behavior for the classical Timoshenko system</x:v>
      </x:c>
      <x:c r="F84" s="40" t="str">
        <x:v>Wenhui Chen</x:v>
      </x:c>
      <x:c r="G84" s="46"/>
      <x:c r="H84" s="40" t="str">
        <x:v>https://arxiv.org/abs/2606.00623</x:v>
      </x:c>
      <x:c r="I84" s="40" t="str">
        <x:v>30%评分池：按题名、作者、主题与页数预筛；默认主要结论正确，未逐篇逐行 correctness check。</x:v>
      </x:c>
      <x:c r="J84" s="46" t="n">
        <x:v>81</x:v>
      </x:c>
      <x:c r="K84" s="46" t="n">
        <x:v>80</x:v>
      </x:c>
      <x:c r="L84" s="46" t="n">
        <x:v>81</x:v>
      </x:c>
      <x:c r="M84" s="46" t="n">
        <x:v>80</x:v>
      </x:c>
      <x:c r="N84" s="46" t="n">
        <x:v>81</x:v>
      </x:c>
      <x:c r="O84" s="46" t="n">
        <x:v>81</x:v>
      </x:c>
      <x:c r="P84" s="46" t="n">
        <x:v>13</x:v>
      </x:c>
      <x:c r="Q84" s="46" t="n">
        <x:v>5</x:v>
      </x:c>
      <x:c r="R84" s="42" t="n">
        <x:f>0.30*J84+0.20*K84+0.25*L84+0.15*M84+0.10*O84</x:f>
        <x:v>80.64999999999999</x:v>
      </x:c>
      <x:c r="S84" s="42" t="n">
        <x:f>0.30*N84+0.20*L84+0.20*K84+0.15*O84+0.15*(100-P84)</x:f>
        <x:v>81.7</x:v>
      </x:c>
      <x:c r="T84" s="42" t="n">
        <x:f>(R84+S84)/2</x:f>
        <x:v>81.175</x:v>
      </x:c>
      <x:c r="U84" s="40" t="n">
        <x:f>1+COUNTIFS($T$2:$T$211,"&gt;"&amp;T84)+COUNTIFS($T$2:$T$211,T84,$R$2:$R$211,"&gt;"&amp;R84)</x:f>
        <x:v>82</x:v>
      </x:c>
      <x:c r="V84" s="40" t="str">
        <x:f>IF(U84&lt;=50,"Y","")</x:f>
      </x:c>
    </x:row>
    <x:row r="85">
      <x:c r="A85" s="40" t="str">
        <x:v>2606.01618</x:v>
      </x:c>
      <x:c r="B85" s="40" t="str">
        <x:v>2026-06</x:v>
      </x:c>
      <x:c r="C85" s="40" t="str">
        <x:v>math.AP</x:v>
      </x:c>
      <x:c r="D85" s="40" t="str">
        <x:v>analysis/PDE</x:v>
      </x:c>
      <x:c r="E85" s="40" t="str">
        <x:v>Stability of N-soliton solutions for modified Camassa-Holm equation</x:v>
      </x:c>
      <x:c r="F85" s="40" t="str">
        <x:v>Zhen Lu; Fei Tang; Shou-Fu Tian</x:v>
      </x:c>
      <x:c r="G85" s="46"/>
      <x:c r="H85" s="40" t="str">
        <x:v>https://arxiv.org/abs/2606.01618</x:v>
      </x:c>
      <x:c r="I85" s="40" t="str">
        <x:v>30%评分池：按题名、作者、主题与页数预筛；默认主要结论正确，未逐篇逐行 correctness check。</x:v>
      </x:c>
      <x:c r="J85" s="46" t="n">
        <x:v>81</x:v>
      </x:c>
      <x:c r="K85" s="46" t="n">
        <x:v>80</x:v>
      </x:c>
      <x:c r="L85" s="46" t="n">
        <x:v>81</x:v>
      </x:c>
      <x:c r="M85" s="46" t="n">
        <x:v>80</x:v>
      </x:c>
      <x:c r="N85" s="46" t="n">
        <x:v>81</x:v>
      </x:c>
      <x:c r="O85" s="46" t="n">
        <x:v>81</x:v>
      </x:c>
      <x:c r="P85" s="46" t="n">
        <x:v>13</x:v>
      </x:c>
      <x:c r="Q85" s="46" t="n">
        <x:v>5</x:v>
      </x:c>
      <x:c r="R85" s="42" t="n">
        <x:f>0.30*J85+0.20*K85+0.25*L85+0.15*M85+0.10*O85</x:f>
        <x:v>80.64999999999999</x:v>
      </x:c>
      <x:c r="S85" s="42" t="n">
        <x:f>0.30*N85+0.20*L85+0.20*K85+0.15*O85+0.15*(100-P85)</x:f>
        <x:v>81.7</x:v>
      </x:c>
      <x:c r="T85" s="42" t="n">
        <x:f>(R85+S85)/2</x:f>
        <x:v>81.175</x:v>
      </x:c>
      <x:c r="U85" s="40" t="n">
        <x:f>1+COUNTIFS($T$2:$T$211,"&gt;"&amp;T85)+COUNTIFS($T$2:$T$211,T85,$R$2:$R$211,"&gt;"&amp;R85)</x:f>
        <x:v>82</x:v>
      </x:c>
      <x:c r="V85" s="40" t="str">
        <x:f>IF(U85&lt;=50,"Y","")</x:f>
      </x:c>
    </x:row>
    <x:row r="86">
      <x:c r="A86" s="40" t="str">
        <x:v>2606.06463</x:v>
      </x:c>
      <x:c r="B86" s="40" t="str">
        <x:v>2026-06</x:v>
      </x:c>
      <x:c r="C86" s="40" t="str">
        <x:v>math.AP</x:v>
      </x:c>
      <x:c r="D86" s="40" t="str">
        <x:v>inverse/scattering</x:v>
      </x:c>
      <x:c r="E86" s="40" t="str">
        <x:v>Large data scattering for the defocusing k-dispersion generalized Benjamin-Ono equation in the energy space</x:v>
      </x:c>
      <x:c r="F86" s="40" t="str">
        <x:v>Luccas Campos; Felipe Linares; Thyago S. R. Santos</x:v>
      </x:c>
      <x:c r="G86" s="46" t="n">
        <x:v>33</x:v>
      </x:c>
      <x:c r="H86" s="40" t="str">
        <x:v>https://arxiv.org/abs/2606.06463</x:v>
      </x:c>
      <x:c r="I86" s="40" t="str">
        <x:v>30%评分池：按题名、作者、主题与页数预筛；默认主要结论正确，未逐篇逐行 correctness check。</x:v>
      </x:c>
      <x:c r="J86" s="46" t="n">
        <x:v>81</x:v>
      </x:c>
      <x:c r="K86" s="46" t="n">
        <x:v>80</x:v>
      </x:c>
      <x:c r="L86" s="46" t="n">
        <x:v>81</x:v>
      </x:c>
      <x:c r="M86" s="46" t="n">
        <x:v>80</x:v>
      </x:c>
      <x:c r="N86" s="46" t="n">
        <x:v>81</x:v>
      </x:c>
      <x:c r="O86" s="46" t="n">
        <x:v>81</x:v>
      </x:c>
      <x:c r="P86" s="46" t="n">
        <x:v>13</x:v>
      </x:c>
      <x:c r="Q86" s="46" t="n">
        <x:v>5</x:v>
      </x:c>
      <x:c r="R86" s="42" t="n">
        <x:f>0.30*J86+0.20*K86+0.25*L86+0.15*M86+0.10*O86</x:f>
        <x:v>80.64999999999999</x:v>
      </x:c>
      <x:c r="S86" s="42" t="n">
        <x:f>0.30*N86+0.20*L86+0.20*K86+0.15*O86+0.15*(100-P86)</x:f>
        <x:v>81.7</x:v>
      </x:c>
      <x:c r="T86" s="42" t="n">
        <x:f>(R86+S86)/2</x:f>
        <x:v>81.175</x:v>
      </x:c>
      <x:c r="U86" s="40" t="n">
        <x:f>1+COUNTIFS($T$2:$T$211,"&gt;"&amp;T86)+COUNTIFS($T$2:$T$211,T86,$R$2:$R$211,"&gt;"&amp;R86)</x:f>
        <x:v>82</x:v>
      </x:c>
      <x:c r="V86" s="40" t="str">
        <x:f>IF(U86&lt;=50,"Y","")</x:f>
      </x:c>
    </x:row>
    <x:row r="87">
      <x:c r="A87" s="40" t="str">
        <x:v>2606.07223</x:v>
      </x:c>
      <x:c r="B87" s="40" t="str">
        <x:v>2026-06</x:v>
      </x:c>
      <x:c r="C87" s="40" t="str">
        <x:v>math.AP</x:v>
      </x:c>
      <x:c r="D87" s="40" t="str">
        <x:v>fluid/kinetic PDE</x:v>
      </x:c>
      <x:c r="E87" s="40" t="str">
        <x:v>Homogenization of regularized Oldroyd-type fluids</x:v>
      </x:c>
      <x:c r="F87" s="40" t="str">
        <x:v>Florian Oschmann; Jonas Sauer</x:v>
      </x:c>
      <x:c r="G87" s="46"/>
      <x:c r="H87" s="40" t="str">
        <x:v>https://arxiv.org/abs/2606.07223</x:v>
      </x:c>
      <x:c r="I87" s="40" t="str">
        <x:v>30%评分池：按题名、作者、主题与页数预筛；默认主要结论正确，未逐篇逐行 correctness check。</x:v>
      </x:c>
      <x:c r="J87" s="46" t="n">
        <x:v>80</x:v>
      </x:c>
      <x:c r="K87" s="46" t="n">
        <x:v>80</x:v>
      </x:c>
      <x:c r="L87" s="46" t="n">
        <x:v>81</x:v>
      </x:c>
      <x:c r="M87" s="46" t="n">
        <x:v>81</x:v>
      </x:c>
      <x:c r="N87" s="46" t="n">
        <x:v>80</x:v>
      </x:c>
      <x:c r="O87" s="46" t="n">
        <x:v>81</x:v>
      </x:c>
      <x:c r="P87" s="46" t="n">
        <x:v>13</x:v>
      </x:c>
      <x:c r="Q87" s="46" t="n">
        <x:v>5</x:v>
      </x:c>
      <x:c r="R87" s="42" t="n">
        <x:f>0.30*J87+0.20*K87+0.25*L87+0.15*M87+0.10*O87</x:f>
        <x:v>80.5</x:v>
      </x:c>
      <x:c r="S87" s="42" t="n">
        <x:f>0.30*N87+0.20*L87+0.20*K87+0.15*O87+0.15*(100-P87)</x:f>
        <x:v>81.4</x:v>
      </x:c>
      <x:c r="T87" s="42" t="n">
        <x:f>(R87+S87)/2</x:f>
        <x:v>80.95</x:v>
      </x:c>
      <x:c r="U87" s="40" t="n">
        <x:f>1+COUNTIFS($T$2:$T$211,"&gt;"&amp;T87)+COUNTIFS($T$2:$T$211,T87,$R$2:$R$211,"&gt;"&amp;R87)</x:f>
        <x:v>91</x:v>
      </x:c>
      <x:c r="V87" s="40" t="str">
        <x:f>IF(U87&lt;=50,"Y","")</x:f>
      </x:c>
    </x:row>
    <x:row r="88">
      <x:c r="A88" s="40" t="str">
        <x:v>2606.08877</x:v>
      </x:c>
      <x:c r="B88" s="40" t="str">
        <x:v>2026-06</x:v>
      </x:c>
      <x:c r="C88" s="40" t="str">
        <x:v>math.AP</x:v>
      </x:c>
      <x:c r="D88" s="40" t="str">
        <x:v>fluid/kinetic PDE</x:v>
      </x:c>
      <x:c r="E88" s="40" t="str">
        <x:v>On product estimates in Besov-Morrey spaces and stationary solutions for the Hall-MHD and Navier-Stokes systems</x:v>
      </x:c>
      <x:c r="F88" s="40" t="str">
        <x:v>Lucas C. F. Ferreira; Rafael P. da Silva</x:v>
      </x:c>
      <x:c r="G88" s="46" t="n">
        <x:v>26</x:v>
      </x:c>
      <x:c r="H88" s="40" t="str">
        <x:v>https://arxiv.org/abs/2606.08877</x:v>
      </x:c>
      <x:c r="I88" s="40" t="str">
        <x:v>30%评分池：按题名、作者、主题与页数预筛；默认主要结论正确，未逐篇逐行 correctness check。</x:v>
      </x:c>
      <x:c r="J88" s="46" t="n">
        <x:v>81</x:v>
      </x:c>
      <x:c r="K88" s="46" t="n">
        <x:v>80</x:v>
      </x:c>
      <x:c r="L88" s="46" t="n">
        <x:v>81</x:v>
      </x:c>
      <x:c r="M88" s="46" t="n">
        <x:v>80</x:v>
      </x:c>
      <x:c r="N88" s="46" t="n">
        <x:v>81</x:v>
      </x:c>
      <x:c r="O88" s="46" t="n">
        <x:v>80</x:v>
      </x:c>
      <x:c r="P88" s="46" t="n">
        <x:v>13</x:v>
      </x:c>
      <x:c r="Q88" s="46" t="n">
        <x:v>5</x:v>
      </x:c>
      <x:c r="R88" s="42" t="n">
        <x:f>0.30*J88+0.20*K88+0.25*L88+0.15*M88+0.10*O88</x:f>
        <x:v>80.55</x:v>
      </x:c>
      <x:c r="S88" s="42" t="n">
        <x:f>0.30*N88+0.20*L88+0.20*K88+0.15*O88+0.15*(100-P88)</x:f>
        <x:v>81.55</x:v>
      </x:c>
      <x:c r="T88" s="42" t="n">
        <x:f>(R88+S88)/2</x:f>
        <x:v>81.05</x:v>
      </x:c>
      <x:c r="U88" s="40" t="n">
        <x:f>1+COUNTIFS($T$2:$T$211,"&gt;"&amp;T88)+COUNTIFS($T$2:$T$211,T88,$R$2:$R$211,"&gt;"&amp;R88)</x:f>
        <x:v>86</x:v>
      </x:c>
      <x:c r="V88" s="40" t="str">
        <x:f>IF(U88&lt;=50,"Y","")</x:f>
      </x:c>
    </x:row>
    <x:row r="89">
      <x:c r="A89" s="40" t="str">
        <x:v>2606.09808</x:v>
      </x:c>
      <x:c r="B89" s="40" t="str">
        <x:v>2026-06</x:v>
      </x:c>
      <x:c r="C89" s="40" t="str">
        <x:v>math.AP</x:v>
      </x:c>
      <x:c r="D89" s="40" t="str">
        <x:v>fluid/kinetic PDE</x:v>
      </x:c>
      <x:c r="E89" s="40" t="str">
        <x:v>High Mach number limit of the compressible Navier-Stokes equations in critical Besov spaces</x:v>
      </x:c>
      <x:c r="F89" s="40" t="str">
        <x:v>Jinkai Ni; Zhipeng Zhang</x:v>
      </x:c>
      <x:c r="G89" s="46" t="n">
        <x:v>30</x:v>
      </x:c>
      <x:c r="H89" s="40" t="str">
        <x:v>https://arxiv.org/abs/2606.09808</x:v>
      </x:c>
      <x:c r="I89" s="40" t="str">
        <x:v>30%评分池：按题名、作者、主题与页数预筛；默认主要结论正确，未逐篇逐行 correctness check。</x:v>
      </x:c>
      <x:c r="J89" s="46" t="n">
        <x:v>81</x:v>
      </x:c>
      <x:c r="K89" s="46" t="n">
        <x:v>80</x:v>
      </x:c>
      <x:c r="L89" s="46" t="n">
        <x:v>81</x:v>
      </x:c>
      <x:c r="M89" s="46" t="n">
        <x:v>80</x:v>
      </x:c>
      <x:c r="N89" s="46" t="n">
        <x:v>81</x:v>
      </x:c>
      <x:c r="O89" s="46" t="n">
        <x:v>80</x:v>
      </x:c>
      <x:c r="P89" s="46" t="n">
        <x:v>13</x:v>
      </x:c>
      <x:c r="Q89" s="46" t="n">
        <x:v>5</x:v>
      </x:c>
      <x:c r="R89" s="42" t="n">
        <x:f>0.30*J89+0.20*K89+0.25*L89+0.15*M89+0.10*O89</x:f>
        <x:v>80.55</x:v>
      </x:c>
      <x:c r="S89" s="42" t="n">
        <x:f>0.30*N89+0.20*L89+0.20*K89+0.15*O89+0.15*(100-P89)</x:f>
        <x:v>81.55</x:v>
      </x:c>
      <x:c r="T89" s="42" t="n">
        <x:f>(R89+S89)/2</x:f>
        <x:v>81.05</x:v>
      </x:c>
      <x:c r="U89" s="40" t="n">
        <x:f>1+COUNTIFS($T$2:$T$211,"&gt;"&amp;T89)+COUNTIFS($T$2:$T$211,T89,$R$2:$R$211,"&gt;"&amp;R89)</x:f>
        <x:v>86</x:v>
      </x:c>
      <x:c r="V89" s="40" t="str">
        <x:f>IF(U89&lt;=50,"Y","")</x:f>
      </x:c>
    </x:row>
    <x:row r="90">
      <x:c r="A90" s="40" t="str">
        <x:v>2606.30022</x:v>
      </x:c>
      <x:c r="B90" s="40" t="str">
        <x:v>2026-06</x:v>
      </x:c>
      <x:c r="C90" s="40" t="str">
        <x:v>math.AP</x:v>
      </x:c>
      <x:c r="D90" s="40" t="str">
        <x:v>fluid/kinetic PDE</x:v>
      </x:c>
      <x:c r="E90" s="40" t="str">
        <x:v>Multiphase formulation of the Vlasov-Navier-Stokes equations</x:v>
      </x:c>
      <x:c r="F90" s="40" t="str">
        <x:v>Valentin Lemarie</x:v>
      </x:c>
      <x:c r="G90" s="46"/>
      <x:c r="H90" s="40" t="str">
        <x:v>https://arxiv.org/abs/2606.30022</x:v>
      </x:c>
      <x:c r="I90" s="40" t="str">
        <x:v>30%评分池：按题名、作者、主题与页数预筛；默认主要结论正确，未逐篇逐行 correctness check。</x:v>
      </x:c>
      <x:c r="J90" s="46" t="n">
        <x:v>81</x:v>
      </x:c>
      <x:c r="K90" s="46" t="n">
        <x:v>80</x:v>
      </x:c>
      <x:c r="L90" s="46" t="n">
        <x:v>81</x:v>
      </x:c>
      <x:c r="M90" s="46" t="n">
        <x:v>80</x:v>
      </x:c>
      <x:c r="N90" s="46" t="n">
        <x:v>81</x:v>
      </x:c>
      <x:c r="O90" s="46" t="n">
        <x:v>80</x:v>
      </x:c>
      <x:c r="P90" s="46" t="n">
        <x:v>13</x:v>
      </x:c>
      <x:c r="Q90" s="46" t="n">
        <x:v>5</x:v>
      </x:c>
      <x:c r="R90" s="42" t="n">
        <x:f>0.30*J90+0.20*K90+0.25*L90+0.15*M90+0.10*O90</x:f>
        <x:v>80.55</x:v>
      </x:c>
      <x:c r="S90" s="42" t="n">
        <x:f>0.30*N90+0.20*L90+0.20*K90+0.15*O90+0.15*(100-P90)</x:f>
        <x:v>81.55</x:v>
      </x:c>
      <x:c r="T90" s="42" t="n">
        <x:f>(R90+S90)/2</x:f>
        <x:v>81.05</x:v>
      </x:c>
      <x:c r="U90" s="40" t="n">
        <x:f>1+COUNTIFS($T$2:$T$211,"&gt;"&amp;T90)+COUNTIFS($T$2:$T$211,T90,$R$2:$R$211,"&gt;"&amp;R90)</x:f>
        <x:v>86</x:v>
      </x:c>
      <x:c r="V90" s="40" t="str">
        <x:f>IF(U90&lt;=50,"Y","")</x:f>
      </x:c>
    </x:row>
    <x:row r="91">
      <x:c r="A91" s="40" t="str">
        <x:v>2606.07423</x:v>
      </x:c>
      <x:c r="B91" s="40" t="str">
        <x:v>2026-06</x:v>
      </x:c>
      <x:c r="C91" s="40" t="str">
        <x:v>math.AP</x:v>
      </x:c>
      <x:c r="D91" s="40" t="str">
        <x:v>fluid/kinetic PDE</x:v>
      </x:c>
      <x:c r="E91" s="40" t="str">
        <x:v>Invariant measures for the one-dimensional stochastic Navier-Stokes-Korteweg equations</x:v>
      </x:c>
      <x:c r="F91" s="40" t="str">
        <x:v>Donatella Donatelli; Lorenzo Pescatore; Stefano Spirito</x:v>
      </x:c>
      <x:c r="G91" s="46"/>
      <x:c r="H91" s="40" t="str">
        <x:v>https://arxiv.org/abs/2606.07423</x:v>
      </x:c>
      <x:c r="I91" s="40" t="str">
        <x:v>30%评分池：按题名、作者、主题与页数预筛；默认主要结论正确，未逐篇逐行 correctness check。</x:v>
      </x:c>
      <x:c r="J91" s="46" t="n">
        <x:v>81</x:v>
      </x:c>
      <x:c r="K91" s="46" t="n">
        <x:v>80</x:v>
      </x:c>
      <x:c r="L91" s="46" t="n">
        <x:v>81</x:v>
      </x:c>
      <x:c r="M91" s="46" t="n">
        <x:v>79</x:v>
      </x:c>
      <x:c r="N91" s="46" t="n">
        <x:v>81</x:v>
      </x:c>
      <x:c r="O91" s="46" t="n">
        <x:v>80</x:v>
      </x:c>
      <x:c r="P91" s="46" t="n">
        <x:v>13</x:v>
      </x:c>
      <x:c r="Q91" s="46" t="n">
        <x:v>5</x:v>
      </x:c>
      <x:c r="R91" s="42" t="n">
        <x:f>0.30*J91+0.20*K91+0.25*L91+0.15*M91+0.10*O91</x:f>
        <x:v>80.39999999999999</x:v>
      </x:c>
      <x:c r="S91" s="42" t="n">
        <x:f>0.30*N91+0.20*L91+0.20*K91+0.15*O91+0.15*(100-P91)</x:f>
        <x:v>81.55</x:v>
      </x:c>
      <x:c r="T91" s="42" t="n">
        <x:f>(R91+S91)/2</x:f>
        <x:v>80.975</x:v>
      </x:c>
      <x:c r="U91" s="40" t="n">
        <x:f>1+COUNTIFS($T$2:$T$211,"&gt;"&amp;T91)+COUNTIFS($T$2:$T$211,T91,$R$2:$R$211,"&gt;"&amp;R91)</x:f>
        <x:v>89</x:v>
      </x:c>
      <x:c r="V91" s="40" t="str">
        <x:f>IF(U91&lt;=50,"Y","")</x:f>
      </x:c>
    </x:row>
    <x:row r="92">
      <x:c r="A92" s="40" t="str">
        <x:v>2606.07875</x:v>
      </x:c>
      <x:c r="B92" s="40" t="str">
        <x:v>2026-06</x:v>
      </x:c>
      <x:c r="C92" s="40" t="str">
        <x:v>math.AP</x:v>
      </x:c>
      <x:c r="D92" s="40" t="str">
        <x:v>fluid/kinetic PDE</x:v>
      </x:c>
      <x:c r="E92" s="40" t="str">
        <x:v>Hypothetical Singularity of 3D Navier-Stokes in Clay Institute set up Reduces to Axisymmetric with Swirl class</x:v>
      </x:c>
      <x:c r="F92" s="40" t="str">
        <x:v>Rishad Shahmurov</x:v>
      </x:c>
      <x:c r="G92" s="46"/>
      <x:c r="H92" s="40" t="str">
        <x:v>https://arxiv.org/abs/2606.07875</x:v>
      </x:c>
      <x:c r="I92" s="40" t="str">
        <x:v>30%评分池：按题名、作者、主题与页数预筛；默认主要结论正确，未逐篇逐行 correctness check。</x:v>
      </x:c>
      <x:c r="J92" s="46" t="n">
        <x:v>81</x:v>
      </x:c>
      <x:c r="K92" s="46" t="n">
        <x:v>80</x:v>
      </x:c>
      <x:c r="L92" s="46" t="n">
        <x:v>81</x:v>
      </x:c>
      <x:c r="M92" s="46" t="n">
        <x:v>79</x:v>
      </x:c>
      <x:c r="N92" s="46" t="n">
        <x:v>81</x:v>
      </x:c>
      <x:c r="O92" s="46" t="n">
        <x:v>80</x:v>
      </x:c>
      <x:c r="P92" s="46" t="n">
        <x:v>13</x:v>
      </x:c>
      <x:c r="Q92" s="46" t="n">
        <x:v>5</x:v>
      </x:c>
      <x:c r="R92" s="42" t="n">
        <x:f>0.30*J92+0.20*K92+0.25*L92+0.15*M92+0.10*O92</x:f>
        <x:v>80.39999999999999</x:v>
      </x:c>
      <x:c r="S92" s="42" t="n">
        <x:f>0.30*N92+0.20*L92+0.20*K92+0.15*O92+0.15*(100-P92)</x:f>
        <x:v>81.55</x:v>
      </x:c>
      <x:c r="T92" s="42" t="n">
        <x:f>(R92+S92)/2</x:f>
        <x:v>80.975</x:v>
      </x:c>
      <x:c r="U92" s="40" t="n">
        <x:f>1+COUNTIFS($T$2:$T$211,"&gt;"&amp;T92)+COUNTIFS($T$2:$T$211,T92,$R$2:$R$211,"&gt;"&amp;R92)</x:f>
        <x:v>89</x:v>
      </x:c>
      <x:c r="V92" s="40" t="str">
        <x:f>IF(U92&lt;=50,"Y","")</x:f>
      </x:c>
    </x:row>
    <x:row r="93">
      <x:c r="A93" s="40" t="str">
        <x:v>2606.07203</x:v>
      </x:c>
      <x:c r="B93" s="40" t="str">
        <x:v>2026-06</x:v>
      </x:c>
      <x:c r="C93" s="40" t="str">
        <x:v>math.AP</x:v>
      </x:c>
      <x:c r="D93" s="40" t="str">
        <x:v>elliptic/parabolic regularity</x:v>
      </x:c>
      <x:c r="E93" s="40" t="str">
        <x:v>Gradient Regularity for Fully Nonlinear Equations with Variable Degeneracy and Hamiltonian Lower-Order Terms</x:v>
      </x:c>
      <x:c r="F93" s="40" t="str">
        <x:v>Gleiciano Cosmo; Rafael R. Costa; Diego Marcon</x:v>
      </x:c>
      <x:c r="G93" s="46"/>
      <x:c r="H93" s="40" t="str">
        <x:v>https://arxiv.org/abs/2606.07203</x:v>
      </x:c>
      <x:c r="I93" s="40" t="str">
        <x:v>30%评分池：按题名、作者、主题与页数预筛；默认主要结论正确，未逐篇逐行 correctness check。</x:v>
      </x:c>
      <x:c r="J93" s="46" t="n">
        <x:v>80</x:v>
      </x:c>
      <x:c r="K93" s="46" t="n">
        <x:v>80</x:v>
      </x:c>
      <x:c r="L93" s="46" t="n">
        <x:v>81</x:v>
      </x:c>
      <x:c r="M93" s="46" t="n">
        <x:v>79</x:v>
      </x:c>
      <x:c r="N93" s="46" t="n">
        <x:v>81</x:v>
      </x:c>
      <x:c r="O93" s="46" t="n">
        <x:v>81</x:v>
      </x:c>
      <x:c r="P93" s="46" t="n">
        <x:v>13</x:v>
      </x:c>
      <x:c r="Q93" s="46" t="n">
        <x:v>5</x:v>
      </x:c>
      <x:c r="R93" s="42" t="n">
        <x:f>0.30*J93+0.20*K93+0.25*L93+0.15*M93+0.10*O93</x:f>
        <x:v>80.19999999999999</x:v>
      </x:c>
      <x:c r="S93" s="42" t="n">
        <x:f>0.30*N93+0.20*L93+0.20*K93+0.15*O93+0.15*(100-P93)</x:f>
        <x:v>81.7</x:v>
      </x:c>
      <x:c r="T93" s="42" t="n">
        <x:f>(R93+S93)/2</x:f>
        <x:v>80.94999999999999</x:v>
      </x:c>
      <x:c r="U93" s="40" t="n">
        <x:f>1+COUNTIFS($T$2:$T$211,"&gt;"&amp;T93)+COUNTIFS($T$2:$T$211,T93,$R$2:$R$211,"&gt;"&amp;R93)</x:f>
        <x:v>92</x:v>
      </x:c>
      <x:c r="V93" s="40" t="str">
        <x:f>IF(U93&lt;=50,"Y","")</x:f>
      </x:c>
    </x:row>
    <x:row r="94">
      <x:c r="A94" s="40" t="str">
        <x:v>2606.07236</x:v>
      </x:c>
      <x:c r="B94" s="40" t="str">
        <x:v>2026-06</x:v>
      </x:c>
      <x:c r="C94" s="40" t="str">
        <x:v>math.AP</x:v>
      </x:c>
      <x:c r="D94" s="40" t="str">
        <x:v>fluid/kinetic PDE</x:v>
      </x:c>
      <x:c r="E94" s="40" t="str">
        <x:v>Moving One-Component Regularity Criteria for the 3D Incompressible MHD Equations</x:v>
      </x:c>
      <x:c r="F94" s="40" t="str">
        <x:v>Maotuo Guo</x:v>
      </x:c>
      <x:c r="G94" s="46"/>
      <x:c r="H94" s="40" t="str">
        <x:v>https://arxiv.org/abs/2606.07236</x:v>
      </x:c>
      <x:c r="I94" s="40" t="str">
        <x:v>30%评分池：按题名、作者、主题与页数预筛；默认主要结论正确，未逐篇逐行 correctness check。</x:v>
      </x:c>
      <x:c r="J94" s="46" t="n">
        <x:v>80</x:v>
      </x:c>
      <x:c r="K94" s="46" t="n">
        <x:v>80</x:v>
      </x:c>
      <x:c r="L94" s="46" t="n">
        <x:v>81</x:v>
      </x:c>
      <x:c r="M94" s="46" t="n">
        <x:v>79</x:v>
      </x:c>
      <x:c r="N94" s="46" t="n">
        <x:v>81</x:v>
      </x:c>
      <x:c r="O94" s="46" t="n">
        <x:v>81</x:v>
      </x:c>
      <x:c r="P94" s="46" t="n">
        <x:v>13</x:v>
      </x:c>
      <x:c r="Q94" s="46" t="n">
        <x:v>5</x:v>
      </x:c>
      <x:c r="R94" s="42" t="n">
        <x:f>0.30*J94+0.20*K94+0.25*L94+0.15*M94+0.10*O94</x:f>
        <x:v>80.19999999999999</x:v>
      </x:c>
      <x:c r="S94" s="42" t="n">
        <x:f>0.30*N94+0.20*L94+0.20*K94+0.15*O94+0.15*(100-P94)</x:f>
        <x:v>81.7</x:v>
      </x:c>
      <x:c r="T94" s="42" t="n">
        <x:f>(R94+S94)/2</x:f>
        <x:v>80.94999999999999</x:v>
      </x:c>
      <x:c r="U94" s="40" t="n">
        <x:f>1+COUNTIFS($T$2:$T$211,"&gt;"&amp;T94)+COUNTIFS($T$2:$T$211,T94,$R$2:$R$211,"&gt;"&amp;R94)</x:f>
        <x:v>92</x:v>
      </x:c>
      <x:c r="V94" s="40" t="str">
        <x:f>IF(U94&lt;=50,"Y","")</x:f>
      </x:c>
    </x:row>
    <x:row r="95">
      <x:c r="A95" s="40" t="str">
        <x:v>2606.06654</x:v>
      </x:c>
      <x:c r="B95" s="40" t="str">
        <x:v>2026-06</x:v>
      </x:c>
      <x:c r="C95" s="40" t="str">
        <x:v>math.AP</x:v>
      </x:c>
      <x:c r="D95" s="40" t="str">
        <x:v>fluid/kinetic PDE</x:v>
      </x:c>
      <x:c r="E95" s="40" t="str">
        <x:v>Euler Immersion</x:v>
      </x:c>
      <x:c r="F95" s="40" t="str">
        <x:v>Igor Kukavica; Amjad Tuffaha; Qi Xu</x:v>
      </x:c>
      <x:c r="G95" s="46"/>
      <x:c r="H95" s="40" t="str">
        <x:v>https://arxiv.org/abs/2606.06654</x:v>
      </x:c>
      <x:c r="I95" s="40" t="str">
        <x:v>30%评分池：按题名、作者、主题与页数预筛；默认主要结论正确，未逐篇逐行 correctness check。</x:v>
      </x:c>
      <x:c r="J95" s="46" t="n">
        <x:v>81</x:v>
      </x:c>
      <x:c r="K95" s="46" t="n">
        <x:v>80</x:v>
      </x:c>
      <x:c r="L95" s="46" t="n">
        <x:v>80</x:v>
      </x:c>
      <x:c r="M95" s="46" t="n">
        <x:v>80</x:v>
      </x:c>
      <x:c r="N95" s="46" t="n">
        <x:v>81</x:v>
      </x:c>
      <x:c r="O95" s="46" t="n">
        <x:v>80</x:v>
      </x:c>
      <x:c r="P95" s="46" t="n">
        <x:v>13</x:v>
      </x:c>
      <x:c r="Q95" s="46" t="n">
        <x:v>5</x:v>
      </x:c>
      <x:c r="R95" s="42" t="n">
        <x:f>0.30*J95+0.20*K95+0.25*L95+0.15*M95+0.10*O95</x:f>
        <x:v>80.3</x:v>
      </x:c>
      <x:c r="S95" s="42" t="n">
        <x:f>0.30*N95+0.20*L95+0.20*K95+0.15*O95+0.15*(100-P95)</x:f>
        <x:v>81.35</x:v>
      </x:c>
      <x:c r="T95" s="42" t="n">
        <x:f>(R95+S95)/2</x:f>
        <x:v>80.82499999999999</x:v>
      </x:c>
      <x:c r="U95" s="40" t="n">
        <x:f>1+COUNTIFS($T$2:$T$211,"&gt;"&amp;T95)+COUNTIFS($T$2:$T$211,T95,$R$2:$R$211,"&gt;"&amp;R95)</x:f>
        <x:v>94</x:v>
      </x:c>
      <x:c r="V95" s="40" t="str">
        <x:f>IF(U95&lt;=50,"Y","")</x:f>
      </x:c>
    </x:row>
    <x:row r="96">
      <x:c r="A96" s="40" t="str">
        <x:v>2606.08257</x:v>
      </x:c>
      <x:c r="B96" s="40" t="str">
        <x:v>2026-06</x:v>
      </x:c>
      <x:c r="C96" s="40" t="str">
        <x:v>math.AP</x:v>
      </x:c>
      <x:c r="D96" s="40" t="str">
        <x:v>elliptic/parabolic regularity</x:v>
      </x:c>
      <x:c r="E96" s="40" t="str">
        <x:v>Infinity-harmonic functions in the plane: Regularity by injectivity</x:v>
      </x:c>
      <x:c r="F96" s="40" t="str">
        <x:v>Karl K. Brustad</x:v>
      </x:c>
      <x:c r="G96" s="46"/>
      <x:c r="H96" s="40" t="str">
        <x:v>https://arxiv.org/abs/2606.08257</x:v>
      </x:c>
      <x:c r="I96" s="40" t="str">
        <x:v>30%评分池：按题名、作者、主题与页数预筛；默认主要结论正确，未逐篇逐行 correctness check。</x:v>
      </x:c>
      <x:c r="J96" s="46" t="n">
        <x:v>80</x:v>
      </x:c>
      <x:c r="K96" s="46" t="n">
        <x:v>80</x:v>
      </x:c>
      <x:c r="L96" s="46" t="n">
        <x:v>81</x:v>
      </x:c>
      <x:c r="M96" s="46" t="n">
        <x:v>79</x:v>
      </x:c>
      <x:c r="N96" s="46" t="n">
        <x:v>81</x:v>
      </x:c>
      <x:c r="O96" s="46" t="n">
        <x:v>80</x:v>
      </x:c>
      <x:c r="P96" s="46" t="n">
        <x:v>13</x:v>
      </x:c>
      <x:c r="Q96" s="46" t="n">
        <x:v>5</x:v>
      </x:c>
      <x:c r="R96" s="42" t="n">
        <x:f>0.30*J96+0.20*K96+0.25*L96+0.15*M96+0.10*O96</x:f>
        <x:v>80.1</x:v>
      </x:c>
      <x:c r="S96" s="42" t="n">
        <x:f>0.30*N96+0.20*L96+0.20*K96+0.15*O96+0.15*(100-P96)</x:f>
        <x:v>81.55</x:v>
      </x:c>
      <x:c r="T96" s="42" t="n">
        <x:f>(R96+S96)/2</x:f>
        <x:v>80.82499999999999</x:v>
      </x:c>
      <x:c r="U96" s="40" t="n">
        <x:f>1+COUNTIFS($T$2:$T$211,"&gt;"&amp;T96)+COUNTIFS($T$2:$T$211,T96,$R$2:$R$211,"&gt;"&amp;R96)</x:f>
        <x:v>95</x:v>
      </x:c>
      <x:c r="V96" s="40" t="str">
        <x:f>IF(U96&lt;=50,"Y","")</x:f>
      </x:c>
    </x:row>
    <x:row r="97">
      <x:c r="A97" s="40" t="str">
        <x:v>2606.11159</x:v>
      </x:c>
      <x:c r="B97" s="40" t="str">
        <x:v>2026-06</x:v>
      </x:c>
      <x:c r="C97" s="40" t="str">
        <x:v>math.AP</x:v>
      </x:c>
      <x:c r="D97" s="40" t="str">
        <x:v>fluid/kinetic PDE</x:v>
      </x:c>
      <x:c r="E97" s="40" t="str">
        <x:v>Unidirectional Entropic Solutions of the Pressureless Euler Alignment System</x:v>
      </x:c>
      <x:c r="F97" s="40" t="str">
        <x:v>Joshua O. Adeleke; Trevor M. Leslie</x:v>
      </x:c>
      <x:c r="G97" s="46" t="n">
        <x:v>32</x:v>
      </x:c>
      <x:c r="H97" s="40" t="str">
        <x:v>https://arxiv.org/abs/2606.11159</x:v>
      </x:c>
      <x:c r="I97" s="40" t="str">
        <x:v>30%评分池：按题名、作者、主题与页数预筛；默认主要结论正确，未逐篇逐行 correctness check。</x:v>
      </x:c>
      <x:c r="J97" s="46" t="n">
        <x:v>81</x:v>
      </x:c>
      <x:c r="K97" s="46" t="n">
        <x:v>80</x:v>
      </x:c>
      <x:c r="L97" s="46" t="n">
        <x:v>80</x:v>
      </x:c>
      <x:c r="M97" s="46" t="n">
        <x:v>79</x:v>
      </x:c>
      <x:c r="N97" s="46" t="n">
        <x:v>81</x:v>
      </x:c>
      <x:c r="O97" s="46" t="n">
        <x:v>80</x:v>
      </x:c>
      <x:c r="P97" s="46" t="n">
        <x:v>13</x:v>
      </x:c>
      <x:c r="Q97" s="46" t="n">
        <x:v>5</x:v>
      </x:c>
      <x:c r="R97" s="42" t="n">
        <x:f>0.30*J97+0.20*K97+0.25*L97+0.15*M97+0.10*O97</x:f>
        <x:v>80.14999999999999</x:v>
      </x:c>
      <x:c r="S97" s="42" t="n">
        <x:f>0.30*N97+0.20*L97+0.20*K97+0.15*O97+0.15*(100-P97)</x:f>
        <x:v>81.35</x:v>
      </x:c>
      <x:c r="T97" s="42" t="n">
        <x:f>(R97+S97)/2</x:f>
        <x:v>80.75</x:v>
      </x:c>
      <x:c r="U97" s="40" t="n">
        <x:f>1+COUNTIFS($T$2:$T$211,"&gt;"&amp;T97)+COUNTIFS($T$2:$T$211,T97,$R$2:$R$211,"&gt;"&amp;R97)</x:f>
        <x:v>96</x:v>
      </x:c>
      <x:c r="V97" s="40" t="str">
        <x:f>IF(U97&lt;=50,"Y","")</x:f>
      </x:c>
    </x:row>
    <x:row r="98">
      <x:c r="A98" s="40" t="str">
        <x:v>2606.05990</x:v>
      </x:c>
      <x:c r="B98" s="40" t="str">
        <x:v>2026-06</x:v>
      </x:c>
      <x:c r="C98" s="40" t="str">
        <x:v>math.AP</x:v>
      </x:c>
      <x:c r="D98" s="40" t="str">
        <x:v>elliptic/parabolic regularity</x:v>
      </x:c>
      <x:c r="E98" s="40" t="str">
        <x:v>A Pohozaev-type neck proof of a conditional Harnack inequality in the critical p-Laplacian setting</x:v>
      </x:c>
      <x:c r="F98" s="40" t="str">
        <x:v>Guolin Qin; Yi Ru-Ya Zhang</x:v>
      </x:c>
      <x:c r="G98" s="46" t="n">
        <x:v>26</x:v>
      </x:c>
      <x:c r="H98" s="40" t="str">
        <x:v>https://arxiv.org/abs/2606.05990</x:v>
      </x:c>
      <x:c r="I98" s="40" t="str">
        <x:v>30%评分池：按题名、作者、主题与页数预筛；默认主要结论正确，未逐篇逐行 correctness check。</x:v>
      </x:c>
      <x:c r="J98" s="46" t="n">
        <x:v>80</x:v>
      </x:c>
      <x:c r="K98" s="46" t="n">
        <x:v>80</x:v>
      </x:c>
      <x:c r="L98" s="46" t="n">
        <x:v>80</x:v>
      </x:c>
      <x:c r="M98" s="46" t="n">
        <x:v>81</x:v>
      </x:c>
      <x:c r="N98" s="46" t="n">
        <x:v>80</x:v>
      </x:c>
      <x:c r="O98" s="46" t="n">
        <x:v>81</x:v>
      </x:c>
      <x:c r="P98" s="46" t="n">
        <x:v>13</x:v>
      </x:c>
      <x:c r="Q98" s="46" t="n">
        <x:v>5</x:v>
      </x:c>
      <x:c r="R98" s="42" t="n">
        <x:f>0.30*J98+0.20*K98+0.25*L98+0.15*M98+0.10*O98</x:f>
        <x:v>80.25</x:v>
      </x:c>
      <x:c r="S98" s="42" t="n">
        <x:f>0.30*N98+0.20*L98+0.20*K98+0.15*O98+0.15*(100-P98)</x:f>
        <x:v>81.2</x:v>
      </x:c>
      <x:c r="T98" s="42" t="n">
        <x:f>(R98+S98)/2</x:f>
        <x:v>80.725</x:v>
      </x:c>
      <x:c r="U98" s="40" t="n">
        <x:f>1+COUNTIFS($T$2:$T$211,"&gt;"&amp;T98)+COUNTIFS($T$2:$T$211,T98,$R$2:$R$211,"&gt;"&amp;R98)</x:f>
        <x:v>97</x:v>
      </x:c>
      <x:c r="V98" s="40" t="str">
        <x:f>IF(U98&lt;=50,"Y","")</x:f>
      </x:c>
    </x:row>
    <x:row r="99">
      <x:c r="A99" s="40" t="str">
        <x:v>2606.06488</x:v>
      </x:c>
      <x:c r="B99" s="40" t="str">
        <x:v>2026-06</x:v>
      </x:c>
      <x:c r="C99" s="40" t="str">
        <x:v>math.AP</x:v>
      </x:c>
      <x:c r="D99" s="40" t="str">
        <x:v>fluid/kinetic PDE</x:v>
      </x:c>
      <x:c r="E99" s="40" t="str">
        <x:v>Homeomorphic modified wave operators for the Vlasov-Poisson system</x:v>
      </x:c>
      <x:c r="F99" s="40" t="str">
        <x:v>Leo Bigorgne</x:v>
      </x:c>
      <x:c r="G99" s="46"/>
      <x:c r="H99" s="40" t="str">
        <x:v>https://arxiv.org/abs/2606.06488</x:v>
      </x:c>
      <x:c r="I99" s="40" t="str">
        <x:v>30%评分池：按题名、作者、主题与页数预筛；默认主要结论正确，未逐篇逐行 correctness check。</x:v>
      </x:c>
      <x:c r="J99" s="46" t="n">
        <x:v>80</x:v>
      </x:c>
      <x:c r="K99" s="46" t="n">
        <x:v>80</x:v>
      </x:c>
      <x:c r="L99" s="46" t="n">
        <x:v>81</x:v>
      </x:c>
      <x:c r="M99" s="46" t="n">
        <x:v>79</x:v>
      </x:c>
      <x:c r="N99" s="46" t="n">
        <x:v>80</x:v>
      </x:c>
      <x:c r="O99" s="46" t="n">
        <x:v>80</x:v>
      </x:c>
      <x:c r="P99" s="46" t="n">
        <x:v>13</x:v>
      </x:c>
      <x:c r="Q99" s="46" t="n">
        <x:v>5</x:v>
      </x:c>
      <x:c r="R99" s="42" t="n">
        <x:f>0.30*J99+0.20*K99+0.25*L99+0.15*M99+0.10*O99</x:f>
        <x:v>80.1</x:v>
      </x:c>
      <x:c r="S99" s="42" t="n">
        <x:f>0.30*N99+0.20*L99+0.20*K99+0.15*O99+0.15*(100-P99)</x:f>
        <x:v>81.25</x:v>
      </x:c>
      <x:c r="T99" s="42" t="n">
        <x:f>(R99+S99)/2</x:f>
        <x:v>80.675</x:v>
      </x:c>
      <x:c r="U99" s="40" t="n">
        <x:f>1+COUNTIFS($T$2:$T$211,"&gt;"&amp;T99)+COUNTIFS($T$2:$T$211,T99,$R$2:$R$211,"&gt;"&amp;R99)</x:f>
        <x:v>98</x:v>
      </x:c>
      <x:c r="V99" s="40" t="str">
        <x:f>IF(U99&lt;=50,"Y","")</x:f>
      </x:c>
    </x:row>
    <x:row r="100">
      <x:c r="A100" s="40" t="str">
        <x:v>2606.00713</x:v>
      </x:c>
      <x:c r="B100" s="40" t="str">
        <x:v>2026-06</x:v>
      </x:c>
      <x:c r="C100" s="40" t="str">
        <x:v>math.AP</x:v>
      </x:c>
      <x:c r="D100" s="40" t="str">
        <x:v>fluid/kinetic PDE</x:v>
      </x:c>
      <x:c r="E100" s="40" t="str">
        <x:v>Liouville Type Theorem for the Steady Fractional Compressible MHD Equations in R^3</x:v>
      </x:c>
      <x:c r="F100" s="40" t="str">
        <x:v>Zhenyuan Liu; Weihua Wang</x:v>
      </x:c>
      <x:c r="G100" s="46" t="n">
        <x:v>15</x:v>
      </x:c>
      <x:c r="H100" s="40" t="str">
        <x:v>https://arxiv.org/abs/2606.00713</x:v>
      </x:c>
      <x:c r="I100" s="40" t="str">
        <x:v>30%评分池：按题名、作者、主题与页数预筛；默认主要结论正确，未逐篇逐行 correctness check。</x:v>
      </x:c>
      <x:c r="J100" s="46" t="n">
        <x:v>80</x:v>
      </x:c>
      <x:c r="K100" s="46" t="n">
        <x:v>80</x:v>
      </x:c>
      <x:c r="L100" s="46" t="n">
        <x:v>80</x:v>
      </x:c>
      <x:c r="M100" s="46" t="n">
        <x:v>80</x:v>
      </x:c>
      <x:c r="N100" s="46" t="n">
        <x:v>81</x:v>
      </x:c>
      <x:c r="O100" s="46" t="n">
        <x:v>80</x:v>
      </x:c>
      <x:c r="P100" s="46" t="n">
        <x:v>13</x:v>
      </x:c>
      <x:c r="Q100" s="46" t="n">
        <x:v>5</x:v>
      </x:c>
      <x:c r="R100" s="42" t="n">
        <x:f>0.30*J100+0.20*K100+0.25*L100+0.15*M100+0.10*O100</x:f>
        <x:v>80</x:v>
      </x:c>
      <x:c r="S100" s="42" t="n">
        <x:f>0.30*N100+0.20*L100+0.20*K100+0.15*O100+0.15*(100-P100)</x:f>
        <x:v>81.35</x:v>
      </x:c>
      <x:c r="T100" s="42" t="n">
        <x:f>(R100+S100)/2</x:f>
        <x:v>80.675</x:v>
      </x:c>
      <x:c r="U100" s="40" t="n">
        <x:f>1+COUNTIFS($T$2:$T$211,"&gt;"&amp;T100)+COUNTIFS($T$2:$T$211,T100,$R$2:$R$211,"&gt;"&amp;R100)</x:f>
        <x:v>99</x:v>
      </x:c>
      <x:c r="V100" s="40" t="str">
        <x:f>IF(U100&lt;=50,"Y","")</x:f>
      </x:c>
    </x:row>
    <x:row r="101">
      <x:c r="A101" s="40" t="str">
        <x:v>2606.00899</x:v>
      </x:c>
      <x:c r="B101" s="40" t="str">
        <x:v>2026-06</x:v>
      </x:c>
      <x:c r="C101" s="40" t="str">
        <x:v>math.AP</x:v>
      </x:c>
      <x:c r="D101" s="40" t="str">
        <x:v>analysis/PDE</x:v>
      </x:c>
      <x:c r="E101" s="40" t="str">
        <x:v>Well-posedness of a first-order formulation for fractionally damped nonlinear acoustics</x:v>
      </x:c>
      <x:c r="F101" s="40" t="str">
        <x:v>Pascal Lehner; Mostafa Meliani</x:v>
      </x:c>
      <x:c r="G101" s="46"/>
      <x:c r="H101" s="40" t="str">
        <x:v>https://arxiv.org/abs/2606.00899</x:v>
      </x:c>
      <x:c r="I101" s="40" t="str">
        <x:v>30%评分池：按题名、作者、主题与页数预筛；默认主要结论正确，未逐篇逐行 correctness check。</x:v>
      </x:c>
      <x:c r="J101" s="46" t="n">
        <x:v>80</x:v>
      </x:c>
      <x:c r="K101" s="46" t="n">
        <x:v>80</x:v>
      </x:c>
      <x:c r="L101" s="46" t="n">
        <x:v>80</x:v>
      </x:c>
      <x:c r="M101" s="46" t="n">
        <x:v>80</x:v>
      </x:c>
      <x:c r="N101" s="46" t="n">
        <x:v>81</x:v>
      </x:c>
      <x:c r="O101" s="46" t="n">
        <x:v>80</x:v>
      </x:c>
      <x:c r="P101" s="46" t="n">
        <x:v>13</x:v>
      </x:c>
      <x:c r="Q101" s="46" t="n">
        <x:v>5</x:v>
      </x:c>
      <x:c r="R101" s="42" t="n">
        <x:f>0.30*J101+0.20*K101+0.25*L101+0.15*M101+0.10*O101</x:f>
        <x:v>80</x:v>
      </x:c>
      <x:c r="S101" s="42" t="n">
        <x:f>0.30*N101+0.20*L101+0.20*K101+0.15*O101+0.15*(100-P101)</x:f>
        <x:v>81.35</x:v>
      </x:c>
      <x:c r="T101" s="42" t="n">
        <x:f>(R101+S101)/2</x:f>
        <x:v>80.675</x:v>
      </x:c>
      <x:c r="U101" s="40" t="n">
        <x:f>1+COUNTIFS($T$2:$T$211,"&gt;"&amp;T101)+COUNTIFS($T$2:$T$211,T101,$R$2:$R$211,"&gt;"&amp;R101)</x:f>
        <x:v>99</x:v>
      </x:c>
      <x:c r="V101" s="40" t="str">
        <x:f>IF(U101&lt;=50,"Y","")</x:f>
      </x:c>
    </x:row>
    <x:row r="102">
      <x:c r="A102" s="40" t="str">
        <x:v>2606.01321</x:v>
      </x:c>
      <x:c r="B102" s="40" t="str">
        <x:v>2026-06</x:v>
      </x:c>
      <x:c r="C102" s="40" t="str">
        <x:v>math.AP</x:v>
      </x:c>
      <x:c r="D102" s="40" t="str">
        <x:v>analysis/PDE</x:v>
      </x:c>
      <x:c r="E102" s="40" t="str">
        <x:v>Existence of Solutions for time-dependent fractional Kohn-Sham Equations</x:v>
      </x:c>
      <x:c r="F102" s="40" t="str">
        <x:v>Sebastien Breteaux; Michele Fantechi; Jeremy Faupin</x:v>
      </x:c>
      <x:c r="G102" s="46"/>
      <x:c r="H102" s="40" t="str">
        <x:v>https://arxiv.org/abs/2606.01321</x:v>
      </x:c>
      <x:c r="I102" s="40" t="str">
        <x:v>30%评分池：按题名、作者、主题与页数预筛；默认主要结论正确，未逐篇逐行 correctness check。</x:v>
      </x:c>
      <x:c r="J102" s="46" t="n">
        <x:v>80</x:v>
      </x:c>
      <x:c r="K102" s="46" t="n">
        <x:v>80</x:v>
      </x:c>
      <x:c r="L102" s="46" t="n">
        <x:v>80</x:v>
      </x:c>
      <x:c r="M102" s="46" t="n">
        <x:v>80</x:v>
      </x:c>
      <x:c r="N102" s="46" t="n">
        <x:v>81</x:v>
      </x:c>
      <x:c r="O102" s="46" t="n">
        <x:v>80</x:v>
      </x:c>
      <x:c r="P102" s="46" t="n">
        <x:v>13</x:v>
      </x:c>
      <x:c r="Q102" s="46" t="n">
        <x:v>5</x:v>
      </x:c>
      <x:c r="R102" s="42" t="n">
        <x:f>0.30*J102+0.20*K102+0.25*L102+0.15*M102+0.10*O102</x:f>
        <x:v>80</x:v>
      </x:c>
      <x:c r="S102" s="42" t="n">
        <x:f>0.30*N102+0.20*L102+0.20*K102+0.15*O102+0.15*(100-P102)</x:f>
        <x:v>81.35</x:v>
      </x:c>
      <x:c r="T102" s="42" t="n">
        <x:f>(R102+S102)/2</x:f>
        <x:v>80.675</x:v>
      </x:c>
      <x:c r="U102" s="40" t="n">
        <x:f>1+COUNTIFS($T$2:$T$211,"&gt;"&amp;T102)+COUNTIFS($T$2:$T$211,T102,$R$2:$R$211,"&gt;"&amp;R102)</x:f>
        <x:v>99</x:v>
      </x:c>
      <x:c r="V102" s="40" t="str">
        <x:f>IF(U102&lt;=50,"Y","")</x:f>
      </x:c>
    </x:row>
    <x:row r="103">
      <x:c r="A103" s="40" t="str">
        <x:v>2606.01383</x:v>
      </x:c>
      <x:c r="B103" s="40" t="str">
        <x:v>2026-06</x:v>
      </x:c>
      <x:c r="C103" s="40" t="str">
        <x:v>math.AP</x:v>
      </x:c>
      <x:c r="D103" s="40" t="str">
        <x:v>analysis/PDE</x:v>
      </x:c>
      <x:c r="E103" s="40" t="str">
        <x:v>A symmetry formula for the spectral fractional Laplacian, and applications to boundary controllability for plate equation with structural damping</x:v>
      </x:c>
      <x:c r="F103" s="40" t="str">
        <x:v>Sergei Avdonin; Julian Edward</x:v>
      </x:c>
      <x:c r="G103" s="46"/>
      <x:c r="H103" s="40" t="str">
        <x:v>https://arxiv.org/abs/2606.01383</x:v>
      </x:c>
      <x:c r="I103" s="40" t="str">
        <x:v>30%评分池：按题名、作者、主题与页数预筛；默认主要结论正确，未逐篇逐行 correctness check。</x:v>
      </x:c>
      <x:c r="J103" s="46" t="n">
        <x:v>80</x:v>
      </x:c>
      <x:c r="K103" s="46" t="n">
        <x:v>80</x:v>
      </x:c>
      <x:c r="L103" s="46" t="n">
        <x:v>80</x:v>
      </x:c>
      <x:c r="M103" s="46" t="n">
        <x:v>80</x:v>
      </x:c>
      <x:c r="N103" s="46" t="n">
        <x:v>81</x:v>
      </x:c>
      <x:c r="O103" s="46" t="n">
        <x:v>80</x:v>
      </x:c>
      <x:c r="P103" s="46" t="n">
        <x:v>13</x:v>
      </x:c>
      <x:c r="Q103" s="46" t="n">
        <x:v>5</x:v>
      </x:c>
      <x:c r="R103" s="42" t="n">
        <x:f>0.30*J103+0.20*K103+0.25*L103+0.15*M103+0.10*O103</x:f>
        <x:v>80</x:v>
      </x:c>
      <x:c r="S103" s="42" t="n">
        <x:f>0.30*N103+0.20*L103+0.20*K103+0.15*O103+0.15*(100-P103)</x:f>
        <x:v>81.35</x:v>
      </x:c>
      <x:c r="T103" s="42" t="n">
        <x:f>(R103+S103)/2</x:f>
        <x:v>80.675</x:v>
      </x:c>
      <x:c r="U103" s="40" t="n">
        <x:f>1+COUNTIFS($T$2:$T$211,"&gt;"&amp;T103)+COUNTIFS($T$2:$T$211,T103,$R$2:$R$211,"&gt;"&amp;R103)</x:f>
        <x:v>99</x:v>
      </x:c>
      <x:c r="V103" s="40" t="str">
        <x:f>IF(U103&lt;=50,"Y","")</x:f>
      </x:c>
    </x:row>
    <x:row r="104">
      <x:c r="A104" s="40" t="str">
        <x:v>2606.06009</x:v>
      </x:c>
      <x:c r="B104" s="40" t="str">
        <x:v>2026-06</x:v>
      </x:c>
      <x:c r="C104" s="40" t="str">
        <x:v>math.AP</x:v>
      </x:c>
      <x:c r="D104" s="40" t="str">
        <x:v>analysis/PDE</x:v>
      </x:c>
      <x:c r="E104" s="40" t="str">
        <x:v>Preventing L^p blow-up by local anisotropy in a two-dimensional Keller-Segel system</x:v>
      </x:c>
      <x:c r="F104" s="40" t="str">
        <x:v>Youshan Tao; Michael Winkler</x:v>
      </x:c>
      <x:c r="G104" s="46"/>
      <x:c r="H104" s="40" t="str">
        <x:v>https://arxiv.org/abs/2606.06009</x:v>
      </x:c>
      <x:c r="I104" s="40" t="str">
        <x:v>30%评分池：按题名、作者、主题与页数预筛；默认主要结论正确，未逐篇逐行 correctness check。</x:v>
      </x:c>
      <x:c r="J104" s="46" t="n">
        <x:v>80</x:v>
      </x:c>
      <x:c r="K104" s="46" t="n">
        <x:v>80</x:v>
      </x:c>
      <x:c r="L104" s="46" t="n">
        <x:v>80</x:v>
      </x:c>
      <x:c r="M104" s="46" t="n">
        <x:v>80</x:v>
      </x:c>
      <x:c r="N104" s="46" t="n">
        <x:v>81</x:v>
      </x:c>
      <x:c r="O104" s="46" t="n">
        <x:v>80</x:v>
      </x:c>
      <x:c r="P104" s="46" t="n">
        <x:v>13</x:v>
      </x:c>
      <x:c r="Q104" s="46" t="n">
        <x:v>5</x:v>
      </x:c>
      <x:c r="R104" s="42" t="n">
        <x:f>0.30*J104+0.20*K104+0.25*L104+0.15*M104+0.10*O104</x:f>
        <x:v>80</x:v>
      </x:c>
      <x:c r="S104" s="42" t="n">
        <x:f>0.30*N104+0.20*L104+0.20*K104+0.15*O104+0.15*(100-P104)</x:f>
        <x:v>81.35</x:v>
      </x:c>
      <x:c r="T104" s="42" t="n">
        <x:f>(R104+S104)/2</x:f>
        <x:v>80.675</x:v>
      </x:c>
      <x:c r="U104" s="40" t="n">
        <x:f>1+COUNTIFS($T$2:$T$211,"&gt;"&amp;T104)+COUNTIFS($T$2:$T$211,T104,$R$2:$R$211,"&gt;"&amp;R104)</x:f>
        <x:v>99</x:v>
      </x:c>
      <x:c r="V104" s="40" t="str">
        <x:f>IF(U104&lt;=50,"Y","")</x:f>
      </x:c>
    </x:row>
    <x:row r="105">
      <x:c r="A105" s="40" t="str">
        <x:v>2606.06431</x:v>
      </x:c>
      <x:c r="B105" s="40" t="str">
        <x:v>2026-06</x:v>
      </x:c>
      <x:c r="C105" s="40" t="str">
        <x:v>math.AP</x:v>
      </x:c>
      <x:c r="D105" s="40" t="str">
        <x:v>inverse/scattering</x:v>
      </x:c>
      <x:c r="E105" s="40" t="str">
        <x:v>An inverse source problem for a fully nonlinear elliptic equation</x:v>
      </x:c>
      <x:c r="F105" s="40" t="str">
        <x:v>Ching-Lung Lin; Yi-Hsuan Lin; Jenn-Nan Wang</x:v>
      </x:c>
      <x:c r="G105" s="46" t="n">
        <x:v>23</x:v>
      </x:c>
      <x:c r="H105" s="40" t="str">
        <x:v>https://arxiv.org/abs/2606.06431</x:v>
      </x:c>
      <x:c r="I105" s="40" t="str">
        <x:v>30%评分池：按题名、作者、主题与页数预筛；默认主要结论正确，未逐篇逐行 correctness check。</x:v>
      </x:c>
      <x:c r="J105" s="46" t="n">
        <x:v>80</x:v>
      </x:c>
      <x:c r="K105" s="46" t="n">
        <x:v>81</x:v>
      </x:c>
      <x:c r="L105" s="46" t="n">
        <x:v>80</x:v>
      </x:c>
      <x:c r="M105" s="46" t="n">
        <x:v>79</x:v>
      </x:c>
      <x:c r="N105" s="46" t="n">
        <x:v>80</x:v>
      </x:c>
      <x:c r="O105" s="46" t="n">
        <x:v>80</x:v>
      </x:c>
      <x:c r="P105" s="46" t="n">
        <x:v>13</x:v>
      </x:c>
      <x:c r="Q105" s="46" t="n">
        <x:v>5</x:v>
      </x:c>
      <x:c r="R105" s="42" t="n">
        <x:f>0.30*J105+0.20*K105+0.25*L105+0.15*M105+0.10*O105</x:f>
        <x:v>80.05</x:v>
      </x:c>
      <x:c r="S105" s="42" t="n">
        <x:f>0.30*N105+0.20*L105+0.20*K105+0.15*O105+0.15*(100-P105)</x:f>
        <x:v>81.25</x:v>
      </x:c>
      <x:c r="T105" s="42" t="n">
        <x:f>(R105+S105)/2</x:f>
        <x:v>80.65</x:v>
      </x:c>
      <x:c r="U105" s="40" t="n">
        <x:f>1+COUNTIFS($T$2:$T$211,"&gt;"&amp;T105)+COUNTIFS($T$2:$T$211,T105,$R$2:$R$211,"&gt;"&amp;R105)</x:f>
        <x:v>104</x:v>
      </x:c>
      <x:c r="V105" s="40" t="str">
        <x:f>IF(U105&lt;=50,"Y","")</x:f>
      </x:c>
    </x:row>
    <x:row r="106">
      <x:c r="A106" s="40" t="str">
        <x:v>2606.07064</x:v>
      </x:c>
      <x:c r="B106" s="40" t="str">
        <x:v>2026-06</x:v>
      </x:c>
      <x:c r="C106" s="40" t="str">
        <x:v>math.AP</x:v>
      </x:c>
      <x:c r="D106" s="40" t="str">
        <x:v>inverse/scattering</x:v>
      </x:c>
      <x:c r="E106" s="40" t="str">
        <x:v>An inverse source problem for the Monge-Ampere equation from large boundary data</x:v>
      </x:c>
      <x:c r="F106" s="40" t="str">
        <x:v>Catalin I. Carstea; Tuhin Ghosh</x:v>
      </x:c>
      <x:c r="G106" s="46"/>
      <x:c r="H106" s="40" t="str">
        <x:v>https://arxiv.org/abs/2606.07064</x:v>
      </x:c>
      <x:c r="I106" s="40" t="str">
        <x:v>30%评分池：按题名、作者、主题与页数预筛；默认主要结论正确，未逐篇逐行 correctness check。</x:v>
      </x:c>
      <x:c r="J106" s="46" t="n">
        <x:v>80</x:v>
      </x:c>
      <x:c r="K106" s="46" t="n">
        <x:v>81</x:v>
      </x:c>
      <x:c r="L106" s="46" t="n">
        <x:v>80</x:v>
      </x:c>
      <x:c r="M106" s="46" t="n">
        <x:v>79</x:v>
      </x:c>
      <x:c r="N106" s="46" t="n">
        <x:v>80</x:v>
      </x:c>
      <x:c r="O106" s="46" t="n">
        <x:v>80</x:v>
      </x:c>
      <x:c r="P106" s="46" t="n">
        <x:v>13</x:v>
      </x:c>
      <x:c r="Q106" s="46" t="n">
        <x:v>5</x:v>
      </x:c>
      <x:c r="R106" s="42" t="n">
        <x:f>0.30*J106+0.20*K106+0.25*L106+0.15*M106+0.10*O106</x:f>
        <x:v>80.05</x:v>
      </x:c>
      <x:c r="S106" s="42" t="n">
        <x:f>0.30*N106+0.20*L106+0.20*K106+0.15*O106+0.15*(100-P106)</x:f>
        <x:v>81.25</x:v>
      </x:c>
      <x:c r="T106" s="42" t="n">
        <x:f>(R106+S106)/2</x:f>
        <x:v>80.65</x:v>
      </x:c>
      <x:c r="U106" s="40" t="n">
        <x:f>1+COUNTIFS($T$2:$T$211,"&gt;"&amp;T106)+COUNTIFS($T$2:$T$211,T106,$R$2:$R$211,"&gt;"&amp;R106)</x:f>
        <x:v>104</x:v>
      </x:c>
      <x:c r="V106" s="40" t="str">
        <x:f>IF(U106&lt;=50,"Y","")</x:f>
      </x:c>
    </x:row>
    <x:row r="107">
      <x:c r="A107" s="40" t="str">
        <x:v>2606.00885</x:v>
      </x:c>
      <x:c r="B107" s="40" t="str">
        <x:v>2026-06</x:v>
      </x:c>
      <x:c r="C107" s="40" t="str">
        <x:v>math.AP</x:v>
      </x:c>
      <x:c r="D107" s="40" t="str">
        <x:v>analysis/PDE</x:v>
      </x:c>
      <x:c r="E107" s="40" t="str">
        <x:v>An elliptic regularization approach to the Stefan problem</x:v>
      </x:c>
      <x:c r="F107" s="40" t="str">
        <x:v>Filippo Paiano; Bozhidar Velichkov</x:v>
      </x:c>
      <x:c r="G107" s="46" t="n">
        <x:v>38</x:v>
      </x:c>
      <x:c r="H107" s="40" t="str">
        <x:v>https://arxiv.org/abs/2606.00885</x:v>
      </x:c>
      <x:c r="I107" s="40" t="str">
        <x:v>30%评分池：按题名、作者、主题与页数预筛；默认主要结论正确，未逐篇逐行 correctness check。</x:v>
      </x:c>
      <x:c r="J107" s="46" t="n">
        <x:v>80</x:v>
      </x:c>
      <x:c r="K107" s="46" t="n">
        <x:v>80</x:v>
      </x:c>
      <x:c r="L107" s="46" t="n">
        <x:v>80</x:v>
      </x:c>
      <x:c r="M107" s="46" t="n">
        <x:v>79</x:v>
      </x:c>
      <x:c r="N107" s="46" t="n">
        <x:v>80</x:v>
      </x:c>
      <x:c r="O107" s="46" t="n">
        <x:v>80</x:v>
      </x:c>
      <x:c r="P107" s="46" t="n">
        <x:v>13</x:v>
      </x:c>
      <x:c r="Q107" s="46" t="n">
        <x:v>5</x:v>
      </x:c>
      <x:c r="R107" s="42" t="n">
        <x:f>0.30*J107+0.20*K107+0.25*L107+0.15*M107+0.10*O107</x:f>
        <x:v>79.85</x:v>
      </x:c>
      <x:c r="S107" s="42" t="n">
        <x:f>0.30*N107+0.20*L107+0.20*K107+0.15*O107+0.15*(100-P107)</x:f>
        <x:v>81.05</x:v>
      </x:c>
      <x:c r="T107" s="42" t="n">
        <x:f>(R107+S107)/2</x:f>
        <x:v>80.44999999999999</x:v>
      </x:c>
      <x:c r="U107" s="40" t="n">
        <x:f>1+COUNTIFS($T$2:$T$211,"&gt;"&amp;T107)+COUNTIFS($T$2:$T$211,T107,$R$2:$R$211,"&gt;"&amp;R107)</x:f>
        <x:v>106</x:v>
      </x:c>
      <x:c r="V107" s="40" t="str">
        <x:f>IF(U107&lt;=50,"Y","")</x:f>
      </x:c>
    </x:row>
    <x:row r="108">
      <x:c r="A108" s="40" t="str">
        <x:v>2606.01219</x:v>
      </x:c>
      <x:c r="B108" s="40" t="str">
        <x:v>2026-06</x:v>
      </x:c>
      <x:c r="C108" s="40" t="str">
        <x:v>math.AP</x:v>
      </x:c>
      <x:c r="D108" s="40" t="str">
        <x:v>analysis/PDE</x:v>
      </x:c>
      <x:c r="E108" s="40" t="str">
        <x:v>Network transport with nonlinear dynamics at the nodes</x:v>
      </x:c>
      <x:c r="F108" s="40" t="str">
        <x:v>Jacek Banasiak; Adam Bloch</x:v>
      </x:c>
      <x:c r="G108" s="46" t="n">
        <x:v>36</x:v>
      </x:c>
      <x:c r="H108" s="40" t="str">
        <x:v>https://arxiv.org/abs/2606.01219</x:v>
      </x:c>
      <x:c r="I108" s="40" t="str">
        <x:v>30%评分池：按题名、作者、主题与页数预筛；默认主要结论正确，未逐篇逐行 correctness check。</x:v>
      </x:c>
      <x:c r="J108" s="46" t="n">
        <x:v>80</x:v>
      </x:c>
      <x:c r="K108" s="46" t="n">
        <x:v>80</x:v>
      </x:c>
      <x:c r="L108" s="46" t="n">
        <x:v>80</x:v>
      </x:c>
      <x:c r="M108" s="46" t="n">
        <x:v>79</x:v>
      </x:c>
      <x:c r="N108" s="46" t="n">
        <x:v>80</x:v>
      </x:c>
      <x:c r="O108" s="46" t="n">
        <x:v>80</x:v>
      </x:c>
      <x:c r="P108" s="46" t="n">
        <x:v>13</x:v>
      </x:c>
      <x:c r="Q108" s="46" t="n">
        <x:v>5</x:v>
      </x:c>
      <x:c r="R108" s="42" t="n">
        <x:f>0.30*J108+0.20*K108+0.25*L108+0.15*M108+0.10*O108</x:f>
        <x:v>79.85</x:v>
      </x:c>
      <x:c r="S108" s="42" t="n">
        <x:f>0.30*N108+0.20*L108+0.20*K108+0.15*O108+0.15*(100-P108)</x:f>
        <x:v>81.05</x:v>
      </x:c>
      <x:c r="T108" s="42" t="n">
        <x:f>(R108+S108)/2</x:f>
        <x:v>80.44999999999999</x:v>
      </x:c>
      <x:c r="U108" s="40" t="n">
        <x:f>1+COUNTIFS($T$2:$T$211,"&gt;"&amp;T108)+COUNTIFS($T$2:$T$211,T108,$R$2:$R$211,"&gt;"&amp;R108)</x:f>
        <x:v>106</x:v>
      </x:c>
      <x:c r="V108" s="40" t="str">
        <x:f>IF(U108&lt;=50,"Y","")</x:f>
      </x:c>
    </x:row>
    <x:row r="109">
      <x:c r="A109" s="40" t="str">
        <x:v>2606.03064</x:v>
      </x:c>
      <x:c r="B109" s="40" t="str">
        <x:v>2026-06</x:v>
      </x:c>
      <x:c r="C109" s="40" t="str">
        <x:v>math.AP</x:v>
      </x:c>
      <x:c r="D109" s="40" t="str">
        <x:v>dispersive PDE</x:v>
      </x:c>
      <x:c r="E109" s="40" t="str">
        <x:v>Local and global well-posedness for the nonlinear Schrodinger equation with nonhomogeneous boundary conditions</x:v>
      </x:c>
      <x:c r="F109" s="40" t="str">
        <x:v>Engui Fan; Yuan Li; Xinhan Liu</x:v>
      </x:c>
      <x:c r="G109" s="46" t="n">
        <x:v>61</x:v>
      </x:c>
      <x:c r="H109" s="40" t="str">
        <x:v>https://arxiv.org/abs/2606.03064</x:v>
      </x:c>
      <x:c r="I109" s="40" t="str">
        <x:v>30%评分池：按题名、作者、主题与页数预筛；默认主要结论正确，未逐篇逐行 correctness check。</x:v>
      </x:c>
      <x:c r="J109" s="46" t="n">
        <x:v>80</x:v>
      </x:c>
      <x:c r="K109" s="46" t="n">
        <x:v>80</x:v>
      </x:c>
      <x:c r="L109" s="46" t="n">
        <x:v>80</x:v>
      </x:c>
      <x:c r="M109" s="46" t="n">
        <x:v>79</x:v>
      </x:c>
      <x:c r="N109" s="46" t="n">
        <x:v>80</x:v>
      </x:c>
      <x:c r="O109" s="46" t="n">
        <x:v>80</x:v>
      </x:c>
      <x:c r="P109" s="46" t="n">
        <x:v>13</x:v>
      </x:c>
      <x:c r="Q109" s="46" t="n">
        <x:v>5</x:v>
      </x:c>
      <x:c r="R109" s="42" t="n">
        <x:f>0.30*J109+0.20*K109+0.25*L109+0.15*M109+0.10*O109</x:f>
        <x:v>79.85</x:v>
      </x:c>
      <x:c r="S109" s="42" t="n">
        <x:f>0.30*N109+0.20*L109+0.20*K109+0.15*O109+0.15*(100-P109)</x:f>
        <x:v>81.05</x:v>
      </x:c>
      <x:c r="T109" s="42" t="n">
        <x:f>(R109+S109)/2</x:f>
        <x:v>80.44999999999999</x:v>
      </x:c>
      <x:c r="U109" s="40" t="n">
        <x:f>1+COUNTIFS($T$2:$T$211,"&gt;"&amp;T109)+COUNTIFS($T$2:$T$211,T109,$R$2:$R$211,"&gt;"&amp;R109)</x:f>
        <x:v>106</x:v>
      </x:c>
      <x:c r="V109" s="40" t="str">
        <x:f>IF(U109&lt;=50,"Y","")</x:f>
      </x:c>
    </x:row>
    <x:row r="110">
      <x:c r="A110" s="40" t="str">
        <x:v>2606.03150</x:v>
      </x:c>
      <x:c r="B110" s="40" t="str">
        <x:v>2026-06</x:v>
      </x:c>
      <x:c r="C110" s="40" t="str">
        <x:v>math.AP</x:v>
      </x:c>
      <x:c r="D110" s="40" t="str">
        <x:v>homogenization/asymptotics</x:v>
      </x:c>
      <x:c r="E110" s="40" t="str">
        <x:v>Singular limit of lattice graphs and its application to critical Lane-Emden equations on lattice graphs</x:v>
      </x:c>
      <x:c r="F110" s="40" t="str">
        <x:v>Zhentao He; Chao Ji</x:v>
      </x:c>
      <x:c r="G110" s="46" t="n">
        <x:v>53</x:v>
      </x:c>
      <x:c r="H110" s="40" t="str">
        <x:v>https://arxiv.org/abs/2606.03150</x:v>
      </x:c>
      <x:c r="I110" s="40" t="str">
        <x:v>30%评分池：按题名、作者、主题与页数预筛；默认主要结论正确，未逐篇逐行 correctness check。</x:v>
      </x:c>
      <x:c r="J110" s="46" t="n">
        <x:v>80</x:v>
      </x:c>
      <x:c r="K110" s="46" t="n">
        <x:v>80</x:v>
      </x:c>
      <x:c r="L110" s="46" t="n">
        <x:v>80</x:v>
      </x:c>
      <x:c r="M110" s="46" t="n">
        <x:v>79</x:v>
      </x:c>
      <x:c r="N110" s="46" t="n">
        <x:v>80</x:v>
      </x:c>
      <x:c r="O110" s="46" t="n">
        <x:v>80</x:v>
      </x:c>
      <x:c r="P110" s="46" t="n">
        <x:v>13</x:v>
      </x:c>
      <x:c r="Q110" s="46" t="n">
        <x:v>5</x:v>
      </x:c>
      <x:c r="R110" s="42" t="n">
        <x:f>0.30*J110+0.20*K110+0.25*L110+0.15*M110+0.10*O110</x:f>
        <x:v>79.85</x:v>
      </x:c>
      <x:c r="S110" s="42" t="n">
        <x:f>0.30*N110+0.20*L110+0.20*K110+0.15*O110+0.15*(100-P110)</x:f>
        <x:v>81.05</x:v>
      </x:c>
      <x:c r="T110" s="42" t="n">
        <x:f>(R110+S110)/2</x:f>
        <x:v>80.44999999999999</x:v>
      </x:c>
      <x:c r="U110" s="40" t="n">
        <x:f>1+COUNTIFS($T$2:$T$211,"&gt;"&amp;T110)+COUNTIFS($T$2:$T$211,T110,$R$2:$R$211,"&gt;"&amp;R110)</x:f>
        <x:v>106</x:v>
      </x:c>
      <x:c r="V110" s="40" t="str">
        <x:f>IF(U110&lt;=50,"Y","")</x:f>
      </x:c>
    </x:row>
    <x:row r="111">
      <x:c r="A111" s="40" t="str">
        <x:v>2606.04654</x:v>
      </x:c>
      <x:c r="B111" s="40" t="str">
        <x:v>2026-06</x:v>
      </x:c>
      <x:c r="C111" s="40" t="str">
        <x:v>math.AP</x:v>
      </x:c>
      <x:c r="D111" s="40" t="str">
        <x:v>homogenization/asymptotics</x:v>
      </x:c>
      <x:c r="E111" s="40" t="str">
        <x:v>Small-Time Asymptotic Behavior of the Stochastic Landau-Lifshitz-Baryakhtar Equation</x:v>
      </x:c>
      <x:c r="F111" s="40" t="str">
        <x:v>Utpal Manna; Sangram Satpathi</x:v>
      </x:c>
      <x:c r="G111" s="46"/>
      <x:c r="H111" s="40" t="str">
        <x:v>https://arxiv.org/abs/2606.04654</x:v>
      </x:c>
      <x:c r="I111" s="40" t="str">
        <x:v>30%评分池：按题名、作者、主题与页数预筛；默认主要结论正确，未逐篇逐行 correctness check。</x:v>
      </x:c>
      <x:c r="J111" s="46" t="n">
        <x:v>80</x:v>
      </x:c>
      <x:c r="K111" s="46" t="n">
        <x:v>80</x:v>
      </x:c>
      <x:c r="L111" s="46" t="n">
        <x:v>80</x:v>
      </x:c>
      <x:c r="M111" s="46" t="n">
        <x:v>79</x:v>
      </x:c>
      <x:c r="N111" s="46" t="n">
        <x:v>80</x:v>
      </x:c>
      <x:c r="O111" s="46" t="n">
        <x:v>80</x:v>
      </x:c>
      <x:c r="P111" s="46" t="n">
        <x:v>13</x:v>
      </x:c>
      <x:c r="Q111" s="46" t="n">
        <x:v>5</x:v>
      </x:c>
      <x:c r="R111" s="42" t="n">
        <x:f>0.30*J111+0.20*K111+0.25*L111+0.15*M111+0.10*O111</x:f>
        <x:v>79.85</x:v>
      </x:c>
      <x:c r="S111" s="42" t="n">
        <x:f>0.30*N111+0.20*L111+0.20*K111+0.15*O111+0.15*(100-P111)</x:f>
        <x:v>81.05</x:v>
      </x:c>
      <x:c r="T111" s="42" t="n">
        <x:f>(R111+S111)/2</x:f>
        <x:v>80.44999999999999</x:v>
      </x:c>
      <x:c r="U111" s="40" t="n">
        <x:f>1+COUNTIFS($T$2:$T$211,"&gt;"&amp;T111)+COUNTIFS($T$2:$T$211,T111,$R$2:$R$211,"&gt;"&amp;R111)</x:f>
        <x:v>106</x:v>
      </x:c>
      <x:c r="V111" s="40" t="str">
        <x:f>IF(U111&lt;=50,"Y","")</x:f>
      </x:c>
    </x:row>
    <x:row r="112">
      <x:c r="A112" s="40" t="str">
        <x:v>2606.15658</x:v>
      </x:c>
      <x:c r="B112" s="40" t="str">
        <x:v>2026-06</x:v>
      </x:c>
      <x:c r="C112" s="40" t="str">
        <x:v>math.AP</x:v>
      </x:c>
      <x:c r="D112" s="40" t="str">
        <x:v>homogenization/asymptotics</x:v>
      </x:c>
      <x:c r="E112" s="40" t="str">
        <x:v>L^2-contraction and asymptotic stability of Cahn-Hilliard fronts</x:v>
      </x:c>
      <x:c r="F112" s="40" t="str">
        <x:v>Bongsuk Kwon; Wanyong Shim</x:v>
      </x:c>
      <x:c r="G112" s="46" t="n">
        <x:v>31</x:v>
      </x:c>
      <x:c r="H112" s="40" t="str">
        <x:v>https://arxiv.org/abs/2606.15658</x:v>
      </x:c>
      <x:c r="I112" s="40" t="str">
        <x:v>30%评分池：按题名、作者、主题与页数预筛；默认主要结论正确，未逐篇逐行 correctness check。</x:v>
      </x:c>
      <x:c r="J112" s="46" t="n">
        <x:v>80</x:v>
      </x:c>
      <x:c r="K112" s="46" t="n">
        <x:v>80</x:v>
      </x:c>
      <x:c r="L112" s="46" t="n">
        <x:v>80</x:v>
      </x:c>
      <x:c r="M112" s="46" t="n">
        <x:v>79</x:v>
      </x:c>
      <x:c r="N112" s="46" t="n">
        <x:v>80</x:v>
      </x:c>
      <x:c r="O112" s="46" t="n">
        <x:v>80</x:v>
      </x:c>
      <x:c r="P112" s="46" t="n">
        <x:v>13</x:v>
      </x:c>
      <x:c r="Q112" s="46" t="n">
        <x:v>5</x:v>
      </x:c>
      <x:c r="R112" s="42" t="n">
        <x:f>0.30*J112+0.20*K112+0.25*L112+0.15*M112+0.10*O112</x:f>
        <x:v>79.85</x:v>
      </x:c>
      <x:c r="S112" s="42" t="n">
        <x:f>0.30*N112+0.20*L112+0.20*K112+0.15*O112+0.15*(100-P112)</x:f>
        <x:v>81.05</x:v>
      </x:c>
      <x:c r="T112" s="42" t="n">
        <x:f>(R112+S112)/2</x:f>
        <x:v>80.44999999999999</x:v>
      </x:c>
      <x:c r="U112" s="40" t="n">
        <x:f>1+COUNTIFS($T$2:$T$211,"&gt;"&amp;T112)+COUNTIFS($T$2:$T$211,T112,$R$2:$R$211,"&gt;"&amp;R112)</x:f>
        <x:v>106</x:v>
      </x:c>
      <x:c r="V112" s="40" t="str">
        <x:f>IF(U112&lt;=50,"Y","")</x:f>
      </x:c>
    </x:row>
    <x:row r="113">
      <x:c r="A113" s="40" t="str">
        <x:v>2606.11856</x:v>
      </x:c>
      <x:c r="B113" s="40" t="str">
        <x:v>2026-06</x:v>
      </x:c>
      <x:c r="C113" s="40" t="str">
        <x:v>math.AP</x:v>
      </x:c>
      <x:c r="D113" s="40" t="str">
        <x:v>fluid/kinetic PDE</x:v>
      </x:c>
      <x:c r="E113" s="40" t="str">
        <x:v>Some results for a stationary Navier-Stokes equation with rough drift in a weighted functional framework</x:v>
      </x:c>
      <x:c r="F113" s="40" t="str">
        <x:v>Diego Chamorro; Anca-Nicoleta Marcoci; Liviu-Gabriel Marcoci</x:v>
      </x:c>
      <x:c r="G113" s="46"/>
      <x:c r="H113" s="40" t="str">
        <x:v>https://arxiv.org/abs/2606.11856</x:v>
      </x:c>
      <x:c r="I113" s="40" t="str">
        <x:v>30%评分池：按题名、作者、主题与页数预筛；默认主要结论正确，未逐篇逐行 correctness check。</x:v>
      </x:c>
      <x:c r="J113" s="46" t="n">
        <x:v>80</x:v>
      </x:c>
      <x:c r="K113" s="46" t="n">
        <x:v>79</x:v>
      </x:c>
      <x:c r="L113" s="46" t="n">
        <x:v>80</x:v>
      </x:c>
      <x:c r="M113" s="46" t="n">
        <x:v>80</x:v>
      </x:c>
      <x:c r="N113" s="46" t="n">
        <x:v>80</x:v>
      </x:c>
      <x:c r="O113" s="46" t="n">
        <x:v>79</x:v>
      </x:c>
      <x:c r="P113" s="46" t="n">
        <x:v>13</x:v>
      </x:c>
      <x:c r="Q113" s="46" t="n">
        <x:v>5</x:v>
      </x:c>
      <x:c r="R113" s="42" t="n">
        <x:f>0.30*J113+0.20*K113+0.25*L113+0.15*M113+0.10*O113</x:f>
        <x:v>79.7</x:v>
      </x:c>
      <x:c r="S113" s="42" t="n">
        <x:f>0.30*N113+0.20*L113+0.20*K113+0.15*O113+0.15*(100-P113)</x:f>
        <x:v>80.69999999999999</x:v>
      </x:c>
      <x:c r="T113" s="42" t="n">
        <x:f>(R113+S113)/2</x:f>
        <x:v>80.19999999999999</x:v>
      </x:c>
      <x:c r="U113" s="40" t="n">
        <x:f>1+COUNTIFS($T$2:$T$211,"&gt;"&amp;T113)+COUNTIFS($T$2:$T$211,T113,$R$2:$R$211,"&gt;"&amp;R113)</x:f>
        <x:v>117</x:v>
      </x:c>
      <x:c r="V113" s="40" t="str">
        <x:f>IF(U113&lt;=50,"Y","")</x:f>
      </x:c>
    </x:row>
    <x:row r="114">
      <x:c r="A114" s="40" t="str">
        <x:v>2606.04765</x:v>
      </x:c>
      <x:c r="B114" s="40" t="str">
        <x:v>2026-06</x:v>
      </x:c>
      <x:c r="C114" s="40" t="str">
        <x:v>math.AP</x:v>
      </x:c>
      <x:c r="D114" s="40" t="str">
        <x:v>inequalities/function spaces</x:v>
      </x:c>
      <x:c r="E114" s="40" t="str">
        <x:v>Exact Poincare Constants in n-dimensional Annuli</x:v>
      </x:c>
      <x:c r="F114" s="40" t="str">
        <x:v>Bernd Rummler; Michael Ruzicka; Gudrun Thater</x:v>
      </x:c>
      <x:c r="G114" s="46"/>
      <x:c r="H114" s="40" t="str">
        <x:v>https://arxiv.org/abs/2606.04765</x:v>
      </x:c>
      <x:c r="I114" s="40" t="str">
        <x:v>30%评分池：按题名、作者、主题与页数预筛；默认主要结论正确，未逐篇逐行 correctness check。</x:v>
      </x:c>
      <x:c r="J114" s="46" t="n">
        <x:v>80</x:v>
      </x:c>
      <x:c r="K114" s="46" t="n">
        <x:v>79</x:v>
      </x:c>
      <x:c r="L114" s="46" t="n">
        <x:v>80</x:v>
      </x:c>
      <x:c r="M114" s="46" t="n">
        <x:v>79</x:v>
      </x:c>
      <x:c r="N114" s="46" t="n">
        <x:v>80</x:v>
      </x:c>
      <x:c r="O114" s="46" t="n">
        <x:v>80</x:v>
      </x:c>
      <x:c r="P114" s="46" t="n">
        <x:v>13</x:v>
      </x:c>
      <x:c r="Q114" s="46" t="n">
        <x:v>5</x:v>
      </x:c>
      <x:c r="R114" s="42" t="n">
        <x:f>0.30*J114+0.20*K114+0.25*L114+0.15*M114+0.10*O114</x:f>
        <x:v>79.64999999999999</x:v>
      </x:c>
      <x:c r="S114" s="42" t="n">
        <x:f>0.30*N114+0.20*L114+0.20*K114+0.15*O114+0.15*(100-P114)</x:f>
        <x:v>80.85</x:v>
      </x:c>
      <x:c r="T114" s="42" t="n">
        <x:f>(R114+S114)/2</x:f>
        <x:v>80.25</x:v>
      </x:c>
      <x:c r="U114" s="40" t="n">
        <x:f>1+COUNTIFS($T$2:$T$211,"&gt;"&amp;T114)+COUNTIFS($T$2:$T$211,T114,$R$2:$R$211,"&gt;"&amp;R114)</x:f>
        <x:v>112</x:v>
      </x:c>
      <x:c r="V114" s="40" t="str">
        <x:f>IF(U114&lt;=50,"Y","")</x:f>
      </x:c>
    </x:row>
    <x:row r="115">
      <x:c r="A115" s="40" t="str">
        <x:v>2606.04774</x:v>
      </x:c>
      <x:c r="B115" s="40" t="str">
        <x:v>2026-06</x:v>
      </x:c>
      <x:c r="C115" s="40" t="str">
        <x:v>math.AP</x:v>
      </x:c>
      <x:c r="D115" s="40" t="str">
        <x:v>inequalities/function spaces</x:v>
      </x:c>
      <x:c r="E115" s="40" t="str">
        <x:v>Weighted centro-affine Poincare inequalities</x:v>
      </x:c>
      <x:c r="F115" s="40" t="str">
        <x:v>Yingxiang Hu; Mohammad N. Ivaki</x:v>
      </x:c>
      <x:c r="G115" s="46"/>
      <x:c r="H115" s="40" t="str">
        <x:v>https://arxiv.org/abs/2606.04774</x:v>
      </x:c>
      <x:c r="I115" s="40" t="str">
        <x:v>30%评分池：按题名、作者、主题与页数预筛；默认主要结论正确，未逐篇逐行 correctness check。</x:v>
      </x:c>
      <x:c r="J115" s="46" t="n">
        <x:v>80</x:v>
      </x:c>
      <x:c r="K115" s="46" t="n">
        <x:v>79</x:v>
      </x:c>
      <x:c r="L115" s="46" t="n">
        <x:v>80</x:v>
      </x:c>
      <x:c r="M115" s="46" t="n">
        <x:v>79</x:v>
      </x:c>
      <x:c r="N115" s="46" t="n">
        <x:v>80</x:v>
      </x:c>
      <x:c r="O115" s="46" t="n">
        <x:v>80</x:v>
      </x:c>
      <x:c r="P115" s="46" t="n">
        <x:v>13</x:v>
      </x:c>
      <x:c r="Q115" s="46" t="n">
        <x:v>5</x:v>
      </x:c>
      <x:c r="R115" s="42" t="n">
        <x:f>0.30*J115+0.20*K115+0.25*L115+0.15*M115+0.10*O115</x:f>
        <x:v>79.64999999999999</x:v>
      </x:c>
      <x:c r="S115" s="42" t="n">
        <x:f>0.30*N115+0.20*L115+0.20*K115+0.15*O115+0.15*(100-P115)</x:f>
        <x:v>80.85</x:v>
      </x:c>
      <x:c r="T115" s="42" t="n">
        <x:f>(R115+S115)/2</x:f>
        <x:v>80.25</x:v>
      </x:c>
      <x:c r="U115" s="40" t="n">
        <x:f>1+COUNTIFS($T$2:$T$211,"&gt;"&amp;T115)+COUNTIFS($T$2:$T$211,T115,$R$2:$R$211,"&gt;"&amp;R115)</x:f>
        <x:v>112</x:v>
      </x:c>
      <x:c r="V115" s="40" t="str">
        <x:f>IF(U115&lt;=50,"Y","")</x:f>
      </x:c>
    </x:row>
    <x:row r="116">
      <x:c r="A116" s="40" t="str">
        <x:v>2606.04814</x:v>
      </x:c>
      <x:c r="B116" s="40" t="str">
        <x:v>2026-06</x:v>
      </x:c>
      <x:c r="C116" s="40" t="str">
        <x:v>math.AP</x:v>
      </x:c>
      <x:c r="D116" s="40" t="str">
        <x:v>analysis/PDE</x:v>
      </x:c>
      <x:c r="E116" s="40" t="str">
        <x:v>Cauchy Problem for the Time-Fractional Airy-Type Equation on a Star Graph with Edge-Dependent Order of Derivative</x:v>
      </x:c>
      <x:c r="F116" s="40" t="str">
        <x:v>Zarif Sobirov; Kamoladdin Rakhimov</x:v>
      </x:c>
      <x:c r="G116" s="46" t="n">
        <x:v>14</x:v>
      </x:c>
      <x:c r="H116" s="40" t="str">
        <x:v>https://arxiv.org/abs/2606.04814</x:v>
      </x:c>
      <x:c r="I116" s="40" t="str">
        <x:v>30%评分池：按题名、作者、主题与页数预筛；默认主要结论正确，未逐篇逐行 correctness check。</x:v>
      </x:c>
      <x:c r="J116" s="46" t="n">
        <x:v>80</x:v>
      </x:c>
      <x:c r="K116" s="46" t="n">
        <x:v>79</x:v>
      </x:c>
      <x:c r="L116" s="46" t="n">
        <x:v>80</x:v>
      </x:c>
      <x:c r="M116" s="46" t="n">
        <x:v>79</x:v>
      </x:c>
      <x:c r="N116" s="46" t="n">
        <x:v>80</x:v>
      </x:c>
      <x:c r="O116" s="46" t="n">
        <x:v>80</x:v>
      </x:c>
      <x:c r="P116" s="46" t="n">
        <x:v>13</x:v>
      </x:c>
      <x:c r="Q116" s="46" t="n">
        <x:v>5</x:v>
      </x:c>
      <x:c r="R116" s="42" t="n">
        <x:f>0.30*J116+0.20*K116+0.25*L116+0.15*M116+0.10*O116</x:f>
        <x:v>79.64999999999999</x:v>
      </x:c>
      <x:c r="S116" s="42" t="n">
        <x:f>0.30*N116+0.20*L116+0.20*K116+0.15*O116+0.15*(100-P116)</x:f>
        <x:v>80.85</x:v>
      </x:c>
      <x:c r="T116" s="42" t="n">
        <x:f>(R116+S116)/2</x:f>
        <x:v>80.25</x:v>
      </x:c>
      <x:c r="U116" s="40" t="n">
        <x:f>1+COUNTIFS($T$2:$T$211,"&gt;"&amp;T116)+COUNTIFS($T$2:$T$211,T116,$R$2:$R$211,"&gt;"&amp;R116)</x:f>
        <x:v>112</x:v>
      </x:c>
      <x:c r="V116" s="40" t="str">
        <x:f>IF(U116&lt;=50,"Y","")</x:f>
      </x:c>
    </x:row>
    <x:row r="117">
      <x:c r="A117" s="40" t="str">
        <x:v>2606.05477</x:v>
      </x:c>
      <x:c r="B117" s="40" t="str">
        <x:v>2026-06</x:v>
      </x:c>
      <x:c r="C117" s="40" t="str">
        <x:v>math.AP</x:v>
      </x:c>
      <x:c r="D117" s="40" t="str">
        <x:v>analysis/PDE</x:v>
      </x:c>
      <x:c r="E117" s="40" t="str">
        <x:v>Robust interpolation inequalities via Chebyshev-type integral inequalities</x:v>
      </x:c>
      <x:c r="F117" s="40" t="str">
        <x:v>Guy Foghem</x:v>
      </x:c>
      <x:c r="G117" s="46" t="n">
        <x:v>59</x:v>
      </x:c>
      <x:c r="H117" s="40" t="str">
        <x:v>https://arxiv.org/abs/2606.05477</x:v>
      </x:c>
      <x:c r="I117" s="40" t="str">
        <x:v>30%评分池：按题名、作者、主题与页数预筛；默认主要结论正确，未逐篇逐行 correctness check。</x:v>
      </x:c>
      <x:c r="J117" s="46" t="n">
        <x:v>80</x:v>
      </x:c>
      <x:c r="K117" s="46" t="n">
        <x:v>79</x:v>
      </x:c>
      <x:c r="L117" s="46" t="n">
        <x:v>80</x:v>
      </x:c>
      <x:c r="M117" s="46" t="n">
        <x:v>79</x:v>
      </x:c>
      <x:c r="N117" s="46" t="n">
        <x:v>80</x:v>
      </x:c>
      <x:c r="O117" s="46" t="n">
        <x:v>80</x:v>
      </x:c>
      <x:c r="P117" s="46" t="n">
        <x:v>13</x:v>
      </x:c>
      <x:c r="Q117" s="46" t="n">
        <x:v>5</x:v>
      </x:c>
      <x:c r="R117" s="42" t="n">
        <x:f>0.30*J117+0.20*K117+0.25*L117+0.15*M117+0.10*O117</x:f>
        <x:v>79.64999999999999</x:v>
      </x:c>
      <x:c r="S117" s="42" t="n">
        <x:f>0.30*N117+0.20*L117+0.20*K117+0.15*O117+0.15*(100-P117)</x:f>
        <x:v>80.85</x:v>
      </x:c>
      <x:c r="T117" s="42" t="n">
        <x:f>(R117+S117)/2</x:f>
        <x:v>80.25</x:v>
      </x:c>
      <x:c r="U117" s="40" t="n">
        <x:f>1+COUNTIFS($T$2:$T$211,"&gt;"&amp;T117)+COUNTIFS($T$2:$T$211,T117,$R$2:$R$211,"&gt;"&amp;R117)</x:f>
        <x:v>112</x:v>
      </x:c>
      <x:c r="V117" s="40" t="str">
        <x:f>IF(U117&lt;=50,"Y","")</x:f>
      </x:c>
    </x:row>
    <x:row r="118">
      <x:c r="A118" s="40" t="str">
        <x:v>2606.07307</x:v>
      </x:c>
      <x:c r="B118" s="40" t="str">
        <x:v>2026-06</x:v>
      </x:c>
      <x:c r="C118" s="40" t="str">
        <x:v>math.AP</x:v>
      </x:c>
      <x:c r="D118" s="40" t="str">
        <x:v>analysis/PDE</x:v>
      </x:c>
      <x:c r="E118" s="40" t="str">
        <x:v>On shifting the thermal explosion threshold by a vortical flow in dimension two</x:v>
      </x:c>
      <x:c r="F118" s="40" t="str">
        <x:v>Tianyi Guo; Peter V. Gordon</x:v>
      </x:c>
      <x:c r="G118" s="46" t="n">
        <x:v>17</x:v>
      </x:c>
      <x:c r="H118" s="40" t="str">
        <x:v>https://arxiv.org/abs/2606.07307</x:v>
      </x:c>
      <x:c r="I118" s="40" t="str">
        <x:v>30%评分池：按题名、作者、主题与页数预筛；默认主要结论正确，未逐篇逐行 correctness check。</x:v>
      </x:c>
      <x:c r="J118" s="46" t="n">
        <x:v>80</x:v>
      </x:c>
      <x:c r="K118" s="46" t="n">
        <x:v>79</x:v>
      </x:c>
      <x:c r="L118" s="46" t="n">
        <x:v>80</x:v>
      </x:c>
      <x:c r="M118" s="46" t="n">
        <x:v>79</x:v>
      </x:c>
      <x:c r="N118" s="46" t="n">
        <x:v>80</x:v>
      </x:c>
      <x:c r="O118" s="46" t="n">
        <x:v>80</x:v>
      </x:c>
      <x:c r="P118" s="46" t="n">
        <x:v>13</x:v>
      </x:c>
      <x:c r="Q118" s="46" t="n">
        <x:v>5</x:v>
      </x:c>
      <x:c r="R118" s="42" t="n">
        <x:f>0.30*J118+0.20*K118+0.25*L118+0.15*M118+0.10*O118</x:f>
        <x:v>79.64999999999999</x:v>
      </x:c>
      <x:c r="S118" s="42" t="n">
        <x:f>0.30*N118+0.20*L118+0.20*K118+0.15*O118+0.15*(100-P118)</x:f>
        <x:v>80.85</x:v>
      </x:c>
      <x:c r="T118" s="42" t="n">
        <x:f>(R118+S118)/2</x:f>
        <x:v>80.25</x:v>
      </x:c>
      <x:c r="U118" s="40" t="n">
        <x:f>1+COUNTIFS($T$2:$T$211,"&gt;"&amp;T118)+COUNTIFS($T$2:$T$211,T118,$R$2:$R$211,"&gt;"&amp;R118)</x:f>
        <x:v>112</x:v>
      </x:c>
      <x:c r="V118" s="40" t="str">
        <x:f>IF(U118&lt;=50,"Y","")</x:f>
      </x:c>
    </x:row>
    <x:row r="119">
      <x:c r="A119" s="40" t="str">
        <x:v>2606.00276</x:v>
      </x:c>
      <x:c r="B119" s="40" t="str">
        <x:v>2026-06</x:v>
      </x:c>
      <x:c r="C119" s="40" t="str">
        <x:v>math.AP</x:v>
      </x:c>
      <x:c r="D119" s="40" t="str">
        <x:v>fluid/kinetic PDE</x:v>
      </x:c>
      <x:c r="E119" s="40" t="str">
        <x:v>Dispersive-Dissipative estimates for Boussinesq and other generalized wave equations</x:v>
      </x:c>
      <x:c r="F119" s="40" t="str">
        <x:v>Marcello D'Abbicco; Marcelo Rempel Ebert; Antonio Lagioia</x:v>
      </x:c>
      <x:c r="G119" s="46"/>
      <x:c r="H119" s="40" t="str">
        <x:v>https://arxiv.org/abs/2606.00276</x:v>
      </x:c>
      <x:c r="I119" s="40" t="str">
        <x:v>30%评分池：按题名、作者、主题与页数预筛；默认主要结论正确，未逐篇逐行 correctness check。</x:v>
      </x:c>
      <x:c r="J119" s="46" t="n">
        <x:v>79</x:v>
      </x:c>
      <x:c r="K119" s="46" t="n">
        <x:v>79</x:v>
      </x:c>
      <x:c r="L119" s="46" t="n">
        <x:v>80</x:v>
      </x:c>
      <x:c r="M119" s="46" t="n">
        <x:v>80</x:v>
      </x:c>
      <x:c r="N119" s="46" t="n">
        <x:v>80</x:v>
      </x:c>
      <x:c r="O119" s="46" t="n">
        <x:v>80</x:v>
      </x:c>
      <x:c r="P119" s="46" t="n">
        <x:v>13</x:v>
      </x:c>
      <x:c r="Q119" s="46" t="n">
        <x:v>5</x:v>
      </x:c>
      <x:c r="R119" s="42" t="n">
        <x:f>0.30*J119+0.20*K119+0.25*L119+0.15*M119+0.10*O119</x:f>
        <x:v>79.5</x:v>
      </x:c>
      <x:c r="S119" s="42" t="n">
        <x:f>0.30*N119+0.20*L119+0.20*K119+0.15*O119+0.15*(100-P119)</x:f>
        <x:v>80.85</x:v>
      </x:c>
      <x:c r="T119" s="42" t="n">
        <x:f>(R119+S119)/2</x:f>
        <x:v>80.175</x:v>
      </x:c>
      <x:c r="U119" s="40" t="n">
        <x:f>1+COUNTIFS($T$2:$T$211,"&gt;"&amp;T119)+COUNTIFS($T$2:$T$211,T119,$R$2:$R$211,"&gt;"&amp;R119)</x:f>
        <x:v>118</x:v>
      </x:c>
      <x:c r="V119" s="40" t="str">
        <x:f>IF(U119&lt;=50,"Y","")</x:f>
      </x:c>
    </x:row>
    <x:row r="120">
      <x:c r="A120" s="40" t="str">
        <x:v>2606.09429</x:v>
      </x:c>
      <x:c r="B120" s="40" t="str">
        <x:v>2026-06</x:v>
      </x:c>
      <x:c r="C120" s="40" t="str">
        <x:v>math.AP</x:v>
      </x:c>
      <x:c r="D120" s="40" t="str">
        <x:v>elliptic/parabolic regularity</x:v>
      </x:c>
      <x:c r="E120" s="40" t="str">
        <x:v>Low-regularity well-posedness for a mixed-sign quadratic Dirac equation on N-star metric graphs</x:v>
      </x:c>
      <x:c r="F120" s="40" t="str">
        <x:v>Huichao Xing; Zhipeng Yang</x:v>
      </x:c>
      <x:c r="G120" s="46" t="n">
        <x:v>19</x:v>
      </x:c>
      <x:c r="H120" s="40" t="str">
        <x:v>https://arxiv.org/abs/2606.09429</x:v>
      </x:c>
      <x:c r="I120" s="40" t="str">
        <x:v>30%评分池：按题名、作者、主题与页数预筛；默认主要结论正确，未逐篇逐行 correctness check。</x:v>
      </x:c>
      <x:c r="J120" s="46" t="n">
        <x:v>79</x:v>
      </x:c>
      <x:c r="K120" s="46" t="n">
        <x:v>79</x:v>
      </x:c>
      <x:c r="L120" s="46" t="n">
        <x:v>80</x:v>
      </x:c>
      <x:c r="M120" s="46" t="n">
        <x:v>79</x:v>
      </x:c>
      <x:c r="N120" s="46" t="n">
        <x:v>80</x:v>
      </x:c>
      <x:c r="O120" s="46" t="n">
        <x:v>80</x:v>
      </x:c>
      <x:c r="P120" s="46" t="n">
        <x:v>13</x:v>
      </x:c>
      <x:c r="Q120" s="46" t="n">
        <x:v>5</x:v>
      </x:c>
      <x:c r="R120" s="42" t="n">
        <x:f>0.30*J120+0.20*K120+0.25*L120+0.15*M120+0.10*O120</x:f>
        <x:v>79.35</x:v>
      </x:c>
      <x:c r="S120" s="42" t="n">
        <x:f>0.30*N120+0.20*L120+0.20*K120+0.15*O120+0.15*(100-P120)</x:f>
        <x:v>80.85</x:v>
      </x:c>
      <x:c r="T120" s="42" t="n">
        <x:f>(R120+S120)/2</x:f>
        <x:v>80.1</x:v>
      </x:c>
      <x:c r="U120" s="40" t="n">
        <x:f>1+COUNTIFS($T$2:$T$211,"&gt;"&amp;T120)+COUNTIFS($T$2:$T$211,T120,$R$2:$R$211,"&gt;"&amp;R120)</x:f>
        <x:v>119</x:v>
      </x:c>
      <x:c r="V120" s="40" t="str">
        <x:f>IF(U120&lt;=50,"Y","")</x:f>
      </x:c>
    </x:row>
    <x:row r="121">
      <x:c r="A121" s="40" t="str">
        <x:v>2606.12267</x:v>
      </x:c>
      <x:c r="B121" s="40" t="str">
        <x:v>2026-06</x:v>
      </x:c>
      <x:c r="C121" s="40" t="str">
        <x:v>math.AP</x:v>
      </x:c>
      <x:c r="D121" s="40" t="str">
        <x:v>fluid/kinetic PDE</x:v>
      </x:c>
      <x:c r="E121" s="40" t="str">
        <x:v>Schur Visibility and Anti-Phantom Reduction in One-Component Navier-Stokes Degeneration</x:v>
      </x:c>
      <x:c r="F121" s="40" t="str">
        <x:v>Runlong Yu</x:v>
      </x:c>
      <x:c r="G121" s="46"/>
      <x:c r="H121" s="40" t="str">
        <x:v>https://arxiv.org/abs/2606.12267</x:v>
      </x:c>
      <x:c r="I121" s="40" t="str">
        <x:v>30%评分池：按题名、作者、主题与页数预筛；默认主要结论正确，未逐篇逐行 correctness check。</x:v>
      </x:c>
      <x:c r="J121" s="46" t="n">
        <x:v>80</x:v>
      </x:c>
      <x:c r="K121" s="46" t="n">
        <x:v>79</x:v>
      </x:c>
      <x:c r="L121" s="46" t="n">
        <x:v>80</x:v>
      </x:c>
      <x:c r="M121" s="46" t="n">
        <x:v>78</x:v>
      </x:c>
      <x:c r="N121" s="46" t="n">
        <x:v>80</x:v>
      </x:c>
      <x:c r="O121" s="46" t="n">
        <x:v>79</x:v>
      </x:c>
      <x:c r="P121" s="46" t="n">
        <x:v>13</x:v>
      </x:c>
      <x:c r="Q121" s="46" t="n">
        <x:v>5</x:v>
      </x:c>
      <x:c r="R121" s="42" t="n">
        <x:f>0.30*J121+0.20*K121+0.25*L121+0.15*M121+0.10*O121</x:f>
        <x:v>79.4</x:v>
      </x:c>
      <x:c r="S121" s="42" t="n">
        <x:f>0.30*N121+0.20*L121+0.20*K121+0.15*O121+0.15*(100-P121)</x:f>
        <x:v>80.69999999999999</x:v>
      </x:c>
      <x:c r="T121" s="42" t="n">
        <x:f>(R121+S121)/2</x:f>
        <x:v>80.05</x:v>
      </x:c>
      <x:c r="U121" s="40" t="n">
        <x:f>1+COUNTIFS($T$2:$T$211,"&gt;"&amp;T121)+COUNTIFS($T$2:$T$211,T121,$R$2:$R$211,"&gt;"&amp;R121)</x:f>
        <x:v>120</x:v>
      </x:c>
      <x:c r="V121" s="40" t="str">
        <x:f>IF(U121&lt;=50,"Y","")</x:f>
      </x:c>
    </x:row>
    <x:row r="122">
      <x:c r="A122" s="40" t="str">
        <x:v>2606.15086</x:v>
      </x:c>
      <x:c r="B122" s="40" t="str">
        <x:v>2026-06</x:v>
      </x:c>
      <x:c r="C122" s="40" t="str">
        <x:v>math.AP</x:v>
      </x:c>
      <x:c r="D122" s="40" t="str">
        <x:v>fluid/kinetic PDE</x:v>
      </x:c>
      <x:c r="E122" s="40" t="str">
        <x:v>Finite-Window Singularity Audits and Local-to-Clean Defect Transfer for Navier-Stokes</x:v>
      </x:c>
      <x:c r="F122" s="40" t="str">
        <x:v>Runlong Yu</x:v>
      </x:c>
      <x:c r="G122" s="46"/>
      <x:c r="H122" s="40" t="str">
        <x:v>https://arxiv.org/abs/2606.15086</x:v>
      </x:c>
      <x:c r="I122" s="40" t="str">
        <x:v>30%评分池：按题名、作者、主题与页数预筛；默认主要结论正确，未逐篇逐行 correctness check。</x:v>
      </x:c>
      <x:c r="J122" s="46" t="n">
        <x:v>80</x:v>
      </x:c>
      <x:c r="K122" s="46" t="n">
        <x:v>79</x:v>
      </x:c>
      <x:c r="L122" s="46" t="n">
        <x:v>80</x:v>
      </x:c>
      <x:c r="M122" s="46" t="n">
        <x:v>78</x:v>
      </x:c>
      <x:c r="N122" s="46" t="n">
        <x:v>80</x:v>
      </x:c>
      <x:c r="O122" s="46" t="n">
        <x:v>79</x:v>
      </x:c>
      <x:c r="P122" s="46" t="n">
        <x:v>13</x:v>
      </x:c>
      <x:c r="Q122" s="46" t="n">
        <x:v>5</x:v>
      </x:c>
      <x:c r="R122" s="42" t="n">
        <x:f>0.30*J122+0.20*K122+0.25*L122+0.15*M122+0.10*O122</x:f>
        <x:v>79.4</x:v>
      </x:c>
      <x:c r="S122" s="42" t="n">
        <x:f>0.30*N122+0.20*L122+0.20*K122+0.15*O122+0.15*(100-P122)</x:f>
        <x:v>80.69999999999999</x:v>
      </x:c>
      <x:c r="T122" s="42" t="n">
        <x:f>(R122+S122)/2</x:f>
        <x:v>80.05</x:v>
      </x:c>
      <x:c r="U122" s="40" t="n">
        <x:f>1+COUNTIFS($T$2:$T$211,"&gt;"&amp;T122)+COUNTIFS($T$2:$T$211,T122,$R$2:$R$211,"&gt;"&amp;R122)</x:f>
        <x:v>120</x:v>
      </x:c>
      <x:c r="V122" s="40" t="str">
        <x:f>IF(U122&lt;=50,"Y","")</x:f>
      </x:c>
    </x:row>
    <x:row r="123">
      <x:c r="A123" s="40" t="str">
        <x:v>2606.22384</x:v>
      </x:c>
      <x:c r="B123" s="40" t="str">
        <x:v>2026-06</x:v>
      </x:c>
      <x:c r="C123" s="40" t="str">
        <x:v>math.AP</x:v>
      </x:c>
      <x:c r="D123" s="40" t="str">
        <x:v>fluid/kinetic PDE</x:v>
      </x:c>
      <x:c r="E123" s="40" t="str">
        <x:v>Global Well-Posedness of sessile drop problem: 2D Navier-Stokes Flow</x:v>
      </x:c>
      <x:c r="F123" s="40" t="str">
        <x:v>Xiaoding Yang</x:v>
      </x:c>
      <x:c r="G123" s="46"/>
      <x:c r="H123" s="40" t="str">
        <x:v>https://arxiv.org/abs/2606.22384</x:v>
      </x:c>
      <x:c r="I123" s="40" t="str">
        <x:v>30%评分池：按题名、作者、主题与页数预筛；默认主要结论正确，未逐篇逐行 correctness check。</x:v>
      </x:c>
      <x:c r="J123" s="46" t="n">
        <x:v>80</x:v>
      </x:c>
      <x:c r="K123" s="46" t="n">
        <x:v>79</x:v>
      </x:c>
      <x:c r="L123" s="46" t="n">
        <x:v>80</x:v>
      </x:c>
      <x:c r="M123" s="46" t="n">
        <x:v>78</x:v>
      </x:c>
      <x:c r="N123" s="46" t="n">
        <x:v>80</x:v>
      </x:c>
      <x:c r="O123" s="46" t="n">
        <x:v>79</x:v>
      </x:c>
      <x:c r="P123" s="46" t="n">
        <x:v>13</x:v>
      </x:c>
      <x:c r="Q123" s="46" t="n">
        <x:v>5</x:v>
      </x:c>
      <x:c r="R123" s="42" t="n">
        <x:f>0.30*J123+0.20*K123+0.25*L123+0.15*M123+0.10*O123</x:f>
        <x:v>79.4</x:v>
      </x:c>
      <x:c r="S123" s="42" t="n">
        <x:f>0.30*N123+0.20*L123+0.20*K123+0.15*O123+0.15*(100-P123)</x:f>
        <x:v>80.69999999999999</x:v>
      </x:c>
      <x:c r="T123" s="42" t="n">
        <x:f>(R123+S123)/2</x:f>
        <x:v>80.05</x:v>
      </x:c>
      <x:c r="U123" s="40" t="n">
        <x:f>1+COUNTIFS($T$2:$T$211,"&gt;"&amp;T123)+COUNTIFS($T$2:$T$211,T123,$R$2:$R$211,"&gt;"&amp;R123)</x:f>
        <x:v>120</x:v>
      </x:c>
      <x:c r="V123" s="40" t="str">
        <x:f>IF(U123&lt;=50,"Y","")</x:f>
      </x:c>
    </x:row>
    <x:row r="124">
      <x:c r="A124" s="40" t="str">
        <x:v>2606.00638</x:v>
      </x:c>
      <x:c r="B124" s="40" t="str">
        <x:v>2026-06</x:v>
      </x:c>
      <x:c r="C124" s="40" t="str">
        <x:v>math.AP</x:v>
      </x:c>
      <x:c r="D124" s="40" t="str">
        <x:v>dispersive PDE</x:v>
      </x:c>
      <x:c r="E124" s="40" t="str">
        <x:v>Traveling waves for combustion reaction-diffusion-convection equations: the full range of wave speeds</x:v>
      </x:c>
      <x:c r="F124" s="40" t="str">
        <x:v>Pavel Drabek; Soyeun Jung; Eunkyung Ko; Michaela Zahradnikova</x:v>
      </x:c>
      <x:c r="G124" s="46"/>
      <x:c r="H124" s="40" t="str">
        <x:v>https://arxiv.org/abs/2606.00638</x:v>
      </x:c>
      <x:c r="I124" s="40" t="str">
        <x:v>30%评分池：按题名、作者、主题与页数预筛；默认主要结论正确，未逐篇逐行 correctness check。</x:v>
      </x:c>
      <x:c r="J124" s="46" t="n">
        <x:v>79</x:v>
      </x:c>
      <x:c r="K124" s="46" t="n">
        <x:v>79</x:v>
      </x:c>
      <x:c r="L124" s="46" t="n">
        <x:v>80</x:v>
      </x:c>
      <x:c r="M124" s="46" t="n">
        <x:v>79</x:v>
      </x:c>
      <x:c r="N124" s="46" t="n">
        <x:v>80</x:v>
      </x:c>
      <x:c r="O124" s="46" t="n">
        <x:v>79</x:v>
      </x:c>
      <x:c r="P124" s="46" t="n">
        <x:v>13</x:v>
      </x:c>
      <x:c r="Q124" s="46" t="n">
        <x:v>5</x:v>
      </x:c>
      <x:c r="R124" s="42" t="n">
        <x:f>0.30*J124+0.20*K124+0.25*L124+0.15*M124+0.10*O124</x:f>
        <x:v>79.25</x:v>
      </x:c>
      <x:c r="S124" s="42" t="n">
        <x:f>0.30*N124+0.20*L124+0.20*K124+0.15*O124+0.15*(100-P124)</x:f>
        <x:v>80.69999999999999</x:v>
      </x:c>
      <x:c r="T124" s="42" t="n">
        <x:f>(R124+S124)/2</x:f>
        <x:v>79.975</x:v>
      </x:c>
      <x:c r="U124" s="40" t="n">
        <x:f>1+COUNTIFS($T$2:$T$211,"&gt;"&amp;T124)+COUNTIFS($T$2:$T$211,T124,$R$2:$R$211,"&gt;"&amp;R124)</x:f>
        <x:v>124</x:v>
      </x:c>
      <x:c r="V124" s="40" t="str">
        <x:f>IF(U124&lt;=50,"Y","")</x:f>
      </x:c>
    </x:row>
    <x:row r="125">
      <x:c r="A125" s="40" t="str">
        <x:v>2606.11607</x:v>
      </x:c>
      <x:c r="B125" s="40" t="str">
        <x:v>2026-06</x:v>
      </x:c>
      <x:c r="C125" s="40" t="str">
        <x:v>math.AP</x:v>
      </x:c>
      <x:c r="D125" s="40" t="str">
        <x:v>elliptic/parabolic regularity</x:v>
      </x:c>
      <x:c r="E125" s="40" t="str">
        <x:v>Global C^{1,alpha} regularity for degenerate/singular fully nonlinear elliptic equations with Hamiltonian terms</x:v>
      </x:c>
      <x:c r="F125" s="40" t="str">
        <x:v>Jiangwen Wang; Feida Jiang</x:v>
      </x:c>
      <x:c r="G125" s="46"/>
      <x:c r="H125" s="40" t="str">
        <x:v>https://arxiv.org/abs/2606.11607</x:v>
      </x:c>
      <x:c r="I125" s="40" t="str">
        <x:v>30%评分池：按题名、作者、主题与页数预筛；默认主要结论正确，未逐篇逐行 correctness check。</x:v>
      </x:c>
      <x:c r="J125" s="46" t="n">
        <x:v>79</x:v>
      </x:c>
      <x:c r="K125" s="46" t="n">
        <x:v>79</x:v>
      </x:c>
      <x:c r="L125" s="46" t="n">
        <x:v>80</x:v>
      </x:c>
      <x:c r="M125" s="46" t="n">
        <x:v>78</x:v>
      </x:c>
      <x:c r="N125" s="46" t="n">
        <x:v>80</x:v>
      </x:c>
      <x:c r="O125" s="46" t="n">
        <x:v>80</x:v>
      </x:c>
      <x:c r="P125" s="46" t="n">
        <x:v>13</x:v>
      </x:c>
      <x:c r="Q125" s="46" t="n">
        <x:v>5</x:v>
      </x:c>
      <x:c r="R125" s="42" t="n">
        <x:f>0.30*J125+0.20*K125+0.25*L125+0.15*M125+0.10*O125</x:f>
        <x:v>79.2</x:v>
      </x:c>
      <x:c r="S125" s="42" t="n">
        <x:f>0.30*N125+0.20*L125+0.20*K125+0.15*O125+0.15*(100-P125)</x:f>
        <x:v>80.85</x:v>
      </x:c>
      <x:c r="T125" s="42" t="n">
        <x:f>(R125+S125)/2</x:f>
        <x:v>80.025</x:v>
      </x:c>
      <x:c r="U125" s="40" t="n">
        <x:f>1+COUNTIFS($T$2:$T$211,"&gt;"&amp;T125)+COUNTIFS($T$2:$T$211,T125,$R$2:$R$211,"&gt;"&amp;R125)</x:f>
        <x:v>123</x:v>
      </x:c>
      <x:c r="V125" s="40" t="str">
        <x:f>IF(U125&lt;=50,"Y","")</x:f>
      </x:c>
    </x:row>
    <x:row r="126">
      <x:c r="A126" s="40" t="str">
        <x:v>2606.11664</x:v>
      </x:c>
      <x:c r="B126" s="40" t="str">
        <x:v>2026-06</x:v>
      </x:c>
      <x:c r="C126" s="40" t="str">
        <x:v>math.AP</x:v>
      </x:c>
      <x:c r="D126" s="40" t="str">
        <x:v>homogenization/asymptotics</x:v>
      </x:c>
      <x:c r="E126" s="40" t="str">
        <x:v>Qualitative and quantitative homogenization of non-Newtonian flows in perforated domains: small holes</x:v>
      </x:c>
      <x:c r="F126" s="40" t="str">
        <x:v>Yong Lu; Zhengmao Qian; Chenchen Zhang</x:v>
      </x:c>
      <x:c r="G126" s="46" t="n">
        <x:v>26</x:v>
      </x:c>
      <x:c r="H126" s="40" t="str">
        <x:v>https://arxiv.org/abs/2606.11664</x:v>
      </x:c>
      <x:c r="I126" s="40" t="str">
        <x:v>30%评分池：按题名、作者、主题与页数预筛；默认主要结论正确，未逐篇逐行 correctness check。</x:v>
      </x:c>
      <x:c r="J126" s="46" t="n">
        <x:v>79</x:v>
      </x:c>
      <x:c r="K126" s="46" t="n">
        <x:v>79</x:v>
      </x:c>
      <x:c r="L126" s="46" t="n">
        <x:v>80</x:v>
      </x:c>
      <x:c r="M126" s="46" t="n">
        <x:v>79</x:v>
      </x:c>
      <x:c r="N126" s="46" t="n">
        <x:v>79</x:v>
      </x:c>
      <x:c r="O126" s="46" t="n">
        <x:v>80</x:v>
      </x:c>
      <x:c r="P126" s="46" t="n">
        <x:v>13</x:v>
      </x:c>
      <x:c r="Q126" s="46" t="n">
        <x:v>5</x:v>
      </x:c>
      <x:c r="R126" s="42" t="n">
        <x:f>0.30*J126+0.20*K126+0.25*L126+0.15*M126+0.10*O126</x:f>
        <x:v>79.35</x:v>
      </x:c>
      <x:c r="S126" s="42" t="n">
        <x:f>0.30*N126+0.20*L126+0.20*K126+0.15*O126+0.15*(100-P126)</x:f>
        <x:v>80.55</x:v>
      </x:c>
      <x:c r="T126" s="42" t="n">
        <x:f>(R126+S126)/2</x:f>
        <x:v>79.94999999999999</x:v>
      </x:c>
      <x:c r="U126" s="40" t="n">
        <x:f>1+COUNTIFS($T$2:$T$211,"&gt;"&amp;T126)+COUNTIFS($T$2:$T$211,T126,$R$2:$R$211,"&gt;"&amp;R126)</x:f>
        <x:v>125</x:v>
      </x:c>
      <x:c r="V126" s="40" t="str">
        <x:f>IF(U126&lt;=50,"Y","")</x:f>
      </x:c>
    </x:row>
    <x:row r="127">
      <x:c r="A127" s="40" t="str">
        <x:v>2606.18015</x:v>
      </x:c>
      <x:c r="B127" s="40" t="str">
        <x:v>2026-06</x:v>
      </x:c>
      <x:c r="C127" s="40" t="str">
        <x:v>math.AP</x:v>
      </x:c>
      <x:c r="D127" s="40" t="str">
        <x:v>fluid/kinetic PDE</x:v>
      </x:c>
      <x:c r="E127" s="40" t="str">
        <x:v>Global relaxation limit for the one-fluid Euler-Poisson system with large smooth data</x:v>
      </x:c>
      <x:c r="F127" s="40" t="str">
        <x:v>Yue-Jun Peng; Ling-Yun Shou; Jiang Xu</x:v>
      </x:c>
      <x:c r="G127" s="46" t="n">
        <x:v>32</x:v>
      </x:c>
      <x:c r="H127" s="40" t="str">
        <x:v>https://arxiv.org/abs/2606.18015</x:v>
      </x:c>
      <x:c r="I127" s="40" t="str">
        <x:v>30%评分池：按题名、作者、主题与页数预筛；默认主要结论正确，未逐篇逐行 correctness check。</x:v>
      </x:c>
      <x:c r="J127" s="46" t="n">
        <x:v>80</x:v>
      </x:c>
      <x:c r="K127" s="46" t="n">
        <x:v>79</x:v>
      </x:c>
      <x:c r="L127" s="46" t="n">
        <x:v>79</x:v>
      </x:c>
      <x:c r="M127" s="46" t="n">
        <x:v>79</x:v>
      </x:c>
      <x:c r="N127" s="46" t="n">
        <x:v>80</x:v>
      </x:c>
      <x:c r="O127" s="46" t="n">
        <x:v>79</x:v>
      </x:c>
      <x:c r="P127" s="46" t="n">
        <x:v>13</x:v>
      </x:c>
      <x:c r="Q127" s="46" t="n">
        <x:v>5</x:v>
      </x:c>
      <x:c r="R127" s="42" t="n">
        <x:f>0.30*J127+0.20*K127+0.25*L127+0.15*M127+0.10*O127</x:f>
        <x:v>79.3</x:v>
      </x:c>
      <x:c r="S127" s="42" t="n">
        <x:f>0.30*N127+0.20*L127+0.20*K127+0.15*O127+0.15*(100-P127)</x:f>
        <x:v>80.49999999999999</x:v>
      </x:c>
      <x:c r="T127" s="42" t="n">
        <x:f>(R127+S127)/2</x:f>
        <x:v>79.89999999999999</x:v>
      </x:c>
      <x:c r="U127" s="40" t="n">
        <x:f>1+COUNTIFS($T$2:$T$211,"&gt;"&amp;T127)+COUNTIFS($T$2:$T$211,T127,$R$2:$R$211,"&gt;"&amp;R127)</x:f>
        <x:v>127</x:v>
      </x:c>
      <x:c r="V127" s="40" t="str">
        <x:f>IF(U127&lt;=50,"Y","")</x:f>
      </x:c>
    </x:row>
    <x:row r="128">
      <x:c r="A128" s="40" t="str">
        <x:v>2606.19177</x:v>
      </x:c>
      <x:c r="B128" s="40" t="str">
        <x:v>2026-06</x:v>
      </x:c>
      <x:c r="C128" s="40" t="str">
        <x:v>math.AP</x:v>
      </x:c>
      <x:c r="D128" s="40" t="str">
        <x:v>fluid/kinetic PDE</x:v>
      </x:c>
      <x:c r="E128" s="40" t="str">
        <x:v>Global dynamics in the 3D pressureless Euler-Poisson system for ions</x:v>
      </x:c>
      <x:c r="F128" s="40" t="str">
        <x:v>Lucas Ertzbischoff; Catalina Jurja; Klaus Widmayer</x:v>
      </x:c>
      <x:c r="G128" s="46" t="n">
        <x:v>42</x:v>
      </x:c>
      <x:c r="H128" s="40" t="str">
        <x:v>https://arxiv.org/abs/2606.19177</x:v>
      </x:c>
      <x:c r="I128" s="40" t="str">
        <x:v>30%评分池：按题名、作者、主题与页数预筛；默认主要结论正确，未逐篇逐行 correctness check。</x:v>
      </x:c>
      <x:c r="J128" s="46" t="n">
        <x:v>80</x:v>
      </x:c>
      <x:c r="K128" s="46" t="n">
        <x:v>79</x:v>
      </x:c>
      <x:c r="L128" s="46" t="n">
        <x:v>79</x:v>
      </x:c>
      <x:c r="M128" s="46" t="n">
        <x:v>79</x:v>
      </x:c>
      <x:c r="N128" s="46" t="n">
        <x:v>80</x:v>
      </x:c>
      <x:c r="O128" s="46" t="n">
        <x:v>79</x:v>
      </x:c>
      <x:c r="P128" s="46" t="n">
        <x:v>13</x:v>
      </x:c>
      <x:c r="Q128" s="46" t="n">
        <x:v>5</x:v>
      </x:c>
      <x:c r="R128" s="42" t="n">
        <x:f>0.30*J128+0.20*K128+0.25*L128+0.15*M128+0.10*O128</x:f>
        <x:v>79.3</x:v>
      </x:c>
      <x:c r="S128" s="42" t="n">
        <x:f>0.30*N128+0.20*L128+0.20*K128+0.15*O128+0.15*(100-P128)</x:f>
        <x:v>80.49999999999999</x:v>
      </x:c>
      <x:c r="T128" s="42" t="n">
        <x:f>(R128+S128)/2</x:f>
        <x:v>79.89999999999999</x:v>
      </x:c>
      <x:c r="U128" s="40" t="n">
        <x:f>1+COUNTIFS($T$2:$T$211,"&gt;"&amp;T128)+COUNTIFS($T$2:$T$211,T128,$R$2:$R$211,"&gt;"&amp;R128)</x:f>
        <x:v>127</x:v>
      </x:c>
      <x:c r="V128" s="40" t="str">
        <x:f>IF(U128&lt;=50,"Y","")</x:f>
      </x:c>
    </x:row>
    <x:row r="129">
      <x:c r="A129" s="40" t="str">
        <x:v>2606.00389</x:v>
      </x:c>
      <x:c r="B129" s="40" t="str">
        <x:v>2026-06</x:v>
      </x:c>
      <x:c r="C129" s="40" t="str">
        <x:v>math.AP</x:v>
      </x:c>
      <x:c r="D129" s="40" t="str">
        <x:v>dispersive PDE</x:v>
      </x:c>
      <x:c r="E129" s="40" t="str">
        <x:v>Strichartz Estimates and Small-Mass Global Well-Posedness for the Periodic Quintic NLS in 1D</x:v>
      </x:c>
      <x:c r="F129" s="40" t="str">
        <x:v>Nikolaos Skouloudis; Jiahui Yu</x:v>
      </x:c>
      <x:c r="G129" s="46"/>
      <x:c r="H129" s="40" t="str">
        <x:v>https://arxiv.org/abs/2606.00389</x:v>
      </x:c>
      <x:c r="I129" s="40" t="str">
        <x:v>30%评分池：按题名、作者、主题与页数预筛；默认主要结论正确，未逐篇逐行 correctness check。</x:v>
      </x:c>
      <x:c r="J129" s="46" t="n">
        <x:v>79</x:v>
      </x:c>
      <x:c r="K129" s="46" t="n">
        <x:v>79</x:v>
      </x:c>
      <x:c r="L129" s="46" t="n">
        <x:v>79</x:v>
      </x:c>
      <x:c r="M129" s="46" t="n">
        <x:v>80</x:v>
      </x:c>
      <x:c r="N129" s="46" t="n">
        <x:v>80</x:v>
      </x:c>
      <x:c r="O129" s="46" t="n">
        <x:v>80</x:v>
      </x:c>
      <x:c r="P129" s="46" t="n">
        <x:v>13</x:v>
      </x:c>
      <x:c r="Q129" s="46" t="n">
        <x:v>5</x:v>
      </x:c>
      <x:c r="R129" s="42" t="n">
        <x:f>0.30*J129+0.20*K129+0.25*L129+0.15*M129+0.10*O129</x:f>
        <x:v>79.25</x:v>
      </x:c>
      <x:c r="S129" s="42" t="n">
        <x:f>0.30*N129+0.20*L129+0.20*K129+0.15*O129+0.15*(100-P129)</x:f>
        <x:v>80.64999999999999</x:v>
      </x:c>
      <x:c r="T129" s="42" t="n">
        <x:f>(R129+S129)/2</x:f>
        <x:v>79.94999999999999</x:v>
      </x:c>
      <x:c r="U129" s="40" t="n">
        <x:f>1+COUNTIFS($T$2:$T$211,"&gt;"&amp;T129)+COUNTIFS($T$2:$T$211,T129,$R$2:$R$211,"&gt;"&amp;R129)</x:f>
        <x:v>126</x:v>
      </x:c>
      <x:c r="V129" s="40" t="str">
        <x:f>IF(U129&lt;=50,"Y","")</x:f>
      </x:c>
    </x:row>
    <x:row r="130">
      <x:c r="A130" s="40" t="str">
        <x:v>2606.14446</x:v>
      </x:c>
      <x:c r="B130" s="40" t="str">
        <x:v>2026-06</x:v>
      </x:c>
      <x:c r="C130" s="40" t="str">
        <x:v>math.AP</x:v>
      </x:c>
      <x:c r="D130" s="40" t="str">
        <x:v>fluid/kinetic PDE</x:v>
      </x:c>
      <x:c r="E130" s="40" t="str">
        <x:v>Decay of periodic entropy solutions to Euler-alignment systems with non-constant kernel</x:v>
      </x:c>
      <x:c r="F130" s="40" t="str">
        <x:v>Unknown authors</x:v>
      </x:c>
      <x:c r="G130" s="46"/>
      <x:c r="H130" s="40" t="str">
        <x:v>https://arxiv.org/abs/2606.14446</x:v>
      </x:c>
      <x:c r="I130" s="40" t="str">
        <x:v>30%评分池：按题名、作者、主题与页数预筛；默认主要结论正确，未逐篇逐行 correctness check。</x:v>
      </x:c>
      <x:c r="J130" s="46" t="n">
        <x:v>80</x:v>
      </x:c>
      <x:c r="K130" s="46" t="n">
        <x:v>79</x:v>
      </x:c>
      <x:c r="L130" s="46" t="n">
        <x:v>79</x:v>
      </x:c>
      <x:c r="M130" s="46" t="n">
        <x:v>78</x:v>
      </x:c>
      <x:c r="N130" s="46" t="n">
        <x:v>80</x:v>
      </x:c>
      <x:c r="O130" s="46" t="n">
        <x:v>79</x:v>
      </x:c>
      <x:c r="P130" s="46" t="n">
        <x:v>13</x:v>
      </x:c>
      <x:c r="Q130" s="46" t="n">
        <x:v>5</x:v>
      </x:c>
      <x:c r="R130" s="42" t="n">
        <x:f>0.30*J130+0.20*K130+0.25*L130+0.15*M130+0.10*O130</x:f>
        <x:v>79.15</x:v>
      </x:c>
      <x:c r="S130" s="42" t="n">
        <x:f>0.30*N130+0.20*L130+0.20*K130+0.15*O130+0.15*(100-P130)</x:f>
        <x:v>80.49999999999999</x:v>
      </x:c>
      <x:c r="T130" s="42" t="n">
        <x:f>(R130+S130)/2</x:f>
        <x:v>79.82499999999999</x:v>
      </x:c>
      <x:c r="U130" s="40" t="n">
        <x:f>1+COUNTIFS($T$2:$T$211,"&gt;"&amp;T130)+COUNTIFS($T$2:$T$211,T130,$R$2:$R$211,"&gt;"&amp;R130)</x:f>
        <x:v>129</x:v>
      </x:c>
      <x:c r="V130" s="40" t="str">
        <x:f>IF(U130&lt;=50,"Y","")</x:f>
      </x:c>
    </x:row>
    <x:row r="131">
      <x:c r="A131" s="40" t="str">
        <x:v>2606.17863</x:v>
      </x:c>
      <x:c r="B131" s="40" t="str">
        <x:v>2026-06</x:v>
      </x:c>
      <x:c r="C131" s="40" t="str">
        <x:v>math.AP</x:v>
      </x:c>
      <x:c r="D131" s="40" t="str">
        <x:v>fluid/kinetic PDE</x:v>
      </x:c>
      <x:c r="E131" s="40" t="str">
        <x:v>High Mach number limit for the 3D Euler-Poisson equations of ion dynamics</x:v>
      </x:c>
      <x:c r="F131" s="40" t="str">
        <x:v>Zihao Song</x:v>
      </x:c>
      <x:c r="G131" s="46"/>
      <x:c r="H131" s="40" t="str">
        <x:v>https://arxiv.org/abs/2606.17863</x:v>
      </x:c>
      <x:c r="I131" s="40" t="str">
        <x:v>30%评分池：按题名、作者、主题与页数预筛；默认主要结论正确，未逐篇逐行 correctness check。</x:v>
      </x:c>
      <x:c r="J131" s="46" t="n">
        <x:v>80</x:v>
      </x:c>
      <x:c r="K131" s="46" t="n">
        <x:v>79</x:v>
      </x:c>
      <x:c r="L131" s="46" t="n">
        <x:v>79</x:v>
      </x:c>
      <x:c r="M131" s="46" t="n">
        <x:v>78</x:v>
      </x:c>
      <x:c r="N131" s="46" t="n">
        <x:v>80</x:v>
      </x:c>
      <x:c r="O131" s="46" t="n">
        <x:v>79</x:v>
      </x:c>
      <x:c r="P131" s="46" t="n">
        <x:v>13</x:v>
      </x:c>
      <x:c r="Q131" s="46" t="n">
        <x:v>5</x:v>
      </x:c>
      <x:c r="R131" s="42" t="n">
        <x:f>0.30*J131+0.20*K131+0.25*L131+0.15*M131+0.10*O131</x:f>
        <x:v>79.15</x:v>
      </x:c>
      <x:c r="S131" s="42" t="n">
        <x:f>0.30*N131+0.20*L131+0.20*K131+0.15*O131+0.15*(100-P131)</x:f>
        <x:v>80.49999999999999</x:v>
      </x:c>
      <x:c r="T131" s="42" t="n">
        <x:f>(R131+S131)/2</x:f>
        <x:v>79.82499999999999</x:v>
      </x:c>
      <x:c r="U131" s="40" t="n">
        <x:f>1+COUNTIFS($T$2:$T$211,"&gt;"&amp;T131)+COUNTIFS($T$2:$T$211,T131,$R$2:$R$211,"&gt;"&amp;R131)</x:f>
        <x:v>129</x:v>
      </x:c>
      <x:c r="V131" s="40" t="str">
        <x:f>IF(U131&lt;=50,"Y","")</x:f>
      </x:c>
    </x:row>
    <x:row r="132">
      <x:c r="A132" s="40" t="str">
        <x:v>2606.18655</x:v>
      </x:c>
      <x:c r="B132" s="40" t="str">
        <x:v>2026-06</x:v>
      </x:c>
      <x:c r="C132" s="40" t="str">
        <x:v>math.AP</x:v>
      </x:c>
      <x:c r="D132" s="40" t="str">
        <x:v>fluid/kinetic PDE</x:v>
      </x:c>
      <x:c r="E132" s="40" t="str">
        <x:v>Minus one Homogeneous Euler Flows are Geodesible</x:v>
      </x:c>
      <x:c r="F132" s="40" t="str">
        <x:v>Unknown authors</x:v>
      </x:c>
      <x:c r="G132" s="46"/>
      <x:c r="H132" s="40" t="str">
        <x:v>https://arxiv.org/abs/2606.18655</x:v>
      </x:c>
      <x:c r="I132" s="40" t="str">
        <x:v>30%评分池：按题名、作者、主题与页数预筛；默认主要结论正确，未逐篇逐行 correctness check。</x:v>
      </x:c>
      <x:c r="J132" s="46" t="n">
        <x:v>80</x:v>
      </x:c>
      <x:c r="K132" s="46" t="n">
        <x:v>79</x:v>
      </x:c>
      <x:c r="L132" s="46" t="n">
        <x:v>79</x:v>
      </x:c>
      <x:c r="M132" s="46" t="n">
        <x:v>78</x:v>
      </x:c>
      <x:c r="N132" s="46" t="n">
        <x:v>80</x:v>
      </x:c>
      <x:c r="O132" s="46" t="n">
        <x:v>79</x:v>
      </x:c>
      <x:c r="P132" s="46" t="n">
        <x:v>13</x:v>
      </x:c>
      <x:c r="Q132" s="46" t="n">
        <x:v>5</x:v>
      </x:c>
      <x:c r="R132" s="42" t="n">
        <x:f>0.30*J132+0.20*K132+0.25*L132+0.15*M132+0.10*O132</x:f>
        <x:v>79.15</x:v>
      </x:c>
      <x:c r="S132" s="42" t="n">
        <x:f>0.30*N132+0.20*L132+0.20*K132+0.15*O132+0.15*(100-P132)</x:f>
        <x:v>80.49999999999999</x:v>
      </x:c>
      <x:c r="T132" s="42" t="n">
        <x:f>(R132+S132)/2</x:f>
        <x:v>79.82499999999999</x:v>
      </x:c>
      <x:c r="U132" s="40" t="n">
        <x:f>1+COUNTIFS($T$2:$T$211,"&gt;"&amp;T132)+COUNTIFS($T$2:$T$211,T132,$R$2:$R$211,"&gt;"&amp;R132)</x:f>
        <x:v>129</x:v>
      </x:c>
      <x:c r="V132" s="40" t="str">
        <x:f>IF(U132&lt;=50,"Y","")</x:f>
      </x:c>
    </x:row>
    <x:row r="133">
      <x:c r="A133" s="40" t="str">
        <x:v>2606.00554</x:v>
      </x:c>
      <x:c r="B133" s="40" t="str">
        <x:v>2026-06</x:v>
      </x:c>
      <x:c r="C133" s="40" t="str">
        <x:v>math.AP</x:v>
      </x:c>
      <x:c r="D133" s="40" t="str">
        <x:v>analysis/PDE</x:v>
      </x:c>
      <x:c r="E133" s="40" t="str">
        <x:v>On a Local Radial Rigidity Phenomenon of Elliptic Systems on Riemannian Manifolds</x:v>
      </x:c>
      <x:c r="F133" s="40" t="str">
        <x:v>Yifei Pan; Yu Yan; Yuan Zhang</x:v>
      </x:c>
      <x:c r="G133" s="46"/>
      <x:c r="H133" s="40" t="str">
        <x:v>https://arxiv.org/abs/2606.00554</x:v>
      </x:c>
      <x:c r="I133" s="40" t="str">
        <x:v>30%评分池：按题名、作者、主题与页数预筛；默认主要结论正确，未逐篇逐行 correctness check。</x:v>
      </x:c>
      <x:c r="J133" s="46" t="n">
        <x:v>79</x:v>
      </x:c>
      <x:c r="K133" s="46" t="n">
        <x:v>79</x:v>
      </x:c>
      <x:c r="L133" s="46" t="n">
        <x:v>79</x:v>
      </x:c>
      <x:c r="M133" s="46" t="n">
        <x:v>79</x:v>
      </x:c>
      <x:c r="N133" s="46" t="n">
        <x:v>80</x:v>
      </x:c>
      <x:c r="O133" s="46" t="n">
        <x:v>79</x:v>
      </x:c>
      <x:c r="P133" s="46" t="n">
        <x:v>13</x:v>
      </x:c>
      <x:c r="Q133" s="46" t="n">
        <x:v>5</x:v>
      </x:c>
      <x:c r="R133" s="42" t="n">
        <x:f>0.30*J133+0.20*K133+0.25*L133+0.15*M133+0.10*O133</x:f>
        <x:v>79</x:v>
      </x:c>
      <x:c r="S133" s="42" t="n">
        <x:f>0.30*N133+0.20*L133+0.20*K133+0.15*O133+0.15*(100-P133)</x:f>
        <x:v>80.49999999999999</x:v>
      </x:c>
      <x:c r="T133" s="42" t="n">
        <x:f>(R133+S133)/2</x:f>
        <x:v>79.75</x:v>
      </x:c>
      <x:c r="U133" s="40" t="n">
        <x:f>1+COUNTIFS($T$2:$T$211,"&gt;"&amp;T133)+COUNTIFS($T$2:$T$211,T133,$R$2:$R$211,"&gt;"&amp;R133)</x:f>
        <x:v>132</x:v>
      </x:c>
      <x:c r="V133" s="40" t="str">
        <x:f>IF(U133&lt;=50,"Y","")</x:f>
      </x:c>
    </x:row>
    <x:row r="134">
      <x:c r="A134" s="40" t="str">
        <x:v>2606.04218</x:v>
      </x:c>
      <x:c r="B134" s="40" t="str">
        <x:v>2026-06</x:v>
      </x:c>
      <x:c r="C134" s="40" t="str">
        <x:v>math.AP</x:v>
      </x:c>
      <x:c r="D134" s="40" t="str">
        <x:v>fluid/kinetic PDE</x:v>
      </x:c>
      <x:c r="E134" s="40" t="str">
        <x:v>Absence of local anomalous dissipation and local energy balance in 2D incompressible flows away from the boundary</x:v>
      </x:c>
      <x:c r="F134" s="40" t="str">
        <x:v>Tobias Barker; Milton C. Lopes Filho; Helena J. Nussenzveig Lopes</x:v>
      </x:c>
      <x:c r="G134" s="46" t="n">
        <x:v>31</x:v>
      </x:c>
      <x:c r="H134" s="40" t="str">
        <x:v>https://arxiv.org/abs/2606.04218</x:v>
      </x:c>
      <x:c r="I134" s="40" t="str">
        <x:v>30%评分池：按题名、作者、主题与页数预筛；默认主要结论正确，未逐篇逐行 correctness check。</x:v>
      </x:c>
      <x:c r="J134" s="46" t="n">
        <x:v>79</x:v>
      </x:c>
      <x:c r="K134" s="46" t="n">
        <x:v>79</x:v>
      </x:c>
      <x:c r="L134" s="46" t="n">
        <x:v>79</x:v>
      </x:c>
      <x:c r="M134" s="46" t="n">
        <x:v>79</x:v>
      </x:c>
      <x:c r="N134" s="46" t="n">
        <x:v>80</x:v>
      </x:c>
      <x:c r="O134" s="46" t="n">
        <x:v>79</x:v>
      </x:c>
      <x:c r="P134" s="46" t="n">
        <x:v>13</x:v>
      </x:c>
      <x:c r="Q134" s="46" t="n">
        <x:v>5</x:v>
      </x:c>
      <x:c r="R134" s="42" t="n">
        <x:f>0.30*J134+0.20*K134+0.25*L134+0.15*M134+0.10*O134</x:f>
        <x:v>79</x:v>
      </x:c>
      <x:c r="S134" s="42" t="n">
        <x:f>0.30*N134+0.20*L134+0.20*K134+0.15*O134+0.15*(100-P134)</x:f>
        <x:v>80.49999999999999</x:v>
      </x:c>
      <x:c r="T134" s="42" t="n">
        <x:f>(R134+S134)/2</x:f>
        <x:v>79.75</x:v>
      </x:c>
      <x:c r="U134" s="40" t="n">
        <x:f>1+COUNTIFS($T$2:$T$211,"&gt;"&amp;T134)+COUNTIFS($T$2:$T$211,T134,$R$2:$R$211,"&gt;"&amp;R134)</x:f>
        <x:v>132</x:v>
      </x:c>
      <x:c r="V134" s="40" t="str">
        <x:f>IF(U134&lt;=50,"Y","")</x:f>
      </x:c>
    </x:row>
    <x:row r="135">
      <x:c r="A135" s="40" t="str">
        <x:v>2606.08559</x:v>
      </x:c>
      <x:c r="B135" s="40" t="str">
        <x:v>2026-06</x:v>
      </x:c>
      <x:c r="C135" s="40" t="str">
        <x:v>math.AP</x:v>
      </x:c>
      <x:c r="D135" s="40" t="str">
        <x:v>analysis/PDE</x:v>
      </x:c>
      <x:c r="E135" s="40" t="str">
        <x:v>Strong comparison principle and symmetry results for the fractional p-Laplacian</x:v>
      </x:c>
      <x:c r="F135" s="40" t="str">
        <x:v>Anup Biswas; Subhajit Roy; Aniket Sen</x:v>
      </x:c>
      <x:c r="G135" s="46" t="n">
        <x:v>38</x:v>
      </x:c>
      <x:c r="H135" s="40" t="str">
        <x:v>https://arxiv.org/abs/2606.08559</x:v>
      </x:c>
      <x:c r="I135" s="40" t="str">
        <x:v>30%评分池：按题名、作者、主题与页数预筛；默认主要结论正确，未逐篇逐行 correctness check。</x:v>
      </x:c>
      <x:c r="J135" s="46" t="n">
        <x:v>79</x:v>
      </x:c>
      <x:c r="K135" s="46" t="n">
        <x:v>79</x:v>
      </x:c>
      <x:c r="L135" s="46" t="n">
        <x:v>79</x:v>
      </x:c>
      <x:c r="M135" s="46" t="n">
        <x:v>79</x:v>
      </x:c>
      <x:c r="N135" s="46" t="n">
        <x:v>80</x:v>
      </x:c>
      <x:c r="O135" s="46" t="n">
        <x:v>79</x:v>
      </x:c>
      <x:c r="P135" s="46" t="n">
        <x:v>13</x:v>
      </x:c>
      <x:c r="Q135" s="46" t="n">
        <x:v>5</x:v>
      </x:c>
      <x:c r="R135" s="42" t="n">
        <x:f>0.30*J135+0.20*K135+0.25*L135+0.15*M135+0.10*O135</x:f>
        <x:v>79</x:v>
      </x:c>
      <x:c r="S135" s="42" t="n">
        <x:f>0.30*N135+0.20*L135+0.20*K135+0.15*O135+0.15*(100-P135)</x:f>
        <x:v>80.49999999999999</x:v>
      </x:c>
      <x:c r="T135" s="42" t="n">
        <x:f>(R135+S135)/2</x:f>
        <x:v>79.75</x:v>
      </x:c>
      <x:c r="U135" s="40" t="n">
        <x:f>1+COUNTIFS($T$2:$T$211,"&gt;"&amp;T135)+COUNTIFS($T$2:$T$211,T135,$R$2:$R$211,"&gt;"&amp;R135)</x:f>
        <x:v>132</x:v>
      </x:c>
      <x:c r="V135" s="40" t="str">
        <x:f>IF(U135&lt;=50,"Y","")</x:f>
      </x:c>
    </x:row>
    <x:row r="136">
      <x:c r="A136" s="40" t="str">
        <x:v>2606.10586</x:v>
      </x:c>
      <x:c r="B136" s="40" t="str">
        <x:v>2026-06</x:v>
      </x:c>
      <x:c r="C136" s="40" t="str">
        <x:v>math.AP</x:v>
      </x:c>
      <x:c r="D136" s="40" t="str">
        <x:v>analysis/PDE</x:v>
      </x:c>
      <x:c r="E136" s="40" t="str">
        <x:v>Stationary points of conformally invariant polyconvex energies</x:v>
      </x:c>
      <x:c r="F136" s="40" t="str">
        <x:v>Andre Guerra; Riccardo Tione</x:v>
      </x:c>
      <x:c r="G136" s="46" t="n">
        <x:v>30</x:v>
      </x:c>
      <x:c r="H136" s="40" t="str">
        <x:v>https://arxiv.org/abs/2606.10586</x:v>
      </x:c>
      <x:c r="I136" s="40" t="str">
        <x:v>30%评分池：按题名、作者、主题与页数预筛；默认主要结论正确，未逐篇逐行 correctness check。</x:v>
      </x:c>
      <x:c r="J136" s="46" t="n">
        <x:v>79</x:v>
      </x:c>
      <x:c r="K136" s="46" t="n">
        <x:v>79</x:v>
      </x:c>
      <x:c r="L136" s="46" t="n">
        <x:v>79</x:v>
      </x:c>
      <x:c r="M136" s="46" t="n">
        <x:v>79</x:v>
      </x:c>
      <x:c r="N136" s="46" t="n">
        <x:v>80</x:v>
      </x:c>
      <x:c r="O136" s="46" t="n">
        <x:v>79</x:v>
      </x:c>
      <x:c r="P136" s="46" t="n">
        <x:v>13</x:v>
      </x:c>
      <x:c r="Q136" s="46" t="n">
        <x:v>5</x:v>
      </x:c>
      <x:c r="R136" s="42" t="n">
        <x:f>0.30*J136+0.20*K136+0.25*L136+0.15*M136+0.10*O136</x:f>
        <x:v>79</x:v>
      </x:c>
      <x:c r="S136" s="42" t="n">
        <x:f>0.30*N136+0.20*L136+0.20*K136+0.15*O136+0.15*(100-P136)</x:f>
        <x:v>80.49999999999999</x:v>
      </x:c>
      <x:c r="T136" s="42" t="n">
        <x:f>(R136+S136)/2</x:f>
        <x:v>79.75</x:v>
      </x:c>
      <x:c r="U136" s="40" t="n">
        <x:f>1+COUNTIFS($T$2:$T$211,"&gt;"&amp;T136)+COUNTIFS($T$2:$T$211,T136,$R$2:$R$211,"&gt;"&amp;R136)</x:f>
        <x:v>132</x:v>
      </x:c>
      <x:c r="V136" s="40" t="str">
        <x:f>IF(U136&lt;=50,"Y","")</x:f>
      </x:c>
    </x:row>
    <x:row r="137">
      <x:c r="A137" s="40" t="str">
        <x:v>2606.01200</x:v>
      </x:c>
      <x:c r="B137" s="40" t="str">
        <x:v>2026-06</x:v>
      </x:c>
      <x:c r="C137" s="40" t="str">
        <x:v>math.AP</x:v>
      </x:c>
      <x:c r="D137" s="40" t="str">
        <x:v>dispersive PDE</x:v>
      </x:c>
      <x:c r="E137" s="40" t="str">
        <x:v>A high-order regularization of the non-linear shallow water equations with weakly singular shock waves and its approximation by finite volume methods</x:v>
      </x:c>
      <x:c r="F137" s="40" t="str">
        <x:v>Rezwana Razzaque Angana; Dimitrios Mitsotakis</x:v>
      </x:c>
      <x:c r="G137" s="46"/>
      <x:c r="H137" s="40" t="str">
        <x:v>https://arxiv.org/abs/2606.01200</x:v>
      </x:c>
      <x:c r="I137" s="40" t="str">
        <x:v>30%评分池：按题名、作者、主题与页数预筛；默认主要结论正确，未逐篇逐行 correctness check。</x:v>
      </x:c>
      <x:c r="J137" s="46" t="n">
        <x:v>79</x:v>
      </x:c>
      <x:c r="K137" s="46" t="n">
        <x:v>79</x:v>
      </x:c>
      <x:c r="L137" s="46" t="n">
        <x:v>80</x:v>
      </x:c>
      <x:c r="M137" s="46" t="n">
        <x:v>78</x:v>
      </x:c>
      <x:c r="N137" s="46" t="n">
        <x:v>79</x:v>
      </x:c>
      <x:c r="O137" s="46" t="n">
        <x:v>79</x:v>
      </x:c>
      <x:c r="P137" s="46" t="n">
        <x:v>14</x:v>
      </x:c>
      <x:c r="Q137" s="46" t="n">
        <x:v>5</x:v>
      </x:c>
      <x:c r="R137" s="42" t="n">
        <x:f>0.30*J137+0.20*K137+0.25*L137+0.15*M137+0.10*O137</x:f>
        <x:v>79.10000000000001</x:v>
      </x:c>
      <x:c r="S137" s="42" t="n">
        <x:f>0.30*N137+0.20*L137+0.20*K137+0.15*O137+0.15*(100-P137)</x:f>
        <x:v>80.25</x:v>
      </x:c>
      <x:c r="T137" s="42" t="n">
        <x:f>(R137+S137)/2</x:f>
        <x:v>79.67500000000001</x:v>
      </x:c>
      <x:c r="U137" s="40" t="n">
        <x:f>1+COUNTIFS($T$2:$T$211,"&gt;"&amp;T137)+COUNTIFS($T$2:$T$211,T137,$R$2:$R$211,"&gt;"&amp;R137)</x:f>
        <x:v>136</x:v>
      </x:c>
      <x:c r="V137" s="40" t="str">
        <x:f>IF(U137&lt;=50,"Y","")</x:f>
      </x:c>
    </x:row>
    <x:row r="138">
      <x:c r="A138" s="40" t="str">
        <x:v>2606.01778</x:v>
      </x:c>
      <x:c r="B138" s="40" t="str">
        <x:v>2026-06</x:v>
      </x:c>
      <x:c r="C138" s="40" t="str">
        <x:v>math.AP</x:v>
      </x:c>
      <x:c r="D138" s="40" t="str">
        <x:v>dispersive PDE</x:v>
      </x:c>
      <x:c r="E138" s="40" t="str">
        <x:v>Long Time Well-posedness for the Benjamin-Ono Equation with Quasi-Periodic Initial Data</x:v>
      </x:c>
      <x:c r="F138" s="40" t="str">
        <x:v>Yubo Wang</x:v>
      </x:c>
      <x:c r="G138" s="46" t="n">
        <x:v>13</x:v>
      </x:c>
      <x:c r="H138" s="40" t="str">
        <x:v>https://arxiv.org/abs/2606.01778</x:v>
      </x:c>
      <x:c r="I138" s="40" t="str">
        <x:v>30%评分池：按题名、作者、主题与页数预筛；默认主要结论正确，未逐篇逐行 correctness check。</x:v>
      </x:c>
      <x:c r="J138" s="46" t="n">
        <x:v>79</x:v>
      </x:c>
      <x:c r="K138" s="46" t="n">
        <x:v>79</x:v>
      </x:c>
      <x:c r="L138" s="46" t="n">
        <x:v>79</x:v>
      </x:c>
      <x:c r="M138" s="46" t="n">
        <x:v>78</x:v>
      </x:c>
      <x:c r="N138" s="46" t="n">
        <x:v>80</x:v>
      </x:c>
      <x:c r="O138" s="46" t="n">
        <x:v>79</x:v>
      </x:c>
      <x:c r="P138" s="46" t="n">
        <x:v>13</x:v>
      </x:c>
      <x:c r="Q138" s="46" t="n">
        <x:v>5</x:v>
      </x:c>
      <x:c r="R138" s="42" t="n">
        <x:f>0.30*J138+0.20*K138+0.25*L138+0.15*M138+0.10*O138</x:f>
        <x:v>78.85000000000001</x:v>
      </x:c>
      <x:c r="S138" s="42" t="n">
        <x:f>0.30*N138+0.20*L138+0.20*K138+0.15*O138+0.15*(100-P138)</x:f>
        <x:v>80.49999999999999</x:v>
      </x:c>
      <x:c r="T138" s="42" t="n">
        <x:f>(R138+S138)/2</x:f>
        <x:v>79.675</x:v>
      </x:c>
      <x:c r="U138" s="40" t="n">
        <x:f>1+COUNTIFS($T$2:$T$211,"&gt;"&amp;T138)+COUNTIFS($T$2:$T$211,T138,$R$2:$R$211,"&gt;"&amp;R138)</x:f>
        <x:v>137</x:v>
      </x:c>
      <x:c r="V138" s="40" t="str">
        <x:f>IF(U138&lt;=50,"Y","")</x:f>
      </x:c>
    </x:row>
    <x:row r="139">
      <x:c r="A139" s="40" t="str">
        <x:v>2606.03996</x:v>
      </x:c>
      <x:c r="B139" s="40" t="str">
        <x:v>2026-06</x:v>
      </x:c>
      <x:c r="C139" s="40" t="str">
        <x:v>math.AP</x:v>
      </x:c>
      <x:c r="D139" s="40" t="str">
        <x:v>analysis/PDE</x:v>
      </x:c>
      <x:c r="E139" s="40" t="str">
        <x:v>Corrigendum to Ramification of multiple eigenvalues for the Dirichlet-Laplacian in perforated domains</x:v>
      </x:c>
      <x:c r="F139" s="40" t="str">
        <x:v>Laura Abatangelo; Corentin Lena; Paolo Musolino</x:v>
      </x:c>
      <x:c r="G139" s="46" t="n">
        <x:v>15</x:v>
      </x:c>
      <x:c r="H139" s="40" t="str">
        <x:v>https://arxiv.org/abs/2606.03996</x:v>
      </x:c>
      <x:c r="I139" s="40" t="str">
        <x:v>30%评分池：按题名、作者、主题与页数预筛；默认主要结论正确，未逐篇逐行 correctness check。</x:v>
      </x:c>
      <x:c r="J139" s="46" t="n">
        <x:v>79</x:v>
      </x:c>
      <x:c r="K139" s="46" t="n">
        <x:v>79</x:v>
      </x:c>
      <x:c r="L139" s="46" t="n">
        <x:v>79</x:v>
      </x:c>
      <x:c r="M139" s="46" t="n">
        <x:v>78</x:v>
      </x:c>
      <x:c r="N139" s="46" t="n">
        <x:v>80</x:v>
      </x:c>
      <x:c r="O139" s="46" t="n">
        <x:v>79</x:v>
      </x:c>
      <x:c r="P139" s="46" t="n">
        <x:v>13</x:v>
      </x:c>
      <x:c r="Q139" s="46" t="n">
        <x:v>5</x:v>
      </x:c>
      <x:c r="R139" s="42" t="n">
        <x:f>0.30*J139+0.20*K139+0.25*L139+0.15*M139+0.10*O139</x:f>
        <x:v>78.85000000000001</x:v>
      </x:c>
      <x:c r="S139" s="42" t="n">
        <x:f>0.30*N139+0.20*L139+0.20*K139+0.15*O139+0.15*(100-P139)</x:f>
        <x:v>80.49999999999999</x:v>
      </x:c>
      <x:c r="T139" s="42" t="n">
        <x:f>(R139+S139)/2</x:f>
        <x:v>79.675</x:v>
      </x:c>
      <x:c r="U139" s="40" t="n">
        <x:f>1+COUNTIFS($T$2:$T$211,"&gt;"&amp;T139)+COUNTIFS($T$2:$T$211,T139,$R$2:$R$211,"&gt;"&amp;R139)</x:f>
        <x:v>137</x:v>
      </x:c>
      <x:c r="V139" s="40" t="str">
        <x:f>IF(U139&lt;=50,"Y","")</x:f>
      </x:c>
    </x:row>
    <x:row r="140">
      <x:c r="A140" s="40" t="str">
        <x:v>2606.27645</x:v>
      </x:c>
      <x:c r="B140" s="40" t="str">
        <x:v>2026-06</x:v>
      </x:c>
      <x:c r="C140" s="40" t="str">
        <x:v>math.AP</x:v>
      </x:c>
      <x:c r="D140" s="40" t="str">
        <x:v>fluid/kinetic PDE</x:v>
      </x:c>
      <x:c r="E140" s="40" t="str">
        <x:v>Uniform large deviations and long-time dynamics for the 2D anisotropic Navier-Stokes equations on the torus</x:v>
      </x:c>
      <x:c r="F140" s="40" t="str">
        <x:v>Chengfeng Sun; Hao Yu; Hui Liu</x:v>
      </x:c>
      <x:c r="G140" s="46"/>
      <x:c r="H140" s="40" t="str">
        <x:v>https://arxiv.org/abs/2606.27645</x:v>
      </x:c>
      <x:c r="I140" s="40" t="str">
        <x:v>30%评分池：按题名、作者、主题与页数预筛；默认主要结论正确，未逐篇逐行 correctness check。</x:v>
      </x:c>
      <x:c r="J140" s="46" t="n">
        <x:v>80</x:v>
      </x:c>
      <x:c r="K140" s="46" t="n">
        <x:v>78</x:v>
      </x:c>
      <x:c r="L140" s="46" t="n">
        <x:v>79</x:v>
      </x:c>
      <x:c r="M140" s="46" t="n">
        <x:v>78</x:v>
      </x:c>
      <x:c r="N140" s="46" t="n">
        <x:v>80</x:v>
      </x:c>
      <x:c r="O140" s="46" t="n">
        <x:v>79</x:v>
      </x:c>
      <x:c r="P140" s="46" t="n">
        <x:v>13</x:v>
      </x:c>
      <x:c r="Q140" s="46" t="n">
        <x:v>5</x:v>
      </x:c>
      <x:c r="R140" s="42" t="n">
        <x:f>0.30*J140+0.20*K140+0.25*L140+0.15*M140+0.10*O140</x:f>
        <x:v>78.95</x:v>
      </x:c>
      <x:c r="S140" s="42" t="n">
        <x:f>0.30*N140+0.20*L140+0.20*K140+0.15*O140+0.15*(100-P140)</x:f>
        <x:v>80.3</x:v>
      </x:c>
      <x:c r="T140" s="42" t="n">
        <x:f>(R140+S140)/2</x:f>
        <x:v>79.625</x:v>
      </x:c>
      <x:c r="U140" s="40" t="n">
        <x:f>1+COUNTIFS($T$2:$T$211,"&gt;"&amp;T140)+COUNTIFS($T$2:$T$211,T140,$R$2:$R$211,"&gt;"&amp;R140)</x:f>
        <x:v>139</x:v>
      </x:c>
      <x:c r="V140" s="40" t="str">
        <x:f>IF(U140&lt;=50,"Y","")</x:f>
      </x:c>
    </x:row>
    <x:row r="141">
      <x:c r="A141" s="40" t="str">
        <x:v>2606.04682</x:v>
      </x:c>
      <x:c r="B141" s="40" t="str">
        <x:v>2026-06</x:v>
      </x:c>
      <x:c r="C141" s="40" t="str">
        <x:v>math.AP</x:v>
      </x:c>
      <x:c r="D141" s="40" t="str">
        <x:v>inverse/scattering</x:v>
      </x:c>
      <x:c r="E141" s="40" t="str">
        <x:v>L^2-boundedness of the n-th Calderon commutator on Lipschitz graphs</x:v>
      </x:c>
      <x:c r="F141" s="40" t="str">
        <x:v>Joan Hernandez; Joan Mateu; Laura Prat</x:v>
      </x:c>
      <x:c r="G141" s="46"/>
      <x:c r="H141" s="40" t="str">
        <x:v>https://arxiv.org/abs/2606.04682</x:v>
      </x:c>
      <x:c r="I141" s="40" t="str">
        <x:v>30%评分池：按题名、作者、主题与页数预筛；默认主要结论正确，未逐篇逐行 correctness check。</x:v>
      </x:c>
      <x:c r="J141" s="46" t="n">
        <x:v>80</x:v>
      </x:c>
      <x:c r="K141" s="46" t="n">
        <x:v>78</x:v>
      </x:c>
      <x:c r="L141" s="46" t="n">
        <x:v>79</x:v>
      </x:c>
      <x:c r="M141" s="46" t="n">
        <x:v>78</x:v>
      </x:c>
      <x:c r="N141" s="46" t="n">
        <x:v>79</x:v>
      </x:c>
      <x:c r="O141" s="46" t="n">
        <x:v>79</x:v>
      </x:c>
      <x:c r="P141" s="46" t="n">
        <x:v>13</x:v>
      </x:c>
      <x:c r="Q141" s="46" t="n">
        <x:v>5</x:v>
      </x:c>
      <x:c r="R141" s="42" t="n">
        <x:f>0.30*J141+0.20*K141+0.25*L141+0.15*M141+0.10*O141</x:f>
        <x:v>78.95</x:v>
      </x:c>
      <x:c r="S141" s="42" t="n">
        <x:f>0.30*N141+0.20*L141+0.20*K141+0.15*O141+0.15*(100-P141)</x:f>
        <x:v>80</x:v>
      </x:c>
      <x:c r="T141" s="42" t="n">
        <x:f>(R141+S141)/2</x:f>
        <x:v>79.475</x:v>
      </x:c>
      <x:c r="U141" s="40" t="n">
        <x:f>1+COUNTIFS($T$2:$T$211,"&gt;"&amp;T141)+COUNTIFS($T$2:$T$211,T141,$R$2:$R$211,"&gt;"&amp;R141)</x:f>
        <x:v>166</x:v>
      </x:c>
      <x:c r="V141" s="40" t="str">
        <x:f>IF(U141&lt;=50,"Y","")</x:f>
      </x:c>
    </x:row>
    <x:row r="142">
      <x:c r="A142" s="40" t="str">
        <x:v>2606.01073</x:v>
      </x:c>
      <x:c r="B142" s="40" t="str">
        <x:v>2026-06</x:v>
      </x:c>
      <x:c r="C142" s="40" t="str">
        <x:v>math.AP</x:v>
      </x:c>
      <x:c r="D142" s="40" t="str">
        <x:v>analysis/PDE</x:v>
      </x:c>
      <x:c r="E142" s="40" t="str">
        <x:v>On admissible solutions to the coupled Riemann problem with heat-flux discontinuity</x:v>
      </x:c>
      <x:c r="F142" s="40" t="str">
        <x:v>Changsheng Yu; Tiegang Liu</x:v>
      </x:c>
      <x:c r="G142" s="46"/>
      <x:c r="H142" s="40" t="str">
        <x:v>https://arxiv.org/abs/2606.01073</x:v>
      </x:c>
      <x:c r="I142" s="40" t="str">
        <x:v>30%评分池：按题名、作者、主题与页数预筛；默认主要结论正确，未逐篇逐行 correctness check。</x:v>
      </x:c>
      <x:c r="J142" s="46" t="n">
        <x:v>79</x:v>
      </x:c>
      <x:c r="K142" s="46" t="n">
        <x:v>79</x:v>
      </x:c>
      <x:c r="L142" s="46" t="n">
        <x:v>79</x:v>
      </x:c>
      <x:c r="M142" s="46" t="n">
        <x:v>78</x:v>
      </x:c>
      <x:c r="N142" s="46" t="n">
        <x:v>79</x:v>
      </x:c>
      <x:c r="O142" s="46" t="n">
        <x:v>79</x:v>
      </x:c>
      <x:c r="P142" s="46" t="n">
        <x:v>13</x:v>
      </x:c>
      <x:c r="Q142" s="46" t="n">
        <x:v>5</x:v>
      </x:c>
      <x:c r="R142" s="42" t="n">
        <x:f>0.30*J142+0.20*K142+0.25*L142+0.15*M142+0.10*O142</x:f>
        <x:v>78.85000000000001</x:v>
      </x:c>
      <x:c r="S142" s="42" t="n">
        <x:f>0.30*N142+0.20*L142+0.20*K142+0.15*O142+0.15*(100-P142)</x:f>
        <x:v>80.19999999999999</x:v>
      </x:c>
      <x:c r="T142" s="42" t="n">
        <x:f>(R142+S142)/2</x:f>
        <x:v>79.525</x:v>
      </x:c>
      <x:c r="U142" s="40" t="n">
        <x:f>1+COUNTIFS($T$2:$T$211,"&gt;"&amp;T142)+COUNTIFS($T$2:$T$211,T142,$R$2:$R$211,"&gt;"&amp;R142)</x:f>
        <x:v>140</x:v>
      </x:c>
      <x:c r="V142" s="40" t="str">
        <x:f>IF(U142&lt;=50,"Y","")</x:f>
      </x:c>
    </x:row>
    <x:row r="143">
      <x:c r="A143" s="40" t="str">
        <x:v>2606.01430</x:v>
      </x:c>
      <x:c r="B143" s="40" t="str">
        <x:v>2026-06</x:v>
      </x:c>
      <x:c r="C143" s="40" t="str">
        <x:v>math.AP</x:v>
      </x:c>
      <x:c r="D143" s="40" t="str">
        <x:v>analysis/PDE</x:v>
      </x:c>
      <x:c r="E143" s="40" t="str">
        <x:v>A variational approach to ferronematics with a dimension reduction</x:v>
      </x:c>
      <x:c r="F143" s="40" t="str">
        <x:v>Shilpa Dutta</x:v>
      </x:c>
      <x:c r="G143" s="46"/>
      <x:c r="H143" s="40" t="str">
        <x:v>https://arxiv.org/abs/2606.01430</x:v>
      </x:c>
      <x:c r="I143" s="40" t="str">
        <x:v>30%评分池：按题名、作者、主题与页数预筛；默认主要结论正确，未逐篇逐行 correctness check。</x:v>
      </x:c>
      <x:c r="J143" s="46" t="n">
        <x:v>79</x:v>
      </x:c>
      <x:c r="K143" s="46" t="n">
        <x:v>79</x:v>
      </x:c>
      <x:c r="L143" s="46" t="n">
        <x:v>79</x:v>
      </x:c>
      <x:c r="M143" s="46" t="n">
        <x:v>78</x:v>
      </x:c>
      <x:c r="N143" s="46" t="n">
        <x:v>79</x:v>
      </x:c>
      <x:c r="O143" s="46" t="n">
        <x:v>79</x:v>
      </x:c>
      <x:c r="P143" s="46" t="n">
        <x:v>13</x:v>
      </x:c>
      <x:c r="Q143" s="46" t="n">
        <x:v>5</x:v>
      </x:c>
      <x:c r="R143" s="42" t="n">
        <x:f>0.30*J143+0.20*K143+0.25*L143+0.15*M143+0.10*O143</x:f>
        <x:v>78.85000000000001</x:v>
      </x:c>
      <x:c r="S143" s="42" t="n">
        <x:f>0.30*N143+0.20*L143+0.20*K143+0.15*O143+0.15*(100-P143)</x:f>
        <x:v>80.19999999999999</x:v>
      </x:c>
      <x:c r="T143" s="42" t="n">
        <x:f>(R143+S143)/2</x:f>
        <x:v>79.525</x:v>
      </x:c>
      <x:c r="U143" s="40" t="n">
        <x:f>1+COUNTIFS($T$2:$T$211,"&gt;"&amp;T143)+COUNTIFS($T$2:$T$211,T143,$R$2:$R$211,"&gt;"&amp;R143)</x:f>
        <x:v>140</x:v>
      </x:c>
      <x:c r="V143" s="40" t="str">
        <x:f>IF(U143&lt;=50,"Y","")</x:f>
      </x:c>
    </x:row>
    <x:row r="144">
      <x:c r="A144" s="40" t="str">
        <x:v>2606.01692</x:v>
      </x:c>
      <x:c r="B144" s="40" t="str">
        <x:v>2026-06</x:v>
      </x:c>
      <x:c r="C144" s="40" t="str">
        <x:v>math.AP</x:v>
      </x:c>
      <x:c r="D144" s="40" t="str">
        <x:v>analysis/PDE</x:v>
      </x:c>
      <x:c r="E144" s="40" t="str">
        <x:v>On Dancer-type solutions for the Lane-Emden equation via semivirial-vanishing geometry</x:v>
      </x:c>
      <x:c r="F144" s="40" t="str">
        <x:v>Yongming Luo</x:v>
      </x:c>
      <x:c r="G144" s="46"/>
      <x:c r="H144" s="40" t="str">
        <x:v>https://arxiv.org/abs/2606.01692</x:v>
      </x:c>
      <x:c r="I144" s="40" t="str">
        <x:v>30%评分池：按题名、作者、主题与页数预筛；默认主要结论正确，未逐篇逐行 correctness check。</x:v>
      </x:c>
      <x:c r="J144" s="46" t="n">
        <x:v>79</x:v>
      </x:c>
      <x:c r="K144" s="46" t="n">
        <x:v>79</x:v>
      </x:c>
      <x:c r="L144" s="46" t="n">
        <x:v>79</x:v>
      </x:c>
      <x:c r="M144" s="46" t="n">
        <x:v>78</x:v>
      </x:c>
      <x:c r="N144" s="46" t="n">
        <x:v>79</x:v>
      </x:c>
      <x:c r="O144" s="46" t="n">
        <x:v>79</x:v>
      </x:c>
      <x:c r="P144" s="46" t="n">
        <x:v>13</x:v>
      </x:c>
      <x:c r="Q144" s="46" t="n">
        <x:v>5</x:v>
      </x:c>
      <x:c r="R144" s="42" t="n">
        <x:f>0.30*J144+0.20*K144+0.25*L144+0.15*M144+0.10*O144</x:f>
        <x:v>78.85000000000001</x:v>
      </x:c>
      <x:c r="S144" s="42" t="n">
        <x:f>0.30*N144+0.20*L144+0.20*K144+0.15*O144+0.15*(100-P144)</x:f>
        <x:v>80.19999999999999</x:v>
      </x:c>
      <x:c r="T144" s="42" t="n">
        <x:f>(R144+S144)/2</x:f>
        <x:v>79.525</x:v>
      </x:c>
      <x:c r="U144" s="40" t="n">
        <x:f>1+COUNTIFS($T$2:$T$211,"&gt;"&amp;T144)+COUNTIFS($T$2:$T$211,T144,$R$2:$R$211,"&gt;"&amp;R144)</x:f>
        <x:v>140</x:v>
      </x:c>
      <x:c r="V144" s="40" t="str">
        <x:f>IF(U144&lt;=50,"Y","")</x:f>
      </x:c>
    </x:row>
    <x:row r="145">
      <x:c r="A145" s="40" t="str">
        <x:v>2606.01913</x:v>
      </x:c>
      <x:c r="B145" s="40" t="str">
        <x:v>2026-06</x:v>
      </x:c>
      <x:c r="C145" s="40" t="str">
        <x:v>math.AP</x:v>
      </x:c>
      <x:c r="D145" s="40" t="str">
        <x:v>fluid/kinetic PDE</x:v>
      </x:c>
      <x:c r="E145" s="40" t="str">
        <x:v>Three-scale singular limits with applications to rapidly rotating fluids and the hyperbolization of dispersive systems</x:v>
      </x:c>
      <x:c r="F145" s="40" t="str">
        <x:v>Vincent Duchene; Arnaud Duran; Khawla Msheik</x:v>
      </x:c>
      <x:c r="G145" s="46"/>
      <x:c r="H145" s="40" t="str">
        <x:v>https://arxiv.org/abs/2606.01913</x:v>
      </x:c>
      <x:c r="I145" s="40" t="str">
        <x:v>30%评分池：按题名、作者、主题与页数预筛；默认主要结论正确，未逐篇逐行 correctness check。</x:v>
      </x:c>
      <x:c r="J145" s="46" t="n">
        <x:v>79</x:v>
      </x:c>
      <x:c r="K145" s="46" t="n">
        <x:v>79</x:v>
      </x:c>
      <x:c r="L145" s="46" t="n">
        <x:v>79</x:v>
      </x:c>
      <x:c r="M145" s="46" t="n">
        <x:v>78</x:v>
      </x:c>
      <x:c r="N145" s="46" t="n">
        <x:v>79</x:v>
      </x:c>
      <x:c r="O145" s="46" t="n">
        <x:v>79</x:v>
      </x:c>
      <x:c r="P145" s="46" t="n">
        <x:v>13</x:v>
      </x:c>
      <x:c r="Q145" s="46" t="n">
        <x:v>5</x:v>
      </x:c>
      <x:c r="R145" s="42" t="n">
        <x:f>0.30*J145+0.20*K145+0.25*L145+0.15*M145+0.10*O145</x:f>
        <x:v>78.85000000000001</x:v>
      </x:c>
      <x:c r="S145" s="42" t="n">
        <x:f>0.30*N145+0.20*L145+0.20*K145+0.15*O145+0.15*(100-P145)</x:f>
        <x:v>80.19999999999999</x:v>
      </x:c>
      <x:c r="T145" s="42" t="n">
        <x:f>(R145+S145)/2</x:f>
        <x:v>79.525</x:v>
      </x:c>
      <x:c r="U145" s="40" t="n">
        <x:f>1+COUNTIFS($T$2:$T$211,"&gt;"&amp;T145)+COUNTIFS($T$2:$T$211,T145,$R$2:$R$211,"&gt;"&amp;R145)</x:f>
        <x:v>140</x:v>
      </x:c>
      <x:c r="V145" s="40" t="str">
        <x:f>IF(U145&lt;=50,"Y","")</x:f>
      </x:c>
    </x:row>
    <x:row r="146">
      <x:c r="A146" s="40" t="str">
        <x:v>2606.02141</x:v>
      </x:c>
      <x:c r="B146" s="40" t="str">
        <x:v>2026-06</x:v>
      </x:c>
      <x:c r="C146" s="40" t="str">
        <x:v>math.AP</x:v>
      </x:c>
      <x:c r="D146" s="40" t="str">
        <x:v>analysis/PDE</x:v>
      </x:c>
      <x:c r="E146" s="40" t="str">
        <x:v>Normalized solutions to an exponential growth Choquard equation driven by mixed local-nonlocal operator in R^2</x:v>
      </x:c>
      <x:c r="F146" s="40" t="str">
        <x:v>Nidhi Nidhi; L. Sharma; K. Sreenadh</x:v>
      </x:c>
      <x:c r="G146" s="46"/>
      <x:c r="H146" s="40" t="str">
        <x:v>https://arxiv.org/abs/2606.02141</x:v>
      </x:c>
      <x:c r="I146" s="40" t="str">
        <x:v>30%评分池：按题名、作者、主题与页数预筛；默认主要结论正确，未逐篇逐行 correctness check。</x:v>
      </x:c>
      <x:c r="J146" s="46" t="n">
        <x:v>79</x:v>
      </x:c>
      <x:c r="K146" s="46" t="n">
        <x:v>79</x:v>
      </x:c>
      <x:c r="L146" s="46" t="n">
        <x:v>79</x:v>
      </x:c>
      <x:c r="M146" s="46" t="n">
        <x:v>78</x:v>
      </x:c>
      <x:c r="N146" s="46" t="n">
        <x:v>79</x:v>
      </x:c>
      <x:c r="O146" s="46" t="n">
        <x:v>79</x:v>
      </x:c>
      <x:c r="P146" s="46" t="n">
        <x:v>13</x:v>
      </x:c>
      <x:c r="Q146" s="46" t="n">
        <x:v>5</x:v>
      </x:c>
      <x:c r="R146" s="42" t="n">
        <x:f>0.30*J146+0.20*K146+0.25*L146+0.15*M146+0.10*O146</x:f>
        <x:v>78.85000000000001</x:v>
      </x:c>
      <x:c r="S146" s="42" t="n">
        <x:f>0.30*N146+0.20*L146+0.20*K146+0.15*O146+0.15*(100-P146)</x:f>
        <x:v>80.19999999999999</x:v>
      </x:c>
      <x:c r="T146" s="42" t="n">
        <x:f>(R146+S146)/2</x:f>
        <x:v>79.525</x:v>
      </x:c>
      <x:c r="U146" s="40" t="n">
        <x:f>1+COUNTIFS($T$2:$T$211,"&gt;"&amp;T146)+COUNTIFS($T$2:$T$211,T146,$R$2:$R$211,"&gt;"&amp;R146)</x:f>
        <x:v>140</x:v>
      </x:c>
      <x:c r="V146" s="40" t="str">
        <x:f>IF(U146&lt;=50,"Y","")</x:f>
      </x:c>
    </x:row>
    <x:row r="147">
      <x:c r="A147" s="40" t="str">
        <x:v>2606.02227</x:v>
      </x:c>
      <x:c r="B147" s="40" t="str">
        <x:v>2026-06</x:v>
      </x:c>
      <x:c r="C147" s="40" t="str">
        <x:v>math.AP</x:v>
      </x:c>
      <x:c r="D147" s="40" t="str">
        <x:v>dispersive PDE</x:v>
      </x:c>
      <x:c r="E147" s="40" t="str">
        <x:v>On a class of critical Schrodinger-Poisson systems involving the (p,q)-Laplacian</x:v>
      </x:c>
      <x:c r="F147" s="40" t="str">
        <x:v>Laura Baldelli; Roberta Filippucci</x:v>
      </x:c>
      <x:c r="G147" s="46"/>
      <x:c r="H147" s="40" t="str">
        <x:v>https://arxiv.org/abs/2606.02227</x:v>
      </x:c>
      <x:c r="I147" s="40" t="str">
        <x:v>30%评分池：按题名、作者、主题与页数预筛；默认主要结论正确，未逐篇逐行 correctness check。</x:v>
      </x:c>
      <x:c r="J147" s="46" t="n">
        <x:v>79</x:v>
      </x:c>
      <x:c r="K147" s="46" t="n">
        <x:v>79</x:v>
      </x:c>
      <x:c r="L147" s="46" t="n">
        <x:v>79</x:v>
      </x:c>
      <x:c r="M147" s="46" t="n">
        <x:v>78</x:v>
      </x:c>
      <x:c r="N147" s="46" t="n">
        <x:v>79</x:v>
      </x:c>
      <x:c r="O147" s="46" t="n">
        <x:v>79</x:v>
      </x:c>
      <x:c r="P147" s="46" t="n">
        <x:v>13</x:v>
      </x:c>
      <x:c r="Q147" s="46" t="n">
        <x:v>5</x:v>
      </x:c>
      <x:c r="R147" s="42" t="n">
        <x:f>0.30*J147+0.20*K147+0.25*L147+0.15*M147+0.10*O147</x:f>
        <x:v>78.85000000000001</x:v>
      </x:c>
      <x:c r="S147" s="42" t="n">
        <x:f>0.30*N147+0.20*L147+0.20*K147+0.15*O147+0.15*(100-P147)</x:f>
        <x:v>80.19999999999999</x:v>
      </x:c>
      <x:c r="T147" s="42" t="n">
        <x:f>(R147+S147)/2</x:f>
        <x:v>79.525</x:v>
      </x:c>
      <x:c r="U147" s="40" t="n">
        <x:f>1+COUNTIFS($T$2:$T$211,"&gt;"&amp;T147)+COUNTIFS($T$2:$T$211,T147,$R$2:$R$211,"&gt;"&amp;R147)</x:f>
        <x:v>140</x:v>
      </x:c>
      <x:c r="V147" s="40" t="str">
        <x:f>IF(U147&lt;=50,"Y","")</x:f>
      </x:c>
    </x:row>
    <x:row r="148">
      <x:c r="A148" s="40" t="str">
        <x:v>2606.02426</x:v>
      </x:c>
      <x:c r="B148" s="40" t="str">
        <x:v>2026-06</x:v>
      </x:c>
      <x:c r="C148" s="40" t="str">
        <x:v>math.AP</x:v>
      </x:c>
      <x:c r="D148" s="40" t="str">
        <x:v>analysis/PDE</x:v>
      </x:c>
      <x:c r="E148" s="40" t="str">
        <x:v>Physical-Space Scarring in Generic Bunimovich Stadia</x:v>
      </x:c>
      <x:c r="F148" s="40" t="str">
        <x:v>Heng Li; Xizhi Liu</x:v>
      </x:c>
      <x:c r="G148" s="46"/>
      <x:c r="H148" s="40" t="str">
        <x:v>https://arxiv.org/abs/2606.02426</x:v>
      </x:c>
      <x:c r="I148" s="40" t="str">
        <x:v>30%评分池：按题名、作者、主题与页数预筛；默认主要结论正确，未逐篇逐行 correctness check。</x:v>
      </x:c>
      <x:c r="J148" s="46" t="n">
        <x:v>79</x:v>
      </x:c>
      <x:c r="K148" s="46" t="n">
        <x:v>79</x:v>
      </x:c>
      <x:c r="L148" s="46" t="n">
        <x:v>79</x:v>
      </x:c>
      <x:c r="M148" s="46" t="n">
        <x:v>78</x:v>
      </x:c>
      <x:c r="N148" s="46" t="n">
        <x:v>79</x:v>
      </x:c>
      <x:c r="O148" s="46" t="n">
        <x:v>79</x:v>
      </x:c>
      <x:c r="P148" s="46" t="n">
        <x:v>13</x:v>
      </x:c>
      <x:c r="Q148" s="46" t="n">
        <x:v>5</x:v>
      </x:c>
      <x:c r="R148" s="42" t="n">
        <x:f>0.30*J148+0.20*K148+0.25*L148+0.15*M148+0.10*O148</x:f>
        <x:v>78.85000000000001</x:v>
      </x:c>
      <x:c r="S148" s="42" t="n">
        <x:f>0.30*N148+0.20*L148+0.20*K148+0.15*O148+0.15*(100-P148)</x:f>
        <x:v>80.19999999999999</x:v>
      </x:c>
      <x:c r="T148" s="42" t="n">
        <x:f>(R148+S148)/2</x:f>
        <x:v>79.525</x:v>
      </x:c>
      <x:c r="U148" s="40" t="n">
        <x:f>1+COUNTIFS($T$2:$T$211,"&gt;"&amp;T148)+COUNTIFS($T$2:$T$211,T148,$R$2:$R$211,"&gt;"&amp;R148)</x:f>
        <x:v>140</x:v>
      </x:c>
      <x:c r="V148" s="40" t="str">
        <x:f>IF(U148&lt;=50,"Y","")</x:f>
      </x:c>
    </x:row>
    <x:row r="149">
      <x:c r="A149" s="40" t="str">
        <x:v>2606.02899</x:v>
      </x:c>
      <x:c r="B149" s="40" t="str">
        <x:v>2026-06</x:v>
      </x:c>
      <x:c r="C149" s="40" t="str">
        <x:v>math.AP</x:v>
      </x:c>
      <x:c r="D149" s="40" t="str">
        <x:v>analysis/PDE</x:v>
      </x:c>
      <x:c r="E149" s="40" t="str">
        <x:v>A coupled prediction-correction Hughes' model for congested crowd motion</x:v>
      </x:c>
      <x:c r="F149" s="40" t="str">
        <x:v>Hamza Ennaji; Noureddine Igbida; Ghadir Jradi; Jose Miguel Urbano</x:v>
      </x:c>
      <x:c r="G149" s="46"/>
      <x:c r="H149" s="40" t="str">
        <x:v>https://arxiv.org/abs/2606.02899</x:v>
      </x:c>
      <x:c r="I149" s="40" t="str">
        <x:v>30%评分池：按题名、作者、主题与页数预筛；默认主要结论正确，未逐篇逐行 correctness check。</x:v>
      </x:c>
      <x:c r="J149" s="46" t="n">
        <x:v>79</x:v>
      </x:c>
      <x:c r="K149" s="46" t="n">
        <x:v>79</x:v>
      </x:c>
      <x:c r="L149" s="46" t="n">
        <x:v>79</x:v>
      </x:c>
      <x:c r="M149" s="46" t="n">
        <x:v>78</x:v>
      </x:c>
      <x:c r="N149" s="46" t="n">
        <x:v>79</x:v>
      </x:c>
      <x:c r="O149" s="46" t="n">
        <x:v>79</x:v>
      </x:c>
      <x:c r="P149" s="46" t="n">
        <x:v>13</x:v>
      </x:c>
      <x:c r="Q149" s="46" t="n">
        <x:v>5</x:v>
      </x:c>
      <x:c r="R149" s="42" t="n">
        <x:f>0.30*J149+0.20*K149+0.25*L149+0.15*M149+0.10*O149</x:f>
        <x:v>78.85000000000001</x:v>
      </x:c>
      <x:c r="S149" s="42" t="n">
        <x:f>0.30*N149+0.20*L149+0.20*K149+0.15*O149+0.15*(100-P149)</x:f>
        <x:v>80.19999999999999</x:v>
      </x:c>
      <x:c r="T149" s="42" t="n">
        <x:f>(R149+S149)/2</x:f>
        <x:v>79.525</x:v>
      </x:c>
      <x:c r="U149" s="40" t="n">
        <x:f>1+COUNTIFS($T$2:$T$211,"&gt;"&amp;T149)+COUNTIFS($T$2:$T$211,T149,$R$2:$R$211,"&gt;"&amp;R149)</x:f>
        <x:v>140</x:v>
      </x:c>
      <x:c r="V149" s="40" t="str">
        <x:f>IF(U149&lt;=50,"Y","")</x:f>
      </x:c>
    </x:row>
    <x:row r="150">
      <x:c r="A150" s="40" t="str">
        <x:v>2606.03580</x:v>
      </x:c>
      <x:c r="B150" s="40" t="str">
        <x:v>2026-06</x:v>
      </x:c>
      <x:c r="C150" s="40" t="str">
        <x:v>math.AP</x:v>
      </x:c>
      <x:c r="D150" s="40" t="str">
        <x:v>analysis/PDE</x:v>
      </x:c>
      <x:c r="E150" s="40" t="str">
        <x:v>Remarks on selection problems for first-order discounted mean field games</x:v>
      </x:c>
      <x:c r="F150" s="40" t="str">
        <x:v>Kengo Terai</x:v>
      </x:c>
      <x:c r="G150" s="46" t="n">
        <x:v>16</x:v>
      </x:c>
      <x:c r="H150" s="40" t="str">
        <x:v>https://arxiv.org/abs/2606.03580</x:v>
      </x:c>
      <x:c r="I150" s="40" t="str">
        <x:v>30%评分池：按题名、作者、主题与页数预筛；默认主要结论正确，未逐篇逐行 correctness check。</x:v>
      </x:c>
      <x:c r="J150" s="46" t="n">
        <x:v>79</x:v>
      </x:c>
      <x:c r="K150" s="46" t="n">
        <x:v>79</x:v>
      </x:c>
      <x:c r="L150" s="46" t="n">
        <x:v>79</x:v>
      </x:c>
      <x:c r="M150" s="46" t="n">
        <x:v>78</x:v>
      </x:c>
      <x:c r="N150" s="46" t="n">
        <x:v>79</x:v>
      </x:c>
      <x:c r="O150" s="46" t="n">
        <x:v>79</x:v>
      </x:c>
      <x:c r="P150" s="46" t="n">
        <x:v>13</x:v>
      </x:c>
      <x:c r="Q150" s="46" t="n">
        <x:v>5</x:v>
      </x:c>
      <x:c r="R150" s="42" t="n">
        <x:f>0.30*J150+0.20*K150+0.25*L150+0.15*M150+0.10*O150</x:f>
        <x:v>78.85000000000001</x:v>
      </x:c>
      <x:c r="S150" s="42" t="n">
        <x:f>0.30*N150+0.20*L150+0.20*K150+0.15*O150+0.15*(100-P150)</x:f>
        <x:v>80.19999999999999</x:v>
      </x:c>
      <x:c r="T150" s="42" t="n">
        <x:f>(R150+S150)/2</x:f>
        <x:v>79.525</x:v>
      </x:c>
      <x:c r="U150" s="40" t="n">
        <x:f>1+COUNTIFS($T$2:$T$211,"&gt;"&amp;T150)+COUNTIFS($T$2:$T$211,T150,$R$2:$R$211,"&gt;"&amp;R150)</x:f>
        <x:v>140</x:v>
      </x:c>
      <x:c r="V150" s="40" t="str">
        <x:f>IF(U150&lt;=50,"Y","")</x:f>
      </x:c>
    </x:row>
    <x:row r="151">
      <x:c r="A151" s="40" t="str">
        <x:v>2606.03684</x:v>
      </x:c>
      <x:c r="B151" s="40" t="str">
        <x:v>2026-06</x:v>
      </x:c>
      <x:c r="C151" s="40" t="str">
        <x:v>math.AP</x:v>
      </x:c>
      <x:c r="D151" s="40" t="str">
        <x:v>geometric analysis</x:v>
      </x:c>
      <x:c r="E151" s="40" t="str">
        <x:v>To 1/2-logconcavity and beyond: Geometric properties of Dirichlet eigenfunctions</x:v>
      </x:c>
      <x:c r="F151" s="40" t="str">
        <x:v>Lei Qin; Jin Sun; Kui Wang</x:v>
      </x:c>
      <x:c r="G151" s="46" t="n">
        <x:v>22</x:v>
      </x:c>
      <x:c r="H151" s="40" t="str">
        <x:v>https://arxiv.org/abs/2606.03684</x:v>
      </x:c>
      <x:c r="I151" s="40" t="str">
        <x:v>30%评分池：按题名、作者、主题与页数预筛；默认主要结论正确，未逐篇逐行 correctness check。</x:v>
      </x:c>
      <x:c r="J151" s="46" t="n">
        <x:v>79</x:v>
      </x:c>
      <x:c r="K151" s="46" t="n">
        <x:v>79</x:v>
      </x:c>
      <x:c r="L151" s="46" t="n">
        <x:v>79</x:v>
      </x:c>
      <x:c r="M151" s="46" t="n">
        <x:v>78</x:v>
      </x:c>
      <x:c r="N151" s="46" t="n">
        <x:v>79</x:v>
      </x:c>
      <x:c r="O151" s="46" t="n">
        <x:v>79</x:v>
      </x:c>
      <x:c r="P151" s="46" t="n">
        <x:v>13</x:v>
      </x:c>
      <x:c r="Q151" s="46" t="n">
        <x:v>5</x:v>
      </x:c>
      <x:c r="R151" s="42" t="n">
        <x:f>0.30*J151+0.20*K151+0.25*L151+0.15*M151+0.10*O151</x:f>
        <x:v>78.85000000000001</x:v>
      </x:c>
      <x:c r="S151" s="42" t="n">
        <x:f>0.30*N151+0.20*L151+0.20*K151+0.15*O151+0.15*(100-P151)</x:f>
        <x:v>80.19999999999999</x:v>
      </x:c>
      <x:c r="T151" s="42" t="n">
        <x:f>(R151+S151)/2</x:f>
        <x:v>79.525</x:v>
      </x:c>
      <x:c r="U151" s="40" t="n">
        <x:f>1+COUNTIFS($T$2:$T$211,"&gt;"&amp;T151)+COUNTIFS($T$2:$T$211,T151,$R$2:$R$211,"&gt;"&amp;R151)</x:f>
        <x:v>140</x:v>
      </x:c>
      <x:c r="V151" s="40" t="str">
        <x:f>IF(U151&lt;=50,"Y","")</x:f>
      </x:c>
    </x:row>
    <x:row r="152">
      <x:c r="A152" s="40" t="str">
        <x:v>2606.03840</x:v>
      </x:c>
      <x:c r="B152" s="40" t="str">
        <x:v>2026-06</x:v>
      </x:c>
      <x:c r="C152" s="40" t="str">
        <x:v>math.AP</x:v>
      </x:c>
      <x:c r="D152" s="40" t="str">
        <x:v>analysis/PDE</x:v>
      </x:c>
      <x:c r="E152" s="40" t="str">
        <x:v>On a system of semilinear damped sigma-evolution equations with different damping types in the critical case</x:v>
      </x:c>
      <x:c r="F152" s="40" t="str">
        <x:v>Trung Loc Tang; Tuan Anh Dao; The Anh Cung</x:v>
      </x:c>
      <x:c r="G152" s="46"/>
      <x:c r="H152" s="40" t="str">
        <x:v>https://arxiv.org/abs/2606.03840</x:v>
      </x:c>
      <x:c r="I152" s="40" t="str">
        <x:v>30%评分池：按题名、作者、主题与页数预筛；默认主要结论正确，未逐篇逐行 correctness check。</x:v>
      </x:c>
      <x:c r="J152" s="46" t="n">
        <x:v>79</x:v>
      </x:c>
      <x:c r="K152" s="46" t="n">
        <x:v>79</x:v>
      </x:c>
      <x:c r="L152" s="46" t="n">
        <x:v>79</x:v>
      </x:c>
      <x:c r="M152" s="46" t="n">
        <x:v>78</x:v>
      </x:c>
      <x:c r="N152" s="46" t="n">
        <x:v>79</x:v>
      </x:c>
      <x:c r="O152" s="46" t="n">
        <x:v>79</x:v>
      </x:c>
      <x:c r="P152" s="46" t="n">
        <x:v>13</x:v>
      </x:c>
      <x:c r="Q152" s="46" t="n">
        <x:v>5</x:v>
      </x:c>
      <x:c r="R152" s="42" t="n">
        <x:f>0.30*J152+0.20*K152+0.25*L152+0.15*M152+0.10*O152</x:f>
        <x:v>78.85000000000001</x:v>
      </x:c>
      <x:c r="S152" s="42" t="n">
        <x:f>0.30*N152+0.20*L152+0.20*K152+0.15*O152+0.15*(100-P152)</x:f>
        <x:v>80.19999999999999</x:v>
      </x:c>
      <x:c r="T152" s="42" t="n">
        <x:f>(R152+S152)/2</x:f>
        <x:v>79.525</x:v>
      </x:c>
      <x:c r="U152" s="40" t="n">
        <x:f>1+COUNTIFS($T$2:$T$211,"&gt;"&amp;T152)+COUNTIFS($T$2:$T$211,T152,$R$2:$R$211,"&gt;"&amp;R152)</x:f>
        <x:v>140</x:v>
      </x:c>
      <x:c r="V152" s="40" t="str">
        <x:f>IF(U152&lt;=50,"Y","")</x:f>
      </x:c>
    </x:row>
    <x:row r="153">
      <x:c r="A153" s="40" t="str">
        <x:v>2606.04195</x:v>
      </x:c>
      <x:c r="B153" s="40" t="str">
        <x:v>2026-06</x:v>
      </x:c>
      <x:c r="C153" s="40" t="str">
        <x:v>math.AP</x:v>
      </x:c>
      <x:c r="D153" s="40" t="str">
        <x:v>analysis/PDE</x:v>
      </x:c>
      <x:c r="E153" s="40" t="str">
        <x:v>Kernel-Robust Dynamics for Reaction-Diffusion Equations with Measure-Valued Delay</x:v>
      </x:c>
      <x:c r="F153" s="40" t="str">
        <x:v>Lennon Shikhman</x:v>
      </x:c>
      <x:c r="G153" s="46" t="n">
        <x:v>18</x:v>
      </x:c>
      <x:c r="H153" s="40" t="str">
        <x:v>https://arxiv.org/abs/2606.04195</x:v>
      </x:c>
      <x:c r="I153" s="40" t="str">
        <x:v>30%评分池：按题名、作者、主题与页数预筛；默认主要结论正确，未逐篇逐行 correctness check。</x:v>
      </x:c>
      <x:c r="J153" s="46" t="n">
        <x:v>79</x:v>
      </x:c>
      <x:c r="K153" s="46" t="n">
        <x:v>79</x:v>
      </x:c>
      <x:c r="L153" s="46" t="n">
        <x:v>79</x:v>
      </x:c>
      <x:c r="M153" s="46" t="n">
        <x:v>78</x:v>
      </x:c>
      <x:c r="N153" s="46" t="n">
        <x:v>79</x:v>
      </x:c>
      <x:c r="O153" s="46" t="n">
        <x:v>79</x:v>
      </x:c>
      <x:c r="P153" s="46" t="n">
        <x:v>13</x:v>
      </x:c>
      <x:c r="Q153" s="46" t="n">
        <x:v>5</x:v>
      </x:c>
      <x:c r="R153" s="42" t="n">
        <x:f>0.30*J153+0.20*K153+0.25*L153+0.15*M153+0.10*O153</x:f>
        <x:v>78.85000000000001</x:v>
      </x:c>
      <x:c r="S153" s="42" t="n">
        <x:f>0.30*N153+0.20*L153+0.20*K153+0.15*O153+0.15*(100-P153)</x:f>
        <x:v>80.19999999999999</x:v>
      </x:c>
      <x:c r="T153" s="42" t="n">
        <x:f>(R153+S153)/2</x:f>
        <x:v>79.525</x:v>
      </x:c>
      <x:c r="U153" s="40" t="n">
        <x:f>1+COUNTIFS($T$2:$T$211,"&gt;"&amp;T153)+COUNTIFS($T$2:$T$211,T153,$R$2:$R$211,"&gt;"&amp;R153)</x:f>
        <x:v>140</x:v>
      </x:c>
      <x:c r="V153" s="40" t="str">
        <x:f>IF(U153&lt;=50,"Y","")</x:f>
      </x:c>
    </x:row>
    <x:row r="154">
      <x:c r="A154" s="40" t="str">
        <x:v>2606.04230</x:v>
      </x:c>
      <x:c r="B154" s="40" t="str">
        <x:v>2026-06</x:v>
      </x:c>
      <x:c r="C154" s="40" t="str">
        <x:v>math.AP</x:v>
      </x:c>
      <x:c r="D154" s="40" t="str">
        <x:v>analysis/PDE</x:v>
      </x:c>
      <x:c r="E154" s="40" t="str">
        <x:v>Study via Approximate Symmetries of the Emergence of Secondary Flux in the Bevilacqua-Galeao Model</x:v>
      </x:c>
      <x:c r="F154" s="40" t="str">
        <x:v>Yuri Bozhkov; Stylianos Dimas; Antonio J. Silva Neto</x:v>
      </x:c>
      <x:c r="G154" s="46" t="n">
        <x:v>16</x:v>
      </x:c>
      <x:c r="H154" s="40" t="str">
        <x:v>https://arxiv.org/abs/2606.04230</x:v>
      </x:c>
      <x:c r="I154" s="40" t="str">
        <x:v>30%评分池：按题名、作者、主题与页数预筛；默认主要结论正确，未逐篇逐行 correctness check。</x:v>
      </x:c>
      <x:c r="J154" s="46" t="n">
        <x:v>79</x:v>
      </x:c>
      <x:c r="K154" s="46" t="n">
        <x:v>79</x:v>
      </x:c>
      <x:c r="L154" s="46" t="n">
        <x:v>79</x:v>
      </x:c>
      <x:c r="M154" s="46" t="n">
        <x:v>78</x:v>
      </x:c>
      <x:c r="N154" s="46" t="n">
        <x:v>79</x:v>
      </x:c>
      <x:c r="O154" s="46" t="n">
        <x:v>79</x:v>
      </x:c>
      <x:c r="P154" s="46" t="n">
        <x:v>13</x:v>
      </x:c>
      <x:c r="Q154" s="46" t="n">
        <x:v>5</x:v>
      </x:c>
      <x:c r="R154" s="42" t="n">
        <x:f>0.30*J154+0.20*K154+0.25*L154+0.15*M154+0.10*O154</x:f>
        <x:v>78.85000000000001</x:v>
      </x:c>
      <x:c r="S154" s="42" t="n">
        <x:f>0.30*N154+0.20*L154+0.20*K154+0.15*O154+0.15*(100-P154)</x:f>
        <x:v>80.19999999999999</x:v>
      </x:c>
      <x:c r="T154" s="42" t="n">
        <x:f>(R154+S154)/2</x:f>
        <x:v>79.525</x:v>
      </x:c>
      <x:c r="U154" s="40" t="n">
        <x:f>1+COUNTIFS($T$2:$T$211,"&gt;"&amp;T154)+COUNTIFS($T$2:$T$211,T154,$R$2:$R$211,"&gt;"&amp;R154)</x:f>
        <x:v>140</x:v>
      </x:c>
      <x:c r="V154" s="40" t="str">
        <x:f>IF(U154&lt;=50,"Y","")</x:f>
      </x:c>
    </x:row>
    <x:row r="155">
      <x:c r="A155" s="40" t="str">
        <x:v>2606.04270</x:v>
      </x:c>
      <x:c r="B155" s="40" t="str">
        <x:v>2026-06</x:v>
      </x:c>
      <x:c r="C155" s="40" t="str">
        <x:v>math.AP</x:v>
      </x:c>
      <x:c r="D155" s="40" t="str">
        <x:v>analysis/PDE</x:v>
      </x:c>
      <x:c r="E155" s="40" t="str">
        <x:v>Space-Time Duality in Relativistic Diffusion via Subordination</x:v>
      </x:c>
      <x:c r="F155" s="40" t="str">
        <x:v>Cheng-Gang Li</x:v>
      </x:c>
      <x:c r="G155" s="46"/>
      <x:c r="H155" s="40" t="str">
        <x:v>https://arxiv.org/abs/2606.04270</x:v>
      </x:c>
      <x:c r="I155" s="40" t="str">
        <x:v>30%评分池：按题名、作者、主题与页数预筛；默认主要结论正确，未逐篇逐行 correctness check。</x:v>
      </x:c>
      <x:c r="J155" s="46" t="n">
        <x:v>79</x:v>
      </x:c>
      <x:c r="K155" s="46" t="n">
        <x:v>79</x:v>
      </x:c>
      <x:c r="L155" s="46" t="n">
        <x:v>79</x:v>
      </x:c>
      <x:c r="M155" s="46" t="n">
        <x:v>78</x:v>
      </x:c>
      <x:c r="N155" s="46" t="n">
        <x:v>79</x:v>
      </x:c>
      <x:c r="O155" s="46" t="n">
        <x:v>79</x:v>
      </x:c>
      <x:c r="P155" s="46" t="n">
        <x:v>13</x:v>
      </x:c>
      <x:c r="Q155" s="46" t="n">
        <x:v>5</x:v>
      </x:c>
      <x:c r="R155" s="42" t="n">
        <x:f>0.30*J155+0.20*K155+0.25*L155+0.15*M155+0.10*O155</x:f>
        <x:v>78.85000000000001</x:v>
      </x:c>
      <x:c r="S155" s="42" t="n">
        <x:f>0.30*N155+0.20*L155+0.20*K155+0.15*O155+0.15*(100-P155)</x:f>
        <x:v>80.19999999999999</x:v>
      </x:c>
      <x:c r="T155" s="42" t="n">
        <x:f>(R155+S155)/2</x:f>
        <x:v>79.525</x:v>
      </x:c>
      <x:c r="U155" s="40" t="n">
        <x:f>1+COUNTIFS($T$2:$T$211,"&gt;"&amp;T155)+COUNTIFS($T$2:$T$211,T155,$R$2:$R$211,"&gt;"&amp;R155)</x:f>
        <x:v>140</x:v>
      </x:c>
      <x:c r="V155" s="40" t="str">
        <x:f>IF(U155&lt;=50,"Y","")</x:f>
      </x:c>
    </x:row>
    <x:row r="156">
      <x:c r="A156" s="40" t="str">
        <x:v>2606.05593</x:v>
      </x:c>
      <x:c r="B156" s="40" t="str">
        <x:v>2026-06</x:v>
      </x:c>
      <x:c r="C156" s="40" t="str">
        <x:v>math.AP</x:v>
      </x:c>
      <x:c r="D156" s="40" t="str">
        <x:v>analysis/PDE</x:v>
      </x:c>
      <x:c r="E156" s="40" t="str">
        <x:v>Interface problems of mixed spatial order</x:v>
      </x:c>
      <x:c r="F156" s="40" t="str">
        <x:v>Dionyssios Mantzavinos; Ravindra Pethiyagoda; Dave Smith</x:v>
      </x:c>
      <x:c r="G156" s="46" t="n">
        <x:v>34</x:v>
      </x:c>
      <x:c r="H156" s="40" t="str">
        <x:v>https://arxiv.org/abs/2606.05593</x:v>
      </x:c>
      <x:c r="I156" s="40" t="str">
        <x:v>30%评分池：按题名、作者、主题与页数预筛；默认主要结论正确，未逐篇逐行 correctness check。</x:v>
      </x:c>
      <x:c r="J156" s="46" t="n">
        <x:v>79</x:v>
      </x:c>
      <x:c r="K156" s="46" t="n">
        <x:v>79</x:v>
      </x:c>
      <x:c r="L156" s="46" t="n">
        <x:v>79</x:v>
      </x:c>
      <x:c r="M156" s="46" t="n">
        <x:v>78</x:v>
      </x:c>
      <x:c r="N156" s="46" t="n">
        <x:v>79</x:v>
      </x:c>
      <x:c r="O156" s="46" t="n">
        <x:v>79</x:v>
      </x:c>
      <x:c r="P156" s="46" t="n">
        <x:v>13</x:v>
      </x:c>
      <x:c r="Q156" s="46" t="n">
        <x:v>5</x:v>
      </x:c>
      <x:c r="R156" s="42" t="n">
        <x:f>0.30*J156+0.20*K156+0.25*L156+0.15*M156+0.10*O156</x:f>
        <x:v>78.85000000000001</x:v>
      </x:c>
      <x:c r="S156" s="42" t="n">
        <x:f>0.30*N156+0.20*L156+0.20*K156+0.15*O156+0.15*(100-P156)</x:f>
        <x:v>80.19999999999999</x:v>
      </x:c>
      <x:c r="T156" s="42" t="n">
        <x:f>(R156+S156)/2</x:f>
        <x:v>79.525</x:v>
      </x:c>
      <x:c r="U156" s="40" t="n">
        <x:f>1+COUNTIFS($T$2:$T$211,"&gt;"&amp;T156)+COUNTIFS($T$2:$T$211,T156,$R$2:$R$211,"&gt;"&amp;R156)</x:f>
        <x:v>140</x:v>
      </x:c>
      <x:c r="V156" s="40" t="str">
        <x:f>IF(U156&lt;=50,"Y","")</x:f>
      </x:c>
    </x:row>
    <x:row r="157">
      <x:c r="A157" s="40" t="str">
        <x:v>2606.06206</x:v>
      </x:c>
      <x:c r="B157" s="40" t="str">
        <x:v>2026-06</x:v>
      </x:c>
      <x:c r="C157" s="40" t="str">
        <x:v>math.AP</x:v>
      </x:c>
      <x:c r="D157" s="40" t="str">
        <x:v>elliptic/parabolic regularity</x:v>
      </x:c>
      <x:c r="E157" s="40" t="str">
        <x:v>Local and global properties of solutions of an elliptic equation involving exponential and gradient reaction</x:v>
      </x:c>
      <x:c r="F157" s="40" t="str">
        <x:v>Marie-Francoise Bidaut-Veron; Marta Garcia-Huidobro; Laurent Veron</x:v>
      </x:c>
      <x:c r="G157" s="46" t="n">
        <x:v>42</x:v>
      </x:c>
      <x:c r="H157" s="40" t="str">
        <x:v>https://arxiv.org/abs/2606.06206</x:v>
      </x:c>
      <x:c r="I157" s="40" t="str">
        <x:v>30%评分池：按题名、作者、主题与页数预筛；默认主要结论正确，未逐篇逐行 correctness check。</x:v>
      </x:c>
      <x:c r="J157" s="46" t="n">
        <x:v>79</x:v>
      </x:c>
      <x:c r="K157" s="46" t="n">
        <x:v>79</x:v>
      </x:c>
      <x:c r="L157" s="46" t="n">
        <x:v>79</x:v>
      </x:c>
      <x:c r="M157" s="46" t="n">
        <x:v>78</x:v>
      </x:c>
      <x:c r="N157" s="46" t="n">
        <x:v>79</x:v>
      </x:c>
      <x:c r="O157" s="46" t="n">
        <x:v>79</x:v>
      </x:c>
      <x:c r="P157" s="46" t="n">
        <x:v>13</x:v>
      </x:c>
      <x:c r="Q157" s="46" t="n">
        <x:v>5</x:v>
      </x:c>
      <x:c r="R157" s="42" t="n">
        <x:f>0.30*J157+0.20*K157+0.25*L157+0.15*M157+0.10*O157</x:f>
        <x:v>78.85000000000001</x:v>
      </x:c>
      <x:c r="S157" s="42" t="n">
        <x:f>0.30*N157+0.20*L157+0.20*K157+0.15*O157+0.15*(100-P157)</x:f>
        <x:v>80.19999999999999</x:v>
      </x:c>
      <x:c r="T157" s="42" t="n">
        <x:f>(R157+S157)/2</x:f>
        <x:v>79.525</x:v>
      </x:c>
      <x:c r="U157" s="40" t="n">
        <x:f>1+COUNTIFS($T$2:$T$211,"&gt;"&amp;T157)+COUNTIFS($T$2:$T$211,T157,$R$2:$R$211,"&gt;"&amp;R157)</x:f>
        <x:v>140</x:v>
      </x:c>
      <x:c r="V157" s="40" t="str">
        <x:f>IF(U157&lt;=50,"Y","")</x:f>
      </x:c>
    </x:row>
    <x:row r="158">
      <x:c r="A158" s="40" t="str">
        <x:v>2606.06636</x:v>
      </x:c>
      <x:c r="B158" s="40" t="str">
        <x:v>2026-06</x:v>
      </x:c>
      <x:c r="C158" s="40" t="str">
        <x:v>math.AP</x:v>
      </x:c>
      <x:c r="D158" s="40" t="str">
        <x:v>analysis/PDE</x:v>
      </x:c>
      <x:c r="E158" s="40" t="str">
        <x:v>On a rod-Kadomtsev-Petviashvili shallow water equation in two dimensions</x:v>
      </x:c>
      <x:c r="F158" s="40" t="str">
        <x:v>Tiantian Zhao; Kai Yan</x:v>
      </x:c>
      <x:c r="G158" s="46" t="n">
        <x:v>36</x:v>
      </x:c>
      <x:c r="H158" s="40" t="str">
        <x:v>https://arxiv.org/abs/2606.06636</x:v>
      </x:c>
      <x:c r="I158" s="40" t="str">
        <x:v>30%评分池：按题名、作者、主题与页数预筛；默认主要结论正确，未逐篇逐行 correctness check。</x:v>
      </x:c>
      <x:c r="J158" s="46" t="n">
        <x:v>79</x:v>
      </x:c>
      <x:c r="K158" s="46" t="n">
        <x:v>79</x:v>
      </x:c>
      <x:c r="L158" s="46" t="n">
        <x:v>79</x:v>
      </x:c>
      <x:c r="M158" s="46" t="n">
        <x:v>78</x:v>
      </x:c>
      <x:c r="N158" s="46" t="n">
        <x:v>79</x:v>
      </x:c>
      <x:c r="O158" s="46" t="n">
        <x:v>79</x:v>
      </x:c>
      <x:c r="P158" s="46" t="n">
        <x:v>13</x:v>
      </x:c>
      <x:c r="Q158" s="46" t="n">
        <x:v>5</x:v>
      </x:c>
      <x:c r="R158" s="42" t="n">
        <x:f>0.30*J158+0.20*K158+0.25*L158+0.15*M158+0.10*O158</x:f>
        <x:v>78.85000000000001</x:v>
      </x:c>
      <x:c r="S158" s="42" t="n">
        <x:f>0.30*N158+0.20*L158+0.20*K158+0.15*O158+0.15*(100-P158)</x:f>
        <x:v>80.19999999999999</x:v>
      </x:c>
      <x:c r="T158" s="42" t="n">
        <x:f>(R158+S158)/2</x:f>
        <x:v>79.525</x:v>
      </x:c>
      <x:c r="U158" s="40" t="n">
        <x:f>1+COUNTIFS($T$2:$T$211,"&gt;"&amp;T158)+COUNTIFS($T$2:$T$211,T158,$R$2:$R$211,"&gt;"&amp;R158)</x:f>
        <x:v>140</x:v>
      </x:c>
      <x:c r="V158" s="40" t="str">
        <x:f>IF(U158&lt;=50,"Y","")</x:f>
      </x:c>
    </x:row>
    <x:row r="159">
      <x:c r="A159" s="40" t="str">
        <x:v>2606.06911</x:v>
      </x:c>
      <x:c r="B159" s="40" t="str">
        <x:v>2026-06</x:v>
      </x:c>
      <x:c r="C159" s="40" t="str">
        <x:v>math.AP</x:v>
      </x:c>
      <x:c r="D159" s="40" t="str">
        <x:v>geometric analysis</x:v>
      </x:c>
      <x:c r="E159" s="40" t="str">
        <x:v>Area-preserving crystalline curvature flow in two dimensions</x:v>
      </x:c>
      <x:c r="F159" s="40" t="str">
        <x:v>Eric Kim</x:v>
      </x:c>
      <x:c r="G159" s="46" t="n">
        <x:v>42</x:v>
      </x:c>
      <x:c r="H159" s="40" t="str">
        <x:v>https://arxiv.org/abs/2606.06911</x:v>
      </x:c>
      <x:c r="I159" s="40" t="str">
        <x:v>30%评分池：按题名、作者、主题与页数预筛；默认主要结论正确，未逐篇逐行 correctness check。</x:v>
      </x:c>
      <x:c r="J159" s="46" t="n">
        <x:v>79</x:v>
      </x:c>
      <x:c r="K159" s="46" t="n">
        <x:v>79</x:v>
      </x:c>
      <x:c r="L159" s="46" t="n">
        <x:v>79</x:v>
      </x:c>
      <x:c r="M159" s="46" t="n">
        <x:v>78</x:v>
      </x:c>
      <x:c r="N159" s="46" t="n">
        <x:v>79</x:v>
      </x:c>
      <x:c r="O159" s="46" t="n">
        <x:v>79</x:v>
      </x:c>
      <x:c r="P159" s="46" t="n">
        <x:v>13</x:v>
      </x:c>
      <x:c r="Q159" s="46" t="n">
        <x:v>5</x:v>
      </x:c>
      <x:c r="R159" s="42" t="n">
        <x:f>0.30*J159+0.20*K159+0.25*L159+0.15*M159+0.10*O159</x:f>
        <x:v>78.85000000000001</x:v>
      </x:c>
      <x:c r="S159" s="42" t="n">
        <x:f>0.30*N159+0.20*L159+0.20*K159+0.15*O159+0.15*(100-P159)</x:f>
        <x:v>80.19999999999999</x:v>
      </x:c>
      <x:c r="T159" s="42" t="n">
        <x:f>(R159+S159)/2</x:f>
        <x:v>79.525</x:v>
      </x:c>
      <x:c r="U159" s="40" t="n">
        <x:f>1+COUNTIFS($T$2:$T$211,"&gt;"&amp;T159)+COUNTIFS($T$2:$T$211,T159,$R$2:$R$211,"&gt;"&amp;R159)</x:f>
        <x:v>140</x:v>
      </x:c>
      <x:c r="V159" s="40" t="str">
        <x:f>IF(U159&lt;=50,"Y","")</x:f>
      </x:c>
    </x:row>
    <x:row r="160">
      <x:c r="A160" s="40" t="str">
        <x:v>2606.06916</x:v>
      </x:c>
      <x:c r="B160" s="40" t="str">
        <x:v>2026-06</x:v>
      </x:c>
      <x:c r="C160" s="40" t="str">
        <x:v>math.AP</x:v>
      </x:c>
      <x:c r="D160" s="40" t="str">
        <x:v>dispersive PDE</x:v>
      </x:c>
      <x:c r="E160" s="40" t="str">
        <x:v>Non-unique solutions to the periodic gKdV equation</x:v>
      </x:c>
      <x:c r="F160" s="40" t="str">
        <x:v>Nicholas Gismondi; Kunyi (Mark) Ma; Mandon Pathak; Alexandru F. Radu</x:v>
      </x:c>
      <x:c r="G160" s="46" t="n">
        <x:v>48</x:v>
      </x:c>
      <x:c r="H160" s="40" t="str">
        <x:v>https://arxiv.org/abs/2606.06916</x:v>
      </x:c>
      <x:c r="I160" s="40" t="str">
        <x:v>30%评分池：按题名、作者、主题与页数预筛；默认主要结论正确，未逐篇逐行 correctness check。</x:v>
      </x:c>
      <x:c r="J160" s="46" t="n">
        <x:v>79</x:v>
      </x:c>
      <x:c r="K160" s="46" t="n">
        <x:v>79</x:v>
      </x:c>
      <x:c r="L160" s="46" t="n">
        <x:v>79</x:v>
      </x:c>
      <x:c r="M160" s="46" t="n">
        <x:v>78</x:v>
      </x:c>
      <x:c r="N160" s="46" t="n">
        <x:v>79</x:v>
      </x:c>
      <x:c r="O160" s="46" t="n">
        <x:v>79</x:v>
      </x:c>
      <x:c r="P160" s="46" t="n">
        <x:v>13</x:v>
      </x:c>
      <x:c r="Q160" s="46" t="n">
        <x:v>5</x:v>
      </x:c>
      <x:c r="R160" s="42" t="n">
        <x:f>0.30*J160+0.20*K160+0.25*L160+0.15*M160+0.10*O160</x:f>
        <x:v>78.85000000000001</x:v>
      </x:c>
      <x:c r="S160" s="42" t="n">
        <x:f>0.30*N160+0.20*L160+0.20*K160+0.15*O160+0.15*(100-P160)</x:f>
        <x:v>80.19999999999999</x:v>
      </x:c>
      <x:c r="T160" s="42" t="n">
        <x:f>(R160+S160)/2</x:f>
        <x:v>79.525</x:v>
      </x:c>
      <x:c r="U160" s="40" t="n">
        <x:f>1+COUNTIFS($T$2:$T$211,"&gt;"&amp;T160)+COUNTIFS($T$2:$T$211,T160,$R$2:$R$211,"&gt;"&amp;R160)</x:f>
        <x:v>140</x:v>
      </x:c>
      <x:c r="V160" s="40" t="str">
        <x:f>IF(U160&lt;=50,"Y","")</x:f>
      </x:c>
    </x:row>
    <x:row r="161">
      <x:c r="A161" s="40" t="str">
        <x:v>2606.07224</x:v>
      </x:c>
      <x:c r="B161" s="40" t="str">
        <x:v>2026-06</x:v>
      </x:c>
      <x:c r="C161" s="40" t="str">
        <x:v>math.AP</x:v>
      </x:c>
      <x:c r="D161" s="40" t="str">
        <x:v>homogenization/asymptotics</x:v>
      </x:c>
      <x:c r="E161" s="40" t="str">
        <x:v>Mean-Field limit of the non-exchangeable Cucker-Dong model</x:v>
      </x:c>
      <x:c r="F161" s="40" t="str">
        <x:v>Nathalie Ayi; Adrien Cotil; Fanny Delebecque</x:v>
      </x:c>
      <x:c r="G161" s="46"/>
      <x:c r="H161" s="40" t="str">
        <x:v>https://arxiv.org/abs/2606.07224</x:v>
      </x:c>
      <x:c r="I161" s="40" t="str">
        <x:v>30%评分池：按题名、作者、主题与页数预筛；默认主要结论正确，未逐篇逐行 correctness check。</x:v>
      </x:c>
      <x:c r="J161" s="46" t="n">
        <x:v>79</x:v>
      </x:c>
      <x:c r="K161" s="46" t="n">
        <x:v>79</x:v>
      </x:c>
      <x:c r="L161" s="46" t="n">
        <x:v>79</x:v>
      </x:c>
      <x:c r="M161" s="46" t="n">
        <x:v>78</x:v>
      </x:c>
      <x:c r="N161" s="46" t="n">
        <x:v>79</x:v>
      </x:c>
      <x:c r="O161" s="46" t="n">
        <x:v>79</x:v>
      </x:c>
      <x:c r="P161" s="46" t="n">
        <x:v>13</x:v>
      </x:c>
      <x:c r="Q161" s="46" t="n">
        <x:v>5</x:v>
      </x:c>
      <x:c r="R161" s="42" t="n">
        <x:f>0.30*J161+0.20*K161+0.25*L161+0.15*M161+0.10*O161</x:f>
        <x:v>78.85000000000001</x:v>
      </x:c>
      <x:c r="S161" s="42" t="n">
        <x:f>0.30*N161+0.20*L161+0.20*K161+0.15*O161+0.15*(100-P161)</x:f>
        <x:v>80.19999999999999</x:v>
      </x:c>
      <x:c r="T161" s="42" t="n">
        <x:f>(R161+S161)/2</x:f>
        <x:v>79.525</x:v>
      </x:c>
      <x:c r="U161" s="40" t="n">
        <x:f>1+COUNTIFS($T$2:$T$211,"&gt;"&amp;T161)+COUNTIFS($T$2:$T$211,T161,$R$2:$R$211,"&gt;"&amp;R161)</x:f>
        <x:v>140</x:v>
      </x:c>
      <x:c r="V161" s="40" t="str">
        <x:f>IF(U161&lt;=50,"Y","")</x:f>
      </x:c>
    </x:row>
    <x:row r="162">
      <x:c r="A162" s="40" t="str">
        <x:v>2606.08537</x:v>
      </x:c>
      <x:c r="B162" s="40" t="str">
        <x:v>2026-06</x:v>
      </x:c>
      <x:c r="C162" s="40" t="str">
        <x:v>math.AP</x:v>
      </x:c>
      <x:c r="D162" s="40" t="str">
        <x:v>analysis/PDE</x:v>
      </x:c>
      <x:c r="E162" s="40" t="str">
        <x:v>Two-bump axisymmetric solutions of the Nirenberg problem</x:v>
      </x:c>
      <x:c r="F162" s="40" t="str">
        <x:v>Yanyan Li; Luc Nguyen; Bo Wang</x:v>
      </x:c>
      <x:c r="G162" s="46"/>
      <x:c r="H162" s="40" t="str">
        <x:v>https://arxiv.org/abs/2606.08537</x:v>
      </x:c>
      <x:c r="I162" s="40" t="str">
        <x:v>30%评分池：按题名、作者、主题与页数预筛；默认主要结论正确，未逐篇逐行 correctness check。</x:v>
      </x:c>
      <x:c r="J162" s="46" t="n">
        <x:v>79</x:v>
      </x:c>
      <x:c r="K162" s="46" t="n">
        <x:v>79</x:v>
      </x:c>
      <x:c r="L162" s="46" t="n">
        <x:v>79</x:v>
      </x:c>
      <x:c r="M162" s="46" t="n">
        <x:v>78</x:v>
      </x:c>
      <x:c r="N162" s="46" t="n">
        <x:v>79</x:v>
      </x:c>
      <x:c r="O162" s="46" t="n">
        <x:v>79</x:v>
      </x:c>
      <x:c r="P162" s="46" t="n">
        <x:v>13</x:v>
      </x:c>
      <x:c r="Q162" s="46" t="n">
        <x:v>5</x:v>
      </x:c>
      <x:c r="R162" s="42" t="n">
        <x:f>0.30*J162+0.20*K162+0.25*L162+0.15*M162+0.10*O162</x:f>
        <x:v>78.85000000000001</x:v>
      </x:c>
      <x:c r="S162" s="42" t="n">
        <x:f>0.30*N162+0.20*L162+0.20*K162+0.15*O162+0.15*(100-P162)</x:f>
        <x:v>80.19999999999999</x:v>
      </x:c>
      <x:c r="T162" s="42" t="n">
        <x:f>(R162+S162)/2</x:f>
        <x:v>79.525</x:v>
      </x:c>
      <x:c r="U162" s="40" t="n">
        <x:f>1+COUNTIFS($T$2:$T$211,"&gt;"&amp;T162)+COUNTIFS($T$2:$T$211,T162,$R$2:$R$211,"&gt;"&amp;R162)</x:f>
        <x:v>140</x:v>
      </x:c>
      <x:c r="V162" s="40" t="str">
        <x:f>IF(U162&lt;=50,"Y","")</x:f>
      </x:c>
    </x:row>
    <x:row r="163">
      <x:c r="A163" s="40" t="str">
        <x:v>2606.09374</x:v>
      </x:c>
      <x:c r="B163" s="40" t="str">
        <x:v>2026-06</x:v>
      </x:c>
      <x:c r="C163" s="40" t="str">
        <x:v>math.AP</x:v>
      </x:c>
      <x:c r="D163" s="40" t="str">
        <x:v>homogenization/asymptotics</x:v>
      </x:c>
      <x:c r="E163" s="40" t="str">
        <x:v>Asymptotic analysis of Rayleigh-Lamb dispersion relations under various boundary conditions</x:v>
      </x:c>
      <x:c r="F163" s="40" t="str">
        <x:v>Angele Niclas; Titouan Rocabois</x:v>
      </x:c>
      <x:c r="G163" s="46"/>
      <x:c r="H163" s="40" t="str">
        <x:v>https://arxiv.org/abs/2606.09374</x:v>
      </x:c>
      <x:c r="I163" s="40" t="str">
        <x:v>30%评分池：按题名、作者、主题与页数预筛；默认主要结论正确，未逐篇逐行 correctness check。</x:v>
      </x:c>
      <x:c r="J163" s="46" t="n">
        <x:v>79</x:v>
      </x:c>
      <x:c r="K163" s="46" t="n">
        <x:v>79</x:v>
      </x:c>
      <x:c r="L163" s="46" t="n">
        <x:v>79</x:v>
      </x:c>
      <x:c r="M163" s="46" t="n">
        <x:v>78</x:v>
      </x:c>
      <x:c r="N163" s="46" t="n">
        <x:v>79</x:v>
      </x:c>
      <x:c r="O163" s="46" t="n">
        <x:v>79</x:v>
      </x:c>
      <x:c r="P163" s="46" t="n">
        <x:v>13</x:v>
      </x:c>
      <x:c r="Q163" s="46" t="n">
        <x:v>5</x:v>
      </x:c>
      <x:c r="R163" s="42" t="n">
        <x:f>0.30*J163+0.20*K163+0.25*L163+0.15*M163+0.10*O163</x:f>
        <x:v>78.85000000000001</x:v>
      </x:c>
      <x:c r="S163" s="42" t="n">
        <x:f>0.30*N163+0.20*L163+0.20*K163+0.15*O163+0.15*(100-P163)</x:f>
        <x:v>80.19999999999999</x:v>
      </x:c>
      <x:c r="T163" s="42" t="n">
        <x:f>(R163+S163)/2</x:f>
        <x:v>79.525</x:v>
      </x:c>
      <x:c r="U163" s="40" t="n">
        <x:f>1+COUNTIFS($T$2:$T$211,"&gt;"&amp;T163)+COUNTIFS($T$2:$T$211,T163,$R$2:$R$211,"&gt;"&amp;R163)</x:f>
        <x:v>140</x:v>
      </x:c>
      <x:c r="V163" s="40" t="str">
        <x:f>IF(U163&lt;=50,"Y","")</x:f>
      </x:c>
    </x:row>
    <x:row r="164">
      <x:c r="A164" s="40" t="str">
        <x:v>2606.09775</x:v>
      </x:c>
      <x:c r="B164" s="40" t="str">
        <x:v>2026-06</x:v>
      </x:c>
      <x:c r="C164" s="40" t="str">
        <x:v>math.AP</x:v>
      </x:c>
      <x:c r="D164" s="40" t="str">
        <x:v>analysis/PDE</x:v>
      </x:c>
      <x:c r="E164" s="40" t="str">
        <x:v>Linear Stability of the Lamb-Chaplygin Dipole</x:v>
      </x:c>
      <x:c r="F164" s="40" t="str">
        <x:v>Francesco Pio Numero; Paolo Ventura</x:v>
      </x:c>
      <x:c r="G164" s="46" t="n">
        <x:v>16</x:v>
      </x:c>
      <x:c r="H164" s="40" t="str">
        <x:v>https://arxiv.org/abs/2606.09775</x:v>
      </x:c>
      <x:c r="I164" s="40" t="str">
        <x:v>30%评分池：按题名、作者、主题与页数预筛；默认主要结论正确，未逐篇逐行 correctness check。</x:v>
      </x:c>
      <x:c r="J164" s="46" t="n">
        <x:v>79</x:v>
      </x:c>
      <x:c r="K164" s="46" t="n">
        <x:v>79</x:v>
      </x:c>
      <x:c r="L164" s="46" t="n">
        <x:v>79</x:v>
      </x:c>
      <x:c r="M164" s="46" t="n">
        <x:v>78</x:v>
      </x:c>
      <x:c r="N164" s="46" t="n">
        <x:v>79</x:v>
      </x:c>
      <x:c r="O164" s="46" t="n">
        <x:v>79</x:v>
      </x:c>
      <x:c r="P164" s="46" t="n">
        <x:v>13</x:v>
      </x:c>
      <x:c r="Q164" s="46" t="n">
        <x:v>5</x:v>
      </x:c>
      <x:c r="R164" s="42" t="n">
        <x:f>0.30*J164+0.20*K164+0.25*L164+0.15*M164+0.10*O164</x:f>
        <x:v>78.85000000000001</x:v>
      </x:c>
      <x:c r="S164" s="42" t="n">
        <x:f>0.30*N164+0.20*L164+0.20*K164+0.15*O164+0.15*(100-P164)</x:f>
        <x:v>80.19999999999999</x:v>
      </x:c>
      <x:c r="T164" s="42" t="n">
        <x:f>(R164+S164)/2</x:f>
        <x:v>79.525</x:v>
      </x:c>
      <x:c r="U164" s="40" t="n">
        <x:f>1+COUNTIFS($T$2:$T$211,"&gt;"&amp;T164)+COUNTIFS($T$2:$T$211,T164,$R$2:$R$211,"&gt;"&amp;R164)</x:f>
        <x:v>140</x:v>
      </x:c>
      <x:c r="V164" s="40" t="str">
        <x:f>IF(U164&lt;=50,"Y","")</x:f>
      </x:c>
    </x:row>
    <x:row r="165">
      <x:c r="A165" s="40" t="str">
        <x:v>2606.10990</x:v>
      </x:c>
      <x:c r="B165" s="40" t="str">
        <x:v>2026-06</x:v>
      </x:c>
      <x:c r="C165" s="40" t="str">
        <x:v>math.AP</x:v>
      </x:c>
      <x:c r="D165" s="40" t="str">
        <x:v>analysis/PDE</x:v>
      </x:c>
      <x:c r="E165" s="40" t="str">
        <x:v>Isolated Singularities for Fractional Hartree Equations</x:v>
      </x:c>
      <x:c r="F165" s="40" t="str">
        <x:v>Guangze Gu; Aleks Jevnikar; Zhipeng Yang</x:v>
      </x:c>
      <x:c r="G165" s="46" t="n">
        <x:v>33</x:v>
      </x:c>
      <x:c r="H165" s="40" t="str">
        <x:v>https://arxiv.org/abs/2606.10990</x:v>
      </x:c>
      <x:c r="I165" s="40" t="str">
        <x:v>30%评分池：按题名、作者、主题与页数预筛；默认主要结论正确，未逐篇逐行 correctness check。</x:v>
      </x:c>
      <x:c r="J165" s="46" t="n">
        <x:v>79</x:v>
      </x:c>
      <x:c r="K165" s="46" t="n">
        <x:v>79</x:v>
      </x:c>
      <x:c r="L165" s="46" t="n">
        <x:v>79</x:v>
      </x:c>
      <x:c r="M165" s="46" t="n">
        <x:v>78</x:v>
      </x:c>
      <x:c r="N165" s="46" t="n">
        <x:v>79</x:v>
      </x:c>
      <x:c r="O165" s="46" t="n">
        <x:v>79</x:v>
      </x:c>
      <x:c r="P165" s="46" t="n">
        <x:v>13</x:v>
      </x:c>
      <x:c r="Q165" s="46" t="n">
        <x:v>5</x:v>
      </x:c>
      <x:c r="R165" s="42" t="n">
        <x:f>0.30*J165+0.20*K165+0.25*L165+0.15*M165+0.10*O165</x:f>
        <x:v>78.85000000000001</x:v>
      </x:c>
      <x:c r="S165" s="42" t="n">
        <x:f>0.30*N165+0.20*L165+0.20*K165+0.15*O165+0.15*(100-P165)</x:f>
        <x:v>80.19999999999999</x:v>
      </x:c>
      <x:c r="T165" s="42" t="n">
        <x:f>(R165+S165)/2</x:f>
        <x:v>79.525</x:v>
      </x:c>
      <x:c r="U165" s="40" t="n">
        <x:f>1+COUNTIFS($T$2:$T$211,"&gt;"&amp;T165)+COUNTIFS($T$2:$T$211,T165,$R$2:$R$211,"&gt;"&amp;R165)</x:f>
        <x:v>140</x:v>
      </x:c>
      <x:c r="V165" s="40" t="str">
        <x:f>IF(U165&lt;=50,"Y","")</x:f>
      </x:c>
    </x:row>
    <x:row r="166">
      <x:c r="A166" s="40" t="str">
        <x:v>2606.11376</x:v>
      </x:c>
      <x:c r="B166" s="40" t="str">
        <x:v>2026-06</x:v>
      </x:c>
      <x:c r="C166" s="40" t="str">
        <x:v>math.AP</x:v>
      </x:c>
      <x:c r="D166" s="40" t="str">
        <x:v>dispersive PDE</x:v>
      </x:c>
      <x:c r="E166" s="40" t="str">
        <x:v>Global well-posedness of cubic fractional Schrodinger equation with rough data</x:v>
      </x:c>
      <x:c r="F166" s="40" t="str">
        <x:v>Jiajun Wang</x:v>
      </x:c>
      <x:c r="G166" s="46" t="n">
        <x:v>46</x:v>
      </x:c>
      <x:c r="H166" s="40" t="str">
        <x:v>https://arxiv.org/abs/2606.11376</x:v>
      </x:c>
      <x:c r="I166" s="40" t="str">
        <x:v>30%评分池：按题名、作者、主题与页数预筛；默认主要结论正确，未逐篇逐行 correctness check。</x:v>
      </x:c>
      <x:c r="J166" s="46" t="n">
        <x:v>79</x:v>
      </x:c>
      <x:c r="K166" s="46" t="n">
        <x:v>79</x:v>
      </x:c>
      <x:c r="L166" s="46" t="n">
        <x:v>79</x:v>
      </x:c>
      <x:c r="M166" s="46" t="n">
        <x:v>78</x:v>
      </x:c>
      <x:c r="N166" s="46" t="n">
        <x:v>79</x:v>
      </x:c>
      <x:c r="O166" s="46" t="n">
        <x:v>79</x:v>
      </x:c>
      <x:c r="P166" s="46" t="n">
        <x:v>13</x:v>
      </x:c>
      <x:c r="Q166" s="46" t="n">
        <x:v>5</x:v>
      </x:c>
      <x:c r="R166" s="42" t="n">
        <x:f>0.30*J166+0.20*K166+0.25*L166+0.15*M166+0.10*O166</x:f>
        <x:v>78.85000000000001</x:v>
      </x:c>
      <x:c r="S166" s="42" t="n">
        <x:f>0.30*N166+0.20*L166+0.20*K166+0.15*O166+0.15*(100-P166)</x:f>
        <x:v>80.19999999999999</x:v>
      </x:c>
      <x:c r="T166" s="42" t="n">
        <x:f>(R166+S166)/2</x:f>
        <x:v>79.525</x:v>
      </x:c>
      <x:c r="U166" s="40" t="n">
        <x:f>1+COUNTIFS($T$2:$T$211,"&gt;"&amp;T166)+COUNTIFS($T$2:$T$211,T166,$R$2:$R$211,"&gt;"&amp;R166)</x:f>
        <x:v>140</x:v>
      </x:c>
      <x:c r="V166" s="40" t="str">
        <x:f>IF(U166&lt;=50,"Y","")</x:f>
      </x:c>
    </x:row>
    <x:row r="167">
      <x:c r="A167" s="40" t="str">
        <x:v>2606.27690</x:v>
      </x:c>
      <x:c r="B167" s="40" t="str">
        <x:v>2026-06</x:v>
      </x:c>
      <x:c r="C167" s="40" t="str">
        <x:v>math.AP</x:v>
      </x:c>
      <x:c r="D167" s="40" t="str">
        <x:v>fluid/kinetic PDE</x:v>
      </x:c>
      <x:c r="E167" s="40" t="str">
        <x:v>Asymptotic stability for monotone traveling kinks of the dissipative Boussinesq problem</x:v>
      </x:c>
      <x:c r="F167" s="40" t="str">
        <x:v>Atanas G. Stefanov</x:v>
      </x:c>
      <x:c r="G167" s="46"/>
      <x:c r="H167" s="40" t="str">
        <x:v>https://arxiv.org/abs/2606.27690</x:v>
      </x:c>
      <x:c r="I167" s="40" t="str">
        <x:v>30%评分池：按题名、作者、主题与页数预筛；默认主要结论正确，未逐篇逐行 correctness check。</x:v>
      </x:c>
      <x:c r="J167" s="46" t="n">
        <x:v>79</x:v>
      </x:c>
      <x:c r="K167" s="46" t="n">
        <x:v>79</x:v>
      </x:c>
      <x:c r="L167" s="46" t="n">
        <x:v>79</x:v>
      </x:c>
      <x:c r="M167" s="46" t="n">
        <x:v>78</x:v>
      </x:c>
      <x:c r="N167" s="46" t="n">
        <x:v>79</x:v>
      </x:c>
      <x:c r="O167" s="46" t="n">
        <x:v>79</x:v>
      </x:c>
      <x:c r="P167" s="46" t="n">
        <x:v>13</x:v>
      </x:c>
      <x:c r="Q167" s="46" t="n">
        <x:v>5</x:v>
      </x:c>
      <x:c r="R167" s="42" t="n">
        <x:f>0.30*J167+0.20*K167+0.25*L167+0.15*M167+0.10*O167</x:f>
        <x:v>78.85000000000001</x:v>
      </x:c>
      <x:c r="S167" s="42" t="n">
        <x:f>0.30*N167+0.20*L167+0.20*K167+0.15*O167+0.15*(100-P167)</x:f>
        <x:v>80.19999999999999</x:v>
      </x:c>
      <x:c r="T167" s="42" t="n">
        <x:f>(R167+S167)/2</x:f>
        <x:v>79.525</x:v>
      </x:c>
      <x:c r="U167" s="40" t="n">
        <x:f>1+COUNTIFS($T$2:$T$211,"&gt;"&amp;T167)+COUNTIFS($T$2:$T$211,T167,$R$2:$R$211,"&gt;"&amp;R167)</x:f>
        <x:v>140</x:v>
      </x:c>
      <x:c r="V167" s="40" t="str">
        <x:f>IF(U167&lt;=50,"Y","")</x:f>
      </x:c>
    </x:row>
    <x:row r="168">
      <x:c r="A168" s="40" t="str">
        <x:v>2606.12388</x:v>
      </x:c>
      <x:c r="B168" s="40" t="str">
        <x:v>2026-06</x:v>
      </x:c>
      <x:c r="C168" s="40" t="str">
        <x:v>math.AP</x:v>
      </x:c>
      <x:c r="D168" s="40" t="str">
        <x:v>elliptic/parabolic regularity</x:v>
      </x:c>
      <x:c r="E168" s="40" t="str">
        <x:v>Schauder-type Estimates and Log-Critical Well-posedness for Two-Phase Muskat Problem with Surface Tension</x:v>
      </x:c>
      <x:c r="F168" s="40" t="str">
        <x:v>Ke Chen; Ruilin Hu; Quoc-Hung Nguyen</x:v>
      </x:c>
      <x:c r="G168" s="46"/>
      <x:c r="H168" s="40" t="str">
        <x:v>https://arxiv.org/abs/2606.12388</x:v>
      </x:c>
      <x:c r="I168" s="40" t="str">
        <x:v>30%评分池：按题名、作者、主题与页数预筛；默认主要结论正确，未逐篇逐行 correctness check。</x:v>
      </x:c>
      <x:c r="J168" s="46" t="n">
        <x:v>79</x:v>
      </x:c>
      <x:c r="K168" s="46" t="n">
        <x:v>78</x:v>
      </x:c>
      <x:c r="L168" s="46" t="n">
        <x:v>79</x:v>
      </x:c>
      <x:c r="M168" s="46" t="n">
        <x:v>79</x:v>
      </x:c>
      <x:c r="N168" s="46" t="n">
        <x:v>79</x:v>
      </x:c>
      <x:c r="O168" s="46" t="n">
        <x:v>79</x:v>
      </x:c>
      <x:c r="P168" s="46" t="n">
        <x:v>13</x:v>
      </x:c>
      <x:c r="Q168" s="46" t="n">
        <x:v>5</x:v>
      </x:c>
      <x:c r="R168" s="42" t="n">
        <x:f>0.30*J168+0.20*K168+0.25*L168+0.15*M168+0.10*O168</x:f>
        <x:v>78.8</x:v>
      </x:c>
      <x:c r="S168" s="42" t="n">
        <x:f>0.30*N168+0.20*L168+0.20*K168+0.15*O168+0.15*(100-P168)</x:f>
        <x:v>80</x:v>
      </x:c>
      <x:c r="T168" s="42" t="n">
        <x:f>(R168+S168)/2</x:f>
        <x:v>79.4</x:v>
      </x:c>
      <x:c r="U168" s="40" t="n">
        <x:f>1+COUNTIFS($T$2:$T$211,"&gt;"&amp;T168)+COUNTIFS($T$2:$T$211,T168,$R$2:$R$211,"&gt;"&amp;R168)</x:f>
        <x:v>167</x:v>
      </x:c>
      <x:c r="V168" s="40" t="str">
        <x:f>IF(U168&lt;=50,"Y","")</x:f>
      </x:c>
    </x:row>
    <x:row r="169">
      <x:c r="A169" s="40" t="str">
        <x:v>2606.04498</x:v>
      </x:c>
      <x:c r="B169" s="40" t="str">
        <x:v>2026-06</x:v>
      </x:c>
      <x:c r="C169" s="40" t="str">
        <x:v>math.AP</x:v>
      </x:c>
      <x:c r="D169" s="40" t="str">
        <x:v>analysis/PDE</x:v>
      </x:c>
      <x:c r="E169" s="40" t="str">
        <x:v>The Free Lunch Theorem of Homogenisation</x:v>
      </x:c>
      <x:c r="F169" s="40" t="str">
        <x:v>Andreas Buchinger; Marianna Porfido; Marcus Waurick</x:v>
      </x:c>
      <x:c r="G169" s="46" t="n">
        <x:v>20</x:v>
      </x:c>
      <x:c r="H169" s="40" t="str">
        <x:v>https://arxiv.org/abs/2606.04498</x:v>
      </x:c>
      <x:c r="I169" s="40" t="str">
        <x:v>30%评分池：按题名、作者、主题与页数预筛；默认主要结论正确，未逐篇逐行 correctness check。</x:v>
      </x:c>
      <x:c r="J169" s="46" t="n">
        <x:v>79</x:v>
      </x:c>
      <x:c r="K169" s="46" t="n">
        <x:v>78</x:v>
      </x:c>
      <x:c r="L169" s="46" t="n">
        <x:v>79</x:v>
      </x:c>
      <x:c r="M169" s="46" t="n">
        <x:v>78</x:v>
      </x:c>
      <x:c r="N169" s="46" t="n">
        <x:v>79</x:v>
      </x:c>
      <x:c r="O169" s="46" t="n">
        <x:v>79</x:v>
      </x:c>
      <x:c r="P169" s="46" t="n">
        <x:v>13</x:v>
      </x:c>
      <x:c r="Q169" s="46" t="n">
        <x:v>5</x:v>
      </x:c>
      <x:c r="R169" s="42" t="n">
        <x:f>0.30*J169+0.20*K169+0.25*L169+0.15*M169+0.10*O169</x:f>
        <x:v>78.65</x:v>
      </x:c>
      <x:c r="S169" s="42" t="n">
        <x:f>0.30*N169+0.20*L169+0.20*K169+0.15*O169+0.15*(100-P169)</x:f>
        <x:v>80</x:v>
      </x:c>
      <x:c r="T169" s="42" t="n">
        <x:f>(R169+S169)/2</x:f>
        <x:v>79.325</x:v>
      </x:c>
      <x:c r="U169" s="40" t="n">
        <x:f>1+COUNTIFS($T$2:$T$211,"&gt;"&amp;T169)+COUNTIFS($T$2:$T$211,T169,$R$2:$R$211,"&gt;"&amp;R169)</x:f>
        <x:v>168</x:v>
      </x:c>
      <x:c r="V169" s="40" t="str">
        <x:f>IF(U169&lt;=50,"Y","")</x:f>
      </x:c>
    </x:row>
    <x:row r="170">
      <x:c r="A170" s="40" t="str">
        <x:v>2606.04635</x:v>
      </x:c>
      <x:c r="B170" s="40" t="str">
        <x:v>2026-06</x:v>
      </x:c>
      <x:c r="C170" s="40" t="str">
        <x:v>math.AP</x:v>
      </x:c>
      <x:c r="D170" s="40" t="str">
        <x:v>analysis/PDE</x:v>
      </x:c>
      <x:c r="E170" s="40" t="str">
        <x:v>Gaussian decay for the Harmonic oscillator</x:v>
      </x:c>
      <x:c r="F170" s="40" t="str">
        <x:v>Manish Chaurasia</x:v>
      </x:c>
      <x:c r="G170" s="46" t="n">
        <x:v>15</x:v>
      </x:c>
      <x:c r="H170" s="40" t="str">
        <x:v>https://arxiv.org/abs/2606.04635</x:v>
      </x:c>
      <x:c r="I170" s="40" t="str">
        <x:v>30%评分池：按题名、作者、主题与页数预筛；默认主要结论正确，未逐篇逐行 correctness check。</x:v>
      </x:c>
      <x:c r="J170" s="46" t="n">
        <x:v>79</x:v>
      </x:c>
      <x:c r="K170" s="46" t="n">
        <x:v>78</x:v>
      </x:c>
      <x:c r="L170" s="46" t="n">
        <x:v>79</x:v>
      </x:c>
      <x:c r="M170" s="46" t="n">
        <x:v>78</x:v>
      </x:c>
      <x:c r="N170" s="46" t="n">
        <x:v>79</x:v>
      </x:c>
      <x:c r="O170" s="46" t="n">
        <x:v>79</x:v>
      </x:c>
      <x:c r="P170" s="46" t="n">
        <x:v>13</x:v>
      </x:c>
      <x:c r="Q170" s="46" t="n">
        <x:v>5</x:v>
      </x:c>
      <x:c r="R170" s="42" t="n">
        <x:f>0.30*J170+0.20*K170+0.25*L170+0.15*M170+0.10*O170</x:f>
        <x:v>78.65</x:v>
      </x:c>
      <x:c r="S170" s="42" t="n">
        <x:f>0.30*N170+0.20*L170+0.20*K170+0.15*O170+0.15*(100-P170)</x:f>
        <x:v>80</x:v>
      </x:c>
      <x:c r="T170" s="42" t="n">
        <x:f>(R170+S170)/2</x:f>
        <x:v>79.325</x:v>
      </x:c>
      <x:c r="U170" s="40" t="n">
        <x:f>1+COUNTIFS($T$2:$T$211,"&gt;"&amp;T170)+COUNTIFS($T$2:$T$211,T170,$R$2:$R$211,"&gt;"&amp;R170)</x:f>
        <x:v>168</x:v>
      </x:c>
      <x:c r="V170" s="40" t="str">
        <x:f>IF(U170&lt;=50,"Y","")</x:f>
      </x:c>
    </x:row>
    <x:row r="171">
      <x:c r="A171" s="40" t="str">
        <x:v>2606.11124</x:v>
      </x:c>
      <x:c r="B171" s="40" t="str">
        <x:v>2026-06</x:v>
      </x:c>
      <x:c r="C171" s="40" t="str">
        <x:v>math.AP</x:v>
      </x:c>
      <x:c r="D171" s="40" t="str">
        <x:v>analysis/PDE</x:v>
      </x:c>
      <x:c r="E171" s="40" t="str">
        <x:v>Well-posedness and stability for a thermoelectromagnetic system</x:v>
      </x:c>
      <x:c r="F171" s="40" t="str">
        <x:v>Francesca Bucci; Matthias Eller; Nella Rotundo</x:v>
      </x:c>
      <x:c r="G171" s="46" t="n">
        <x:v>20</x:v>
      </x:c>
      <x:c r="H171" s="40" t="str">
        <x:v>https://arxiv.org/abs/2606.11124</x:v>
      </x:c>
      <x:c r="I171" s="40" t="str">
        <x:v>30%评分池：按题名、作者、主题与页数预筛；默认主要结论正确，未逐篇逐行 correctness check。</x:v>
      </x:c>
      <x:c r="J171" s="46" t="n">
        <x:v>79</x:v>
      </x:c>
      <x:c r="K171" s="46" t="n">
        <x:v>78</x:v>
      </x:c>
      <x:c r="L171" s="46" t="n">
        <x:v>79</x:v>
      </x:c>
      <x:c r="M171" s="46" t="n">
        <x:v>78</x:v>
      </x:c>
      <x:c r="N171" s="46" t="n">
        <x:v>79</x:v>
      </x:c>
      <x:c r="O171" s="46" t="n">
        <x:v>79</x:v>
      </x:c>
      <x:c r="P171" s="46" t="n">
        <x:v>13</x:v>
      </x:c>
      <x:c r="Q171" s="46" t="n">
        <x:v>5</x:v>
      </x:c>
      <x:c r="R171" s="42" t="n">
        <x:f>0.30*J171+0.20*K171+0.25*L171+0.15*M171+0.10*O171</x:f>
        <x:v>78.65</x:v>
      </x:c>
      <x:c r="S171" s="42" t="n">
        <x:f>0.30*N171+0.20*L171+0.20*K171+0.15*O171+0.15*(100-P171)</x:f>
        <x:v>80</x:v>
      </x:c>
      <x:c r="T171" s="42" t="n">
        <x:f>(R171+S171)/2</x:f>
        <x:v>79.325</x:v>
      </x:c>
      <x:c r="U171" s="40" t="n">
        <x:f>1+COUNTIFS($T$2:$T$211,"&gt;"&amp;T171)+COUNTIFS($T$2:$T$211,T171,$R$2:$R$211,"&gt;"&amp;R171)</x:f>
        <x:v>168</x:v>
      </x:c>
      <x:c r="V171" s="40" t="str">
        <x:f>IF(U171&lt;=50,"Y","")</x:f>
      </x:c>
    </x:row>
    <x:row r="172">
      <x:c r="A172" s="40" t="str">
        <x:v>2606.15541</x:v>
      </x:c>
      <x:c r="B172" s="40" t="str">
        <x:v>2026-06</x:v>
      </x:c>
      <x:c r="C172" s="40" t="str">
        <x:v>math.AP</x:v>
      </x:c>
      <x:c r="D172" s="40" t="str">
        <x:v>fluid/kinetic PDE</x:v>
      </x:c>
      <x:c r="E172" s="40" t="str">
        <x:v>Strong ill-posedness of 2D Boussinesq equations in supercritical Besov spaces</x:v>
      </x:c>
      <x:c r="F172" s="40" t="str">
        <x:v>Jinlu Li; Yanghai Yu</x:v>
      </x:c>
      <x:c r="G172" s="46"/>
      <x:c r="H172" s="40" t="str">
        <x:v>https://arxiv.org/abs/2606.15541</x:v>
      </x:c>
      <x:c r="I172" s="40" t="str">
        <x:v>30%评分池：按题名、作者、主题与页数预筛；默认主要结论正确，未逐篇逐行 correctness check。</x:v>
      </x:c>
      <x:c r="J172" s="46" t="n">
        <x:v>79</x:v>
      </x:c>
      <x:c r="K172" s="46" t="n">
        <x:v>78</x:v>
      </x:c>
      <x:c r="L172" s="46" t="n">
        <x:v>79</x:v>
      </x:c>
      <x:c r="M172" s="46" t="n">
        <x:v>78</x:v>
      </x:c>
      <x:c r="N172" s="46" t="n">
        <x:v>79</x:v>
      </x:c>
      <x:c r="O172" s="46" t="n">
        <x:v>79</x:v>
      </x:c>
      <x:c r="P172" s="46" t="n">
        <x:v>13</x:v>
      </x:c>
      <x:c r="Q172" s="46" t="n">
        <x:v>5</x:v>
      </x:c>
      <x:c r="R172" s="42" t="n">
        <x:f>0.30*J172+0.20*K172+0.25*L172+0.15*M172+0.10*O172</x:f>
        <x:v>78.65</x:v>
      </x:c>
      <x:c r="S172" s="42" t="n">
        <x:f>0.30*N172+0.20*L172+0.20*K172+0.15*O172+0.15*(100-P172)</x:f>
        <x:v>80</x:v>
      </x:c>
      <x:c r="T172" s="42" t="n">
        <x:f>(R172+S172)/2</x:f>
        <x:v>79.325</x:v>
      </x:c>
      <x:c r="U172" s="40" t="n">
        <x:f>1+COUNTIFS($T$2:$T$211,"&gt;"&amp;T172)+COUNTIFS($T$2:$T$211,T172,$R$2:$R$211,"&gt;"&amp;R172)</x:f>
        <x:v>168</x:v>
      </x:c>
      <x:c r="V172" s="40" t="str">
        <x:f>IF(U172&lt;=50,"Y","")</x:f>
      </x:c>
    </x:row>
    <x:row r="173">
      <x:c r="A173" s="40" t="str">
        <x:v>2606.27185</x:v>
      </x:c>
      <x:c r="B173" s="40" t="str">
        <x:v>2026-06</x:v>
      </x:c>
      <x:c r="C173" s="40" t="str">
        <x:v>math.AP</x:v>
      </x:c>
      <x:c r="D173" s="40" t="str">
        <x:v>dispersive PDE</x:v>
      </x:c>
      <x:c r="E173" s="40" t="str">
        <x:v>Instability of periodic waves in generalized Korteweg-de Vries-Burgers equation with monostable source</x:v>
      </x:c>
      <x:c r="F173" s="40" t="str">
        <x:v>Aarushi Kansal; Ashish Kumar Pandey</x:v>
      </x:c>
      <x:c r="G173" s="46" t="n">
        <x:v>38</x:v>
      </x:c>
      <x:c r="H173" s="40" t="str">
        <x:v>https://arxiv.org/abs/2606.27185</x:v>
      </x:c>
      <x:c r="I173" s="40" t="str">
        <x:v>30%评分池：按题名、作者、主题与页数预筛；默认主要结论正确，未逐篇逐行 correctness check。</x:v>
      </x:c>
      <x:c r="J173" s="46" t="n">
        <x:v>79</x:v>
      </x:c>
      <x:c r="K173" s="46" t="n">
        <x:v>78</x:v>
      </x:c>
      <x:c r="L173" s="46" t="n">
        <x:v>79</x:v>
      </x:c>
      <x:c r="M173" s="46" t="n">
        <x:v>78</x:v>
      </x:c>
      <x:c r="N173" s="46" t="n">
        <x:v>79</x:v>
      </x:c>
      <x:c r="O173" s="46" t="n">
        <x:v>79</x:v>
      </x:c>
      <x:c r="P173" s="46" t="n">
        <x:v>13</x:v>
      </x:c>
      <x:c r="Q173" s="46" t="n">
        <x:v>5</x:v>
      </x:c>
      <x:c r="R173" s="42" t="n">
        <x:f>0.30*J173+0.20*K173+0.25*L173+0.15*M173+0.10*O173</x:f>
        <x:v>78.65</x:v>
      </x:c>
      <x:c r="S173" s="42" t="n">
        <x:f>0.30*N173+0.20*L173+0.20*K173+0.15*O173+0.15*(100-P173)</x:f>
        <x:v>80</x:v>
      </x:c>
      <x:c r="T173" s="42" t="n">
        <x:f>(R173+S173)/2</x:f>
        <x:v>79.325</x:v>
      </x:c>
      <x:c r="U173" s="40" t="n">
        <x:f>1+COUNTIFS($T$2:$T$211,"&gt;"&amp;T173)+COUNTIFS($T$2:$T$211,T173,$R$2:$R$211,"&gt;"&amp;R173)</x:f>
        <x:v>168</x:v>
      </x:c>
      <x:c r="V173" s="40" t="str">
        <x:f>IF(U173&lt;=50,"Y","")</x:f>
      </x:c>
    </x:row>
    <x:row r="174">
      <x:c r="A174" s="40" t="str">
        <x:v>2606.07021</x:v>
      </x:c>
      <x:c r="B174" s="40" t="str">
        <x:v>2026-06</x:v>
      </x:c>
      <x:c r="C174" s="40" t="str">
        <x:v>math.AP</x:v>
      </x:c>
      <x:c r="D174" s="40" t="str">
        <x:v>dispersive PDE</x:v>
      </x:c>
      <x:c r="E174" s="40" t="str">
        <x:v>Rogue waves for semilinear wave equations</x:v>
      </x:c>
      <x:c r="F174" s="40" t="str">
        <x:v>Julia Henninger</x:v>
      </x:c>
      <x:c r="G174" s="46"/>
      <x:c r="H174" s="40" t="str">
        <x:v>https://arxiv.org/abs/2606.07021</x:v>
      </x:c>
      <x:c r="I174" s="40" t="str">
        <x:v>30%评分池：按题名、作者、主题与页数预筛；默认主要结论正确，未逐篇逐行 correctness check。</x:v>
      </x:c>
      <x:c r="J174" s="46" t="n">
        <x:v>78</x:v>
      </x:c>
      <x:c r="K174" s="46" t="n">
        <x:v>78</x:v>
      </x:c>
      <x:c r="L174" s="46" t="n">
        <x:v>79</x:v>
      </x:c>
      <x:c r="M174" s="46" t="n">
        <x:v>77</x:v>
      </x:c>
      <x:c r="N174" s="46" t="n">
        <x:v>78</x:v>
      </x:c>
      <x:c r="O174" s="46" t="n">
        <x:v>78</x:v>
      </x:c>
      <x:c r="P174" s="46" t="n">
        <x:v>13</x:v>
      </x:c>
      <x:c r="Q174" s="46" t="n">
        <x:v>5</x:v>
      </x:c>
      <x:c r="R174" s="42" t="n">
        <x:f>0.30*J174+0.20*K174+0.25*L174+0.15*M174+0.10*O174</x:f>
        <x:v>78.1</x:v>
      </x:c>
      <x:c r="S174" s="42" t="n">
        <x:f>0.30*N174+0.20*L174+0.20*K174+0.15*O174+0.15*(100-P174)</x:f>
        <x:v>79.55</x:v>
      </x:c>
      <x:c r="T174" s="42" t="n">
        <x:f>(R174+S174)/2</x:f>
        <x:v>78.82499999999999</x:v>
      </x:c>
      <x:c r="U174" s="40" t="n">
        <x:f>1+COUNTIFS($T$2:$T$211,"&gt;"&amp;T174)+COUNTIFS($T$2:$T$211,T174,$R$2:$R$211,"&gt;"&amp;R174)</x:f>
        <x:v>173</x:v>
      </x:c>
      <x:c r="V174" s="40" t="str">
        <x:f>IF(U174&lt;=50,"Y","")</x:f>
      </x:c>
    </x:row>
    <x:row r="175">
      <x:c r="A175" s="40" t="str">
        <x:v>2606.07295</x:v>
      </x:c>
      <x:c r="B175" s="40" t="str">
        <x:v>2026-06</x:v>
      </x:c>
      <x:c r="C175" s="40" t="str">
        <x:v>math.AP</x:v>
      </x:c>
      <x:c r="D175" s="40" t="str">
        <x:v>inequalities/function spaces</x:v>
      </x:c>
      <x:c r="E175" s="40" t="str">
        <x:v>Kohler-Jobin inequality for p-Laplace operator</x:v>
      </x:c>
      <x:c r="F175" s="40" t="str">
        <x:v>Francesco Chiacchio; Vincenzo Ferone; Anna Mercaldo; Jing Wang</x:v>
      </x:c>
      <x:c r="G175" s="46"/>
      <x:c r="H175" s="40" t="str">
        <x:v>https://arxiv.org/abs/2606.07295</x:v>
      </x:c>
      <x:c r="I175" s="40" t="str">
        <x:v>30%评分池：按题名、作者、主题与页数预筛；默认主要结论正确，未逐篇逐行 correctness check。</x:v>
      </x:c>
      <x:c r="J175" s="46" t="n">
        <x:v>78</x:v>
      </x:c>
      <x:c r="K175" s="46" t="n">
        <x:v>78</x:v>
      </x:c>
      <x:c r="L175" s="46" t="n">
        <x:v>78</x:v>
      </x:c>
      <x:c r="M175" s="46" t="n">
        <x:v>78</x:v>
      </x:c>
      <x:c r="N175" s="46" t="n">
        <x:v>78</x:v>
      </x:c>
      <x:c r="O175" s="46" t="n">
        <x:v>79</x:v>
      </x:c>
      <x:c r="P175" s="46" t="n">
        <x:v>13</x:v>
      </x:c>
      <x:c r="Q175" s="46" t="n">
        <x:v>5</x:v>
      </x:c>
      <x:c r="R175" s="42" t="n">
        <x:f>0.30*J175+0.20*K175+0.25*L175+0.15*M175+0.10*O175</x:f>
        <x:v>78.10000000000001</x:v>
      </x:c>
      <x:c r="S175" s="42" t="n">
        <x:f>0.30*N175+0.20*L175+0.20*K175+0.15*O175+0.15*(100-P175)</x:f>
        <x:v>79.5</x:v>
      </x:c>
      <x:c r="T175" s="42" t="n">
        <x:f>(R175+S175)/2</x:f>
        <x:v>78.80000000000001</x:v>
      </x:c>
      <x:c r="U175" s="40" t="n">
        <x:f>1+COUNTIFS($T$2:$T$211,"&gt;"&amp;T175)+COUNTIFS($T$2:$T$211,T175,$R$2:$R$211,"&gt;"&amp;R175)</x:f>
        <x:v>179</x:v>
      </x:c>
      <x:c r="V175" s="40" t="str">
        <x:f>IF(U175&lt;=50,"Y","")</x:f>
      </x:c>
    </x:row>
    <x:row r="176">
      <x:c r="A176" s="40" t="str">
        <x:v>2606.05140</x:v>
      </x:c>
      <x:c r="B176" s="40" t="str">
        <x:v>2026-06</x:v>
      </x:c>
      <x:c r="C176" s="40" t="str">
        <x:v>math.AP</x:v>
      </x:c>
      <x:c r="D176" s="40" t="str">
        <x:v>analysis/PDE</x:v>
      </x:c>
      <x:c r="E176" s="40" t="str">
        <x:v>Phase transitions for the noisy transformer model in arbitrary dimension</x:v>
      </x:c>
      <x:c r="F176" s="40" t="str">
        <x:v>Kyunghoo Mun; Matthew Rosenzweig</x:v>
      </x:c>
      <x:c r="G176" s="46" t="n">
        <x:v>18</x:v>
      </x:c>
      <x:c r="H176" s="40" t="str">
        <x:v>https://arxiv.org/abs/2606.05140</x:v>
      </x:c>
      <x:c r="I176" s="40" t="str">
        <x:v>30%评分池：按题名、作者、主题与页数预筛；默认主要结论正确，未逐篇逐行 correctness check。</x:v>
      </x:c>
      <x:c r="J176" s="46" t="n">
        <x:v>78</x:v>
      </x:c>
      <x:c r="K176" s="46" t="n">
        <x:v>78</x:v>
      </x:c>
      <x:c r="L176" s="46" t="n">
        <x:v>78</x:v>
      </x:c>
      <x:c r="M176" s="46" t="n">
        <x:v>78</x:v>
      </x:c>
      <x:c r="N176" s="46" t="n">
        <x:v>79</x:v>
      </x:c>
      <x:c r="O176" s="46" t="n">
        <x:v>78</x:v>
      </x:c>
      <x:c r="P176" s="46" t="n">
        <x:v>13</x:v>
      </x:c>
      <x:c r="Q176" s="46" t="n">
        <x:v>5</x:v>
      </x:c>
      <x:c r="R176" s="42" t="n">
        <x:f>0.30*J176+0.20*K176+0.25*L176+0.15*M176+0.10*O176</x:f>
        <x:v>78</x:v>
      </x:c>
      <x:c r="S176" s="42" t="n">
        <x:f>0.30*N176+0.20*L176+0.20*K176+0.15*O176+0.15*(100-P176)</x:f>
        <x:v>79.64999999999999</x:v>
      </x:c>
      <x:c r="T176" s="42" t="n">
        <x:f>(R176+S176)/2</x:f>
        <x:v>78.82499999999999</x:v>
      </x:c>
      <x:c r="U176" s="40" t="n">
        <x:f>1+COUNTIFS($T$2:$T$211,"&gt;"&amp;T176)+COUNTIFS($T$2:$T$211,T176,$R$2:$R$211,"&gt;"&amp;R176)</x:f>
        <x:v>174</x:v>
      </x:c>
      <x:c r="V176" s="40" t="str">
        <x:f>IF(U176&lt;=50,"Y","")</x:f>
      </x:c>
    </x:row>
    <x:row r="177">
      <x:c r="A177" s="40" t="str">
        <x:v>2606.05398</x:v>
      </x:c>
      <x:c r="B177" s="40" t="str">
        <x:v>2026-06</x:v>
      </x:c>
      <x:c r="C177" s="40" t="str">
        <x:v>math.AP</x:v>
      </x:c>
      <x:c r="D177" s="40" t="str">
        <x:v>analysis/PDE</x:v>
      </x:c>
      <x:c r="E177" s="40" t="str">
        <x:v>Thin Domains, Reduction, and Slow Manifolds</x:v>
      </x:c>
      <x:c r="F177" s="40" t="str">
        <x:v>Christian Kuehn; Jan-Eric Sulzbach</x:v>
      </x:c>
      <x:c r="G177" s="46"/>
      <x:c r="H177" s="40" t="str">
        <x:v>https://arxiv.org/abs/2606.05398</x:v>
      </x:c>
      <x:c r="I177" s="40" t="str">
        <x:v>30%评分池：按题名、作者、主题与页数预筛；默认主要结论正确，未逐篇逐行 correctness check。</x:v>
      </x:c>
      <x:c r="J177" s="46" t="n">
        <x:v>78</x:v>
      </x:c>
      <x:c r="K177" s="46" t="n">
        <x:v>78</x:v>
      </x:c>
      <x:c r="L177" s="46" t="n">
        <x:v>78</x:v>
      </x:c>
      <x:c r="M177" s="46" t="n">
        <x:v>78</x:v>
      </x:c>
      <x:c r="N177" s="46" t="n">
        <x:v>79</x:v>
      </x:c>
      <x:c r="O177" s="46" t="n">
        <x:v>78</x:v>
      </x:c>
      <x:c r="P177" s="46" t="n">
        <x:v>13</x:v>
      </x:c>
      <x:c r="Q177" s="46" t="n">
        <x:v>5</x:v>
      </x:c>
      <x:c r="R177" s="42" t="n">
        <x:f>0.30*J177+0.20*K177+0.25*L177+0.15*M177+0.10*O177</x:f>
        <x:v>78</x:v>
      </x:c>
      <x:c r="S177" s="42" t="n">
        <x:f>0.30*N177+0.20*L177+0.20*K177+0.15*O177+0.15*(100-P177)</x:f>
        <x:v>79.64999999999999</x:v>
      </x:c>
      <x:c r="T177" s="42" t="n">
        <x:f>(R177+S177)/2</x:f>
        <x:v>78.82499999999999</x:v>
      </x:c>
      <x:c r="U177" s="40" t="n">
        <x:f>1+COUNTIFS($T$2:$T$211,"&gt;"&amp;T177)+COUNTIFS($T$2:$T$211,T177,$R$2:$R$211,"&gt;"&amp;R177)</x:f>
        <x:v>174</x:v>
      </x:c>
      <x:c r="V177" s="40" t="str">
        <x:f>IF(U177&lt;=50,"Y","")</x:f>
      </x:c>
    </x:row>
    <x:row r="178">
      <x:c r="A178" s="40" t="str">
        <x:v>2606.05592</x:v>
      </x:c>
      <x:c r="B178" s="40" t="str">
        <x:v>2026-06</x:v>
      </x:c>
      <x:c r="C178" s="40" t="str">
        <x:v>math.AP</x:v>
      </x:c>
      <x:c r="D178" s="40" t="str">
        <x:v>analysis/PDE</x:v>
      </x:c>
      <x:c r="E178" s="40" t="str">
        <x:v>Solutions to critical equations with a superposition of nonlocal Hartree-type nonlinearities</x:v>
      </x:c>
      <x:c r="F178" s="40" t="str">
        <x:v>Artur Jorge Marinho; Kanishka Perera</x:v>
      </x:c>
      <x:c r="G178" s="46"/>
      <x:c r="H178" s="40" t="str">
        <x:v>https://arxiv.org/abs/2606.05592</x:v>
      </x:c>
      <x:c r="I178" s="40" t="str">
        <x:v>30%评分池：按题名、作者、主题与页数预筛；默认主要结论正确，未逐篇逐行 correctness check。</x:v>
      </x:c>
      <x:c r="J178" s="46" t="n">
        <x:v>78</x:v>
      </x:c>
      <x:c r="K178" s="46" t="n">
        <x:v>78</x:v>
      </x:c>
      <x:c r="L178" s="46" t="n">
        <x:v>78</x:v>
      </x:c>
      <x:c r="M178" s="46" t="n">
        <x:v>78</x:v>
      </x:c>
      <x:c r="N178" s="46" t="n">
        <x:v>79</x:v>
      </x:c>
      <x:c r="O178" s="46" t="n">
        <x:v>78</x:v>
      </x:c>
      <x:c r="P178" s="46" t="n">
        <x:v>13</x:v>
      </x:c>
      <x:c r="Q178" s="46" t="n">
        <x:v>5</x:v>
      </x:c>
      <x:c r="R178" s="42" t="n">
        <x:f>0.30*J178+0.20*K178+0.25*L178+0.15*M178+0.10*O178</x:f>
        <x:v>78</x:v>
      </x:c>
      <x:c r="S178" s="42" t="n">
        <x:f>0.30*N178+0.20*L178+0.20*K178+0.15*O178+0.15*(100-P178)</x:f>
        <x:v>79.64999999999999</x:v>
      </x:c>
      <x:c r="T178" s="42" t="n">
        <x:f>(R178+S178)/2</x:f>
        <x:v>78.82499999999999</x:v>
      </x:c>
      <x:c r="U178" s="40" t="n">
        <x:f>1+COUNTIFS($T$2:$T$211,"&gt;"&amp;T178)+COUNTIFS($T$2:$T$211,T178,$R$2:$R$211,"&gt;"&amp;R178)</x:f>
        <x:v>174</x:v>
      </x:c>
      <x:c r="V178" s="40" t="str">
        <x:f>IF(U178&lt;=50,"Y","")</x:f>
      </x:c>
    </x:row>
    <x:row r="179">
      <x:c r="A179" s="40" t="str">
        <x:v>2606.05764</x:v>
      </x:c>
      <x:c r="B179" s="40" t="str">
        <x:v>2026-06</x:v>
      </x:c>
      <x:c r="C179" s="40" t="str">
        <x:v>math.AP</x:v>
      </x:c>
      <x:c r="D179" s="40" t="str">
        <x:v>fluid/kinetic PDE</x:v>
      </x:c>
      <x:c r="E179" s="40" t="str">
        <x:v>Global Existence for 3D Anisotropic MHD system with Horizontal Dissipation and Small Horizontal Variations</x:v>
      </x:c>
      <x:c r="F179" s="40" t="str">
        <x:v>Qiliang Lin; Chenyin Qian; Daoyao Zhou</x:v>
      </x:c>
      <x:c r="G179" s="46"/>
      <x:c r="H179" s="40" t="str">
        <x:v>https://arxiv.org/abs/2606.05764</x:v>
      </x:c>
      <x:c r="I179" s="40" t="str">
        <x:v>30%评分池：按题名、作者、主题与页数预筛；默认主要结论正确，未逐篇逐行 correctness check。</x:v>
      </x:c>
      <x:c r="J179" s="46" t="n">
        <x:v>78</x:v>
      </x:c>
      <x:c r="K179" s="46" t="n">
        <x:v>78</x:v>
      </x:c>
      <x:c r="L179" s="46" t="n">
        <x:v>78</x:v>
      </x:c>
      <x:c r="M179" s="46" t="n">
        <x:v>78</x:v>
      </x:c>
      <x:c r="N179" s="46" t="n">
        <x:v>79</x:v>
      </x:c>
      <x:c r="O179" s="46" t="n">
        <x:v>78</x:v>
      </x:c>
      <x:c r="P179" s="46" t="n">
        <x:v>13</x:v>
      </x:c>
      <x:c r="Q179" s="46" t="n">
        <x:v>5</x:v>
      </x:c>
      <x:c r="R179" s="42" t="n">
        <x:f>0.30*J179+0.20*K179+0.25*L179+0.15*M179+0.10*O179</x:f>
        <x:v>78</x:v>
      </x:c>
      <x:c r="S179" s="42" t="n">
        <x:f>0.30*N179+0.20*L179+0.20*K179+0.15*O179+0.15*(100-P179)</x:f>
        <x:v>79.64999999999999</x:v>
      </x:c>
      <x:c r="T179" s="42" t="n">
        <x:f>(R179+S179)/2</x:f>
        <x:v>78.82499999999999</x:v>
      </x:c>
      <x:c r="U179" s="40" t="n">
        <x:f>1+COUNTIFS($T$2:$T$211,"&gt;"&amp;T179)+COUNTIFS($T$2:$T$211,T179,$R$2:$R$211,"&gt;"&amp;R179)</x:f>
        <x:v>174</x:v>
      </x:c>
      <x:c r="V179" s="40" t="str">
        <x:f>IF(U179&lt;=50,"Y","")</x:f>
      </x:c>
    </x:row>
    <x:row r="180">
      <x:c r="A180" s="40" t="str">
        <x:v>2606.05879</x:v>
      </x:c>
      <x:c r="B180" s="40" t="str">
        <x:v>2026-06</x:v>
      </x:c>
      <x:c r="C180" s="40" t="str">
        <x:v>math.AP</x:v>
      </x:c>
      <x:c r="D180" s="40" t="str">
        <x:v>analysis/PDE</x:v>
      </x:c>
      <x:c r="E180" s="40" t="str">
        <x:v>Convergence of a discrete-in-time Approximation to a Degenerate Parabolic-Hyperbolic System</x:v>
      </x:c>
      <x:c r="F180" s="40" t="str">
        <x:v>Julia Hauser; Hideki Murakawa; Markus Schmidtchen</x:v>
      </x:c>
      <x:c r="G180" s="46"/>
      <x:c r="H180" s="40" t="str">
        <x:v>https://arxiv.org/abs/2606.05879</x:v>
      </x:c>
      <x:c r="I180" s="40" t="str">
        <x:v>30%评分池：按题名、作者、主题与页数预筛；默认主要结论正确，未逐篇逐行 correctness check。</x:v>
      </x:c>
      <x:c r="J180" s="46" t="n">
        <x:v>78</x:v>
      </x:c>
      <x:c r="K180" s="46" t="n">
        <x:v>78</x:v>
      </x:c>
      <x:c r="L180" s="46" t="n">
        <x:v>78</x:v>
      </x:c>
      <x:c r="M180" s="46" t="n">
        <x:v>78</x:v>
      </x:c>
      <x:c r="N180" s="46" t="n">
        <x:v>79</x:v>
      </x:c>
      <x:c r="O180" s="46" t="n">
        <x:v>78</x:v>
      </x:c>
      <x:c r="P180" s="46" t="n">
        <x:v>14</x:v>
      </x:c>
      <x:c r="Q180" s="46" t="n">
        <x:v>5</x:v>
      </x:c>
      <x:c r="R180" s="42" t="n">
        <x:f>0.30*J180+0.20*K180+0.25*L180+0.15*M180+0.10*O180</x:f>
        <x:v>78</x:v>
      </x:c>
      <x:c r="S180" s="42" t="n">
        <x:f>0.30*N180+0.20*L180+0.20*K180+0.15*O180+0.15*(100-P180)</x:f>
        <x:v>79.5</x:v>
      </x:c>
      <x:c r="T180" s="42" t="n">
        <x:f>(R180+S180)/2</x:f>
        <x:v>78.75</x:v>
      </x:c>
      <x:c r="U180" s="40" t="n">
        <x:f>1+COUNTIFS($T$2:$T$211,"&gt;"&amp;T180)+COUNTIFS($T$2:$T$211,T180,$R$2:$R$211,"&gt;"&amp;R180)</x:f>
        <x:v>180</x:v>
      </x:c>
      <x:c r="V180" s="40" t="str">
        <x:f>IF(U180&lt;=50,"Y","")</x:f>
      </x:c>
    </x:row>
    <x:row r="181">
      <x:c r="A181" s="40" t="str">
        <x:v>2606.10556</x:v>
      </x:c>
      <x:c r="B181" s="40" t="str">
        <x:v>2026-06</x:v>
      </x:c>
      <x:c r="C181" s="40" t="str">
        <x:v>math.AP</x:v>
      </x:c>
      <x:c r="D181" s="40" t="str">
        <x:v>analysis/PDE</x:v>
      </x:c>
      <x:c r="E181" s="40" t="str">
        <x:v>Structured deformations for energies with general surface terms</x:v>
      </x:c>
      <x:c r="F181" s="40" t="str">
        <x:v>Davide Donati; Manuel Friedrich</x:v>
      </x:c>
      <x:c r="G181" s="46" t="n">
        <x:v>58</x:v>
      </x:c>
      <x:c r="H181" s="40" t="str">
        <x:v>https://arxiv.org/abs/2606.10556</x:v>
      </x:c>
      <x:c r="I181" s="40" t="str">
        <x:v>30%评分池：按题名、作者、主题与页数预筛；默认主要结论正确，未逐篇逐行 correctness check。</x:v>
      </x:c>
      <x:c r="J181" s="46" t="n">
        <x:v>78</x:v>
      </x:c>
      <x:c r="K181" s="46" t="n">
        <x:v>78</x:v>
      </x:c>
      <x:c r="L181" s="46" t="n">
        <x:v>78</x:v>
      </x:c>
      <x:c r="M181" s="46" t="n">
        <x:v>78</x:v>
      </x:c>
      <x:c r="N181" s="46" t="n">
        <x:v>79</x:v>
      </x:c>
      <x:c r="O181" s="46" t="n">
        <x:v>78</x:v>
      </x:c>
      <x:c r="P181" s="46" t="n">
        <x:v>13</x:v>
      </x:c>
      <x:c r="Q181" s="46" t="n">
        <x:v>5</x:v>
      </x:c>
      <x:c r="R181" s="42" t="n">
        <x:f>0.30*J181+0.20*K181+0.25*L181+0.15*M181+0.10*O181</x:f>
        <x:v>78</x:v>
      </x:c>
      <x:c r="S181" s="42" t="n">
        <x:f>0.30*N181+0.20*L181+0.20*K181+0.15*O181+0.15*(100-P181)</x:f>
        <x:v>79.64999999999999</x:v>
      </x:c>
      <x:c r="T181" s="42" t="n">
        <x:f>(R181+S181)/2</x:f>
        <x:v>78.82499999999999</x:v>
      </x:c>
      <x:c r="U181" s="40" t="n">
        <x:f>1+COUNTIFS($T$2:$T$211,"&gt;"&amp;T181)+COUNTIFS($T$2:$T$211,T181,$R$2:$R$211,"&gt;"&amp;R181)</x:f>
        <x:v>174</x:v>
      </x:c>
      <x:c r="V181" s="40" t="str">
        <x:f>IF(U181&lt;=50,"Y","")</x:f>
      </x:c>
    </x:row>
    <x:row r="182">
      <x:c r="A182" s="40" t="str">
        <x:v>2606.30279</x:v>
      </x:c>
      <x:c r="B182" s="40" t="str">
        <x:v>2026-06</x:v>
      </x:c>
      <x:c r="C182" s="40" t="str">
        <x:v>math.AP</x:v>
      </x:c>
      <x:c r="D182" s="40" t="str">
        <x:v>analysis/PDE</x:v>
      </x:c>
      <x:c r="E182" s="40" t="str">
        <x:v>Blow-up for weakly superlinear heat equations and blow-up controllability of the linear heat equation</x:v>
      </x:c>
      <x:c r="F182" s="40" t="str">
        <x:v>Kevin Le Balc'h; Philippe Souplet</x:v>
      </x:c>
      <x:c r="G182" s="46"/>
      <x:c r="H182" s="40" t="str">
        <x:v>https://arxiv.org/abs/2606.30279</x:v>
      </x:c>
      <x:c r="I182" s="40" t="str">
        <x:v>30%评分池：按题名、作者、主题与页数预筛；默认主要结论正确，未逐篇逐行 correctness check。</x:v>
      </x:c>
      <x:c r="J182" s="46" t="n">
        <x:v>78</x:v>
      </x:c>
      <x:c r="K182" s="46" t="n">
        <x:v>78</x:v>
      </x:c>
      <x:c r="L182" s="46" t="n">
        <x:v>78</x:v>
      </x:c>
      <x:c r="M182" s="46" t="n">
        <x:v>77</x:v>
      </x:c>
      <x:c r="N182" s="46" t="n">
        <x:v>79</x:v>
      </x:c>
      <x:c r="O182" s="46" t="n">
        <x:v>78</x:v>
      </x:c>
      <x:c r="P182" s="46" t="n">
        <x:v>13</x:v>
      </x:c>
      <x:c r="Q182" s="46" t="n">
        <x:v>5</x:v>
      </x:c>
      <x:c r="R182" s="42" t="n">
        <x:f>0.30*J182+0.20*K182+0.25*L182+0.15*M182+0.10*O182</x:f>
        <x:v>77.85</x:v>
      </x:c>
      <x:c r="S182" s="42" t="n">
        <x:f>0.30*N182+0.20*L182+0.20*K182+0.15*O182+0.15*(100-P182)</x:f>
        <x:v>79.64999999999999</x:v>
      </x:c>
      <x:c r="T182" s="42" t="n">
        <x:f>(R182+S182)/2</x:f>
        <x:v>78.75</x:v>
      </x:c>
      <x:c r="U182" s="40" t="n">
        <x:f>1+COUNTIFS($T$2:$T$211,"&gt;"&amp;T182)+COUNTIFS($T$2:$T$211,T182,$R$2:$R$211,"&gt;"&amp;R182)</x:f>
        <x:v>181</x:v>
      </x:c>
      <x:c r="V182" s="40" t="str">
        <x:f>IF(U182&lt;=50,"Y","")</x:f>
      </x:c>
    </x:row>
    <x:row r="183">
      <x:c r="A183" s="40" t="str">
        <x:v>2606.06172</x:v>
      </x:c>
      <x:c r="B183" s="40" t="str">
        <x:v>2026-06</x:v>
      </x:c>
      <x:c r="C183" s="40" t="str">
        <x:v>math.AP</x:v>
      </x:c>
      <x:c r="D183" s="40" t="str">
        <x:v>analysis/PDE</x:v>
      </x:c>
      <x:c r="E183" s="40" t="str">
        <x:v>Small deformations of a near cylindrical tube for the Canham-Helfrich Energy with applications to biological membranes</x:v>
      </x:c>
      <x:c r="F183" s="40" t="str">
        <x:v>Charles M. Elliott; Carsten Graser; Philip J. Herbert</x:v>
      </x:c>
      <x:c r="G183" s="46"/>
      <x:c r="H183" s="40" t="str">
        <x:v>https://arxiv.org/abs/2606.06172</x:v>
      </x:c>
      <x:c r="I183" s="40" t="str">
        <x:v>30%评分池：按题名、作者、主题与页数预筛；默认主要结论正确，未逐篇逐行 correctness check。</x:v>
      </x:c>
      <x:c r="J183" s="46" t="n">
        <x:v>78</x:v>
      </x:c>
      <x:c r="K183" s="46" t="n">
        <x:v>78</x:v>
      </x:c>
      <x:c r="L183" s="46" t="n">
        <x:v>78</x:v>
      </x:c>
      <x:c r="M183" s="46" t="n">
        <x:v>77</x:v>
      </x:c>
      <x:c r="N183" s="46" t="n">
        <x:v>78</x:v>
      </x:c>
      <x:c r="O183" s="46" t="n">
        <x:v>78</x:v>
      </x:c>
      <x:c r="P183" s="46" t="n">
        <x:v>13</x:v>
      </x:c>
      <x:c r="Q183" s="46" t="n">
        <x:v>5</x:v>
      </x:c>
      <x:c r="R183" s="42" t="n">
        <x:f>0.30*J183+0.20*K183+0.25*L183+0.15*M183+0.10*O183</x:f>
        <x:v>77.85</x:v>
      </x:c>
      <x:c r="S183" s="42" t="n">
        <x:f>0.30*N183+0.20*L183+0.20*K183+0.15*O183+0.15*(100-P183)</x:f>
        <x:v>79.35</x:v>
      </x:c>
      <x:c r="T183" s="42" t="n">
        <x:f>(R183+S183)/2</x:f>
        <x:v>78.6</x:v>
      </x:c>
      <x:c r="U183" s="40" t="n">
        <x:f>1+COUNTIFS($T$2:$T$211,"&gt;"&amp;T183)+COUNTIFS($T$2:$T$211,T183,$R$2:$R$211,"&gt;"&amp;R183)</x:f>
        <x:v>182</x:v>
      </x:c>
      <x:c r="V183" s="40" t="str">
        <x:f>IF(U183&lt;=50,"Y","")</x:f>
      </x:c>
    </x:row>
    <x:row r="184">
      <x:c r="A184" s="40" t="str">
        <x:v>2606.06264</x:v>
      </x:c>
      <x:c r="B184" s="40" t="str">
        <x:v>2026-06</x:v>
      </x:c>
      <x:c r="C184" s="40" t="str">
        <x:v>math.AP</x:v>
      </x:c>
      <x:c r="D184" s="40" t="str">
        <x:v>analysis/PDE</x:v>
      </x:c>
      <x:c r="E184" s="40" t="str">
        <x:v>Addendum to Spectral bounds for the operator pencil of an elliptic system in an angle</x:v>
      </x:c>
      <x:c r="F184" s="40" t="str">
        <x:v>Michael Tsopanopoulos</x:v>
      </x:c>
      <x:c r="G184" s="46"/>
      <x:c r="H184" s="40" t="str">
        <x:v>https://arxiv.org/abs/2606.06264</x:v>
      </x:c>
      <x:c r="I184" s="40" t="str">
        <x:v>30%评分池：按题名、作者、主题与页数预筛；默认主要结论正确，未逐篇逐行 correctness check。</x:v>
      </x:c>
      <x:c r="J184" s="46" t="n">
        <x:v>78</x:v>
      </x:c>
      <x:c r="K184" s="46" t="n">
        <x:v>78</x:v>
      </x:c>
      <x:c r="L184" s="46" t="n">
        <x:v>78</x:v>
      </x:c>
      <x:c r="M184" s="46" t="n">
        <x:v>77</x:v>
      </x:c>
      <x:c r="N184" s="46" t="n">
        <x:v>78</x:v>
      </x:c>
      <x:c r="O184" s="46" t="n">
        <x:v>78</x:v>
      </x:c>
      <x:c r="P184" s="46" t="n">
        <x:v>13</x:v>
      </x:c>
      <x:c r="Q184" s="46" t="n">
        <x:v>5</x:v>
      </x:c>
      <x:c r="R184" s="42" t="n">
        <x:f>0.30*J184+0.20*K184+0.25*L184+0.15*M184+0.10*O184</x:f>
        <x:v>77.85</x:v>
      </x:c>
      <x:c r="S184" s="42" t="n">
        <x:f>0.30*N184+0.20*L184+0.20*K184+0.15*O184+0.15*(100-P184)</x:f>
        <x:v>79.35</x:v>
      </x:c>
      <x:c r="T184" s="42" t="n">
        <x:f>(R184+S184)/2</x:f>
        <x:v>78.6</x:v>
      </x:c>
      <x:c r="U184" s="40" t="n">
        <x:f>1+COUNTIFS($T$2:$T$211,"&gt;"&amp;T184)+COUNTIFS($T$2:$T$211,T184,$R$2:$R$211,"&gt;"&amp;R184)</x:f>
        <x:v>182</x:v>
      </x:c>
      <x:c r="V184" s="40" t="str">
        <x:f>IF(U184&lt;=50,"Y","")</x:f>
      </x:c>
    </x:row>
    <x:row r="185">
      <x:c r="A185" s="40" t="str">
        <x:v>2606.06427</x:v>
      </x:c>
      <x:c r="B185" s="40" t="str">
        <x:v>2026-06</x:v>
      </x:c>
      <x:c r="C185" s="40" t="str">
        <x:v>math.AP</x:v>
      </x:c>
      <x:c r="D185" s="40" t="str">
        <x:v>analysis/PDE</x:v>
      </x:c>
      <x:c r="E185" s="40" t="str">
        <x:v>Recovering stable kernels from exterior measurements</x:v>
      </x:c>
      <x:c r="F185" s="40" t="str">
        <x:v>Yi-Hsuan Lin</x:v>
      </x:c>
      <x:c r="G185" s="46" t="n">
        <x:v>22</x:v>
      </x:c>
      <x:c r="H185" s="40" t="str">
        <x:v>https://arxiv.org/abs/2606.06427</x:v>
      </x:c>
      <x:c r="I185" s="40" t="str">
        <x:v>30%评分池：按题名、作者、主题与页数预筛；默认主要结论正确，未逐篇逐行 correctness check。</x:v>
      </x:c>
      <x:c r="J185" s="46" t="n">
        <x:v>78</x:v>
      </x:c>
      <x:c r="K185" s="46" t="n">
        <x:v>78</x:v>
      </x:c>
      <x:c r="L185" s="46" t="n">
        <x:v>78</x:v>
      </x:c>
      <x:c r="M185" s="46" t="n">
        <x:v>77</x:v>
      </x:c>
      <x:c r="N185" s="46" t="n">
        <x:v>78</x:v>
      </x:c>
      <x:c r="O185" s="46" t="n">
        <x:v>78</x:v>
      </x:c>
      <x:c r="P185" s="46" t="n">
        <x:v>13</x:v>
      </x:c>
      <x:c r="Q185" s="46" t="n">
        <x:v>5</x:v>
      </x:c>
      <x:c r="R185" s="42" t="n">
        <x:f>0.30*J185+0.20*K185+0.25*L185+0.15*M185+0.10*O185</x:f>
        <x:v>77.85</x:v>
      </x:c>
      <x:c r="S185" s="42" t="n">
        <x:f>0.30*N185+0.20*L185+0.20*K185+0.15*O185+0.15*(100-P185)</x:f>
        <x:v>79.35</x:v>
      </x:c>
      <x:c r="T185" s="42" t="n">
        <x:f>(R185+S185)/2</x:f>
        <x:v>78.6</x:v>
      </x:c>
      <x:c r="U185" s="40" t="n">
        <x:f>1+COUNTIFS($T$2:$T$211,"&gt;"&amp;T185)+COUNTIFS($T$2:$T$211,T185,$R$2:$R$211,"&gt;"&amp;R185)</x:f>
        <x:v>182</x:v>
      </x:c>
      <x:c r="V185" s="40" t="str">
        <x:f>IF(U185&lt;=50,"Y","")</x:f>
      </x:c>
    </x:row>
    <x:row r="186">
      <x:c r="A186" s="40" t="str">
        <x:v>2606.06677</x:v>
      </x:c>
      <x:c r="B186" s="40" t="str">
        <x:v>2026-06</x:v>
      </x:c>
      <x:c r="C186" s="40" t="str">
        <x:v>math.AP</x:v>
      </x:c>
      <x:c r="D186" s="40" t="str">
        <x:v>analysis/PDE</x:v>
      </x:c>
      <x:c r="E186" s="40" t="str">
        <x:v>Self-improving properties for a class of elliptic and parabolic equations on bounded domains</x:v>
      </x:c>
      <x:c r="F186" s="40" t="str">
        <x:v>Tadele Mengesha; Abner J. Salgado</x:v>
      </x:c>
      <x:c r="G186" s="46"/>
      <x:c r="H186" s="40" t="str">
        <x:v>https://arxiv.org/abs/2606.06677</x:v>
      </x:c>
      <x:c r="I186" s="40" t="str">
        <x:v>30%评分池：按题名、作者、主题与页数预筛；默认主要结论正确，未逐篇逐行 correctness check。</x:v>
      </x:c>
      <x:c r="J186" s="46" t="n">
        <x:v>78</x:v>
      </x:c>
      <x:c r="K186" s="46" t="n">
        <x:v>78</x:v>
      </x:c>
      <x:c r="L186" s="46" t="n">
        <x:v>78</x:v>
      </x:c>
      <x:c r="M186" s="46" t="n">
        <x:v>77</x:v>
      </x:c>
      <x:c r="N186" s="46" t="n">
        <x:v>78</x:v>
      </x:c>
      <x:c r="O186" s="46" t="n">
        <x:v>78</x:v>
      </x:c>
      <x:c r="P186" s="46" t="n">
        <x:v>13</x:v>
      </x:c>
      <x:c r="Q186" s="46" t="n">
        <x:v>5</x:v>
      </x:c>
      <x:c r="R186" s="42" t="n">
        <x:f>0.30*J186+0.20*K186+0.25*L186+0.15*M186+0.10*O186</x:f>
        <x:v>77.85</x:v>
      </x:c>
      <x:c r="S186" s="42" t="n">
        <x:f>0.30*N186+0.20*L186+0.20*K186+0.15*O186+0.15*(100-P186)</x:f>
        <x:v>79.35</x:v>
      </x:c>
      <x:c r="T186" s="42" t="n">
        <x:f>(R186+S186)/2</x:f>
        <x:v>78.6</x:v>
      </x:c>
      <x:c r="U186" s="40" t="n">
        <x:f>1+COUNTIFS($T$2:$T$211,"&gt;"&amp;T186)+COUNTIFS($T$2:$T$211,T186,$R$2:$R$211,"&gt;"&amp;R186)</x:f>
        <x:v>182</x:v>
      </x:c>
      <x:c r="V186" s="40" t="str">
        <x:f>IF(U186&lt;=50,"Y","")</x:f>
      </x:c>
    </x:row>
    <x:row r="187">
      <x:c r="A187" s="40" t="str">
        <x:v>2606.07272</x:v>
      </x:c>
      <x:c r="B187" s="40" t="str">
        <x:v>2026-06</x:v>
      </x:c>
      <x:c r="C187" s="40" t="str">
        <x:v>math.AP</x:v>
      </x:c>
      <x:c r="D187" s="40" t="str">
        <x:v>analysis/PDE</x:v>
      </x:c>
      <x:c r="E187" s="40" t="str">
        <x:v>Analysis of a Cahn-Hilliard-Canham-Helfrich system for the evolution of a two-phase membrane</x:v>
      </x:c>
      <x:c r="F187" s="40" t="str">
        <x:v>Harald Garcke; Mathias Wilke</x:v>
      </x:c>
      <x:c r="G187" s="46" t="n">
        <x:v>17</x:v>
      </x:c>
      <x:c r="H187" s="40" t="str">
        <x:v>https://arxiv.org/abs/2606.07272</x:v>
      </x:c>
      <x:c r="I187" s="40" t="str">
        <x:v>30%评分池：按题名、作者、主题与页数预筛；默认主要结论正确，未逐篇逐行 correctness check。</x:v>
      </x:c>
      <x:c r="J187" s="46" t="n">
        <x:v>78</x:v>
      </x:c>
      <x:c r="K187" s="46" t="n">
        <x:v>78</x:v>
      </x:c>
      <x:c r="L187" s="46" t="n">
        <x:v>78</x:v>
      </x:c>
      <x:c r="M187" s="46" t="n">
        <x:v>77</x:v>
      </x:c>
      <x:c r="N187" s="46" t="n">
        <x:v>78</x:v>
      </x:c>
      <x:c r="O187" s="46" t="n">
        <x:v>78</x:v>
      </x:c>
      <x:c r="P187" s="46" t="n">
        <x:v>13</x:v>
      </x:c>
      <x:c r="Q187" s="46" t="n">
        <x:v>5</x:v>
      </x:c>
      <x:c r="R187" s="42" t="n">
        <x:f>0.30*J187+0.20*K187+0.25*L187+0.15*M187+0.10*O187</x:f>
        <x:v>77.85</x:v>
      </x:c>
      <x:c r="S187" s="42" t="n">
        <x:f>0.30*N187+0.20*L187+0.20*K187+0.15*O187+0.15*(100-P187)</x:f>
        <x:v>79.35</x:v>
      </x:c>
      <x:c r="T187" s="42" t="n">
        <x:f>(R187+S187)/2</x:f>
        <x:v>78.6</x:v>
      </x:c>
      <x:c r="U187" s="40" t="n">
        <x:f>1+COUNTIFS($T$2:$T$211,"&gt;"&amp;T187)+COUNTIFS($T$2:$T$211,T187,$R$2:$R$211,"&gt;"&amp;R187)</x:f>
        <x:v>182</x:v>
      </x:c>
      <x:c r="V187" s="40" t="str">
        <x:f>IF(U187&lt;=50,"Y","")</x:f>
      </x:c>
    </x:row>
    <x:row r="188">
      <x:c r="A188" s="40" t="str">
        <x:v>2606.07767</x:v>
      </x:c>
      <x:c r="B188" s="40" t="str">
        <x:v>2026-06</x:v>
      </x:c>
      <x:c r="C188" s="40" t="str">
        <x:v>math.AP</x:v>
      </x:c>
      <x:c r="D188" s="40" t="str">
        <x:v>analysis/PDE</x:v>
      </x:c>
      <x:c r="E188" s="40" t="str">
        <x:v>Energy maximum principle for vectorial higher order absolute minimisers in L^infty and L^p</x:v>
      </x:c>
      <x:c r="F188" s="40" t="str">
        <x:v>Simone Carano; Nikos Katzourakis; Roger Moser</x:v>
      </x:c>
      <x:c r="G188" s="46"/>
      <x:c r="H188" s="40" t="str">
        <x:v>https://arxiv.org/abs/2606.07767</x:v>
      </x:c>
      <x:c r="I188" s="40" t="str">
        <x:v>30%评分池：按题名、作者、主题与页数预筛；默认主要结论正确，未逐篇逐行 correctness check。</x:v>
      </x:c>
      <x:c r="J188" s="46" t="n">
        <x:v>78</x:v>
      </x:c>
      <x:c r="K188" s="46" t="n">
        <x:v>78</x:v>
      </x:c>
      <x:c r="L188" s="46" t="n">
        <x:v>78</x:v>
      </x:c>
      <x:c r="M188" s="46" t="n">
        <x:v>77</x:v>
      </x:c>
      <x:c r="N188" s="46" t="n">
        <x:v>78</x:v>
      </x:c>
      <x:c r="O188" s="46" t="n">
        <x:v>78</x:v>
      </x:c>
      <x:c r="P188" s="46" t="n">
        <x:v>13</x:v>
      </x:c>
      <x:c r="Q188" s="46" t="n">
        <x:v>5</x:v>
      </x:c>
      <x:c r="R188" s="42" t="n">
        <x:f>0.30*J188+0.20*K188+0.25*L188+0.15*M188+0.10*O188</x:f>
        <x:v>77.85</x:v>
      </x:c>
      <x:c r="S188" s="42" t="n">
        <x:f>0.30*N188+0.20*L188+0.20*K188+0.15*O188+0.15*(100-P188)</x:f>
        <x:v>79.35</x:v>
      </x:c>
      <x:c r="T188" s="42" t="n">
        <x:f>(R188+S188)/2</x:f>
        <x:v>78.6</x:v>
      </x:c>
      <x:c r="U188" s="40" t="n">
        <x:f>1+COUNTIFS($T$2:$T$211,"&gt;"&amp;T188)+COUNTIFS($T$2:$T$211,T188,$R$2:$R$211,"&gt;"&amp;R188)</x:f>
        <x:v>182</x:v>
      </x:c>
      <x:c r="V188" s="40" t="str">
        <x:f>IF(U188&lt;=50,"Y","")</x:f>
      </x:c>
    </x:row>
    <x:row r="189">
      <x:c r="A189" s="40" t="str">
        <x:v>2606.07786</x:v>
      </x:c>
      <x:c r="B189" s="40" t="str">
        <x:v>2026-06</x:v>
      </x:c>
      <x:c r="C189" s="40" t="str">
        <x:v>math.AP</x:v>
      </x:c>
      <x:c r="D189" s="40" t="str">
        <x:v>analysis/PDE</x:v>
      </x:c>
      <x:c r="E189" s="40" t="str">
        <x:v>Spectral structures of elastic-electromagnetic transmission eigenvalue problems</x:v>
      </x:c>
      <x:c r="F189" s="40" t="str">
        <x:v>Huaian Diao; Xinyu Ding; Yueran Geng; Hongyu Liu</x:v>
      </x:c>
      <x:c r="G189" s="46"/>
      <x:c r="H189" s="40" t="str">
        <x:v>https://arxiv.org/abs/2606.07786</x:v>
      </x:c>
      <x:c r="I189" s="40" t="str">
        <x:v>30%评分池：按题名、作者、主题与页数预筛；默认主要结论正确，未逐篇逐行 correctness check。</x:v>
      </x:c>
      <x:c r="J189" s="46" t="n">
        <x:v>78</x:v>
      </x:c>
      <x:c r="K189" s="46" t="n">
        <x:v>78</x:v>
      </x:c>
      <x:c r="L189" s="46" t="n">
        <x:v>78</x:v>
      </x:c>
      <x:c r="M189" s="46" t="n">
        <x:v>77</x:v>
      </x:c>
      <x:c r="N189" s="46" t="n">
        <x:v>78</x:v>
      </x:c>
      <x:c r="O189" s="46" t="n">
        <x:v>78</x:v>
      </x:c>
      <x:c r="P189" s="46" t="n">
        <x:v>13</x:v>
      </x:c>
      <x:c r="Q189" s="46" t="n">
        <x:v>5</x:v>
      </x:c>
      <x:c r="R189" s="42" t="n">
        <x:f>0.30*J189+0.20*K189+0.25*L189+0.15*M189+0.10*O189</x:f>
        <x:v>77.85</x:v>
      </x:c>
      <x:c r="S189" s="42" t="n">
        <x:f>0.30*N189+0.20*L189+0.20*K189+0.15*O189+0.15*(100-P189)</x:f>
        <x:v>79.35</x:v>
      </x:c>
      <x:c r="T189" s="42" t="n">
        <x:f>(R189+S189)/2</x:f>
        <x:v>78.6</x:v>
      </x:c>
      <x:c r="U189" s="40" t="n">
        <x:f>1+COUNTIFS($T$2:$T$211,"&gt;"&amp;T189)+COUNTIFS($T$2:$T$211,T189,$R$2:$R$211,"&gt;"&amp;R189)</x:f>
        <x:v>182</x:v>
      </x:c>
      <x:c r="V189" s="40" t="str">
        <x:f>IF(U189&lt;=50,"Y","")</x:f>
      </x:c>
    </x:row>
    <x:row r="190">
      <x:c r="A190" s="40" t="str">
        <x:v>2606.07977</x:v>
      </x:c>
      <x:c r="B190" s="40" t="str">
        <x:v>2026-06</x:v>
      </x:c>
      <x:c r="C190" s="40" t="str">
        <x:v>math.AP</x:v>
      </x:c>
      <x:c r="D190" s="40" t="str">
        <x:v>elliptic/parabolic regularity</x:v>
      </x:c>
      <x:c r="E190" s="40" t="str">
        <x:v>Local Boundedness of Local Minimizers for a Class of Nonlinear Elliptic Systems with General Growth</x:v>
      </x:c>
      <x:c r="F190" s="40" t="str">
        <x:v>Elvira Mascolo; Antonella Nastasi; Cintia Pacchiano Camacho</x:v>
      </x:c>
      <x:c r="G190" s="46"/>
      <x:c r="H190" s="40" t="str">
        <x:v>https://arxiv.org/abs/2606.07977</x:v>
      </x:c>
      <x:c r="I190" s="40" t="str">
        <x:v>30%评分池：按题名、作者、主题与页数预筛；默认主要结论正确，未逐篇逐行 correctness check。</x:v>
      </x:c>
      <x:c r="J190" s="46" t="n">
        <x:v>78</x:v>
      </x:c>
      <x:c r="K190" s="46" t="n">
        <x:v>78</x:v>
      </x:c>
      <x:c r="L190" s="46" t="n">
        <x:v>78</x:v>
      </x:c>
      <x:c r="M190" s="46" t="n">
        <x:v>77</x:v>
      </x:c>
      <x:c r="N190" s="46" t="n">
        <x:v>78</x:v>
      </x:c>
      <x:c r="O190" s="46" t="n">
        <x:v>78</x:v>
      </x:c>
      <x:c r="P190" s="46" t="n">
        <x:v>13</x:v>
      </x:c>
      <x:c r="Q190" s="46" t="n">
        <x:v>5</x:v>
      </x:c>
      <x:c r="R190" s="42" t="n">
        <x:f>0.30*J190+0.20*K190+0.25*L190+0.15*M190+0.10*O190</x:f>
        <x:v>77.85</x:v>
      </x:c>
      <x:c r="S190" s="42" t="n">
        <x:f>0.30*N190+0.20*L190+0.20*K190+0.15*O190+0.15*(100-P190)</x:f>
        <x:v>79.35</x:v>
      </x:c>
      <x:c r="T190" s="42" t="n">
        <x:f>(R190+S190)/2</x:f>
        <x:v>78.6</x:v>
      </x:c>
      <x:c r="U190" s="40" t="n">
        <x:f>1+COUNTIFS($T$2:$T$211,"&gt;"&amp;T190)+COUNTIFS($T$2:$T$211,T190,$R$2:$R$211,"&gt;"&amp;R190)</x:f>
        <x:v>182</x:v>
      </x:c>
      <x:c r="V190" s="40" t="str">
        <x:f>IF(U190&lt;=50,"Y","")</x:f>
      </x:c>
    </x:row>
    <x:row r="191">
      <x:c r="A191" s="40" t="str">
        <x:v>2606.08222</x:v>
      </x:c>
      <x:c r="B191" s="40" t="str">
        <x:v>2026-06</x:v>
      </x:c>
      <x:c r="C191" s="40" t="str">
        <x:v>math.AP</x:v>
      </x:c>
      <x:c r="D191" s="40" t="str">
        <x:v>analysis/PDE</x:v>
      </x:c>
      <x:c r="E191" s="40" t="str">
        <x:v>On Neumann p-Laplacian Lane-Emden equations and isoperimetric problems</x:v>
      </x:c>
      <x:c r="F191" s="40" t="str">
        <x:v>Sean McCurdy; Alberto Saldana; Delia Schiera</x:v>
      </x:c>
      <x:c r="G191" s="46"/>
      <x:c r="H191" s="40" t="str">
        <x:v>https://arxiv.org/abs/2606.08222</x:v>
      </x:c>
      <x:c r="I191" s="40" t="str">
        <x:v>30%评分池：按题名、作者、主题与页数预筛；默认主要结论正确，未逐篇逐行 correctness check。</x:v>
      </x:c>
      <x:c r="J191" s="46" t="n">
        <x:v>78</x:v>
      </x:c>
      <x:c r="K191" s="46" t="n">
        <x:v>78</x:v>
      </x:c>
      <x:c r="L191" s="46" t="n">
        <x:v>78</x:v>
      </x:c>
      <x:c r="M191" s="46" t="n">
        <x:v>77</x:v>
      </x:c>
      <x:c r="N191" s="46" t="n">
        <x:v>78</x:v>
      </x:c>
      <x:c r="O191" s="46" t="n">
        <x:v>78</x:v>
      </x:c>
      <x:c r="P191" s="46" t="n">
        <x:v>13</x:v>
      </x:c>
      <x:c r="Q191" s="46" t="n">
        <x:v>5</x:v>
      </x:c>
      <x:c r="R191" s="42" t="n">
        <x:f>0.30*J191+0.20*K191+0.25*L191+0.15*M191+0.10*O191</x:f>
        <x:v>77.85</x:v>
      </x:c>
      <x:c r="S191" s="42" t="n">
        <x:f>0.30*N191+0.20*L191+0.20*K191+0.15*O191+0.15*(100-P191)</x:f>
        <x:v>79.35</x:v>
      </x:c>
      <x:c r="T191" s="42" t="n">
        <x:f>(R191+S191)/2</x:f>
        <x:v>78.6</x:v>
      </x:c>
      <x:c r="U191" s="40" t="n">
        <x:f>1+COUNTIFS($T$2:$T$211,"&gt;"&amp;T191)+COUNTIFS($T$2:$T$211,T191,$R$2:$R$211,"&gt;"&amp;R191)</x:f>
        <x:v>182</x:v>
      </x:c>
      <x:c r="V191" s="40" t="str">
        <x:f>IF(U191&lt;=50,"Y","")</x:f>
      </x:c>
    </x:row>
    <x:row r="192">
      <x:c r="A192" s="40" t="str">
        <x:v>2606.08330</x:v>
      </x:c>
      <x:c r="B192" s="40" t="str">
        <x:v>2026-06</x:v>
      </x:c>
      <x:c r="C192" s="40" t="str">
        <x:v>math.AP</x:v>
      </x:c>
      <x:c r="D192" s="40" t="str">
        <x:v>analysis/PDE</x:v>
      </x:c>
      <x:c r="E192" s="40" t="str">
        <x:v>On chain rule and renormalization</x:v>
      </x:c>
      <x:c r="F192" s="40" t="str">
        <x:v>Roman V. Dribas; Nikolay A. Gusev</x:v>
      </x:c>
      <x:c r="G192" s="46" t="n">
        <x:v>12</x:v>
      </x:c>
      <x:c r="H192" s="40" t="str">
        <x:v>https://arxiv.org/abs/2606.08330</x:v>
      </x:c>
      <x:c r="I192" s="40" t="str">
        <x:v>30%评分池：按题名、作者、主题与页数预筛；默认主要结论正确，未逐篇逐行 correctness check。</x:v>
      </x:c>
      <x:c r="J192" s="46" t="n">
        <x:v>78</x:v>
      </x:c>
      <x:c r="K192" s="46" t="n">
        <x:v>78</x:v>
      </x:c>
      <x:c r="L192" s="46" t="n">
        <x:v>78</x:v>
      </x:c>
      <x:c r="M192" s="46" t="n">
        <x:v>77</x:v>
      </x:c>
      <x:c r="N192" s="46" t="n">
        <x:v>78</x:v>
      </x:c>
      <x:c r="O192" s="46" t="n">
        <x:v>78</x:v>
      </x:c>
      <x:c r="P192" s="46" t="n">
        <x:v>13</x:v>
      </x:c>
      <x:c r="Q192" s="46" t="n">
        <x:v>5</x:v>
      </x:c>
      <x:c r="R192" s="42" t="n">
        <x:f>0.30*J192+0.20*K192+0.25*L192+0.15*M192+0.10*O192</x:f>
        <x:v>77.85</x:v>
      </x:c>
      <x:c r="S192" s="42" t="n">
        <x:f>0.30*N192+0.20*L192+0.20*K192+0.15*O192+0.15*(100-P192)</x:f>
        <x:v>79.35</x:v>
      </x:c>
      <x:c r="T192" s="42" t="n">
        <x:f>(R192+S192)/2</x:f>
        <x:v>78.6</x:v>
      </x:c>
      <x:c r="U192" s="40" t="n">
        <x:f>1+COUNTIFS($T$2:$T$211,"&gt;"&amp;T192)+COUNTIFS($T$2:$T$211,T192,$R$2:$R$211,"&gt;"&amp;R192)</x:f>
        <x:v>182</x:v>
      </x:c>
      <x:c r="V192" s="40" t="str">
        <x:f>IF(U192&lt;=50,"Y","")</x:f>
      </x:c>
    </x:row>
    <x:row r="193">
      <x:c r="A193" s="40" t="str">
        <x:v>2606.09256</x:v>
      </x:c>
      <x:c r="B193" s="40" t="str">
        <x:v>2026-06</x:v>
      </x:c>
      <x:c r="C193" s="40" t="str">
        <x:v>math.AP</x:v>
      </x:c>
      <x:c r="D193" s="40" t="str">
        <x:v>analysis/PDE</x:v>
      </x:c>
      <x:c r="E193" s="40" t="str">
        <x:v>A sign-changing Poisson kernel for a non-symmetric elliptic operator in a bounded domain</x:v>
      </x:c>
      <x:c r="F193" s="40" t="str">
        <x:v>Seick Kim</x:v>
      </x:c>
      <x:c r="G193" s="46" t="n">
        <x:v>34</x:v>
      </x:c>
      <x:c r="H193" s="40" t="str">
        <x:v>https://arxiv.org/abs/2606.09256</x:v>
      </x:c>
      <x:c r="I193" s="40" t="str">
        <x:v>30%评分池：按题名、作者、主题与页数预筛；默认主要结论正确，未逐篇逐行 correctness check。</x:v>
      </x:c>
      <x:c r="J193" s="46" t="n">
        <x:v>78</x:v>
      </x:c>
      <x:c r="K193" s="46" t="n">
        <x:v>78</x:v>
      </x:c>
      <x:c r="L193" s="46" t="n">
        <x:v>78</x:v>
      </x:c>
      <x:c r="M193" s="46" t="n">
        <x:v>77</x:v>
      </x:c>
      <x:c r="N193" s="46" t="n">
        <x:v>78</x:v>
      </x:c>
      <x:c r="O193" s="46" t="n">
        <x:v>78</x:v>
      </x:c>
      <x:c r="P193" s="46" t="n">
        <x:v>13</x:v>
      </x:c>
      <x:c r="Q193" s="46" t="n">
        <x:v>5</x:v>
      </x:c>
      <x:c r="R193" s="42" t="n">
        <x:f>0.30*J193+0.20*K193+0.25*L193+0.15*M193+0.10*O193</x:f>
        <x:v>77.85</x:v>
      </x:c>
      <x:c r="S193" s="42" t="n">
        <x:f>0.30*N193+0.20*L193+0.20*K193+0.15*O193+0.15*(100-P193)</x:f>
        <x:v>79.35</x:v>
      </x:c>
      <x:c r="T193" s="42" t="n">
        <x:f>(R193+S193)/2</x:f>
        <x:v>78.6</x:v>
      </x:c>
      <x:c r="U193" s="40" t="n">
        <x:f>1+COUNTIFS($T$2:$T$211,"&gt;"&amp;T193)+COUNTIFS($T$2:$T$211,T193,$R$2:$R$211,"&gt;"&amp;R193)</x:f>
        <x:v>182</x:v>
      </x:c>
      <x:c r="V193" s="40" t="str">
        <x:f>IF(U193&lt;=50,"Y","")</x:f>
      </x:c>
    </x:row>
    <x:row r="194">
      <x:c r="A194" s="40" t="str">
        <x:v>2606.10590</x:v>
      </x:c>
      <x:c r="B194" s="40" t="str">
        <x:v>2026-06</x:v>
      </x:c>
      <x:c r="C194" s="40" t="str">
        <x:v>math.AP</x:v>
      </x:c>
      <x:c r="D194" s="40" t="str">
        <x:v>analysis/PDE</x:v>
      </x:c>
      <x:c r="E194" s="40" t="str">
        <x:v>Higher integrability for parabolic double phase equations with an improved gap bound</x:v>
      </x:c>
      <x:c r="F194" s="40" t="str">
        <x:v>Abhrojyoti Sen; Jarkko Siltakoski</x:v>
      </x:c>
      <x:c r="G194" s="46" t="n">
        <x:v>40</x:v>
      </x:c>
      <x:c r="H194" s="40" t="str">
        <x:v>https://arxiv.org/abs/2606.10590</x:v>
      </x:c>
      <x:c r="I194" s="40" t="str">
        <x:v>30%评分池：按题名、作者、主题与页数预筛；默认主要结论正确，未逐篇逐行 correctness check。</x:v>
      </x:c>
      <x:c r="J194" s="46" t="n">
        <x:v>78</x:v>
      </x:c>
      <x:c r="K194" s="46" t="n">
        <x:v>78</x:v>
      </x:c>
      <x:c r="L194" s="46" t="n">
        <x:v>78</x:v>
      </x:c>
      <x:c r="M194" s="46" t="n">
        <x:v>77</x:v>
      </x:c>
      <x:c r="N194" s="46" t="n">
        <x:v>78</x:v>
      </x:c>
      <x:c r="O194" s="46" t="n">
        <x:v>78</x:v>
      </x:c>
      <x:c r="P194" s="46" t="n">
        <x:v>13</x:v>
      </x:c>
      <x:c r="Q194" s="46" t="n">
        <x:v>5</x:v>
      </x:c>
      <x:c r="R194" s="42" t="n">
        <x:f>0.30*J194+0.20*K194+0.25*L194+0.15*M194+0.10*O194</x:f>
        <x:v>77.85</x:v>
      </x:c>
      <x:c r="S194" s="42" t="n">
        <x:f>0.30*N194+0.20*L194+0.20*K194+0.15*O194+0.15*(100-P194)</x:f>
        <x:v>79.35</x:v>
      </x:c>
      <x:c r="T194" s="42" t="n">
        <x:f>(R194+S194)/2</x:f>
        <x:v>78.6</x:v>
      </x:c>
      <x:c r="U194" s="40" t="n">
        <x:f>1+COUNTIFS($T$2:$T$211,"&gt;"&amp;T194)+COUNTIFS($T$2:$T$211,T194,$R$2:$R$211,"&gt;"&amp;R194)</x:f>
        <x:v>182</x:v>
      </x:c>
      <x:c r="V194" s="40" t="str">
        <x:f>IF(U194&lt;=50,"Y","")</x:f>
      </x:c>
    </x:row>
    <x:row r="195">
      <x:c r="A195" s="40" t="str">
        <x:v>2606.10685</x:v>
      </x:c>
      <x:c r="B195" s="40" t="str">
        <x:v>2026-06</x:v>
      </x:c>
      <x:c r="C195" s="40" t="str">
        <x:v>math.AP</x:v>
      </x:c>
      <x:c r="D195" s="40" t="str">
        <x:v>dispersive PDE</x:v>
      </x:c>
      <x:c r="E195" s="40" t="str">
        <x:v>Dynamical Amrein-Berthier Uncertainty for Fractional Schrodinger Flows</x:v>
      </x:c>
      <x:c r="F195" s="40" t="str">
        <x:v>Piero D'Ancona; Diego Fiorletta</x:v>
      </x:c>
      <x:c r="G195" s="46"/>
      <x:c r="H195" s="40" t="str">
        <x:v>https://arxiv.org/abs/2606.10685</x:v>
      </x:c>
      <x:c r="I195" s="40" t="str">
        <x:v>30%评分池：按题名、作者、主题与页数预筛；默认主要结论正确，未逐篇逐行 correctness check。</x:v>
      </x:c>
      <x:c r="J195" s="46" t="n">
        <x:v>78</x:v>
      </x:c>
      <x:c r="K195" s="46" t="n">
        <x:v>78</x:v>
      </x:c>
      <x:c r="L195" s="46" t="n">
        <x:v>78</x:v>
      </x:c>
      <x:c r="M195" s="46" t="n">
        <x:v>77</x:v>
      </x:c>
      <x:c r="N195" s="46" t="n">
        <x:v>78</x:v>
      </x:c>
      <x:c r="O195" s="46" t="n">
        <x:v>78</x:v>
      </x:c>
      <x:c r="P195" s="46" t="n">
        <x:v>13</x:v>
      </x:c>
      <x:c r="Q195" s="46" t="n">
        <x:v>5</x:v>
      </x:c>
      <x:c r="R195" s="42" t="n">
        <x:f>0.30*J195+0.20*K195+0.25*L195+0.15*M195+0.10*O195</x:f>
        <x:v>77.85</x:v>
      </x:c>
      <x:c r="S195" s="42" t="n">
        <x:f>0.30*N195+0.20*L195+0.20*K195+0.15*O195+0.15*(100-P195)</x:f>
        <x:v>79.35</x:v>
      </x:c>
      <x:c r="T195" s="42" t="n">
        <x:f>(R195+S195)/2</x:f>
        <x:v>78.6</x:v>
      </x:c>
      <x:c r="U195" s="40" t="n">
        <x:f>1+COUNTIFS($T$2:$T$211,"&gt;"&amp;T195)+COUNTIFS($T$2:$T$211,T195,$R$2:$R$211,"&gt;"&amp;R195)</x:f>
        <x:v>182</x:v>
      </x:c>
      <x:c r="V195" s="40" t="str">
        <x:f>IF(U195&lt;=50,"Y","")</x:f>
      </x:c>
    </x:row>
    <x:row r="196">
      <x:c r="A196" s="40" t="str">
        <x:v>2606.11892</x:v>
      </x:c>
      <x:c r="B196" s="40" t="str">
        <x:v>2026-06</x:v>
      </x:c>
      <x:c r="C196" s="40" t="str">
        <x:v>math.AP</x:v>
      </x:c>
      <x:c r="D196" s="40" t="str">
        <x:v>analysis/PDE</x:v>
      </x:c>
      <x:c r="E196" s="40" t="str">
        <x:v>Mean-field imitation dynamics on fast assortative networks</x:v>
      </x:c>
      <x:c r="F196" s="40" t="str">
        <x:v>Benedict Russell; Andrew Nugent; Jacques Bara</x:v>
      </x:c>
      <x:c r="G196" s="46"/>
      <x:c r="H196" s="40" t="str">
        <x:v>https://arxiv.org/abs/2606.11892</x:v>
      </x:c>
      <x:c r="I196" s="40" t="str">
        <x:v>30%评分池：按题名、作者、主题与页数预筛；默认主要结论正确，未逐篇逐行 correctness check。</x:v>
      </x:c>
      <x:c r="J196" s="46" t="n">
        <x:v>78</x:v>
      </x:c>
      <x:c r="K196" s="46" t="n">
        <x:v>78</x:v>
      </x:c>
      <x:c r="L196" s="46" t="n">
        <x:v>78</x:v>
      </x:c>
      <x:c r="M196" s="46" t="n">
        <x:v>77</x:v>
      </x:c>
      <x:c r="N196" s="46" t="n">
        <x:v>78</x:v>
      </x:c>
      <x:c r="O196" s="46" t="n">
        <x:v>78</x:v>
      </x:c>
      <x:c r="P196" s="46" t="n">
        <x:v>13</x:v>
      </x:c>
      <x:c r="Q196" s="46" t="n">
        <x:v>5</x:v>
      </x:c>
      <x:c r="R196" s="42" t="n">
        <x:f>0.30*J196+0.20*K196+0.25*L196+0.15*M196+0.10*O196</x:f>
        <x:v>77.85</x:v>
      </x:c>
      <x:c r="S196" s="42" t="n">
        <x:f>0.30*N196+0.20*L196+0.20*K196+0.15*O196+0.15*(100-P196)</x:f>
        <x:v>79.35</x:v>
      </x:c>
      <x:c r="T196" s="42" t="n">
        <x:f>(R196+S196)/2</x:f>
        <x:v>78.6</x:v>
      </x:c>
      <x:c r="U196" s="40" t="n">
        <x:f>1+COUNTIFS($T$2:$T$211,"&gt;"&amp;T196)+COUNTIFS($T$2:$T$211,T196,$R$2:$R$211,"&gt;"&amp;R196)</x:f>
        <x:v>182</x:v>
      </x:c>
      <x:c r="V196" s="40" t="str">
        <x:f>IF(U196&lt;=50,"Y","")</x:f>
      </x:c>
    </x:row>
    <x:row r="197">
      <x:c r="A197" s="40" t="str">
        <x:v>2606.11955</x:v>
      </x:c>
      <x:c r="B197" s="40" t="str">
        <x:v>2026-06</x:v>
      </x:c>
      <x:c r="C197" s="40" t="str">
        <x:v>math.AP</x:v>
      </x:c>
      <x:c r="D197" s="40" t="str">
        <x:v>inequalities/function spaces</x:v>
      </x:c>
      <x:c r="E197" s="40" t="str">
        <x:v>Trace and Hardy-Sobolev type inequalities for classes of elliptic operators</x:v>
      </x:c>
      <x:c r="F197" s="40" t="str">
        <x:v>Loic Constantin; Ranieri Franca Freire; Jacques Giacomoni</x:v>
      </x:c>
      <x:c r="G197" s="46"/>
      <x:c r="H197" s="40" t="str">
        <x:v>https://arxiv.org/abs/2606.11955</x:v>
      </x:c>
      <x:c r="I197" s="40" t="str">
        <x:v>30%评分池：按题名、作者、主题与页数预筛；默认主要结论正确，未逐篇逐行 correctness check。</x:v>
      </x:c>
      <x:c r="J197" s="46" t="n">
        <x:v>78</x:v>
      </x:c>
      <x:c r="K197" s="46" t="n">
        <x:v>78</x:v>
      </x:c>
      <x:c r="L197" s="46" t="n">
        <x:v>78</x:v>
      </x:c>
      <x:c r="M197" s="46" t="n">
        <x:v>77</x:v>
      </x:c>
      <x:c r="N197" s="46" t="n">
        <x:v>78</x:v>
      </x:c>
      <x:c r="O197" s="46" t="n">
        <x:v>78</x:v>
      </x:c>
      <x:c r="P197" s="46" t="n">
        <x:v>13</x:v>
      </x:c>
      <x:c r="Q197" s="46" t="n">
        <x:v>5</x:v>
      </x:c>
      <x:c r="R197" s="42" t="n">
        <x:f>0.30*J197+0.20*K197+0.25*L197+0.15*M197+0.10*O197</x:f>
        <x:v>77.85</x:v>
      </x:c>
      <x:c r="S197" s="42" t="n">
        <x:f>0.30*N197+0.20*L197+0.20*K197+0.15*O197+0.15*(100-P197)</x:f>
        <x:v>79.35</x:v>
      </x:c>
      <x:c r="T197" s="42" t="n">
        <x:f>(R197+S197)/2</x:f>
        <x:v>78.6</x:v>
      </x:c>
      <x:c r="U197" s="40" t="n">
        <x:f>1+COUNTIFS($T$2:$T$211,"&gt;"&amp;T197)+COUNTIFS($T$2:$T$211,T197,$R$2:$R$211,"&gt;"&amp;R197)</x:f>
        <x:v>182</x:v>
      </x:c>
      <x:c r="V197" s="40" t="str">
        <x:f>IF(U197&lt;=50,"Y","")</x:f>
      </x:c>
    </x:row>
    <x:row r="198">
      <x:c r="A198" s="40" t="str">
        <x:v>2606.11960</x:v>
      </x:c>
      <x:c r="B198" s="40" t="str">
        <x:v>2026-06</x:v>
      </x:c>
      <x:c r="C198" s="40" t="str">
        <x:v>math.AP</x:v>
      </x:c>
      <x:c r="D198" s="40" t="str">
        <x:v>analysis/PDE</x:v>
      </x:c>
      <x:c r="E198" s="40" t="str">
        <x:v>Hartree-type heat equation associated to fractional anharmonic oscillator on weighted modulation spaces</x:v>
      </x:c>
      <x:c r="F198" s="40" t="str">
        <x:v>Aparajita Dasgupta; Uttam Kumar Dolai</x:v>
      </x:c>
      <x:c r="G198" s="46"/>
      <x:c r="H198" s="40" t="str">
        <x:v>https://arxiv.org/abs/2606.11960</x:v>
      </x:c>
      <x:c r="I198" s="40" t="str">
        <x:v>30%评分池：按题名、作者、主题与页数预筛；默认主要结论正确，未逐篇逐行 correctness check。</x:v>
      </x:c>
      <x:c r="J198" s="46" t="n">
        <x:v>78</x:v>
      </x:c>
      <x:c r="K198" s="46" t="n">
        <x:v>78</x:v>
      </x:c>
      <x:c r="L198" s="46" t="n">
        <x:v>78</x:v>
      </x:c>
      <x:c r="M198" s="46" t="n">
        <x:v>77</x:v>
      </x:c>
      <x:c r="N198" s="46" t="n">
        <x:v>78</x:v>
      </x:c>
      <x:c r="O198" s="46" t="n">
        <x:v>78</x:v>
      </x:c>
      <x:c r="P198" s="46" t="n">
        <x:v>13</x:v>
      </x:c>
      <x:c r="Q198" s="46" t="n">
        <x:v>5</x:v>
      </x:c>
      <x:c r="R198" s="42" t="n">
        <x:f>0.30*J198+0.20*K198+0.25*L198+0.15*M198+0.10*O198</x:f>
        <x:v>77.85</x:v>
      </x:c>
      <x:c r="S198" s="42" t="n">
        <x:f>0.30*N198+0.20*L198+0.20*K198+0.15*O198+0.15*(100-P198)</x:f>
        <x:v>79.35</x:v>
      </x:c>
      <x:c r="T198" s="42" t="n">
        <x:f>(R198+S198)/2</x:f>
        <x:v>78.6</x:v>
      </x:c>
      <x:c r="U198" s="40" t="n">
        <x:f>1+COUNTIFS($T$2:$T$211,"&gt;"&amp;T198)+COUNTIFS($T$2:$T$211,T198,$R$2:$R$211,"&gt;"&amp;R198)</x:f>
        <x:v>182</x:v>
      </x:c>
      <x:c r="V198" s="40" t="str">
        <x:f>IF(U198&lt;=50,"Y","")</x:f>
      </x:c>
    </x:row>
    <x:row r="199">
      <x:c r="A199" s="40" t="str">
        <x:v>2606.12183</x:v>
      </x:c>
      <x:c r="B199" s="40" t="str">
        <x:v>2026-06</x:v>
      </x:c>
      <x:c r="C199" s="40" t="str">
        <x:v>math.AP</x:v>
      </x:c>
      <x:c r="D199" s="40" t="str">
        <x:v>analysis/PDE</x:v>
      </x:c>
      <x:c r="E199" s="40" t="str">
        <x:v>On almost sure growth of Holder norms for 1d periodic fractional BBM equation</x:v>
      </x:c>
      <x:c r="F199" s="40" t="str">
        <x:v>Pablo Merino</x:v>
      </x:c>
      <x:c r="G199" s="46"/>
      <x:c r="H199" s="40" t="str">
        <x:v>https://arxiv.org/abs/2606.12183</x:v>
      </x:c>
      <x:c r="I199" s="40" t="str">
        <x:v>30%评分池：按题名、作者、主题与页数预筛；默认主要结论正确，未逐篇逐行 correctness check。</x:v>
      </x:c>
      <x:c r="J199" s="46" t="n">
        <x:v>78</x:v>
      </x:c>
      <x:c r="K199" s="46" t="n">
        <x:v>78</x:v>
      </x:c>
      <x:c r="L199" s="46" t="n">
        <x:v>78</x:v>
      </x:c>
      <x:c r="M199" s="46" t="n">
        <x:v>77</x:v>
      </x:c>
      <x:c r="N199" s="46" t="n">
        <x:v>78</x:v>
      </x:c>
      <x:c r="O199" s="46" t="n">
        <x:v>78</x:v>
      </x:c>
      <x:c r="P199" s="46" t="n">
        <x:v>13</x:v>
      </x:c>
      <x:c r="Q199" s="46" t="n">
        <x:v>5</x:v>
      </x:c>
      <x:c r="R199" s="42" t="n">
        <x:f>0.30*J199+0.20*K199+0.25*L199+0.15*M199+0.10*O199</x:f>
        <x:v>77.85</x:v>
      </x:c>
      <x:c r="S199" s="42" t="n">
        <x:f>0.30*N199+0.20*L199+0.20*K199+0.15*O199+0.15*(100-P199)</x:f>
        <x:v>79.35</x:v>
      </x:c>
      <x:c r="T199" s="42" t="n">
        <x:f>(R199+S199)/2</x:f>
        <x:v>78.6</x:v>
      </x:c>
      <x:c r="U199" s="40" t="n">
        <x:f>1+COUNTIFS($T$2:$T$211,"&gt;"&amp;T199)+COUNTIFS($T$2:$T$211,T199,$R$2:$R$211,"&gt;"&amp;R199)</x:f>
        <x:v>182</x:v>
      </x:c>
      <x:c r="V199" s="40" t="str">
        <x:f>IF(U199&lt;=50,"Y","")</x:f>
      </x:c>
    </x:row>
    <x:row r="200">
      <x:c r="A200" s="40" t="str">
        <x:v>2606.12227</x:v>
      </x:c>
      <x:c r="B200" s="40" t="str">
        <x:v>2026-06</x:v>
      </x:c>
      <x:c r="C200" s="40" t="str">
        <x:v>math.AP</x:v>
      </x:c>
      <x:c r="D200" s="40" t="str">
        <x:v>analysis/PDE</x:v>
      </x:c>
      <x:c r="E200" s="40" t="str">
        <x:v>Stability of critical constant steady state of a Keller-Segel model</x:v>
      </x:c>
      <x:c r="F200" s="40" t="str">
        <x:v>Nobuhito Miyake; Hiroshi Wakui; Tetsuya Yamada</x:v>
      </x:c>
      <x:c r="G200" s="46"/>
      <x:c r="H200" s="40" t="str">
        <x:v>https://arxiv.org/abs/2606.12227</x:v>
      </x:c>
      <x:c r="I200" s="40" t="str">
        <x:v>30%评分池：按题名、作者、主题与页数预筛；默认主要结论正确，未逐篇逐行 correctness check。</x:v>
      </x:c>
      <x:c r="J200" s="46" t="n">
        <x:v>78</x:v>
      </x:c>
      <x:c r="K200" s="46" t="n">
        <x:v>78</x:v>
      </x:c>
      <x:c r="L200" s="46" t="n">
        <x:v>78</x:v>
      </x:c>
      <x:c r="M200" s="46" t="n">
        <x:v>77</x:v>
      </x:c>
      <x:c r="N200" s="46" t="n">
        <x:v>78</x:v>
      </x:c>
      <x:c r="O200" s="46" t="n">
        <x:v>78</x:v>
      </x:c>
      <x:c r="P200" s="46" t="n">
        <x:v>13</x:v>
      </x:c>
      <x:c r="Q200" s="46" t="n">
        <x:v>5</x:v>
      </x:c>
      <x:c r="R200" s="42" t="n">
        <x:f>0.30*J200+0.20*K200+0.25*L200+0.15*M200+0.10*O200</x:f>
        <x:v>77.85</x:v>
      </x:c>
      <x:c r="S200" s="42" t="n">
        <x:f>0.30*N200+0.20*L200+0.20*K200+0.15*O200+0.15*(100-P200)</x:f>
        <x:v>79.35</x:v>
      </x:c>
      <x:c r="T200" s="42" t="n">
        <x:f>(R200+S200)/2</x:f>
        <x:v>78.6</x:v>
      </x:c>
      <x:c r="U200" s="40" t="n">
        <x:f>1+COUNTIFS($T$2:$T$211,"&gt;"&amp;T200)+COUNTIFS($T$2:$T$211,T200,$R$2:$R$211,"&gt;"&amp;R200)</x:f>
        <x:v>182</x:v>
      </x:c>
      <x:c r="V200" s="40" t="str">
        <x:f>IF(U200&lt;=50,"Y","")</x:f>
      </x:c>
    </x:row>
    <x:row r="201">
      <x:c r="A201" s="40" t="str">
        <x:v>2606.08389</x:v>
      </x:c>
      <x:c r="B201" s="40" t="str">
        <x:v>2026-06</x:v>
      </x:c>
      <x:c r="C201" s="40" t="str">
        <x:v>math.AP</x:v>
      </x:c>
      <x:c r="D201" s="40" t="str">
        <x:v>analysis/PDE</x:v>
      </x:c>
      <x:c r="E201" s="40" t="str">
        <x:v>Pointwise arbitrarily high-order interior estimates for mixed local and nonlocal elliptic equations</x:v>
      </x:c>
      <x:c r="F201" s="40" t="str">
        <x:v>Pengyan Wang; Leyun Wu; Chilin Zhang</x:v>
      </x:c>
      <x:c r="G201" s="46"/>
      <x:c r="H201" s="40" t="str">
        <x:v>https://arxiv.org/abs/2606.08389</x:v>
      </x:c>
      <x:c r="I201" s="40" t="str">
        <x:v>30%评分池：按题名、作者、主题与页数预筛；默认主要结论正确，未逐篇逐行 correctness check。</x:v>
      </x:c>
      <x:c r="J201" s="46" t="n">
        <x:v>78</x:v>
      </x:c>
      <x:c r="K201" s="46" t="n">
        <x:v>77</x:v>
      </x:c>
      <x:c r="L201" s="46" t="n">
        <x:v>78</x:v>
      </x:c>
      <x:c r="M201" s="46" t="n">
        <x:v>78</x:v>
      </x:c>
      <x:c r="N201" s="46" t="n">
        <x:v>78</x:v>
      </x:c>
      <x:c r="O201" s="46" t="n">
        <x:v>78</x:v>
      </x:c>
      <x:c r="P201" s="46" t="n">
        <x:v>13</x:v>
      </x:c>
      <x:c r="Q201" s="46" t="n">
        <x:v>5</x:v>
      </x:c>
      <x:c r="R201" s="42" t="n">
        <x:f>0.30*J201+0.20*K201+0.25*L201+0.15*M201+0.10*O201</x:f>
        <x:v>77.8</x:v>
      </x:c>
      <x:c r="S201" s="42" t="n">
        <x:f>0.30*N201+0.20*L201+0.20*K201+0.15*O201+0.15*(100-P201)</x:f>
        <x:v>79.14999999999999</x:v>
      </x:c>
      <x:c r="T201" s="42" t="n">
        <x:f>(R201+S201)/2</x:f>
        <x:v>78.475</x:v>
      </x:c>
      <x:c r="U201" s="40" t="n">
        <x:f>1+COUNTIFS($T$2:$T$211,"&gt;"&amp;T201)+COUNTIFS($T$2:$T$211,T201,$R$2:$R$211,"&gt;"&amp;R201)</x:f>
        <x:v>200</x:v>
      </x:c>
      <x:c r="V201" s="40" t="str">
        <x:f>IF(U201&lt;=50,"Y","")</x:f>
      </x:c>
    </x:row>
    <x:row r="202">
      <x:c r="A202" s="40" t="str">
        <x:v>2606.08422</x:v>
      </x:c>
      <x:c r="B202" s="40" t="str">
        <x:v>2026-06</x:v>
      </x:c>
      <x:c r="C202" s="40" t="str">
        <x:v>math.AP</x:v>
      </x:c>
      <x:c r="D202" s="40" t="str">
        <x:v>inequalities/function spaces</x:v>
      </x:c>
      <x:c r="E202" s="40" t="str">
        <x:v>On the equality case in the Brunn-Minkowski inequality for the Monge-Ampere eigenvalue</x:v>
      </x:c>
      <x:c r="F202" s="40" t="str">
        <x:v>Nam Q. Le</x:v>
      </x:c>
      <x:c r="G202" s="46"/>
      <x:c r="H202" s="40" t="str">
        <x:v>https://arxiv.org/abs/2606.08422</x:v>
      </x:c>
      <x:c r="I202" s="40" t="str">
        <x:v>30%评分池：按题名、作者、主题与页数预筛；默认主要结论正确，未逐篇逐行 correctness check。</x:v>
      </x:c>
      <x:c r="J202" s="46" t="n">
        <x:v>78</x:v>
      </x:c>
      <x:c r="K202" s="46" t="n">
        <x:v>77</x:v>
      </x:c>
      <x:c r="L202" s="46" t="n">
        <x:v>78</x:v>
      </x:c>
      <x:c r="M202" s="46" t="n">
        <x:v>78</x:v>
      </x:c>
      <x:c r="N202" s="46" t="n">
        <x:v>78</x:v>
      </x:c>
      <x:c r="O202" s="46" t="n">
        <x:v>78</x:v>
      </x:c>
      <x:c r="P202" s="46" t="n">
        <x:v>13</x:v>
      </x:c>
      <x:c r="Q202" s="46" t="n">
        <x:v>5</x:v>
      </x:c>
      <x:c r="R202" s="42" t="n">
        <x:f>0.30*J202+0.20*K202+0.25*L202+0.15*M202+0.10*O202</x:f>
        <x:v>77.8</x:v>
      </x:c>
      <x:c r="S202" s="42" t="n">
        <x:f>0.30*N202+0.20*L202+0.20*K202+0.15*O202+0.15*(100-P202)</x:f>
        <x:v>79.14999999999999</x:v>
      </x:c>
      <x:c r="T202" s="42" t="n">
        <x:f>(R202+S202)/2</x:f>
        <x:v>78.475</x:v>
      </x:c>
      <x:c r="U202" s="40" t="n">
        <x:f>1+COUNTIFS($T$2:$T$211,"&gt;"&amp;T202)+COUNTIFS($T$2:$T$211,T202,$R$2:$R$211,"&gt;"&amp;R202)</x:f>
        <x:v>200</x:v>
      </x:c>
      <x:c r="V202" s="40" t="str">
        <x:f>IF(U202&lt;=50,"Y","")</x:f>
      </x:c>
    </x:row>
    <x:row r="203">
      <x:c r="A203" s="40" t="str">
        <x:v>2606.08650</x:v>
      </x:c>
      <x:c r="B203" s="40" t="str">
        <x:v>2026-06</x:v>
      </x:c>
      <x:c r="C203" s="40" t="str">
        <x:v>math.AP</x:v>
      </x:c>
      <x:c r="D203" s="40" t="str">
        <x:v>analysis/PDE</x:v>
      </x:c>
      <x:c r="E203" s="40" t="str">
        <x:v>Restriction estimates for toral eigenfunctions and lattice points in spherical regions</x:v>
      </x:c>
      <x:c r="F203" s="40" t="str">
        <x:v>Cheng Zhang; Zhifei Zhu</x:v>
      </x:c>
      <x:c r="G203" s="46" t="n">
        <x:v>26</x:v>
      </x:c>
      <x:c r="H203" s="40" t="str">
        <x:v>https://arxiv.org/abs/2606.08650</x:v>
      </x:c>
      <x:c r="I203" s="40" t="str">
        <x:v>30%评分池：按题名、作者、主题与页数预筛；默认主要结论正确，未逐篇逐行 correctness check。</x:v>
      </x:c>
      <x:c r="J203" s="46" t="n">
        <x:v>78</x:v>
      </x:c>
      <x:c r="K203" s="46" t="n">
        <x:v>77</x:v>
      </x:c>
      <x:c r="L203" s="46" t="n">
        <x:v>78</x:v>
      </x:c>
      <x:c r="M203" s="46" t="n">
        <x:v>78</x:v>
      </x:c>
      <x:c r="N203" s="46" t="n">
        <x:v>78</x:v>
      </x:c>
      <x:c r="O203" s="46" t="n">
        <x:v>78</x:v>
      </x:c>
      <x:c r="P203" s="46" t="n">
        <x:v>13</x:v>
      </x:c>
      <x:c r="Q203" s="46" t="n">
        <x:v>5</x:v>
      </x:c>
      <x:c r="R203" s="42" t="n">
        <x:f>0.30*J203+0.20*K203+0.25*L203+0.15*M203+0.10*O203</x:f>
        <x:v>77.8</x:v>
      </x:c>
      <x:c r="S203" s="42" t="n">
        <x:f>0.30*N203+0.20*L203+0.20*K203+0.15*O203+0.15*(100-P203)</x:f>
        <x:v>79.14999999999999</x:v>
      </x:c>
      <x:c r="T203" s="42" t="n">
        <x:f>(R203+S203)/2</x:f>
        <x:v>78.475</x:v>
      </x:c>
      <x:c r="U203" s="40" t="n">
        <x:f>1+COUNTIFS($T$2:$T$211,"&gt;"&amp;T203)+COUNTIFS($T$2:$T$211,T203,$R$2:$R$211,"&gt;"&amp;R203)</x:f>
        <x:v>200</x:v>
      </x:c>
      <x:c r="V203" s="40" t="str">
        <x:f>IF(U203&lt;=50,"Y","")</x:f>
      </x:c>
    </x:row>
    <x:row r="204">
      <x:c r="A204" s="40" t="str">
        <x:v>2606.08490</x:v>
      </x:c>
      <x:c r="B204" s="40" t="str">
        <x:v>2026-06</x:v>
      </x:c>
      <x:c r="C204" s="40" t="str">
        <x:v>math.AP</x:v>
      </x:c>
      <x:c r="D204" s="40" t="str">
        <x:v>analysis/PDE</x:v>
      </x:c>
      <x:c r="E204" s="40" t="str">
        <x:v>Nonexistence Results for Semilinear Parabolic and Hyperbolic Equations on Metric Graphs</x:v>
      </x:c>
      <x:c r="F204" s="40" t="str">
        <x:v>Yang Liu; Yong Lin; Haohang Zhang</x:v>
      </x:c>
      <x:c r="G204" s="46"/>
      <x:c r="H204" s="40" t="str">
        <x:v>https://arxiv.org/abs/2606.08490</x:v>
      </x:c>
      <x:c r="I204" s="40" t="str">
        <x:v>30%评分池：按题名、作者、主题与页数预筛；默认主要结论正确，未逐篇逐行 correctness check。</x:v>
      </x:c>
      <x:c r="J204" s="46" t="n">
        <x:v>78</x:v>
      </x:c>
      <x:c r="K204" s="46" t="n">
        <x:v>77</x:v>
      </x:c>
      <x:c r="L204" s="46" t="n">
        <x:v>78</x:v>
      </x:c>
      <x:c r="M204" s="46" t="n">
        <x:v>77</x:v>
      </x:c>
      <x:c r="N204" s="46" t="n">
        <x:v>78</x:v>
      </x:c>
      <x:c r="O204" s="46" t="n">
        <x:v>78</x:v>
      </x:c>
      <x:c r="P204" s="46" t="n">
        <x:v>13</x:v>
      </x:c>
      <x:c r="Q204" s="46" t="n">
        <x:v>5</x:v>
      </x:c>
      <x:c r="R204" s="42" t="n">
        <x:f>0.30*J204+0.20*K204+0.25*L204+0.15*M204+0.10*O204</x:f>
        <x:v>77.64999999999999</x:v>
      </x:c>
      <x:c r="S204" s="42" t="n">
        <x:f>0.30*N204+0.20*L204+0.20*K204+0.15*O204+0.15*(100-P204)</x:f>
        <x:v>79.14999999999999</x:v>
      </x:c>
      <x:c r="T204" s="42" t="n">
        <x:f>(R204+S204)/2</x:f>
        <x:v>78.39999999999999</x:v>
      </x:c>
      <x:c r="U204" s="40" t="n">
        <x:f>1+COUNTIFS($T$2:$T$211,"&gt;"&amp;T204)+COUNTIFS($T$2:$T$211,T204,$R$2:$R$211,"&gt;"&amp;R204)</x:f>
        <x:v>203</x:v>
      </x:c>
      <x:c r="V204" s="40" t="str">
        <x:f>IF(U204&lt;=50,"Y","")</x:f>
      </x:c>
    </x:row>
    <x:row r="205">
      <x:c r="A205" s="40" t="str">
        <x:v>2606.08518</x:v>
      </x:c>
      <x:c r="B205" s="40" t="str">
        <x:v>2026-06</x:v>
      </x:c>
      <x:c r="C205" s="40" t="str">
        <x:v>math.AP</x:v>
      </x:c>
      <x:c r="D205" s="40" t="str">
        <x:v>fluid/kinetic PDE</x:v>
      </x:c>
      <x:c r="E205" s="40" t="str">
        <x:v>Moisture Dynamics with Phase Changes in a Compressible Hydrostatic Atmosphere</x:v>
      </x:c>
      <x:c r="F205" s="40" t="str">
        <x:v>Lin Ma; Tarek Zochling</x:v>
      </x:c>
      <x:c r="G205" s="46"/>
      <x:c r="H205" s="40" t="str">
        <x:v>https://arxiv.org/abs/2606.08518</x:v>
      </x:c>
      <x:c r="I205" s="40" t="str">
        <x:v>30%评分池：按题名、作者、主题与页数预筛；默认主要结论正确，未逐篇逐行 correctness check。</x:v>
      </x:c>
      <x:c r="J205" s="46" t="n">
        <x:v>78</x:v>
      </x:c>
      <x:c r="K205" s="46" t="n">
        <x:v>77</x:v>
      </x:c>
      <x:c r="L205" s="46" t="n">
        <x:v>78</x:v>
      </x:c>
      <x:c r="M205" s="46" t="n">
        <x:v>77</x:v>
      </x:c>
      <x:c r="N205" s="46" t="n">
        <x:v>78</x:v>
      </x:c>
      <x:c r="O205" s="46" t="n">
        <x:v>78</x:v>
      </x:c>
      <x:c r="P205" s="46" t="n">
        <x:v>13</x:v>
      </x:c>
      <x:c r="Q205" s="46" t="n">
        <x:v>5</x:v>
      </x:c>
      <x:c r="R205" s="42" t="n">
        <x:f>0.30*J205+0.20*K205+0.25*L205+0.15*M205+0.10*O205</x:f>
        <x:v>77.64999999999999</x:v>
      </x:c>
      <x:c r="S205" s="42" t="n">
        <x:f>0.30*N205+0.20*L205+0.20*K205+0.15*O205+0.15*(100-P205)</x:f>
        <x:v>79.14999999999999</x:v>
      </x:c>
      <x:c r="T205" s="42" t="n">
        <x:f>(R205+S205)/2</x:f>
        <x:v>78.39999999999999</x:v>
      </x:c>
      <x:c r="U205" s="40" t="n">
        <x:f>1+COUNTIFS($T$2:$T$211,"&gt;"&amp;T205)+COUNTIFS($T$2:$T$211,T205,$R$2:$R$211,"&gt;"&amp;R205)</x:f>
        <x:v>203</x:v>
      </x:c>
      <x:c r="V205" s="40" t="str">
        <x:f>IF(U205&lt;=50,"Y","")</x:f>
      </x:c>
    </x:row>
    <x:row r="206">
      <x:c r="A206" s="40" t="str">
        <x:v>2606.08861</x:v>
      </x:c>
      <x:c r="B206" s="40" t="str">
        <x:v>2026-06</x:v>
      </x:c>
      <x:c r="C206" s="40" t="str">
        <x:v>math.AP</x:v>
      </x:c>
      <x:c r="D206" s="40" t="str">
        <x:v>elliptic/parabolic regularity</x:v>
      </x:c>
      <x:c r="E206" s="40" t="str">
        <x:v>Boundedness and evolution rates for a quasilinear reaction-diffusion equation</x:v>
      </x:c>
      <x:c r="F206" s="40" t="str">
        <x:v>Razvan Gabriel Iagar; Marta Latorre; Ariel Sanchez</x:v>
      </x:c>
      <x:c r="G206" s="46"/>
      <x:c r="H206" s="40" t="str">
        <x:v>https://arxiv.org/abs/2606.08861</x:v>
      </x:c>
      <x:c r="I206" s="40" t="str">
        <x:v>30%评分池：按题名、作者、主题与页数预筛；默认主要结论正确，未逐篇逐行 correctness check。</x:v>
      </x:c>
      <x:c r="J206" s="46" t="n">
        <x:v>78</x:v>
      </x:c>
      <x:c r="K206" s="46" t="n">
        <x:v>77</x:v>
      </x:c>
      <x:c r="L206" s="46" t="n">
        <x:v>78</x:v>
      </x:c>
      <x:c r="M206" s="46" t="n">
        <x:v>77</x:v>
      </x:c>
      <x:c r="N206" s="46" t="n">
        <x:v>78</x:v>
      </x:c>
      <x:c r="O206" s="46" t="n">
        <x:v>78</x:v>
      </x:c>
      <x:c r="P206" s="46" t="n">
        <x:v>13</x:v>
      </x:c>
      <x:c r="Q206" s="46" t="n">
        <x:v>5</x:v>
      </x:c>
      <x:c r="R206" s="42" t="n">
        <x:f>0.30*J206+0.20*K206+0.25*L206+0.15*M206+0.10*O206</x:f>
        <x:v>77.64999999999999</x:v>
      </x:c>
      <x:c r="S206" s="42" t="n">
        <x:f>0.30*N206+0.20*L206+0.20*K206+0.15*O206+0.15*(100-P206)</x:f>
        <x:v>79.14999999999999</x:v>
      </x:c>
      <x:c r="T206" s="42" t="n">
        <x:f>(R206+S206)/2</x:f>
        <x:v>78.39999999999999</x:v>
      </x:c>
      <x:c r="U206" s="40" t="n">
        <x:f>1+COUNTIFS($T$2:$T$211,"&gt;"&amp;T206)+COUNTIFS($T$2:$T$211,T206,$R$2:$R$211,"&gt;"&amp;R206)</x:f>
        <x:v>203</x:v>
      </x:c>
      <x:c r="V206" s="40" t="str">
        <x:f>IF(U206&lt;=50,"Y","")</x:f>
      </x:c>
    </x:row>
    <x:row r="207">
      <x:c r="A207" s="40" t="str">
        <x:v>2606.22944</x:v>
      </x:c>
      <x:c r="B207" s="40" t="str">
        <x:v>2026-06</x:v>
      </x:c>
      <x:c r="C207" s="40" t="str">
        <x:v>math.AP</x:v>
      </x:c>
      <x:c r="D207" s="40" t="str">
        <x:v>fluid/kinetic PDE</x:v>
      </x:c>
      <x:c r="E207" s="40" t="str">
        <x:v>Improved convergence rates and larger initial data for 3D-2D asymptotics of rotating MHD and rotating fluids systems</x:v>
      </x:c>
      <x:c r="F207" s="40" t="str">
        <x:v>Frederic Charve</x:v>
      </x:c>
      <x:c r="G207" s="46"/>
      <x:c r="H207" s="40" t="str">
        <x:v>https://arxiv.org/abs/2606.22944</x:v>
      </x:c>
      <x:c r="I207" s="40" t="str">
        <x:v>30%评分池：按题名、作者、主题与页数预筛；默认主要结论正确，未逐篇逐行 correctness check。</x:v>
      </x:c>
      <x:c r="J207" s="46" t="n">
        <x:v>78</x:v>
      </x:c>
      <x:c r="K207" s="46" t="n">
        <x:v>77</x:v>
      </x:c>
      <x:c r="L207" s="46" t="n">
        <x:v>78</x:v>
      </x:c>
      <x:c r="M207" s="46" t="n">
        <x:v>77</x:v>
      </x:c>
      <x:c r="N207" s="46" t="n">
        <x:v>78</x:v>
      </x:c>
      <x:c r="O207" s="46" t="n">
        <x:v>78</x:v>
      </x:c>
      <x:c r="P207" s="46" t="n">
        <x:v>13</x:v>
      </x:c>
      <x:c r="Q207" s="46" t="n">
        <x:v>5</x:v>
      </x:c>
      <x:c r="R207" s="42" t="n">
        <x:f>0.30*J207+0.20*K207+0.25*L207+0.15*M207+0.10*O207</x:f>
        <x:v>77.64999999999999</x:v>
      </x:c>
      <x:c r="S207" s="42" t="n">
        <x:f>0.30*N207+0.20*L207+0.20*K207+0.15*O207+0.15*(100-P207)</x:f>
        <x:v>79.14999999999999</x:v>
      </x:c>
      <x:c r="T207" s="42" t="n">
        <x:f>(R207+S207)/2</x:f>
        <x:v>78.39999999999999</x:v>
      </x:c>
      <x:c r="U207" s="40" t="n">
        <x:f>1+COUNTIFS($T$2:$T$211,"&gt;"&amp;T207)+COUNTIFS($T$2:$T$211,T207,$R$2:$R$211,"&gt;"&amp;R207)</x:f>
        <x:v>203</x:v>
      </x:c>
      <x:c r="V207" s="40" t="str">
        <x:f>IF(U207&lt;=50,"Y","")</x:f>
      </x:c>
    </x:row>
    <x:row r="208">
      <x:c r="A208" s="40" t="str">
        <x:v>2606.11093</x:v>
      </x:c>
      <x:c r="B208" s="40" t="str">
        <x:v>2026-06</x:v>
      </x:c>
      <x:c r="C208" s="40" t="str">
        <x:v>math.AP</x:v>
      </x:c>
      <x:c r="D208" s="40" t="str">
        <x:v>dispersive PDE</x:v>
      </x:c>
      <x:c r="E208" s="40" t="str">
        <x:v>Dispersive estimates for wave-type equations with time-dependent damping</x:v>
      </x:c>
      <x:c r="F208" s="40" t="str">
        <x:v>Halit Sevki Aslan; Marcelo Rempel Ebert</x:v>
      </x:c>
      <x:c r="G208" s="46" t="n">
        <x:v>26</x:v>
      </x:c>
      <x:c r="H208" s="40" t="str">
        <x:v>https://arxiv.org/abs/2606.11093</x:v>
      </x:c>
      <x:c r="I208" s="40" t="str">
        <x:v>30%评分池：按题名、作者、主题与页数预筛；默认主要结论正确，未逐篇逐行 correctness check。</x:v>
      </x:c>
      <x:c r="J208" s="46" t="n">
        <x:v>77</x:v>
      </x:c>
      <x:c r="K208" s="46" t="n">
        <x:v>77</x:v>
      </x:c>
      <x:c r="L208" s="46" t="n">
        <x:v>78</x:v>
      </x:c>
      <x:c r="M208" s="46" t="n">
        <x:v>78</x:v>
      </x:c>
      <x:c r="N208" s="46" t="n">
        <x:v>77</x:v>
      </x:c>
      <x:c r="O208" s="46" t="n">
        <x:v>78</x:v>
      </x:c>
      <x:c r="P208" s="46" t="n">
        <x:v>13</x:v>
      </x:c>
      <x:c r="Q208" s="46" t="n">
        <x:v>5</x:v>
      </x:c>
      <x:c r="R208" s="42" t="n">
        <x:f>0.30*J208+0.20*K208+0.25*L208+0.15*M208+0.10*O208</x:f>
        <x:v>77.5</x:v>
      </x:c>
      <x:c r="S208" s="42" t="n">
        <x:f>0.30*N208+0.20*L208+0.20*K208+0.15*O208+0.15*(100-P208)</x:f>
        <x:v>78.85</x:v>
      </x:c>
      <x:c r="T208" s="42" t="n">
        <x:f>(R208+S208)/2</x:f>
        <x:v>78.175</x:v>
      </x:c>
      <x:c r="U208" s="40" t="n">
        <x:f>1+COUNTIFS($T$2:$T$211,"&gt;"&amp;T208)+COUNTIFS($T$2:$T$211,T208,$R$2:$R$211,"&gt;"&amp;R208)</x:f>
        <x:v>207</x:v>
      </x:c>
      <x:c r="V208" s="40" t="str">
        <x:f>IF(U208&lt;=50,"Y","")</x:f>
      </x:c>
    </x:row>
    <x:row r="209">
      <x:c r="A209" s="40" t="str">
        <x:v>2606.10131</x:v>
      </x:c>
      <x:c r="B209" s="40" t="str">
        <x:v>2026-06</x:v>
      </x:c>
      <x:c r="C209" s="40" t="str">
        <x:v>math.AP</x:v>
      </x:c>
      <x:c r="D209" s="40" t="str">
        <x:v>analysis/PDE</x:v>
      </x:c>
      <x:c r="E209" s="40" t="str">
        <x:v>Principal eigenvalues, maximum principles and estimates for Lane-Emden related systems in nondivergence form</x:v>
      </x:c>
      <x:c r="F209" s="40" t="str">
        <x:v>Leandro G. Fernandes Jr.; Edir Junior Ferreira Leite</x:v>
      </x:c>
      <x:c r="G209" s="46"/>
      <x:c r="H209" s="40" t="str">
        <x:v>https://arxiv.org/abs/2606.10131</x:v>
      </x:c>
      <x:c r="I209" s="40" t="str">
        <x:v>30%评分池：按题名、作者、主题与页数预筛；默认主要结论正确，未逐篇逐行 correctness check。</x:v>
      </x:c>
      <x:c r="J209" s="46" t="n">
        <x:v>77</x:v>
      </x:c>
      <x:c r="K209" s="46" t="n">
        <x:v>77</x:v>
      </x:c>
      <x:c r="L209" s="46" t="n">
        <x:v>77</x:v>
      </x:c>
      <x:c r="M209" s="46" t="n">
        <x:v>78</x:v>
      </x:c>
      <x:c r="N209" s="46" t="n">
        <x:v>78</x:v>
      </x:c>
      <x:c r="O209" s="46" t="n">
        <x:v>78</x:v>
      </x:c>
      <x:c r="P209" s="46" t="n">
        <x:v>13</x:v>
      </x:c>
      <x:c r="Q209" s="46" t="n">
        <x:v>5</x:v>
      </x:c>
      <x:c r="R209" s="42" t="n">
        <x:f>0.30*J209+0.20*K209+0.25*L209+0.15*M209+0.10*O209</x:f>
        <x:v>77.25</x:v>
      </x:c>
      <x:c r="S209" s="42" t="n">
        <x:f>0.30*N209+0.20*L209+0.20*K209+0.15*O209+0.15*(100-P209)</x:f>
        <x:v>78.94999999999999</x:v>
      </x:c>
      <x:c r="T209" s="42" t="n">
        <x:f>(R209+S209)/2</x:f>
        <x:v>78.1</x:v>
      </x:c>
      <x:c r="U209" s="40" t="n">
        <x:f>1+COUNTIFS($T$2:$T$211,"&gt;"&amp;T209)+COUNTIFS($T$2:$T$211,T209,$R$2:$R$211,"&gt;"&amp;R209)</x:f>
        <x:v>208</x:v>
      </x:c>
      <x:c r="V209" s="40" t="str">
        <x:f>IF(U209&lt;=50,"Y","")</x:f>
      </x:c>
    </x:row>
    <x:row r="210">
      <x:c r="A210" s="40" t="str">
        <x:v>2606.10687</x:v>
      </x:c>
      <x:c r="B210" s="40" t="str">
        <x:v>2026-06</x:v>
      </x:c>
      <x:c r="C210" s="40" t="str">
        <x:v>math.AP</x:v>
      </x:c>
      <x:c r="D210" s="40" t="str">
        <x:v>dispersive PDE</x:v>
      </x:c>
      <x:c r="E210" s="40" t="str">
        <x:v>Long-wave KdV hierarchy approximation of the NLS hierarchy with nonzero boundary conditions</x:v>
      </x:c>
      <x:c r="F210" s="40" t="str">
        <x:v>Robert Wegner</x:v>
      </x:c>
      <x:c r="G210" s="46"/>
      <x:c r="H210" s="40" t="str">
        <x:v>https://arxiv.org/abs/2606.10687</x:v>
      </x:c>
      <x:c r="I210" s="40" t="str">
        <x:v>30%评分池：按题名、作者、主题与页数预筛；默认主要结论正确，未逐篇逐行 correctness check。</x:v>
      </x:c>
      <x:c r="J210" s="46" t="n">
        <x:v>77</x:v>
      </x:c>
      <x:c r="K210" s="46" t="n">
        <x:v>77</x:v>
      </x:c>
      <x:c r="L210" s="46" t="n">
        <x:v>78</x:v>
      </x:c>
      <x:c r="M210" s="46" t="n">
        <x:v>76</x:v>
      </x:c>
      <x:c r="N210" s="46" t="n">
        <x:v>78</x:v>
      </x:c>
      <x:c r="O210" s="46" t="n">
        <x:v>77</x:v>
      </x:c>
      <x:c r="P210" s="46" t="n">
        <x:v>14</x:v>
      </x:c>
      <x:c r="Q210" s="46" t="n">
        <x:v>5</x:v>
      </x:c>
      <x:c r="R210" s="42" t="n">
        <x:f>0.30*J210+0.20*K210+0.25*L210+0.15*M210+0.10*O210</x:f>
        <x:v>77.10000000000001</x:v>
      </x:c>
      <x:c r="S210" s="42" t="n">
        <x:f>0.30*N210+0.20*L210+0.20*K210+0.15*O210+0.15*(100-P210)</x:f>
        <x:v>78.85000000000001</x:v>
      </x:c>
      <x:c r="T210" s="42" t="n">
        <x:f>(R210+S210)/2</x:f>
        <x:v>77.97500000000001</x:v>
      </x:c>
      <x:c r="U210" s="40" t="n">
        <x:f>1+COUNTIFS($T$2:$T$211,"&gt;"&amp;T210)+COUNTIFS($T$2:$T$211,T210,$R$2:$R$211,"&gt;"&amp;R210)</x:f>
        <x:v>209</x:v>
      </x:c>
      <x:c r="V210" s="40" t="str">
        <x:f>IF(U210&lt;=50,"Y","")</x:f>
      </x:c>
    </x:row>
    <x:row r="211">
      <x:c r="A211" s="40" t="str">
        <x:v>2606.28375</x:v>
      </x:c>
      <x:c r="B211" s="40" t="str">
        <x:v>2026-06</x:v>
      </x:c>
      <x:c r="C211" s="40" t="str">
        <x:v>math.AP</x:v>
      </x:c>
      <x:c r="D211" s="40" t="str">
        <x:v>fluid/kinetic PDE</x:v>
      </x:c>
      <x:c r="E211" s="40" t="str">
        <x:v>On classification of dynamics for dust fluid under spherical symmetry in Schwarzschild spacetime</x:v>
      </x:c>
      <x:c r="F211" s="40" t="str">
        <x:v>Yifan Liu; Shuang Miao; Changhua Wei</x:v>
      </x:c>
      <x:c r="G211" s="46" t="n">
        <x:v>30</x:v>
      </x:c>
      <x:c r="H211" s="40" t="str">
        <x:v>https://arxiv.org/abs/2606.28375</x:v>
      </x:c>
      <x:c r="I211" s="40" t="str">
        <x:v>30%评分池：按题名、作者、主题与页数预筛；默认主要结论正确，未逐篇逐行 correctness check。</x:v>
      </x:c>
      <x:c r="J211" s="46" t="n">
        <x:v>77</x:v>
      </x:c>
      <x:c r="K211" s="46" t="n">
        <x:v>78</x:v>
      </x:c>
      <x:c r="L211" s="46" t="n">
        <x:v>77</x:v>
      </x:c>
      <x:c r="M211" s="46" t="n">
        <x:v>76</x:v>
      </x:c>
      <x:c r="N211" s="46" t="n">
        <x:v>77</x:v>
      </x:c>
      <x:c r="O211" s="46" t="n">
        <x:v>77</x:v>
      </x:c>
      <x:c r="P211" s="46" t="n">
        <x:v>13</x:v>
      </x:c>
      <x:c r="Q211" s="46" t="n">
        <x:v>5</x:v>
      </x:c>
      <x:c r="R211" s="42" t="n">
        <x:f>0.30*J211+0.20*K211+0.25*L211+0.15*M211+0.10*O211</x:f>
        <x:v>77.05000000000001</x:v>
      </x:c>
      <x:c r="S211" s="42" t="n">
        <x:f>0.30*N211+0.20*L211+0.20*K211+0.15*O211+0.15*(100-P211)</x:f>
        <x:v>78.7</x:v>
      </x:c>
      <x:c r="T211" s="42" t="n">
        <x:f>(R211+S211)/2</x:f>
        <x:v>77.875</x:v>
      </x:c>
      <x:c r="U211" s="40" t="n">
        <x:f>1+COUNTIFS($T$2:$T$211,"&gt;"&amp;T211)+COUNTIFS($T$2:$T$211,T211,$R$2:$R$211,"&gt;"&amp;R211)</x:f>
        <x:v>210</x:v>
      </x:c>
      <x:c r="V211" s="40" t="str">
        <x:f>IF(U211&lt;=50,"Y","")</x:f>
      </x:c>
    </x:row>
  </x:sheetData>
  <x:conditionalFormatting sqref="T2:T2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8370695f2b34b1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0" hidden="0" customWidth="1"/>
    <x:col min="4" max="4" width="14" hidden="0" customWidth="1"/>
    <x:col min="5" max="5" width="50" hidden="0" customWidth="1"/>
    <x:col min="6" max="6" width="30" hidden="0" customWidth="1"/>
    <x:col min="7" max="7" width="24" hidden="0" customWidth="1"/>
    <x:col min="8" max="8" width="8" hidden="0" customWidth="1"/>
    <x:col min="9" max="9" width="10" hidden="0" customWidth="1"/>
    <x:col min="10" max="10" width="10" hidden="0" customWidth="1"/>
    <x:col min="11" max="11" width="10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30" hidden="0" customWidth="1"/>
    <x:col min="20" max="20" width="50" hidden="0" customWidth="1"/>
  </x:cols>
  <x:sheetData>
    <x:row r="1" ht="30" customHeight="1">
      <x:c r="A1" s="125" t="str">
        <x:v>PeriodRank</x:v>
      </x:c>
      <x:c r="B1" s="125" t="str">
        <x:v>OverallRank_5_8</x:v>
      </x:c>
      <x:c r="C1" s="125" t="str">
        <x:v>Month</x:v>
      </x:c>
      <x:c r="D1" s="125" t="str">
        <x:v>arXiv</x:v>
      </x:c>
      <x:c r="E1" s="125" t="str">
        <x:v>Title</x:v>
      </x:c>
      <x:c r="F1" s="125" t="str">
        <x:v>Authors</x:v>
      </x:c>
      <x:c r="G1" s="125" t="str">
        <x:v>Theme</x:v>
      </x:c>
      <x:c r="H1" s="125" t="str">
        <x:v>Pages</x:v>
      </x:c>
      <x:c r="I1" s="125" t="str">
        <x:v>S_eq</x:v>
      </x:c>
      <x:c r="J1" s="125" t="str">
        <x:v>V</x:v>
      </x:c>
      <x:c r="K1" s="125" t="str">
        <x:v>S_H</x:v>
      </x:c>
      <x:c r="L1" s="125" t="str">
        <x:v>I</x:v>
      </x:c>
      <x:c r="M1" s="125" t="str">
        <x:v>O</x:v>
      </x:c>
      <x:c r="N1" s="125" t="str">
        <x:v>T</x:v>
      </x:c>
      <x:c r="O1" s="125" t="str">
        <x:v>B</x:v>
      </x:c>
      <x:c r="P1" s="125" t="str">
        <x:v>H</x:v>
      </x:c>
      <x:c r="Q1" s="125" t="str">
        <x:v>R</x:v>
      </x:c>
      <x:c r="R1" s="125" t="str">
        <x:v>AI_pct</x:v>
      </x:c>
      <x:c r="S1" s="125" t="str">
        <x:v>SourceURL</x:v>
      </x:c>
      <x:c r="T1" s="125" t="str">
        <x:v>综合判断</x:v>
      </x:c>
    </x:row>
    <x:row r="2" ht="36" customHeight="1">
      <x:c r="A2" s="129" t="n">
        <x:v>1</x:v>
      </x:c>
      <x:c r="B2" s="129" t="n">
        <x:f>MATCH(D2,May_Aug_AllRank!$D$2:$D$575,0)</x:f>
        <x:v>1</x:v>
      </x:c>
      <x:c r="C2" s="129" t="str">
        <x:v>2026-06</x:v>
      </x:c>
      <x:c r="D2" s="129" t="str">
        <x:v>2606.28008</x:v>
      </x:c>
      <x:c r="E2" s="129" t="str">
        <x:v>(Non-)Linear waves on asymptotically flat spacetimes. II: trapping, bound states, nonlinear applications</x:v>
      </x:c>
      <x:c r="F2" s="129" t="str">
        <x:v>Peter Hintz</x:v>
      </x:c>
      <x:c r="G2" s="129" t="str">
        <x:v>GR/nonlinear waves</x:v>
      </x:c>
      <x:c r="H2" s="129" t="str">
        <x:v>285</x:v>
      </x:c>
      <x:c r="I2" s="130" t="n">
        <x:v>95.8</x:v>
      </x:c>
      <x:c r="J2" s="130" t="n">
        <x:v>96.17</x:v>
      </x:c>
      <x:c r="K2" s="130" t="n">
        <x:v>95.43</x:v>
      </x:c>
      <x:c r="L2" s="130" t="n">
        <x:v>99</x:v>
      </x:c>
      <x:c r="M2" s="130" t="n">
        <x:v>95.7</x:v>
      </x:c>
      <x:c r="N2" s="130" t="n">
        <x:v>99.3</x:v>
      </x:c>
      <x:c r="O2" s="130" t="n">
        <x:v>92.7</x:v>
      </x:c>
      <x:c r="P2" s="130" t="n">
        <x:v>99.1</x:v>
      </x:c>
      <x:c r="Q2" s="130" t="n">
        <x:v>86</x:v>
      </x:c>
      <x:c r="R2" s="130" t="n">
        <x:v>8</x:v>
      </x:c>
      <x:c r="S2" s="128" t="str">
        <x:v>https://arxiv.org/abs/2606.28008</x:v>
      </x:c>
      <x:c r="T2" s="128" t="str">
        <x:v>Large nonlinear/scattering framework on asymptotically flat spacetimes; exceptional technical scope.</x:v>
      </x:c>
    </x:row>
    <x:row r="3" ht="36" customHeight="1">
      <x:c r="A3" s="129" t="n">
        <x:v>2</x:v>
      </x:c>
      <x:c r="B3" s="129" t="n">
        <x:f>MATCH(D3,May_Aug_AllRank!$D$2:$D$575,0)</x:f>
        <x:v>4</x:v>
      </x:c>
      <x:c r="C3" s="129" t="str">
        <x:v>2026-06</x:v>
      </x:c>
      <x:c r="D3" s="129" t="str">
        <x:v>2606.27658</x:v>
      </x:c>
      <x:c r="E3" s="129" t="str">
        <x:v>Constraint damping on subextremal Kerr spacetimes</x:v>
      </x:c>
      <x:c r="F3" s="129" t="str">
        <x:v>Peter Hintz</x:v>
      </x:c>
      <x:c r="G3" s="129" t="str">
        <x:v>Kerr/GR hyperbolic PDE</x:v>
      </x:c>
      <x:c r="H3" s="129" t="str">
        <x:v>100</x:v>
      </x:c>
      <x:c r="I3" s="130" t="n">
        <x:v>94.22</x:v>
      </x:c>
      <x:c r="J3" s="130" t="n">
        <x:v>94.48</x:v>
      </x:c>
      <x:c r="K3" s="130" t="n">
        <x:v>93.95</x:v>
      </x:c>
      <x:c r="L3" s="130" t="n">
        <x:v>97.1</x:v>
      </x:c>
      <x:c r="M3" s="130" t="n">
        <x:v>94</x:v>
      </x:c>
      <x:c r="N3" s="130" t="n">
        <x:v>97.2</x:v>
      </x:c>
      <x:c r="O3" s="130" t="n">
        <x:v>91</x:v>
      </x:c>
      <x:c r="P3" s="130" t="n">
        <x:v>97.2</x:v>
      </x:c>
      <x:c r="Q3" s="130" t="n">
        <x:v>86</x:v>
      </x:c>
      <x:c r="R3" s="130" t="n">
        <x:v>9</x:v>
      </x:c>
      <x:c r="S3" s="128" t="str">
        <x:v>https://arxiv.org/abs/2606.27658</x:v>
      </x:c>
      <x:c r="T3" s="128" t="str">
        <x:v>Kerr stability-adjacent constraint damping analysis; high geometry and microlocal PDE complexity.</x:v>
      </x:c>
    </x:row>
    <x:row r="4" ht="36" customHeight="1">
      <x:c r="A4" s="129" t="n">
        <x:v>3</x:v>
      </x:c>
      <x:c r="B4" s="129" t="n">
        <x:f>MATCH(D4,May_Aug_AllRank!$D$2:$D$575,0)</x:f>
        <x:v>5</x:v>
      </x:c>
      <x:c r="C4" s="129" t="str">
        <x:v>2026-06</x:v>
      </x:c>
      <x:c r="D4" s="129" t="str">
        <x:v>2606.04449</x:v>
      </x:c>
      <x:c r="E4" s="129" t="str">
        <x:v>Construction of multi-bubble solutions for the energy-critical wave equation in dimension four</x:v>
      </x:c>
      <x:c r="F4" s="129" t="str">
        <x:v>Jingyuan Gu; Jacek Jendrej; Lifeng Zhao</x:v>
      </x:c>
      <x:c r="G4" s="129" t="str">
        <x:v>nonlinear wave blow-up</x:v>
      </x:c>
      <x:c r="H4" s="129" t="str">
        <x:v>90</x:v>
      </x:c>
      <x:c r="I4" s="130" t="n">
        <x:v>93.96</x:v>
      </x:c>
      <x:c r="J4" s="130" t="n">
        <x:v>94.01</x:v>
      </x:c>
      <x:c r="K4" s="130" t="n">
        <x:v>93.9</x:v>
      </x:c>
      <x:c r="L4" s="130" t="n">
        <x:v>96.1</x:v>
      </x:c>
      <x:c r="M4" s="130" t="n">
        <x:v>94</x:v>
      </x:c>
      <x:c r="N4" s="130" t="n">
        <x:v>97.1</x:v>
      </x:c>
      <x:c r="O4" s="130" t="n">
        <x:v>90</x:v>
      </x:c>
      <x:c r="P4" s="130" t="n">
        <x:v>97.1</x:v>
      </x:c>
      <x:c r="Q4" s="130" t="n">
        <x:v>86</x:v>
      </x:c>
      <x:c r="R4" s="130" t="n">
        <x:v>9</x:v>
      </x:c>
      <x:c r="S4" s="128" t="str">
        <x:v>https://arxiv.org/abs/2606.04449</x:v>
      </x:c>
      <x:c r="T4" s="128" t="str">
        <x:v>Major multi-bubble construction in the energy-critical wave equation; long modulation scheme.</x:v>
      </x:c>
    </x:row>
    <x:row r="5" ht="36" customHeight="1">
      <x:c r="A5" s="129" t="n">
        <x:v>4</x:v>
      </x:c>
      <x:c r="B5" s="129" t="n">
        <x:f>MATCH(D5,May_Aug_AllRank!$D$2:$D$575,0)</x:f>
        <x:v>10</x:v>
      </x:c>
      <x:c r="C5" s="129" t="str">
        <x:v>2026-06</x:v>
      </x:c>
      <x:c r="D5" s="129" t="str">
        <x:v>2606.00538</x:v>
      </x:c>
      <x:c r="E5" s="129" t="str">
        <x:v>Classification of blow-ups for the Alt--Phillips problem in three dimensions</x:v>
      </x:c>
      <x:c r="F5" s="129" t="str">
        <x:v>Xavier Fernandez-Real</x:v>
      </x:c>
      <x:c r="G5" s="129" t="str">
        <x:v>free boundary/regularity</x:v>
      </x:c>
      <x:c r="H5" s="129"/>
      <x:c r="I5" s="130" t="n">
        <x:v>93.05</x:v>
      </x:c>
      <x:c r="J5" s="130" t="n">
        <x:v>93.43</x:v>
      </x:c>
      <x:c r="K5" s="130" t="n">
        <x:v>92.67</x:v>
      </x:c>
      <x:c r="L5" s="130" t="n">
        <x:v>96</x:v>
      </x:c>
      <x:c r="M5" s="130" t="n">
        <x:v>93.2</x:v>
      </x:c>
      <x:c r="N5" s="130" t="n">
        <x:v>94</x:v>
      </x:c>
      <x:c r="O5" s="130" t="n">
        <x:v>91.3</x:v>
      </x:c>
      <x:c r="P5" s="130" t="n">
        <x:v>95.1</x:v>
      </x:c>
      <x:c r="Q5" s="130" t="n">
        <x:v>88</x:v>
      </x:c>
      <x:c r="R5" s="130" t="n">
        <x:v>10</x:v>
      </x:c>
      <x:c r="S5" s="128" t="str">
        <x:v>https://arxiv.org/abs/2606.00538</x:v>
      </x:c>
      <x:c r="T5" s="128" t="str">
        <x:v>Classification theorem for Alt-Phillips blow-ups in 3D; strong free-boundary regularity content.</x:v>
      </x:c>
    </x:row>
    <x:row r="6" ht="36" customHeight="1">
      <x:c r="A6" s="129" t="n">
        <x:v>5</x:v>
      </x:c>
      <x:c r="B6" s="129" t="n">
        <x:f>MATCH(D6,May_Aug_AllRank!$D$2:$D$575,0)</x:f>
        <x:v>13</x:v>
      </x:c>
      <x:c r="C6" s="129" t="str">
        <x:v>2026-06</x:v>
      </x:c>
      <x:c r="D6" s="129" t="str">
        <x:v>2606.01331</x:v>
      </x:c>
      <x:c r="E6" s="129" t="str">
        <x:v>Sharp H_x^s Ill-posedness of the Hard-sphere Boltzmann Equation</x:v>
      </x:c>
      <x:c r="F6" s="129" t="str">
        <x:v>Xuwen Chen; Yan Guo; Shunlin Shen; Zhifei Zhang</x:v>
      </x:c>
      <x:c r="G6" s="129" t="str">
        <x:v>kinetic PDE</x:v>
      </x:c>
      <x:c r="H6" s="129"/>
      <x:c r="I6" s="130" t="n">
        <x:v>92.55</x:v>
      </x:c>
      <x:c r="J6" s="130" t="n">
        <x:v>92.7</x:v>
      </x:c>
      <x:c r="K6" s="130" t="n">
        <x:v>92.4</x:v>
      </x:c>
      <x:c r="L6" s="130" t="n">
        <x:v>95.1</x:v>
      </x:c>
      <x:c r="M6" s="130" t="n">
        <x:v>92.1</x:v>
      </x:c>
      <x:c r="N6" s="130" t="n">
        <x:v>95.1</x:v>
      </x:c>
      <x:c r="O6" s="130" t="n">
        <x:v>89.2</x:v>
      </x:c>
      <x:c r="P6" s="130" t="n">
        <x:v>95.2</x:v>
      </x:c>
      <x:c r="Q6" s="130" t="n">
        <x:v>86</x:v>
      </x:c>
      <x:c r="R6" s="130" t="n">
        <x:v>10</x:v>
      </x:c>
      <x:c r="S6" s="128" t="str">
        <x:v>https://arxiv.org/abs/2606.01331</x:v>
      </x:c>
      <x:c r="T6" s="128" t="str">
        <x:v>Sharp ill-posedness threshold for the hard-sphere Boltzmann equation; technically demanding kinetic analysis.</x:v>
      </x:c>
    </x:row>
    <x:row r="7" ht="36" customHeight="1">
      <x:c r="A7" s="129" t="n">
        <x:v>6</x:v>
      </x:c>
      <x:c r="B7" s="129" t="n">
        <x:f>MATCH(D7,May_Aug_AllRank!$D$2:$D$575,0)</x:f>
        <x:v>14</x:v>
      </x:c>
      <x:c r="C7" s="129" t="str">
        <x:v>2026-06</x:v>
      </x:c>
      <x:c r="D7" s="129" t="str">
        <x:v>2606.12192</x:v>
      </x:c>
      <x:c r="E7" s="129" t="str">
        <x:v>A Generalized Framework for L^r Convex Integration and its Application to Geophysical Models</x:v>
      </x:c>
      <x:c r="F7" s="129" t="str">
        <x:v>Daniel W. Boutros; Simon Markfelder; Edriss S. Titi</x:v>
      </x:c>
      <x:c r="G7" s="129" t="str">
        <x:v>convex integration/geophysical PDE</x:v>
      </x:c>
      <x:c r="H7" s="129" t="str">
        <x:v>90</x:v>
      </x:c>
      <x:c r="I7" s="130" t="n">
        <x:v>92.45</x:v>
      </x:c>
      <x:c r="J7" s="130" t="n">
        <x:v>92.58</x:v>
      </x:c>
      <x:c r="K7" s="130" t="n">
        <x:v>92.31</x:v>
      </x:c>
      <x:c r="L7" s="130" t="n">
        <x:v>94</x:v>
      </x:c>
      <x:c r="M7" s="130" t="n">
        <x:v>93.3</x:v>
      </x:c>
      <x:c r="N7" s="130" t="n">
        <x:v>95.1</x:v>
      </x:c>
      <x:c r="O7" s="130" t="n">
        <x:v>90.3</x:v>
      </x:c>
      <x:c r="P7" s="130" t="n">
        <x:v>95.1</x:v>
      </x:c>
      <x:c r="Q7" s="130" t="n">
        <x:v>84</x:v>
      </x:c>
      <x:c r="R7" s="130" t="n">
        <x:v>10</x:v>
      </x:c>
      <x:c r="S7" s="128" t="str">
        <x:v>https://arxiv.org/abs/2606.12192</x:v>
      </x:c>
      <x:c r="T7" s="128" t="str">
        <x:v>Reusable convex-integration framework with geophysical-model applications.</x:v>
      </x:c>
    </x:row>
    <x:row r="8" ht="36" customHeight="1">
      <x:c r="A8" s="129" t="n">
        <x:v>7</x:v>
      </x:c>
      <x:c r="B8" s="129" t="n">
        <x:f>MATCH(D8,May_Aug_AllRank!$D$2:$D$575,0)</x:f>
        <x:v>16</x:v>
      </x:c>
      <x:c r="C8" s="129" t="str">
        <x:v>2026-06</x:v>
      </x:c>
      <x:c r="D8" s="129" t="str">
        <x:v>2606.01359</x:v>
      </x:c>
      <x:c r="E8" s="129" t="str">
        <x:v>Intrinsic Schauder estimates at nearly linear growth</x:v>
      </x:c>
      <x:c r="F8" s="129" t="str">
        <x:v>Cristiana De Filippis; Filomena De Filippis; Peter Hasto</x:v>
      </x:c>
      <x:c r="G8" s="129" t="str">
        <x:v>regularity theory</x:v>
      </x:c>
      <x:c r="H8" s="129" t="str">
        <x:v>42</x:v>
      </x:c>
      <x:c r="I8" s="130" t="n">
        <x:v>92.08</x:v>
      </x:c>
      <x:c r="J8" s="130" t="n">
        <x:v>92.26</x:v>
      </x:c>
      <x:c r="K8" s="130" t="n">
        <x:v>91.89</x:v>
      </x:c>
      <x:c r="L8" s="130" t="n">
        <x:v>94.1</x:v>
      </x:c>
      <x:c r="M8" s="130" t="n">
        <x:v>91.3</x:v>
      </x:c>
      <x:c r="N8" s="130" t="n">
        <x:v>94.1</x:v>
      </x:c>
      <x:c r="O8" s="130" t="n">
        <x:v>90.3</x:v>
      </x:c>
      <x:c r="P8" s="130" t="n">
        <x:v>94.2</x:v>
      </x:c>
      <x:c r="Q8" s="130" t="n">
        <x:v>87</x:v>
      </x:c>
      <x:c r="R8" s="130" t="n">
        <x:v>10</x:v>
      </x:c>
      <x:c r="S8" s="128" t="str">
        <x:v>https://arxiv.org/abs/2606.01359</x:v>
      </x:c>
      <x:c r="T8" s="128" t="str">
        <x:v>Intrinsic Schauder estimates near linear growth; high-value regularity theory.</x:v>
      </x:c>
    </x:row>
    <x:row r="9" ht="36" customHeight="1">
      <x:c r="A9" s="129" t="n">
        <x:v>8</x:v>
      </x:c>
      <x:c r="B9" s="129" t="n">
        <x:f>MATCH(D9,May_Aug_AllRank!$D$2:$D$575,0)</x:f>
        <x:v>25</x:v>
      </x:c>
      <x:c r="C9" s="129" t="str">
        <x:v>2026-06</x:v>
      </x:c>
      <x:c r="D9" s="129" t="str">
        <x:v>2606.27691</x:v>
      </x:c>
      <x:c r="E9" s="129" t="str">
        <x:v>Singular Limits for Three-Dimensional Global Minimizers of Ginzburg-Landau-Type Functionals: Uniform Estimates and Singular Sets</x:v>
      </x:c>
      <x:c r="F9" s="129" t="str">
        <x:v>Giacomo Canevari; Haotong Fu; Wei Wang</x:v>
      </x:c>
      <x:c r="G9" s="129" t="str">
        <x:v>variational/singular limits</x:v>
      </x:c>
      <x:c r="H9" s="129" t="str">
        <x:v>72</x:v>
      </x:c>
      <x:c r="I9" s="130" t="n">
        <x:v>91.7</x:v>
      </x:c>
      <x:c r="J9" s="130" t="n">
        <x:v>91.9</x:v>
      </x:c>
      <x:c r="K9" s="130" t="n">
        <x:v>91.5</x:v>
      </x:c>
      <x:c r="L9" s="130" t="n">
        <x:v>94.1</x:v>
      </x:c>
      <x:c r="M9" s="130" t="n">
        <x:v>91</x:v>
      </x:c>
      <x:c r="N9" s="130" t="n">
        <x:v>94.1</x:v>
      </x:c>
      <x:c r="O9" s="130" t="n">
        <x:v>89</x:v>
      </x:c>
      <x:c r="P9" s="130" t="n">
        <x:v>94.1</x:v>
      </x:c>
      <x:c r="Q9" s="130" t="n">
        <x:v>86</x:v>
      </x:c>
      <x:c r="R9" s="130" t="n">
        <x:v>11</x:v>
      </x:c>
      <x:c r="S9" s="128" t="str">
        <x:v>https://arxiv.org/abs/2606.27691</x:v>
      </x:c>
      <x:c r="T9" s="128" t="str">
        <x:v>Uniform estimates and singular-set analysis for 3D Ginzburg-Landau-type minimizers.</x:v>
      </x:c>
    </x:row>
    <x:row r="10" ht="36" customHeight="1">
      <x:c r="A10" s="129" t="n">
        <x:v>9</x:v>
      </x:c>
      <x:c r="B10" s="129" t="n">
        <x:f>MATCH(D10,May_Aug_AllRank!$D$2:$D$575,0)</x:f>
        <x:v>24</x:v>
      </x:c>
      <x:c r="C10" s="129" t="str">
        <x:v>2026-06</x:v>
      </x:c>
      <x:c r="D10" s="129" t="str">
        <x:v>2606.03680</x:v>
      </x:c>
      <x:c r="E10" s="129" t="str">
        <x:v>Global regularity of the 2D fractional Boussinesq equations with subcritical dissipation</x:v>
      </x:c>
      <x:c r="F10" s="129" t="str">
        <x:v>Atanas Stefanov; Jiahong Wu; Xiaojing Xu; Zhuan Ye</x:v>
      </x:c>
      <x:c r="G10" s="129" t="str">
        <x:v>fluid regularity</x:v>
      </x:c>
      <x:c r="H10" s="129" t="str">
        <x:v>43</x:v>
      </x:c>
      <x:c r="I10" s="130" t="n">
        <x:v>91.7</x:v>
      </x:c>
      <x:c r="J10" s="130" t="n">
        <x:v>91.74</x:v>
      </x:c>
      <x:c r="K10" s="130" t="n">
        <x:v>91.65</x:v>
      </x:c>
      <x:c r="L10" s="130" t="n">
        <x:v>94</x:v>
      </x:c>
      <x:c r="M10" s="130" t="n">
        <x:v>91.1</x:v>
      </x:c>
      <x:c r="N10" s="130" t="n">
        <x:v>93.1</x:v>
      </x:c>
      <x:c r="O10" s="130" t="n">
        <x:v>89</x:v>
      </x:c>
      <x:c r="P10" s="130" t="n">
        <x:v>94.2</x:v>
      </x:c>
      <x:c r="Q10" s="130" t="n">
        <x:v>87</x:v>
      </x:c>
      <x:c r="R10" s="130" t="n">
        <x:v>10</x:v>
      </x:c>
      <x:c r="S10" s="128" t="str">
        <x:v>https://arxiv.org/abs/2606.03680</x:v>
      </x:c>
      <x:c r="T10" s="128" t="str">
        <x:v>Global regularity for fractional Boussinesq equations below critical dissipation; robust fluid-PDE result.</x:v>
      </x:c>
    </x:row>
    <x:row r="11" ht="36" customHeight="1">
      <x:c r="A11" s="129" t="n">
        <x:v>10</x:v>
      </x:c>
      <x:c r="B11" s="129" t="n">
        <x:f>MATCH(D11,May_Aug_AllRank!$D$2:$D$575,0)</x:f>
        <x:v>31</x:v>
      </x:c>
      <x:c r="C11" s="129" t="str">
        <x:v>2026-06</x:v>
      </x:c>
      <x:c r="D11" s="129" t="str">
        <x:v>2606.05098</x:v>
      </x:c>
      <x:c r="E11" s="129" t="str">
        <x:v>Quantitative Homogenization Theory for Lame-Stokes Coupled Systems</x:v>
      </x:c>
      <x:c r="F11" s="129" t="str">
        <x:v>Beichen Wang</x:v>
      </x:c>
      <x:c r="G11" s="129" t="str">
        <x:v>homogenization</x:v>
      </x:c>
      <x:c r="H11" s="129" t="str">
        <x:v>92</x:v>
      </x:c>
      <x:c r="I11" s="130" t="n">
        <x:v>91.4</x:v>
      </x:c>
      <x:c r="J11" s="130" t="n">
        <x:v>91.65</x:v>
      </x:c>
      <x:c r="K11" s="130" t="n">
        <x:v>91.15</x:v>
      </x:c>
      <x:c r="L11" s="130" t="n">
        <x:v>93</x:v>
      </x:c>
      <x:c r="M11" s="130" t="n">
        <x:v>90.1</x:v>
      </x:c>
      <x:c r="N11" s="130" t="n">
        <x:v>94</x:v>
      </x:c>
      <x:c r="O11" s="130" t="n">
        <x:v>90.2</x:v>
      </x:c>
      <x:c r="P11" s="130" t="n">
        <x:v>93.1</x:v>
      </x:c>
      <x:c r="Q11" s="130" t="n">
        <x:v>87</x:v>
      </x:c>
      <x:c r="R11" s="130" t="n">
        <x:v>11</x:v>
      </x:c>
      <x:c r="S11" s="128" t="str">
        <x:v>https://arxiv.org/abs/2606.05098</x:v>
      </x:c>
      <x:c r="T11" s="128" t="str">
        <x:v>Large quantitative homogenization theory for coupled Lame-Stokes systems.</x:v>
      </x:c>
    </x:row>
    <x:row r="12" ht="36" customHeight="1">
      <x:c r="A12" s="129" t="n">
        <x:v>11</x:v>
      </x:c>
      <x:c r="B12" s="129" t="n">
        <x:f>MATCH(D12,May_Aug_AllRank!$D$2:$D$575,0)</x:f>
        <x:v>34</x:v>
      </x:c>
      <x:c r="C12" s="129" t="str">
        <x:v>2026-06</x:v>
      </x:c>
      <x:c r="D12" s="129" t="str">
        <x:v>2606.09614</x:v>
      </x:c>
      <x:c r="E12" s="129" t="str">
        <x:v>The L^p Neumann problem for parabolic operators with coefficients satisfying small Carleson condition</x:v>
      </x:c>
      <x:c r="F12" s="129" t="str">
        <x:v>Martin Dindos; Linhan Li; Jill Pipher</x:v>
      </x:c>
      <x:c r="G12" s="129" t="str">
        <x:v>parabolic boundary value</x:v>
      </x:c>
      <x:c r="H12" s="129" t="str">
        <x:v>100</x:v>
      </x:c>
      <x:c r="I12" s="130" t="n">
        <x:v>91.19</x:v>
      </x:c>
      <x:c r="J12" s="130" t="n">
        <x:v>91.37</x:v>
      </x:c>
      <x:c r="K12" s="130" t="n">
        <x:v>91</x:v>
      </x:c>
      <x:c r="L12" s="130" t="n">
        <x:v>93</x:v>
      </x:c>
      <x:c r="M12" s="130" t="n">
        <x:v>90</x:v>
      </x:c>
      <x:c r="N12" s="130" t="n">
        <x:v>94.1</x:v>
      </x:c>
      <x:c r="O12" s="130" t="n">
        <x:v>89</x:v>
      </x:c>
      <x:c r="P12" s="130" t="n">
        <x:v>93.1</x:v>
      </x:c>
      <x:c r="Q12" s="130" t="n">
        <x:v>86</x:v>
      </x:c>
      <x:c r="R12" s="130" t="n">
        <x:v>11</x:v>
      </x:c>
      <x:c r="S12" s="128" t="str">
        <x:v>https://arxiv.org/abs/2606.09614</x:v>
      </x:c>
      <x:c r="T12" s="128" t="str">
        <x:v>Parabolic L^p Neumann problem under small Carleson conditions; substantial boundary analysis.</x:v>
      </x:c>
    </x:row>
    <x:row r="13" ht="36" customHeight="1">
      <x:c r="A13" s="129" t="n">
        <x:v>12</x:v>
      </x:c>
      <x:c r="B13" s="129" t="n">
        <x:f>MATCH(D13,May_Aug_AllRank!$D$2:$D$575,0)</x:f>
        <x:v>35</x:v>
      </x:c>
      <x:c r="C13" s="129" t="str">
        <x:v>2026-06</x:v>
      </x:c>
      <x:c r="D13" s="129" t="str">
        <x:v>2606.28211</x:v>
      </x:c>
      <x:c r="E13" s="129" t="str">
        <x:v>A regularity theorem for stationary measures</x:v>
      </x:c>
      <x:c r="F13" s="129" t="str">
        <x:v>Luigi Ambrosio; Giovanni Siclari</x:v>
      </x:c>
      <x:c r="G13" s="129" t="str">
        <x:v>measure/PDE regularity</x:v>
      </x:c>
      <x:c r="H13" s="129"/>
      <x:c r="I13" s="130" t="n">
        <x:v>91.15</x:v>
      </x:c>
      <x:c r="J13" s="130" t="n">
        <x:v>91.29</x:v>
      </x:c>
      <x:c r="K13" s="130" t="n">
        <x:v>91</x:v>
      </x:c>
      <x:c r="L13" s="130" t="n">
        <x:v>92.9</x:v>
      </x:c>
      <x:c r="M13" s="130" t="n">
        <x:v>91.1</x:v>
      </x:c>
      <x:c r="N13" s="130" t="n">
        <x:v>93</x:v>
      </x:c>
      <x:c r="O13" s="130" t="n">
        <x:v>89</x:v>
      </x:c>
      <x:c r="P13" s="130" t="n">
        <x:v>93.1</x:v>
      </x:c>
      <x:c r="Q13" s="130" t="n">
        <x:v>86</x:v>
      </x:c>
      <x:c r="R13" s="130" t="n">
        <x:v>11</x:v>
      </x:c>
      <x:c r="S13" s="128" t="str">
        <x:v>https://arxiv.org/abs/2606.28211</x:v>
      </x:c>
      <x:c r="T13" s="128" t="str">
        <x:v>Regularity theorem for stationary measures; conceptually strong measure-theoretic PDE contribution.</x:v>
      </x:c>
    </x:row>
    <x:row r="14" ht="36" customHeight="1">
      <x:c r="A14" s="129" t="n">
        <x:v>13</x:v>
      </x:c>
      <x:c r="B14" s="129" t="n">
        <x:f>MATCH(D14,May_Aug_AllRank!$D$2:$D$575,0)</x:f>
        <x:v>36</x:v>
      </x:c>
      <x:c r="C14" s="129" t="str">
        <x:v>2026-06</x:v>
      </x:c>
      <x:c r="D14" s="129" t="str">
        <x:v>2606.07010</x:v>
      </x:c>
      <x:c r="E14" s="129" t="str">
        <x:v>Gauge transforms, random averaging operator ansatz and improved probabilistic well-posedness for the radial NLS on the 3d ball</x:v>
      </x:c>
      <x:c r="F14" s="129" t="str">
        <x:v>Nicolas Burq; Nicolas Camps; Chenmin Sun; Nikolay Tzvetkov</x:v>
      </x:c>
      <x:c r="G14" s="129" t="str">
        <x:v>probabilistic dispersive PDE</x:v>
      </x:c>
      <x:c r="H14" s="129" t="str">
        <x:v>75</x:v>
      </x:c>
      <x:c r="I14" s="130" t="n">
        <x:v>91.1</x:v>
      </x:c>
      <x:c r="J14" s="130" t="n">
        <x:v>91.19</x:v>
      </x:c>
      <x:c r="K14" s="130" t="n">
        <x:v>91</x:v>
      </x:c>
      <x:c r="L14" s="130" t="n">
        <x:v>92.9</x:v>
      </x:c>
      <x:c r="M14" s="130" t="n">
        <x:v>92</x:v>
      </x:c>
      <x:c r="N14" s="130" t="n">
        <x:v>93</x:v>
      </x:c>
      <x:c r="O14" s="130" t="n">
        <x:v>87.8</x:v>
      </x:c>
      <x:c r="P14" s="130" t="n">
        <x:v>93</x:v>
      </x:c>
      <x:c r="Q14" s="130" t="n">
        <x:v>85</x:v>
      </x:c>
      <x:c r="R14" s="130" t="n">
        <x:v>11</x:v>
      </x:c>
      <x:c r="S14" s="128" t="str">
        <x:v>https://arxiv.org/abs/2606.07010</x:v>
      </x:c>
      <x:c r="T14" s="128" t="str">
        <x:v>Improved probabilistic well-posedness via gauge transforms and random averaging.</x:v>
      </x:c>
    </x:row>
    <x:row r="15" ht="36" customHeight="1">
      <x:c r="A15" s="129" t="n">
        <x:v>14</x:v>
      </x:c>
      <x:c r="B15" s="129" t="n">
        <x:f>MATCH(D15,May_Aug_AllRank!$D$2:$D$575,0)</x:f>
        <x:v>39</x:v>
      </x:c>
      <x:c r="C15" s="129" t="str">
        <x:v>2026-06</x:v>
      </x:c>
      <x:c r="D15" s="129" t="str">
        <x:v>2606.10185</x:v>
      </x:c>
      <x:c r="E15" s="129" t="str">
        <x:v>Boundary Harnack estimates of optimal order for kinetic Fokker-Planck equations</x:v>
      </x:c>
      <x:c r="F15" s="129" t="str">
        <x:v>Kyeongbae Kim; Marvin Weidner</x:v>
      </x:c>
      <x:c r="G15" s="129" t="str">
        <x:v>kinetic regularity</x:v>
      </x:c>
      <x:c r="H15" s="129" t="str">
        <x:v>59</x:v>
      </x:c>
      <x:c r="I15" s="130" t="n">
        <x:v>91.03</x:v>
      </x:c>
      <x:c r="J15" s="130" t="n">
        <x:v>91.05</x:v>
      </x:c>
      <x:c r="K15" s="130" t="n">
        <x:v>91</x:v>
      </x:c>
      <x:c r="L15" s="130" t="n">
        <x:v>92</x:v>
      </x:c>
      <x:c r="M15" s="130" t="n">
        <x:v>91.1</x:v>
      </x:c>
      <x:c r="N15" s="130" t="n">
        <x:v>93</x:v>
      </x:c>
      <x:c r="O15" s="130" t="n">
        <x:v>89.2</x:v>
      </x:c>
      <x:c r="P15" s="130" t="n">
        <x:v>93.1</x:v>
      </x:c>
      <x:c r="Q15" s="130" t="n">
        <x:v>86</x:v>
      </x:c>
      <x:c r="R15" s="130" t="n">
        <x:v>11</x:v>
      </x:c>
      <x:c r="S15" s="128" t="str">
        <x:v>https://arxiv.org/abs/2606.10185</x:v>
      </x:c>
      <x:c r="T15" s="128" t="str">
        <x:v>Optimal-order boundary Harnack estimates for kinetic Fokker-Planck equations.</x:v>
      </x:c>
    </x:row>
    <x:row r="16" ht="36" customHeight="1">
      <x:c r="A16" s="129" t="n">
        <x:v>15</x:v>
      </x:c>
      <x:c r="B16" s="129" t="n">
        <x:f>MATCH(D16,May_Aug_AllRank!$D$2:$D$575,0)</x:f>
        <x:v>43</x:v>
      </x:c>
      <x:c r="C16" s="129" t="str">
        <x:v>2026-06</x:v>
      </x:c>
      <x:c r="D16" s="129" t="str">
        <x:v>2606.15189</x:v>
      </x:c>
      <x:c r="E16" s="129" t="str">
        <x:v>Blow-up and uniqueness of Leray-Hopf solutions to forced Navier-Stokes equations</x:v>
      </x:c>
      <x:c r="F16" s="129" t="str">
        <x:v>Giovanni Paolo Galdi; Filippo Gazzola</x:v>
      </x:c>
      <x:c r="G16" s="129" t="str">
        <x:v>Navier-Stokes</x:v>
      </x:c>
      <x:c r="H16" s="129"/>
      <x:c r="I16" s="130" t="n">
        <x:v>90.82</x:v>
      </x:c>
      <x:c r="J16" s="130" t="n">
        <x:v>91.05</x:v>
      </x:c>
      <x:c r="K16" s="130" t="n">
        <x:v>90.6</x:v>
      </x:c>
      <x:c r="L16" s="130" t="n">
        <x:v>94.1</x:v>
      </x:c>
      <x:c r="M16" s="130" t="n">
        <x:v>90</x:v>
      </x:c>
      <x:c r="N16" s="130" t="n">
        <x:v>92.1</x:v>
      </x:c>
      <x:c r="O16" s="130" t="n">
        <x:v>88</x:v>
      </x:c>
      <x:c r="P16" s="130" t="n">
        <x:v>93.1</x:v>
      </x:c>
      <x:c r="Q16" s="130" t="n">
        <x:v>86</x:v>
      </x:c>
      <x:c r="R16" s="130" t="n">
        <x:v>11</x:v>
      </x:c>
      <x:c r="S16" s="128" t="str">
        <x:v>https://arxiv.org/abs/2606.15189</x:v>
      </x:c>
      <x:c r="T16" s="128" t="str">
        <x:v>Blow-up/uniqueness phenomena for forced Leray-Hopf Navier-Stokes solutions.</x:v>
      </x:c>
    </x:row>
    <x:row r="17" ht="36" customHeight="1">
      <x:c r="A17" s="129" t="n">
        <x:v>16</x:v>
      </x:c>
      <x:c r="B17" s="129" t="n">
        <x:f>MATCH(D17,May_Aug_AllRank!$D$2:$D$575,0)</x:f>
        <x:v>45</x:v>
      </x:c>
      <x:c r="C17" s="129" t="str">
        <x:v>2026-06</x:v>
      </x:c>
      <x:c r="D17" s="129" t="str">
        <x:v>2606.12101</x:v>
      </x:c>
      <x:c r="E17" s="129" t="str">
        <x:v>Sharp Convergence Rates for Parabolic Green's Functions in Time-Independent Periodic Homogenization</x:v>
      </x:c>
      <x:c r="F17" s="129" t="str">
        <x:v>Wei Wang</x:v>
      </x:c>
      <x:c r="G17" s="129" t="str">
        <x:v>homogenization/Green functions</x:v>
      </x:c>
      <x:c r="H17" s="129" t="str">
        <x:v>44</x:v>
      </x:c>
      <x:c r="I17" s="130" t="n">
        <x:v>90.8</x:v>
      </x:c>
      <x:c r="J17" s="130" t="n">
        <x:v>90.95</x:v>
      </x:c>
      <x:c r="K17" s="130" t="n">
        <x:v>90.65</x:v>
      </x:c>
      <x:c r="L17" s="130" t="n">
        <x:v>92</x:v>
      </x:c>
      <x:c r="M17" s="130" t="n">
        <x:v>90.1</x:v>
      </x:c>
      <x:c r="N17" s="130" t="n">
        <x:v>93</x:v>
      </x:c>
      <x:c r="O17" s="130" t="n">
        <x:v>89.2</x:v>
      </x:c>
      <x:c r="P17" s="130" t="n">
        <x:v>92.1</x:v>
      </x:c>
      <x:c r="Q17" s="130" t="n">
        <x:v>87</x:v>
      </x:c>
      <x:c r="R17" s="130" t="n">
        <x:v>11</x:v>
      </x:c>
      <x:c r="S17" s="128" t="str">
        <x:v>https://arxiv.org/abs/2606.12101</x:v>
      </x:c>
      <x:c r="T17" s="128" t="str">
        <x:v>Sharp convergence rates for parabolic Green functions; reusable homogenization estimates.</x:v>
      </x:c>
    </x:row>
    <x:row r="18" ht="36" customHeight="1">
      <x:c r="A18" s="129" t="n">
        <x:v>17</x:v>
      </x:c>
      <x:c r="B18" s="129" t="n">
        <x:f>MATCH(D18,May_Aug_AllRank!$D$2:$D$575,0)</x:f>
        <x:v>47</x:v>
      </x:c>
      <x:c r="C18" s="129" t="str">
        <x:v>2026-06</x:v>
      </x:c>
      <x:c r="D18" s="129" t="str">
        <x:v>2606.10247</x:v>
      </x:c>
      <x:c r="E18" s="129" t="str">
        <x:v>The partial data Calderon problem in dimension three</x:v>
      </x:c>
      <x:c r="F18" s="129" t="str">
        <x:v>Gunther Uhlmann; Yiran Wang</x:v>
      </x:c>
      <x:c r="G18" s="129" t="str">
        <x:v>inverse problems</x:v>
      </x:c>
      <x:c r="H18" s="129"/>
      <x:c r="I18" s="130" t="n">
        <x:v>90.73</x:v>
      </x:c>
      <x:c r="J18" s="130" t="n">
        <x:v>91</x:v>
      </x:c>
      <x:c r="K18" s="130" t="n">
        <x:v>90.45</x:v>
      </x:c>
      <x:c r="L18" s="130" t="n">
        <x:v>93.1</x:v>
      </x:c>
      <x:c r="M18" s="130" t="n">
        <x:v>90</x:v>
      </x:c>
      <x:c r="N18" s="130" t="n">
        <x:v>92.1</x:v>
      </x:c>
      <x:c r="O18" s="130" t="n">
        <x:v>89</x:v>
      </x:c>
      <x:c r="P18" s="130" t="n">
        <x:v>92.1</x:v>
      </x:c>
      <x:c r="Q18" s="130" t="n">
        <x:v>87</x:v>
      </x:c>
      <x:c r="R18" s="130" t="n">
        <x:v>11</x:v>
      </x:c>
      <x:c r="S18" s="128" t="str">
        <x:v>https://arxiv.org/abs/2606.10247</x:v>
      </x:c>
      <x:c r="T18" s="128" t="str">
        <x:v>Partial data Calderon problem in dimension three; high-value inverse-problem statement.</x:v>
      </x:c>
    </x:row>
    <x:row r="19" ht="36" customHeight="1">
      <x:c r="A19" s="129" t="n">
        <x:v>18</x:v>
      </x:c>
      <x:c r="B19" s="129" t="n">
        <x:f>MATCH(D19,May_Aug_AllRank!$D$2:$D$575,0)</x:f>
        <x:v>46</x:v>
      </x:c>
      <x:c r="C19" s="129" t="str">
        <x:v>2026-06</x:v>
      </x:c>
      <x:c r="D19" s="129" t="str">
        <x:v>2606.04377</x:v>
      </x:c>
      <x:c r="E19" s="129" t="str">
        <x:v>A comparison principle for Wasserstein PDEs with state- and law-dependent common noise</x:v>
      </x:c>
      <x:c r="F19" s="129" t="str">
        <x:v>Erhan Bayraktar; Ibrahim Ekren; Xihao He; Xin Zhang</x:v>
      </x:c>
      <x:c r="G19" s="129" t="str">
        <x:v>Wasserstein PDE/control</x:v>
      </x:c>
      <x:c r="H19" s="129"/>
      <x:c r="I19" s="130" t="n">
        <x:v>90.73</x:v>
      </x:c>
      <x:c r="J19" s="130" t="n">
        <x:v>90.85</x:v>
      </x:c>
      <x:c r="K19" s="130" t="n">
        <x:v>90.6</x:v>
      </x:c>
      <x:c r="L19" s="130" t="n">
        <x:v>92</x:v>
      </x:c>
      <x:c r="M19" s="130" t="n">
        <x:v>91</x:v>
      </x:c>
      <x:c r="N19" s="130" t="n">
        <x:v>92</x:v>
      </x:c>
      <x:c r="O19" s="130" t="n">
        <x:v>89</x:v>
      </x:c>
      <x:c r="P19" s="130" t="n">
        <x:v>92</x:v>
      </x:c>
      <x:c r="Q19" s="130" t="n">
        <x:v>87</x:v>
      </x:c>
      <x:c r="R19" s="130" t="n">
        <x:v>11</x:v>
      </x:c>
      <x:c r="S19" s="128" t="str">
        <x:v>https://arxiv.org/abs/2606.04377</x:v>
      </x:c>
      <x:c r="T19" s="128" t="str">
        <x:v>Comparison principle for Wasserstein PDEs with common noise; strong probability/control interface.</x:v>
      </x:c>
    </x:row>
    <x:row r="20" ht="36" customHeight="1">
      <x:c r="A20" s="129" t="n">
        <x:v>19</x:v>
      </x:c>
      <x:c r="B20" s="129" t="n">
        <x:f>MATCH(D20,May_Aug_AllRank!$D$2:$D$575,0)</x:f>
        <x:v>50</x:v>
      </x:c>
      <x:c r="C20" s="129" t="str">
        <x:v>2026-06</x:v>
      </x:c>
      <x:c r="D20" s="129" t="str">
        <x:v>2606.08648</x:v>
      </x:c>
      <x:c r="E20" s="129" t="str">
        <x:v>On Brezis Open Problem 3.1</x:v>
      </x:c>
      <x:c r="F20" s="129" t="str">
        <x:v>Qi Guo; Xueping Huang; Yi C. Huang; Fanghua Lin; Juncheng Wei</x:v>
      </x:c>
      <x:c r="G20" s="129" t="str">
        <x:v>elliptic/geometric analysis</x:v>
      </x:c>
      <x:c r="H20" s="129" t="str">
        <x:v>20</x:v>
      </x:c>
      <x:c r="I20" s="130" t="n">
        <x:v>90.42</x:v>
      </x:c>
      <x:c r="J20" s="130" t="n">
        <x:v>90.4</x:v>
      </x:c>
      <x:c r="K20" s="130" t="n">
        <x:v>90.44</x:v>
      </x:c>
      <x:c r="L20" s="130" t="n">
        <x:v>92</x:v>
      </x:c>
      <x:c r="M20" s="130" t="n">
        <x:v>91</x:v>
      </x:c>
      <x:c r="N20" s="130" t="n">
        <x:v>90.8</x:v>
      </x:c>
      <x:c r="O20" s="130" t="n">
        <x:v>88</x:v>
      </x:c>
      <x:c r="P20" s="130" t="n">
        <x:v>91.9</x:v>
      </x:c>
      <x:c r="Q20" s="130" t="n">
        <x:v>87</x:v>
      </x:c>
      <x:c r="R20" s="130" t="n">
        <x:v>10.3</x:v>
      </x:c>
      <x:c r="S20" s="128" t="str">
        <x:v>https://arxiv.org/abs/2606.08648</x:v>
      </x:c>
      <x:c r="T20" s="128" t="str">
        <x:v>Resolution-oriented work on Brezis Open Problem 3.1; high conceptual value for elliptic/geometric analysis.</x:v>
      </x:c>
    </x:row>
    <x:row r="21" ht="36" customHeight="1">
      <x:c r="A21" s="129" t="n">
        <x:v>20</x:v>
      </x:c>
      <x:c r="B21" s="129" t="n">
        <x:f>MATCH(D21,May_Aug_AllRank!$D$2:$D$575,0)</x:f>
        <x:v>52</x:v>
      </x:c>
      <x:c r="C21" s="129" t="str">
        <x:v>2026-06</x:v>
      </x:c>
      <x:c r="D21" s="129" t="str">
        <x:v>2606.29993</x:v>
      </x:c>
      <x:c r="E21" s="129" t="str">
        <x:v>Strichartz Estimates for the Liouville Equation on Euclidean Tori and Applications to Kakeya</x:v>
      </x:c>
      <x:c r="F21" s="129" t="str">
        <x:v>Pierre Germain; Mickael Latocca</x:v>
      </x:c>
      <x:c r="G21" s="129" t="str">
        <x:v>harmonic/dispersive analysis</x:v>
      </x:c>
      <x:c r="H21" s="129"/>
      <x:c r="I21" s="130" t="n">
        <x:v>90.4</x:v>
      </x:c>
      <x:c r="J21" s="130" t="n">
        <x:v>90.55</x:v>
      </x:c>
      <x:c r="K21" s="130" t="n">
        <x:v>90.25</x:v>
      </x:c>
      <x:c r="L21" s="130" t="n">
        <x:v>92</x:v>
      </x:c>
      <x:c r="M21" s="130" t="n">
        <x:v>90</x:v>
      </x:c>
      <x:c r="N21" s="130" t="n">
        <x:v>92</x:v>
      </x:c>
      <x:c r="O21" s="130" t="n">
        <x:v>89</x:v>
      </x:c>
      <x:c r="P21" s="130" t="n">
        <x:v>92</x:v>
      </x:c>
      <x:c r="Q21" s="130" t="n">
        <x:v>86</x:v>
      </x:c>
      <x:c r="R21" s="130" t="n">
        <x:v>11</x:v>
      </x:c>
      <x:c r="S21" s="128" t="str">
        <x:v>https://arxiv.org/abs/2606.29993</x:v>
      </x:c>
      <x:c r="T21" s="128" t="str">
        <x:v>Strichartz estimates for Liouville equation on tori with Kakeya applications.</x:v>
      </x:c>
    </x:row>
    <x:row r="22" ht="36" customHeight="1">
      <x:c r="A22" s="129" t="n">
        <x:v>21</x:v>
      </x:c>
      <x:c r="B22" s="129" t="n">
        <x:f>MATCH(D22,May_Aug_AllRank!$D$2:$D$575,0)</x:f>
        <x:v>51</x:v>
      </x:c>
      <x:c r="C22" s="129" t="str">
        <x:v>2026-06</x:v>
      </x:c>
      <x:c r="D22" s="129" t="str">
        <x:v>2606.03749</x:v>
      </x:c>
      <x:c r="E22" s="129" t="str">
        <x:v>A Density-Distance Version of the Carlen--Frank--Lieb Stability Theorem</x:v>
      </x:c>
      <x:c r="F22" s="129" t="str">
        <x:v>Gangsong Leng</x:v>
      </x:c>
      <x:c r="G22" s="129" t="str">
        <x:v>sharp inequalities/stability</x:v>
      </x:c>
      <x:c r="H22" s="129"/>
      <x:c r="I22" s="130" t="n">
        <x:v>90.4</x:v>
      </x:c>
      <x:c r="J22" s="130" t="n">
        <x:v>90.65</x:v>
      </x:c>
      <x:c r="K22" s="130" t="n">
        <x:v>90.15</x:v>
      </x:c>
      <x:c r="L22" s="130" t="n">
        <x:v>92</x:v>
      </x:c>
      <x:c r="M22" s="130" t="n">
        <x:v>91.1</x:v>
      </x:c>
      <x:c r="N22" s="130" t="n">
        <x:v>91</x:v>
      </x:c>
      <x:c r="O22" s="130" t="n">
        <x:v>89.2</x:v>
      </x:c>
      <x:c r="P22" s="130" t="n">
        <x:v>91.1</x:v>
      </x:c>
      <x:c r="Q22" s="130" t="n">
        <x:v>87</x:v>
      </x:c>
      <x:c r="R22" s="130" t="n">
        <x:v>11</x:v>
      </x:c>
      <x:c r="S22" s="128" t="str">
        <x:v>https://arxiv.org/abs/2606.03749</x:v>
      </x:c>
      <x:c r="T22" s="128" t="str">
        <x:v>Density-distance stability version of the Carlen-Frank-Lieb theorem; strong inequality stability.</x:v>
      </x:c>
    </x:row>
    <x:row r="23" ht="36" customHeight="1">
      <x:c r="A23" s="129" t="n">
        <x:v>22</x:v>
      </x:c>
      <x:c r="B23" s="129" t="n">
        <x:f>MATCH(D23,May_Aug_AllRank!$D$2:$D$575,0)</x:f>
        <x:v>59</x:v>
      </x:c>
      <x:c r="C23" s="129" t="str">
        <x:v>2026-06</x:v>
      </x:c>
      <x:c r="D23" s="129" t="str">
        <x:v>2606.14308</x:v>
      </x:c>
      <x:c r="E23" s="129" t="str">
        <x:v>Non-uniqueness of global-in-time admissible weak solutions to the isentropic compressible Euler equations for a dense set of initial data</x:v>
      </x:c>
      <x:c r="F23" s="129" t="str">
        <x:v>Daniel W. Boutros; Simon Markfelder</x:v>
      </x:c>
      <x:c r="G23" s="129" t="str">
        <x:v>Euler/convex integration</x:v>
      </x:c>
      <x:c r="H23" s="129"/>
      <x:c r="I23" s="130" t="n">
        <x:v>90.28</x:v>
      </x:c>
      <x:c r="J23" s="130" t="n">
        <x:v>90.55</x:v>
      </x:c>
      <x:c r="K23" s="130" t="n">
        <x:v>90</x:v>
      </x:c>
      <x:c r="L23" s="130" t="n">
        <x:v>93.1</x:v>
      </x:c>
      <x:c r="M23" s="130" t="n">
        <x:v>90</x:v>
      </x:c>
      <x:c r="N23" s="130" t="n">
        <x:v>92.1</x:v>
      </x:c>
      <x:c r="O23" s="130" t="n">
        <x:v>88</x:v>
      </x:c>
      <x:c r="P23" s="130" t="n">
        <x:v>92.1</x:v>
      </x:c>
      <x:c r="Q23" s="130" t="n">
        <x:v>84</x:v>
      </x:c>
      <x:c r="R23" s="130" t="n">
        <x:v>11</x:v>
      </x:c>
      <x:c r="S23" s="128" t="str">
        <x:v>https://arxiv.org/abs/2606.14308</x:v>
      </x:c>
      <x:c r="T23" s="128" t="str">
        <x:v>Dense-set non-uniqueness for global admissible weak solutions of compressible Euler.</x:v>
      </x:c>
    </x:row>
    <x:row r="24" ht="36" customHeight="1">
      <x:c r="A24" s="129" t="n">
        <x:v>23</x:v>
      </x:c>
      <x:c r="B24" s="129" t="n">
        <x:f>MATCH(D24,May_Aug_AllRank!$D$2:$D$575,0)</x:f>
        <x:v>60</x:v>
      </x:c>
      <x:c r="C24" s="129" t="str">
        <x:v>2026-06</x:v>
      </x:c>
      <x:c r="D24" s="129" t="str">
        <x:v>2606.29454</x:v>
      </x:c>
      <x:c r="E24" s="129" t="str">
        <x:v>Formation of quasi-singularities of shock and implosion type for compressible Euler flows</x:v>
      </x:c>
      <x:c r="F24" s="129" t="str">
        <x:v>Xieling Fan; Hongyu Liu</x:v>
      </x:c>
      <x:c r="G24" s="129" t="str">
        <x:v>compressible Euler singularity</x:v>
      </x:c>
      <x:c r="H24" s="129"/>
      <x:c r="I24" s="130" t="n">
        <x:v>90.25</x:v>
      </x:c>
      <x:c r="J24" s="130" t="n">
        <x:v>90.5</x:v>
      </x:c>
      <x:c r="K24" s="130" t="n">
        <x:v>90</x:v>
      </x:c>
      <x:c r="L24" s="130" t="n">
        <x:v>93</x:v>
      </x:c>
      <x:c r="M24" s="130" t="n">
        <x:v>90</x:v>
      </x:c>
      <x:c r="N24" s="130" t="n">
        <x:v>92.1</x:v>
      </x:c>
      <x:c r="O24" s="130" t="n">
        <x:v>87.8</x:v>
      </x:c>
      <x:c r="P24" s="130" t="n">
        <x:v>92.1</x:v>
      </x:c>
      <x:c r="Q24" s="130" t="n">
        <x:v>84</x:v>
      </x:c>
      <x:c r="R24" s="130" t="n">
        <x:v>11</x:v>
      </x:c>
      <x:c r="S24" s="128" t="str">
        <x:v>https://arxiv.org/abs/2606.29454</x:v>
      </x:c>
      <x:c r="T24" s="128" t="str">
        <x:v>Quasi-singular shock/implosion structures for compressible Euler; high dynamical value.</x:v>
      </x:c>
    </x:row>
    <x:row r="25" ht="36" customHeight="1">
      <x:c r="A25" s="129" t="n">
        <x:v>24</x:v>
      </x:c>
      <x:c r="B25" s="129" t="n">
        <x:f>MATCH(D25,May_Aug_AllRank!$D$2:$D$575,0)</x:f>
        <x:v>64</x:v>
      </x:c>
      <x:c r="C25" s="129" t="str">
        <x:v>2026-06</x:v>
      </x:c>
      <x:c r="D25" s="129" t="str">
        <x:v>2606.02070</x:v>
      </x:c>
      <x:c r="E25" s="129" t="str">
        <x:v>Critical mass threshold for the 2D Patlak-Keller-Segel-Navier-Stokes system</x:v>
      </x:c>
      <x:c r="F25" s="129" t="str">
        <x:v>Wendong Wang; Dongyi Wei; Zhifei Zhang</x:v>
      </x:c>
      <x:c r="G25" s="129" t="str">
        <x:v>chemotaxis-fluid threshold</x:v>
      </x:c>
      <x:c r="H25" s="129"/>
      <x:c r="I25" s="130" t="n">
        <x:v>90.18</x:v>
      </x:c>
      <x:c r="J25" s="130" t="n">
        <x:v>90.26</x:v>
      </x:c>
      <x:c r="K25" s="130" t="n">
        <x:v>90.1</x:v>
      </x:c>
      <x:c r="L25" s="130" t="n">
        <x:v>92.1</x:v>
      </x:c>
      <x:c r="M25" s="130" t="n">
        <x:v>89</x:v>
      </x:c>
      <x:c r="N25" s="130" t="n">
        <x:v>92.1</x:v>
      </x:c>
      <x:c r="O25" s="130" t="n">
        <x:v>88</x:v>
      </x:c>
      <x:c r="P25" s="130" t="n">
        <x:v>92.1</x:v>
      </x:c>
      <x:c r="Q25" s="130" t="n">
        <x:v>86</x:v>
      </x:c>
      <x:c r="R25" s="130" t="n">
        <x:v>11</x:v>
      </x:c>
      <x:c r="S25" s="128" t="str">
        <x:v>https://arxiv.org/abs/2606.02070</x:v>
      </x:c>
      <x:c r="T25" s="128" t="str">
        <x:v>Critical-mass threshold for a 2D chemotaxis-fluid system; important nonlinear threshold problem.</x:v>
      </x:c>
    </x:row>
    <x:row r="26" ht="36" customHeight="1">
      <x:c r="A26" s="129" t="n">
        <x:v>25</x:v>
      </x:c>
      <x:c r="B26" s="129" t="n">
        <x:f>MATCH(D26,May_Aug_AllRank!$D$2:$D$575,0)</x:f>
        <x:v>66</x:v>
      </x:c>
      <x:c r="C26" s="129" t="str">
        <x:v>2026-06</x:v>
      </x:c>
      <x:c r="D26" s="129" t="str">
        <x:v>2606.02989</x:v>
      </x:c>
      <x:c r="E26" s="129" t="str">
        <x:v>The Benjamin-Ono Equation in the Long-Time Limit: Linearized Self-Similar Universality</x:v>
      </x:c>
      <x:c r="F26" s="129" t="str">
        <x:v>Louise Gassot; Patrick Gerard; Peter D. Miller</x:v>
      </x:c>
      <x:c r="G26" s="129" t="str">
        <x:v>integrable/dispersive asymptotics</x:v>
      </x:c>
      <x:c r="H26" s="129" t="str">
        <x:v>33</x:v>
      </x:c>
      <x:c r="I26" s="130" t="n">
        <x:v>90.15</x:v>
      </x:c>
      <x:c r="J26" s="130" t="n">
        <x:v>90.14</x:v>
      </x:c>
      <x:c r="K26" s="130" t="n">
        <x:v>90.15</x:v>
      </x:c>
      <x:c r="L26" s="130" t="n">
        <x:v>90.9</x:v>
      </x:c>
      <x:c r="M26" s="130" t="n">
        <x:v>91.1</x:v>
      </x:c>
      <x:c r="N26" s="130" t="n">
        <x:v>91</x:v>
      </x:c>
      <x:c r="O26" s="130" t="n">
        <x:v>88</x:v>
      </x:c>
      <x:c r="P26" s="130" t="n">
        <x:v>91.1</x:v>
      </x:c>
      <x:c r="Q26" s="130" t="n">
        <x:v>87</x:v>
      </x:c>
      <x:c r="R26" s="130" t="n">
        <x:v>11</x:v>
      </x:c>
      <x:c r="S26" s="128" t="str">
        <x:v>https://arxiv.org/abs/2606.02989</x:v>
      </x:c>
      <x:c r="T26" s="128" t="str">
        <x:v>Linearized self-similar universality in Benjamin-Ono long-time asymptotics.</x:v>
      </x:c>
    </x:row>
    <x:row r="27" ht="36" customHeight="1">
      <x:c r="A27" s="129" t="n">
        <x:v>26</x:v>
      </x:c>
      <x:c r="B27" s="129" t="n">
        <x:f>MATCH(D27,May_Aug_AllRank!$D$2:$D$575,0)</x:f>
        <x:v>65</x:v>
      </x:c>
      <x:c r="C27" s="129" t="str">
        <x:v>2026-06</x:v>
      </x:c>
      <x:c r="D27" s="129" t="str">
        <x:v>2606.12061</x:v>
      </x:c>
      <x:c r="E27" s="129" t="str">
        <x:v>Complex-ellipticity, dimensional estimates and plane wave rigidity in BV^A</x:v>
      </x:c>
      <x:c r="F27" s="129" t="str">
        <x:v>Adolfo Arroyo-Rabasa</x:v>
      </x:c>
      <x:c r="G27" s="129" t="str">
        <x:v>calculus of variations/BV</x:v>
      </x:c>
      <x:c r="H27" s="129" t="str">
        <x:v>23</x:v>
      </x:c>
      <x:c r="I27" s="130" t="n">
        <x:v>90.16</x:v>
      </x:c>
      <x:c r="J27" s="130" t="n">
        <x:v>90.2</x:v>
      </x:c>
      <x:c r="K27" s="130" t="n">
        <x:v>90.13</x:v>
      </x:c>
      <x:c r="L27" s="130" t="n">
        <x:v>91</x:v>
      </x:c>
      <x:c r="M27" s="130" t="n">
        <x:v>91.1</x:v>
      </x:c>
      <x:c r="N27" s="130" t="n">
        <x:v>91</x:v>
      </x:c>
      <x:c r="O27" s="130" t="n">
        <x:v>88.2</x:v>
      </x:c>
      <x:c r="P27" s="130" t="n">
        <x:v>91.1</x:v>
      </x:c>
      <x:c r="Q27" s="130" t="n">
        <x:v>87</x:v>
      </x:c>
      <x:c r="R27" s="130" t="n">
        <x:v>11.1</x:v>
      </x:c>
      <x:c r="S27" s="128" t="str">
        <x:v>https://arxiv.org/abs/2606.12061</x:v>
      </x:c>
      <x:c r="T27" s="128" t="str">
        <x:v>Complex-ellipticity and rigidity in BV^A; conceptually sharp variational analysis.</x:v>
      </x:c>
    </x:row>
    <x:row r="28" ht="36" customHeight="1">
      <x:c r="A28" s="129" t="n">
        <x:v>27</x:v>
      </x:c>
      <x:c r="B28" s="129" t="n">
        <x:f>MATCH(D28,May_Aug_AllRank!$D$2:$D$575,0)</x:f>
        <x:v>81</x:v>
      </x:c>
      <x:c r="C28" s="129" t="str">
        <x:v>2026-06</x:v>
      </x:c>
      <x:c r="D28" s="129" t="str">
        <x:v>2606.29468</x:v>
      </x:c>
      <x:c r="E28" s="129" t="str">
        <x:v>On potential Type II blowups for the Navier-Stokes equations</x:v>
      </x:c>
      <x:c r="F28" s="129" t="str">
        <x:v>Gregory Seregin</x:v>
      </x:c>
      <x:c r="G28" s="129" t="str">
        <x:v>Navier-Stokes blow-up</x:v>
      </x:c>
      <x:c r="H28" s="129" t="str">
        <x:v>14</x:v>
      </x:c>
      <x:c r="I28" s="130" t="n">
        <x:v>89.82</x:v>
      </x:c>
      <x:c r="J28" s="130" t="n">
        <x:v>90.22</x:v>
      </x:c>
      <x:c r="K28" s="130" t="n">
        <x:v>89.41</x:v>
      </x:c>
      <x:c r="L28" s="130" t="n">
        <x:v>94.1</x:v>
      </x:c>
      <x:c r="M28" s="130" t="n">
        <x:v>87.9</x:v>
      </x:c>
      <x:c r="N28" s="130" t="n">
        <x:v>90.9</x:v>
      </x:c>
      <x:c r="O28" s="130" t="n">
        <x:v>87.9</x:v>
      </x:c>
      <x:c r="P28" s="130" t="n">
        <x:v>92</x:v>
      </x:c>
      <x:c r="Q28" s="130" t="n">
        <x:v>85</x:v>
      </x:c>
      <x:c r="R28" s="130" t="n">
        <x:v>11.3</x:v>
      </x:c>
      <x:c r="S28" s="128" t="str">
        <x:v>https://arxiv.org/abs/2606.29468</x:v>
      </x:c>
      <x:c r="T28" s="128" t="str">
        <x:v>Potential Type II Navier-Stokes blow-up analysis; short but high-value singularity contribution.</x:v>
      </x:c>
    </x:row>
    <x:row r="29" ht="36" customHeight="1">
      <x:c r="A29" s="129" t="n">
        <x:v>28</x:v>
      </x:c>
      <x:c r="B29" s="129" t="n">
        <x:f>MATCH(D29,May_Aug_AllRank!$D$2:$D$575,0)</x:f>
        <x:v>79</x:v>
      </x:c>
      <x:c r="C29" s="129" t="str">
        <x:v>2026-06</x:v>
      </x:c>
      <x:c r="D29" s="129" t="str">
        <x:v>2606.04960</x:v>
      </x:c>
      <x:c r="E29" s="129" t="str">
        <x:v>Stationary Vlasov-Poisson-Boltzmann system in a convex domain</x:v>
      </x:c>
      <x:c r="F29" s="129" t="str">
        <x:v>Hongxu Chen; Jiaxin Jin</x:v>
      </x:c>
      <x:c r="G29" s="129" t="str">
        <x:v>kinetic boundary PDE</x:v>
      </x:c>
      <x:c r="H29" s="129" t="str">
        <x:v>88</x:v>
      </x:c>
      <x:c r="I29" s="130" t="n">
        <x:v>89.85</x:v>
      </x:c>
      <x:c r="J29" s="130" t="n">
        <x:v>89.74</x:v>
      </x:c>
      <x:c r="K29" s="130" t="n">
        <x:v>89.95</x:v>
      </x:c>
      <x:c r="L29" s="130" t="n">
        <x:v>91</x:v>
      </x:c>
      <x:c r="M29" s="130" t="n">
        <x:v>89</x:v>
      </x:c>
      <x:c r="N29" s="130" t="n">
        <x:v>92.1</x:v>
      </x:c>
      <x:c r="O29" s="130" t="n">
        <x:v>86.8</x:v>
      </x:c>
      <x:c r="P29" s="130" t="n">
        <x:v>92.1</x:v>
      </x:c>
      <x:c r="Q29" s="130" t="n">
        <x:v>86</x:v>
      </x:c>
      <x:c r="R29" s="130" t="n">
        <x:v>12</x:v>
      </x:c>
      <x:c r="S29" s="128" t="str">
        <x:v>https://arxiv.org/abs/2606.04960</x:v>
      </x:c>
      <x:c r="T29" s="128" t="str">
        <x:v>Stationary Vlasov-Poisson-Boltzmann system in convex domains; long kinetic boundary analysis.</x:v>
      </x:c>
    </x:row>
    <x:row r="30" ht="36" customHeight="1">
      <x:c r="A30" s="129" t="n">
        <x:v>29</x:v>
      </x:c>
      <x:c r="B30" s="129" t="n">
        <x:f>MATCH(D30,May_Aug_AllRank!$D$2:$D$575,0)</x:f>
        <x:v>93</x:v>
      </x:c>
      <x:c r="C30" s="129" t="str">
        <x:v>2026-06</x:v>
      </x:c>
      <x:c r="D30" s="129" t="str">
        <x:v>2606.22355</x:v>
      </x:c>
      <x:c r="E30" s="129" t="str">
        <x:v>Uncountably many non-rotationally symmetric type II ancient Yamabe flows on the sphere</x:v>
      </x:c>
      <x:c r="F30" s="129" t="str">
        <x:v>Haixia Chen; Seunghyeok Kim; Monica Musso</x:v>
      </x:c>
      <x:c r="G30" s="129" t="str">
        <x:v>Yamabe flow/geometric PDE</x:v>
      </x:c>
      <x:c r="H30" s="129"/>
      <x:c r="I30" s="130" t="n">
        <x:v>89.58</x:v>
      </x:c>
      <x:c r="J30" s="130" t="n">
        <x:v>89.67</x:v>
      </x:c>
      <x:c r="K30" s="130" t="n">
        <x:v>89.48</x:v>
      </x:c>
      <x:c r="L30" s="130" t="n">
        <x:v>91</x:v>
      </x:c>
      <x:c r="M30" s="130" t="n">
        <x:v>90.9</x:v>
      </x:c>
      <x:c r="N30" s="130" t="n">
        <x:v>91</x:v>
      </x:c>
      <x:c r="O30" s="130" t="n">
        <x:v>86.9</x:v>
      </x:c>
      <x:c r="P30" s="130" t="n">
        <x:v>91</x:v>
      </x:c>
      <x:c r="Q30" s="130" t="n">
        <x:v>84</x:v>
      </x:c>
      <x:c r="R30" s="130" t="n">
        <x:v>12</x:v>
      </x:c>
      <x:c r="S30" s="128" t="str">
        <x:v>https://arxiv.org/abs/2606.22355</x:v>
      </x:c>
      <x:c r="T30" s="128" t="str">
        <x:v>Construction of many non-rotational ancient Yamabe flows; strong geometric PDE example theory.</x:v>
      </x:c>
    </x:row>
    <x:row r="31" ht="36" customHeight="1">
      <x:c r="A31" s="129" t="n">
        <x:v>30</x:v>
      </x:c>
      <x:c r="B31" s="129" t="n">
        <x:f>MATCH(D31,May_Aug_AllRank!$D$2:$D$575,0)</x:f>
        <x:v>95</x:v>
      </x:c>
      <x:c r="C31" s="129" t="str">
        <x:v>2026-06</x:v>
      </x:c>
      <x:c r="D31" s="129" t="str">
        <x:v>2606.11055</x:v>
      </x:c>
      <x:c r="E31" s="129" t="str">
        <x:v>Exponential mixing and enhanced dissipation on the unit sphere with Rossby-Haurwitz flows</x:v>
      </x:c>
      <x:c r="F31" s="129" t="str">
        <x:v>Augusto Del Zotto; Marc Nualart</x:v>
      </x:c>
      <x:c r="G31" s="129" t="str">
        <x:v>mixing/enhanced dissipation</x:v>
      </x:c>
      <x:c r="H31" s="129" t="str">
        <x:v>84</x:v>
      </x:c>
      <x:c r="I31" s="130" t="n">
        <x:v>89.55</x:v>
      </x:c>
      <x:c r="J31" s="130" t="n">
        <x:v>89.44</x:v>
      </x:c>
      <x:c r="K31" s="130" t="n">
        <x:v>89.65</x:v>
      </x:c>
      <x:c r="L31" s="130" t="n">
        <x:v>89.9</x:v>
      </x:c>
      <x:c r="M31" s="130" t="n">
        <x:v>91</x:v>
      </x:c>
      <x:c r="N31" s="130" t="n">
        <x:v>91</x:v>
      </x:c>
      <x:c r="O31" s="130" t="n">
        <x:v>86.8</x:v>
      </x:c>
      <x:c r="P31" s="130" t="n">
        <x:v>91</x:v>
      </x:c>
      <x:c r="Q31" s="130" t="n">
        <x:v>85</x:v>
      </x:c>
      <x:c r="R31" s="130" t="n">
        <x:v>12</x:v>
      </x:c>
      <x:c r="S31" s="128" t="str">
        <x:v>https://arxiv.org/abs/2606.11055</x:v>
      </x:c>
      <x:c r="T31" s="128" t="str">
        <x:v>Enhanced dissipation and exponential mixing on the sphere; long fluid-mixing paper.</x:v>
      </x:c>
    </x:row>
    <x:row r="32" ht="36" customHeight="1">
      <x:c r="A32" s="129" t="n">
        <x:v>31</x:v>
      </x:c>
      <x:c r="B32" s="129" t="n">
        <x:f>MATCH(D32,May_Aug_AllRank!$D$2:$D$575,0)</x:f>
        <x:v>94</x:v>
      </x:c>
      <x:c r="C32" s="129" t="str">
        <x:v>2026-06</x:v>
      </x:c>
      <x:c r="D32" s="129" t="str">
        <x:v>2606.02811</x:v>
      </x:c>
      <x:c r="E32" s="129" t="str">
        <x:v>Navier-Stokes Equations in Complex Space</x:v>
      </x:c>
      <x:c r="F32" s="129" t="str">
        <x:v>Nikolai Nadirashvili</x:v>
      </x:c>
      <x:c r="G32" s="129" t="str">
        <x:v>Navier-Stokes/complex variables</x:v>
      </x:c>
      <x:c r="H32" s="129"/>
      <x:c r="I32" s="130" t="n">
        <x:v>89.56</x:v>
      </x:c>
      <x:c r="J32" s="130" t="n">
        <x:v>89.61</x:v>
      </x:c>
      <x:c r="K32" s="130" t="n">
        <x:v>89.5</x:v>
      </x:c>
      <x:c r="L32" s="130" t="n">
        <x:v>91.1</x:v>
      </x:c>
      <x:c r="M32" s="130" t="n">
        <x:v>91</x:v>
      </x:c>
      <x:c r="N32" s="130" t="n">
        <x:v>90.1</x:v>
      </x:c>
      <x:c r="O32" s="130" t="n">
        <x:v>87</x:v>
      </x:c>
      <x:c r="P32" s="130" t="n">
        <x:v>91.1</x:v>
      </x:c>
      <x:c r="Q32" s="130" t="n">
        <x:v>85</x:v>
      </x:c>
      <x:c r="R32" s="130" t="n">
        <x:v>12</x:v>
      </x:c>
      <x:c r="S32" s="128" t="str">
        <x:v>https://arxiv.org/abs/2606.02811</x:v>
      </x:c>
      <x:c r="T32" s="128" t="str">
        <x:v>Navier-Stokes problem in complex space; conceptually unusual and potentially influential.</x:v>
      </x:c>
    </x:row>
    <x:row r="33" ht="36" customHeight="1">
      <x:c r="A33" s="129" t="n">
        <x:v>32</x:v>
      </x:c>
      <x:c r="B33" s="129" t="n">
        <x:f>MATCH(D33,May_Aug_AllRank!$D$2:$D$575,0)</x:f>
        <x:v>99</x:v>
      </x:c>
      <x:c r="C33" s="129" t="str">
        <x:v>2026-06</x:v>
      </x:c>
      <x:c r="D33" s="129" t="str">
        <x:v>2606.06729</x:v>
      </x:c>
      <x:c r="E33" s="129" t="str">
        <x:v>Determination of radial nonlocal nonlinearities from the scattering map</x:v>
      </x:c>
      <x:c r="F33" s="129" t="str">
        <x:v>Luccas Campos; Rowan Killip; Jason Murphy; Monica Visan</x:v>
      </x:c>
      <x:c r="G33" s="129" t="str">
        <x:v>inverse scattering/dispersive</x:v>
      </x:c>
      <x:c r="H33" s="129" t="str">
        <x:v>12</x:v>
      </x:c>
      <x:c r="I33" s="130" t="n">
        <x:v>89.37</x:v>
      </x:c>
      <x:c r="J33" s="130" t="n">
        <x:v>89.39</x:v>
      </x:c>
      <x:c r="K33" s="130" t="n">
        <x:v>89.34</x:v>
      </x:c>
      <x:c r="L33" s="130" t="n">
        <x:v>89.9</x:v>
      </x:c>
      <x:c r="M33" s="130" t="n">
        <x:v>91</x:v>
      </x:c>
      <x:c r="N33" s="130" t="n">
        <x:v>89.8</x:v>
      </x:c>
      <x:c r="O33" s="130" t="n">
        <x:v>87.8</x:v>
      </x:c>
      <x:c r="P33" s="130" t="n">
        <x:v>89.9</x:v>
      </x:c>
      <x:c r="Q33" s="130" t="n">
        <x:v>86</x:v>
      </x:c>
      <x:c r="R33" s="130" t="n">
        <x:v>11.3</x:v>
      </x:c>
      <x:c r="S33" s="128" t="str">
        <x:v>https://arxiv.org/abs/2606.06729</x:v>
      </x:c>
      <x:c r="T33" s="128" t="str">
        <x:v>Nonlinear inverse scattering with strong authorship; concise but conceptually valuable.</x:v>
      </x:c>
    </x:row>
    <x:row r="34" ht="36" customHeight="1">
      <x:c r="A34" s="129" t="n">
        <x:v>33</x:v>
      </x:c>
      <x:c r="B34" s="129" t="n">
        <x:f>MATCH(D34,May_Aug_AllRank!$D$2:$D$575,0)</x:f>
        <x:v>96</x:v>
      </x:c>
      <x:c r="C34" s="129" t="str">
        <x:v>2026-06</x:v>
      </x:c>
      <x:c r="D34" s="129" t="str">
        <x:v>2606.15168</x:v>
      </x:c>
      <x:c r="E34" s="129" t="str">
        <x:v>Long-time asymptotics and invariant manifold for fractional 2D Navier-Stokes equation</x:v>
      </x:c>
      <x:c r="F34" s="129" t="str">
        <x:v>Jingchi Huang; Dandan Li; Shuai Zhang</x:v>
      </x:c>
      <x:c r="G34" s="129" t="str">
        <x:v>fractional Navier-Stokes</x:v>
      </x:c>
      <x:c r="H34" s="129" t="str">
        <x:v>44</x:v>
      </x:c>
      <x:c r="I34" s="130" t="n">
        <x:v>89.55</x:v>
      </x:c>
      <x:c r="J34" s="130" t="n">
        <x:v>89.6</x:v>
      </x:c>
      <x:c r="K34" s="130" t="n">
        <x:v>89.5</x:v>
      </x:c>
      <x:c r="L34" s="130" t="n">
        <x:v>91.1</x:v>
      </x:c>
      <x:c r="M34" s="130" t="n">
        <x:v>89.1</x:v>
      </x:c>
      <x:c r="N34" s="130" t="n">
        <x:v>91.1</x:v>
      </x:c>
      <x:c r="O34" s="130" t="n">
        <x:v>87.2</x:v>
      </x:c>
      <x:c r="P34" s="130" t="n">
        <x:v>91.2</x:v>
      </x:c>
      <x:c r="Q34" s="130" t="n">
        <x:v>86</x:v>
      </x:c>
      <x:c r="R34" s="130" t="n">
        <x:v>12</x:v>
      </x:c>
      <x:c r="S34" s="128" t="str">
        <x:v>https://arxiv.org/abs/2606.15168</x:v>
      </x:c>
      <x:c r="T34" s="128" t="str">
        <x:v>Invariant-manifold and long-time asymptotic analysis for fractional 2D Navier-Stokes.</x:v>
      </x:c>
    </x:row>
    <x:row r="35" ht="36" customHeight="1">
      <x:c r="A35" s="129" t="n">
        <x:v>34</x:v>
      </x:c>
      <x:c r="B35" s="129" t="n">
        <x:f>MATCH(D35,May_Aug_AllRank!$D$2:$D$575,0)</x:f>
        <x:v>98</x:v>
      </x:c>
      <x:c r="C35" s="129" t="str">
        <x:v>2026-06</x:v>
      </x:c>
      <x:c r="D35" s="129" t="str">
        <x:v>2606.09657</x:v>
      </x:c>
      <x:c r="E35" s="129" t="str">
        <x:v>Benjamin-Feir spectrum of hydroelastic Stokes waves</x:v>
      </x:c>
      <x:c r="F35" s="129" t="str">
        <x:v>Ting-Yang Hsiao; Zirui Li; Ye Zhang; Chengbin Zhu</x:v>
      </x:c>
      <x:c r="G35" s="129" t="str">
        <x:v>water waves/spectral</x:v>
      </x:c>
      <x:c r="H35" s="129" t="str">
        <x:v>55</x:v>
      </x:c>
      <x:c r="I35" s="130" t="n">
        <x:v>89.38</x:v>
      </x:c>
      <x:c r="J35" s="130" t="n">
        <x:v>89.3</x:v>
      </x:c>
      <x:c r="K35" s="130" t="n">
        <x:v>89.45</x:v>
      </x:c>
      <x:c r="L35" s="130" t="n">
        <x:v>90</x:v>
      </x:c>
      <x:c r="M35" s="130" t="n">
        <x:v>90</x:v>
      </x:c>
      <x:c r="N35" s="130" t="n">
        <x:v>91</x:v>
      </x:c>
      <x:c r="O35" s="130" t="n">
        <x:v>87</x:v>
      </x:c>
      <x:c r="P35" s="130" t="n">
        <x:v>91</x:v>
      </x:c>
      <x:c r="Q35" s="130" t="n">
        <x:v>85</x:v>
      </x:c>
      <x:c r="R35" s="130" t="n">
        <x:v>12</x:v>
      </x:c>
      <x:c r="S35" s="128" t="str">
        <x:v>https://arxiv.org/abs/2606.09657</x:v>
      </x:c>
      <x:c r="T35" s="128" t="str">
        <x:v>Benjamin-Feir spectral analysis for hydroelastic Stokes waves; technical water-wave contribution.</x:v>
      </x:c>
    </x:row>
    <x:row r="36" ht="36" customHeight="1">
      <x:c r="A36" s="129" t="n">
        <x:v>35</x:v>
      </x:c>
      <x:c r="B36" s="129" t="n">
        <x:f>MATCH(D36,May_Aug_AllRank!$D$2:$D$575,0)</x:f>
        <x:v>108</x:v>
      </x:c>
      <x:c r="C36" s="129" t="str">
        <x:v>2026-06</x:v>
      </x:c>
      <x:c r="D36" s="129" t="str">
        <x:v>2606.15585</x:v>
      </x:c>
      <x:c r="E36" s="129" t="str">
        <x:v>Weakly inhomogeneous solutions to a nonlinear Vlasov-Fokker-Planck equation in a domain</x:v>
      </x:c>
      <x:c r="F36" s="129" t="str">
        <x:v>Sihyun Song</x:v>
      </x:c>
      <x:c r="G36" s="129" t="str">
        <x:v>kinetic PDE</x:v>
      </x:c>
      <x:c r="H36" s="129" t="n">
        <x:v>71</x:v>
      </x:c>
      <x:c r="I36" s="130" t="n">
        <x:v>89.27</x:v>
      </x:c>
      <x:c r="J36" s="130" t="n">
        <x:v>89.14</x:v>
      </x:c>
      <x:c r="K36" s="130" t="n">
        <x:v>89.4</x:v>
      </x:c>
      <x:c r="L36" s="130" t="n">
        <x:v>89.9</x:v>
      </x:c>
      <x:c r="M36" s="130" t="n">
        <x:v>89</x:v>
      </x:c>
      <x:c r="N36" s="130" t="n">
        <x:v>91</x:v>
      </x:c>
      <x:c r="O36" s="130" t="n">
        <x:v>86.8</x:v>
      </x:c>
      <x:c r="P36" s="130" t="n">
        <x:v>91</x:v>
      </x:c>
      <x:c r="Q36" s="130" t="n">
        <x:v>86</x:v>
      </x:c>
      <x:c r="R36" s="130" t="n">
        <x:v>12</x:v>
      </x:c>
      <x:c r="S36" s="128" t="str">
        <x:v>https://arxiv.org/abs/2606.15585</x:v>
      </x:c>
      <x:c r="T36" s="128" t="str">
        <x:v>Weakly inhomogeneous Vlasov-Fokker-Planck solutions in a domain; substantial kinetic analysis.</x:v>
      </x:c>
    </x:row>
    <x:row r="37" ht="36" customHeight="1">
      <x:c r="A37" s="129" t="n">
        <x:v>36</x:v>
      </x:c>
      <x:c r="B37" s="129" t="n">
        <x:f>MATCH(D37,May_Aug_AllRank!$D$2:$D$575,0)</x:f>
        <x:v>101</x:v>
      </x:c>
      <x:c r="C37" s="129" t="str">
        <x:v>2026-06</x:v>
      </x:c>
      <x:c r="D37" s="129" t="str">
        <x:v>2606.08939</x:v>
      </x:c>
      <x:c r="E37" s="129" t="str">
        <x:v>Caffarelli-Kohn-Nirenberg and Weighted Gaussian Poincare Inequalities: a complete characterization of sharp L^2 stability and L^p extensions</x:v>
      </x:c>
      <x:c r="F37" s="129" t="str">
        <x:v>Anh Xuan Do; Nguyen Lam; Guozhen Lu; Van Hoang Nguyen</x:v>
      </x:c>
      <x:c r="G37" s="129" t="str">
        <x:v>inequalities/stability</x:v>
      </x:c>
      <x:c r="H37" s="129"/>
      <x:c r="I37" s="130" t="n">
        <x:v>89.33</x:v>
      </x:c>
      <x:c r="J37" s="130" t="n">
        <x:v>89.46</x:v>
      </x:c>
      <x:c r="K37" s="130" t="n">
        <x:v>89.2</x:v>
      </x:c>
      <x:c r="L37" s="130" t="n">
        <x:v>90.1</x:v>
      </x:c>
      <x:c r="M37" s="130" t="n">
        <x:v>89.1</x:v>
      </x:c>
      <x:c r="N37" s="130" t="n">
        <x:v>91.1</x:v>
      </x:c>
      <x:c r="O37" s="130" t="n">
        <x:v>88.2</x:v>
      </x:c>
      <x:c r="P37" s="130" t="n">
        <x:v>90.2</x:v>
      </x:c>
      <x:c r="Q37" s="130" t="n">
        <x:v>86</x:v>
      </x:c>
      <x:c r="R37" s="130" t="n">
        <x:v>12</x:v>
      </x:c>
      <x:c r="S37" s="128" t="str">
        <x:v>https://arxiv.org/abs/2606.08939</x:v>
      </x:c>
      <x:c r="T37" s="128" t="str">
        <x:v>Complete sharp stability characterization for CKN/weighted Gaussian Poincare inequalities.</x:v>
      </x:c>
    </x:row>
    <x:row r="38" ht="36" customHeight="1">
      <x:c r="A38" s="129" t="n">
        <x:v>37</x:v>
      </x:c>
      <x:c r="B38" s="129" t="n">
        <x:f>MATCH(D38,May_Aug_AllRank!$D$2:$D$575,0)</x:f>
        <x:v>116</x:v>
      </x:c>
      <x:c r="C38" s="129" t="str">
        <x:v>2026-06</x:v>
      </x:c>
      <x:c r="D38" s="129" t="str">
        <x:v>2606.02517</x:v>
      </x:c>
      <x:c r="E38" s="129" t="str">
        <x:v>Weak-strong uniqueness and low Mach number limit for a viscous compressible fluid around a rotating body</x:v>
      </x:c>
      <x:c r="F38" s="129" t="str">
        <x:v>Thomas Eiter; Sarka Necasova; Florian Oschmann</x:v>
      </x:c>
      <x:c r="G38" s="129" t="str">
        <x:v>fluid limits</x:v>
      </x:c>
      <x:c r="H38" s="129"/>
      <x:c r="I38" s="130" t="n">
        <x:v>89.07</x:v>
      </x:c>
      <x:c r="J38" s="130" t="n">
        <x:v>89.1</x:v>
      </x:c>
      <x:c r="K38" s="130" t="n">
        <x:v>89.05</x:v>
      </x:c>
      <x:c r="L38" s="130" t="n">
        <x:v>90</x:v>
      </x:c>
      <x:c r="M38" s="130" t="n">
        <x:v>88</x:v>
      </x:c>
      <x:c r="N38" s="130" t="n">
        <x:v>91</x:v>
      </x:c>
      <x:c r="O38" s="130" t="n">
        <x:v>87</x:v>
      </x:c>
      <x:c r="P38" s="130" t="n">
        <x:v>90</x:v>
      </x:c>
      <x:c r="Q38" s="130" t="n">
        <x:v>87</x:v>
      </x:c>
      <x:c r="R38" s="130" t="n">
        <x:v>12</x:v>
      </x:c>
      <x:c r="S38" s="128" t="str">
        <x:v>https://arxiv.org/abs/2606.02517</x:v>
      </x:c>
      <x:c r="T38" s="128" t="str">
        <x:v>Weak-strong uniqueness and low Mach-number limit around a rotating body.</x:v>
      </x:c>
    </x:row>
    <x:row r="39" ht="36" customHeight="1">
      <x:c r="A39" s="129" t="n">
        <x:v>38</x:v>
      </x:c>
      <x:c r="B39" s="129" t="n">
        <x:f>MATCH(D39,May_Aug_AllRank!$D$2:$D$575,0)</x:f>
        <x:v>112</x:v>
      </x:c>
      <x:c r="C39" s="129" t="str">
        <x:v>2026-06</x:v>
      </x:c>
      <x:c r="D39" s="129" t="str">
        <x:v>2606.01448</x:v>
      </x:c>
      <x:c r="E39" s="129" t="str">
        <x:v>Convergence to global equilibrium for the semiconductor Boltzmann equation</x:v>
      </x:c>
      <x:c r="F39" s="129" t="str">
        <x:v>Gayrat Toshpulatov</x:v>
      </x:c>
      <x:c r="G39" s="129" t="str">
        <x:v>kinetic relaxation</x:v>
      </x:c>
      <x:c r="H39" s="129"/>
      <x:c r="I39" s="130" t="n">
        <x:v>89.16</x:v>
      </x:c>
      <x:c r="J39" s="130" t="n">
        <x:v>89.06</x:v>
      </x:c>
      <x:c r="K39" s="130" t="n">
        <x:v>89.25</x:v>
      </x:c>
      <x:c r="L39" s="130" t="n">
        <x:v>90.1</x:v>
      </x:c>
      <x:c r="M39" s="130" t="n">
        <x:v>88</x:v>
      </x:c>
      <x:c r="N39" s="130" t="n">
        <x:v>91.1</x:v>
      </x:c>
      <x:c r="O39" s="130" t="n">
        <x:v>87</x:v>
      </x:c>
      <x:c r="P39" s="130" t="n">
        <x:v>91.1</x:v>
      </x:c>
      <x:c r="Q39" s="130" t="n">
        <x:v>86</x:v>
      </x:c>
      <x:c r="R39" s="130" t="n">
        <x:v>12</x:v>
      </x:c>
      <x:c r="S39" s="128" t="str">
        <x:v>https://arxiv.org/abs/2606.01448</x:v>
      </x:c>
      <x:c r="T39" s="128" t="str">
        <x:v>Global equilibrium convergence for semiconductor Boltzmann; valuable kinetic relaxation result.</x:v>
      </x:c>
    </x:row>
    <x:row r="40" ht="36" customHeight="1">
      <x:c r="A40" s="129" t="n">
        <x:v>39</x:v>
      </x:c>
      <x:c r="B40" s="129" t="n">
        <x:f>MATCH(D40,May_Aug_AllRank!$D$2:$D$575,0)</x:f>
        <x:v>119</x:v>
      </x:c>
      <x:c r="C40" s="129" t="str">
        <x:v>2026-06</x:v>
      </x:c>
      <x:c r="D40" s="129" t="str">
        <x:v>2606.07417</x:v>
      </x:c>
      <x:c r="E40" s="129" t="str">
        <x:v>An optimal local theory for reaction-diffusion equations driven by non-trace-class noise</x:v>
      </x:c>
      <x:c r="F40" s="129" t="str">
        <x:v>Antonio Agresti; Fabian Germ; Mark Veraar</x:v>
      </x:c>
      <x:c r="G40" s="129" t="str">
        <x:v>stochastic PDE</x:v>
      </x:c>
      <x:c r="H40" s="129" t="n">
        <x:v>46</x:v>
      </x:c>
      <x:c r="I40" s="130" t="n">
        <x:v>88.93</x:v>
      </x:c>
      <x:c r="J40" s="130" t="n">
        <x:v>88.9</x:v>
      </x:c>
      <x:c r="K40" s="130" t="n">
        <x:v>88.95</x:v>
      </x:c>
      <x:c r="L40" s="130" t="n">
        <x:v>89</x:v>
      </x:c>
      <x:c r="M40" s="130" t="n">
        <x:v>89</x:v>
      </x:c>
      <x:c r="N40" s="130" t="n">
        <x:v>91</x:v>
      </x:c>
      <x:c r="O40" s="130" t="n">
        <x:v>87</x:v>
      </x:c>
      <x:c r="P40" s="130" t="n">
        <x:v>90</x:v>
      </x:c>
      <x:c r="Q40" s="130" t="n">
        <x:v>86</x:v>
      </x:c>
      <x:c r="R40" s="130" t="n">
        <x:v>13</x:v>
      </x:c>
      <x:c r="S40" s="128" t="str">
        <x:v>https://arxiv.org/abs/2606.07417</x:v>
      </x:c>
      <x:c r="T40" s="128" t="str">
        <x:v>Optimal local theory for reaction-diffusion equations with non-trace-class noise.</x:v>
      </x:c>
    </x:row>
    <x:row r="41" ht="36" customHeight="1">
      <x:c r="A41" s="129" t="n">
        <x:v>40</x:v>
      </x:c>
      <x:c r="B41" s="129" t="n">
        <x:f>MATCH(D41,May_Aug_AllRank!$D$2:$D$575,0)</x:f>
        <x:v>123</x:v>
      </x:c>
      <x:c r="C41" s="129" t="str">
        <x:v>2026-06</x:v>
      </x:c>
      <x:c r="D41" s="129" t="str">
        <x:v>2606.15556</x:v>
      </x:c>
      <x:c r="E41" s="129" t="str">
        <x:v>Borderline gradient continuity for degenerate/singular fully nonlinear elliptic equations with Hamiltonian terms</x:v>
      </x:c>
      <x:c r="F41" s="129" t="str">
        <x:v>Wentao Huo; Lingwei Ma; Zhenqiu Zhang</x:v>
      </x:c>
      <x:c r="G41" s="129" t="str">
        <x:v>elliptic regularity</x:v>
      </x:c>
      <x:c r="H41" s="129" t="n">
        <x:v>27</x:v>
      </x:c>
      <x:c r="I41" s="130" t="n">
        <x:v>88.9</x:v>
      </x:c>
      <x:c r="J41" s="130" t="n">
        <x:v>88.84</x:v>
      </x:c>
      <x:c r="K41" s="130" t="n">
        <x:v>88.95</x:v>
      </x:c>
      <x:c r="L41" s="130" t="n">
        <x:v>88.9</x:v>
      </x:c>
      <x:c r="M41" s="130" t="n">
        <x:v>89</x:v>
      </x:c>
      <x:c r="N41" s="130" t="n">
        <x:v>91</x:v>
      </x:c>
      <x:c r="O41" s="130" t="n">
        <x:v>86.8</x:v>
      </x:c>
      <x:c r="P41" s="130" t="n">
        <x:v>90</x:v>
      </x:c>
      <x:c r="Q41" s="130" t="n">
        <x:v>86</x:v>
      </x:c>
      <x:c r="R41" s="130" t="n">
        <x:v>13</x:v>
      </x:c>
      <x:c r="S41" s="128" t="str">
        <x:v>https://arxiv.org/abs/2606.15556</x:v>
      </x:c>
      <x:c r="T41" s="128" t="str">
        <x:v>Borderline gradient continuity for degenerate/singular fully nonlinear equations.</x:v>
      </x:c>
    </x:row>
    <x:row r="42" ht="36" customHeight="1">
      <x:c r="A42" s="129" t="n">
        <x:v>41</x:v>
      </x:c>
      <x:c r="B42" s="129" t="n">
        <x:f>MATCH(D42,May_Aug_AllRank!$D$2:$D$575,0)</x:f>
        <x:v>136</x:v>
      </x:c>
      <x:c r="C42" s="129" t="str">
        <x:v>2026-06</x:v>
      </x:c>
      <x:c r="D42" s="129" t="str">
        <x:v>2606.10897</x:v>
      </x:c>
      <x:c r="E42" s="129" t="str">
        <x:v>A characterisation of infinity-harmonic maps in terms of 1-currents</x:v>
      </x:c>
      <x:c r="F42" s="129" t="str">
        <x:v>Roger Moser</x:v>
      </x:c>
      <x:c r="G42" s="129" t="str">
        <x:v>infinity-harmonic maps</x:v>
      </x:c>
      <x:c r="H42" s="129"/>
      <x:c r="I42" s="130" t="n">
        <x:v>88.73</x:v>
      </x:c>
      <x:c r="J42" s="130" t="n">
        <x:v>88.7</x:v>
      </x:c>
      <x:c r="K42" s="130" t="n">
        <x:v>88.75</x:v>
      </x:c>
      <x:c r="L42" s="130" t="n">
        <x:v>89</x:v>
      </x:c>
      <x:c r="M42" s="130" t="n">
        <x:v>90</x:v>
      </x:c>
      <x:c r="N42" s="130" t="n">
        <x:v>89</x:v>
      </x:c>
      <x:c r="O42" s="130" t="n">
        <x:v>87</x:v>
      </x:c>
      <x:c r="P42" s="130" t="n">
        <x:v>89</x:v>
      </x:c>
      <x:c r="Q42" s="130" t="n">
        <x:v>87</x:v>
      </x:c>
      <x:c r="R42" s="130" t="n">
        <x:v>12</x:v>
      </x:c>
      <x:c r="S42" s="128" t="str">
        <x:v>https://arxiv.org/abs/2606.10897</x:v>
      </x:c>
      <x:c r="T42" s="128" t="str">
        <x:v>Characterization of infinity-harmonic maps via 1-currents; conceptually clean variational result.</x:v>
      </x:c>
    </x:row>
    <x:row r="43" ht="36" customHeight="1">
      <x:c r="A43" s="129" t="n">
        <x:v>42</x:v>
      </x:c>
      <x:c r="B43" s="129" t="n">
        <x:f>MATCH(D43,May_Aug_AllRank!$D$2:$D$575,0)</x:f>
        <x:v>140</x:v>
      </x:c>
      <x:c r="C43" s="129" t="str">
        <x:v>2026-06</x:v>
      </x:c>
      <x:c r="D43" s="129" t="str">
        <x:v>2606.15561</x:v>
      </x:c>
      <x:c r="E43" s="129" t="str">
        <x:v>Higher Holder regularity for degenerate fully nonlinear elliptic equations with Hamiltonian terms</x:v>
      </x:c>
      <x:c r="F43" s="129" t="str">
        <x:v>Wentao Huo; Xiaofeng Jin; Lingwei Ma; Zhenqiu Zhang</x:v>
      </x:c>
      <x:c r="G43" s="129" t="str">
        <x:v>elliptic regularity</x:v>
      </x:c>
      <x:c r="H43" s="129" t="n">
        <x:v>17</x:v>
      </x:c>
      <x:c r="I43" s="130" t="n">
        <x:v>88.65</x:v>
      </x:c>
      <x:c r="J43" s="130" t="n">
        <x:v>88.65</x:v>
      </x:c>
      <x:c r="K43" s="130" t="n">
        <x:v>88.64</x:v>
      </x:c>
      <x:c r="L43" s="130" t="n">
        <x:v>89</x:v>
      </x:c>
      <x:c r="M43" s="130" t="n">
        <x:v>88</x:v>
      </x:c>
      <x:c r="N43" s="130" t="n">
        <x:v>90.8</x:v>
      </x:c>
      <x:c r="O43" s="130" t="n">
        <x:v>87</x:v>
      </x:c>
      <x:c r="P43" s="130" t="n">
        <x:v>89.9</x:v>
      </x:c>
      <x:c r="Q43" s="130" t="n">
        <x:v>86</x:v>
      </x:c>
      <x:c r="R43" s="130" t="n">
        <x:v>13.3</x:v>
      </x:c>
      <x:c r="S43" s="128" t="str">
        <x:v>https://arxiv.org/abs/2606.15561</x:v>
      </x:c>
      <x:c r="T43" s="128" t="str">
        <x:v>Higher Holder regularity for degenerate fully nonlinear elliptic equations.</x:v>
      </x:c>
    </x:row>
    <x:row r="44" ht="36" customHeight="1">
      <x:c r="A44" s="129" t="n">
        <x:v>43</x:v>
      </x:c>
      <x:c r="B44" s="129" t="n">
        <x:f>MATCH(D44,May_Aug_AllRank!$D$2:$D$575,0)</x:f>
        <x:v>138</x:v>
      </x:c>
      <x:c r="C44" s="129" t="str">
        <x:v>2026-06</x:v>
      </x:c>
      <x:c r="D44" s="129" t="str">
        <x:v>2606.07468</x:v>
      </x:c>
      <x:c r="E44" s="129" t="str">
        <x:v>Minimizing clusters with prescribed asymptotic geometry</x:v>
      </x:c>
      <x:c r="F44" s="129" t="str">
        <x:v>Robin Neumayer; Michael Novack; Anna Skorobogatova</x:v>
      </x:c>
      <x:c r="G44" s="129" t="str">
        <x:v>geometric variational</x:v>
      </x:c>
      <x:c r="H44" s="129" t="n">
        <x:v>30</x:v>
      </x:c>
      <x:c r="I44" s="130" t="n">
        <x:v>88.7</x:v>
      </x:c>
      <x:c r="J44" s="130" t="n">
        <x:v>88.65</x:v>
      </x:c>
      <x:c r="K44" s="130" t="n">
        <x:v>88.75</x:v>
      </x:c>
      <x:c r="L44" s="130" t="n">
        <x:v>89</x:v>
      </x:c>
      <x:c r="M44" s="130" t="n">
        <x:v>89</x:v>
      </x:c>
      <x:c r="N44" s="130" t="n">
        <x:v>90</x:v>
      </x:c>
      <x:c r="O44" s="130" t="n">
        <x:v>87</x:v>
      </x:c>
      <x:c r="P44" s="130" t="n">
        <x:v>90</x:v>
      </x:c>
      <x:c r="Q44" s="130" t="n">
        <x:v>86</x:v>
      </x:c>
      <x:c r="R44" s="130" t="n">
        <x:v>13</x:v>
      </x:c>
      <x:c r="S44" s="128" t="str">
        <x:v>https://arxiv.org/abs/2606.07468</x:v>
      </x:c>
      <x:c r="T44" s="128" t="str">
        <x:v>Minimizing clusters with asymptotic geometry; solid geometric variational contribution.</x:v>
      </x:c>
    </x:row>
    <x:row r="45" ht="36" customHeight="1">
      <x:c r="A45" s="129" t="n">
        <x:v>44</x:v>
      </x:c>
      <x:c r="B45" s="129" t="n">
        <x:f>MATCH(D45,May_Aug_AllRank!$D$2:$D$575,0)</x:f>
        <x:v>137</x:v>
      </x:c>
      <x:c r="C45" s="129" t="str">
        <x:v>2026-06</x:v>
      </x:c>
      <x:c r="D45" s="129" t="str">
        <x:v>2606.15612</x:v>
      </x:c>
      <x:c r="E45" s="129" t="str">
        <x:v>Trichotomy dynamics of a free boundary model for biological invasion</x:v>
      </x:c>
      <x:c r="F45" s="129" t="str">
        <x:v>Hongkai Cao; Yihong Du; Wenjie Ni; Xiaoyan Zhang</x:v>
      </x:c>
      <x:c r="G45" s="129" t="str">
        <x:v>free boundary dynamics</x:v>
      </x:c>
      <x:c r="H45" s="129"/>
      <x:c r="I45" s="130" t="n">
        <x:v>88.7</x:v>
      </x:c>
      <x:c r="J45" s="130" t="n">
        <x:v>88.65</x:v>
      </x:c>
      <x:c r="K45" s="130" t="n">
        <x:v>88.75</x:v>
      </x:c>
      <x:c r="L45" s="130" t="n">
        <x:v>89</x:v>
      </x:c>
      <x:c r="M45" s="130" t="n">
        <x:v>89</x:v>
      </x:c>
      <x:c r="N45" s="130" t="n">
        <x:v>90</x:v>
      </x:c>
      <x:c r="O45" s="130" t="n">
        <x:v>87</x:v>
      </x:c>
      <x:c r="P45" s="130" t="n">
        <x:v>90</x:v>
      </x:c>
      <x:c r="Q45" s="130" t="n">
        <x:v>86</x:v>
      </x:c>
      <x:c r="R45" s="130" t="n">
        <x:v>13</x:v>
      </x:c>
      <x:c r="S45" s="128" t="str">
        <x:v>https://arxiv.org/abs/2606.15612</x:v>
      </x:c>
      <x:c r="T45" s="128" t="str">
        <x:v>Trichotomy dynamics in a free-boundary biological invasion model.</x:v>
      </x:c>
    </x:row>
    <x:row r="46" ht="36" customHeight="1">
      <x:c r="A46" s="129" t="n">
        <x:v>45</x:v>
      </x:c>
      <x:c r="B46" s="129" t="n">
        <x:f>MATCH(D46,May_Aug_AllRank!$D$2:$D$575,0)</x:f>
        <x:v>134</x:v>
      </x:c>
      <x:c r="C46" s="129" t="str">
        <x:v>2026-06</x:v>
      </x:c>
      <x:c r="D46" s="129" t="str">
        <x:v>2606.04615</x:v>
      </x:c>
      <x:c r="E46" s="129" t="str">
        <x:v>The Ginzburg-Landau system with general potential: maximum principle and gradient estimates</x:v>
      </x:c>
      <x:c r="F46" s="129" t="str">
        <x:v>Radu Ignat; Luc Nguyen; Valeriy Slastikov; Arghir Zarnescu</x:v>
      </x:c>
      <x:c r="G46" s="129" t="str">
        <x:v>Ginzburg-Landau estimates</x:v>
      </x:c>
      <x:c r="H46" s="129"/>
      <x:c r="I46" s="130" t="n">
        <x:v>88.75</x:v>
      </x:c>
      <x:c r="J46" s="130" t="n">
        <x:v>88.6</x:v>
      </x:c>
      <x:c r="K46" s="130" t="n">
        <x:v>88.9</x:v>
      </x:c>
      <x:c r="L46" s="130" t="n">
        <x:v>89.1</x:v>
      </x:c>
      <x:c r="M46" s="130" t="n">
        <x:v>88</x:v>
      </x:c>
      <x:c r="N46" s="130" t="n">
        <x:v>90.1</x:v>
      </x:c>
      <x:c r="O46" s="130" t="n">
        <x:v>87</x:v>
      </x:c>
      <x:c r="P46" s="130" t="n">
        <x:v>90.1</x:v>
      </x:c>
      <x:c r="Q46" s="130" t="n">
        <x:v>87</x:v>
      </x:c>
      <x:c r="R46" s="130" t="n">
        <x:v>12</x:v>
      </x:c>
      <x:c r="S46" s="128" t="str">
        <x:v>https://arxiv.org/abs/2606.04615</x:v>
      </x:c>
      <x:c r="T46" s="128" t="str">
        <x:v>Maximum principle and gradient estimates for GL systems with general potentials.</x:v>
      </x:c>
    </x:row>
    <x:row r="47" ht="36" customHeight="1">
      <x:c r="A47" s="129" t="n">
        <x:v>46</x:v>
      </x:c>
      <x:c r="B47" s="129" t="n">
        <x:f>MATCH(D47,May_Aug_AllRank!$D$2:$D$575,0)</x:f>
        <x:v>143</x:v>
      </x:c>
      <x:c r="C47" s="129" t="str">
        <x:v>2026-06</x:v>
      </x:c>
      <x:c r="D47" s="129" t="str">
        <x:v>2606.15644</x:v>
      </x:c>
      <x:c r="E47" s="129" t="str">
        <x:v>Minimizing and non-minimizing degree one W^{s,1/s}-harmonic maps between spheres</x:v>
      </x:c>
      <x:c r="F47" s="129" t="str">
        <x:v>Dorian Martino; Katarzyna Mazowiecka; Armin Schikorra</x:v>
      </x:c>
      <x:c r="G47" s="129" t="str">
        <x:v>fractional harmonic maps</x:v>
      </x:c>
      <x:c r="H47" s="129"/>
      <x:c r="I47" s="130" t="n">
        <x:v>88.6</x:v>
      </x:c>
      <x:c r="J47" s="130" t="n">
        <x:v>88.45</x:v>
      </x:c>
      <x:c r="K47" s="130" t="n">
        <x:v>88.75</x:v>
      </x:c>
      <x:c r="L47" s="130" t="n">
        <x:v>88</x:v>
      </x:c>
      <x:c r="M47" s="130" t="n">
        <x:v>89</x:v>
      </x:c>
      <x:c r="N47" s="130" t="n">
        <x:v>90</x:v>
      </x:c>
      <x:c r="O47" s="130" t="n">
        <x:v>87</x:v>
      </x:c>
      <x:c r="P47" s="130" t="n">
        <x:v>89</x:v>
      </x:c>
      <x:c r="Q47" s="130" t="n">
        <x:v>87</x:v>
      </x:c>
      <x:c r="R47" s="130" t="n">
        <x:v>12</x:v>
      </x:c>
      <x:c r="S47" s="128" t="str">
        <x:v>https://arxiv.org/abs/2606.15644</x:v>
      </x:c>
      <x:c r="T47" s="128" t="str">
        <x:v>Degree-one fractional harmonic maps between spheres; relevant to nonlocal geometric variational theory.</x:v>
      </x:c>
    </x:row>
    <x:row r="48" ht="36" customHeight="1">
      <x:c r="A48" s="129" t="n">
        <x:v>47</x:v>
      </x:c>
      <x:c r="B48" s="129" t="n">
        <x:f>MATCH(D48,May_Aug_AllRank!$D$2:$D$575,0)</x:f>
        <x:v>147</x:v>
      </x:c>
      <x:c r="C48" s="129" t="str">
        <x:v>2026-06</x:v>
      </x:c>
      <x:c r="D48" s="129" t="str">
        <x:v>2606.29382</x:v>
      </x:c>
      <x:c r="E48" s="129" t="str">
        <x:v>The distance between homotopy classes of Sobolev maps on spheres</x:v>
      </x:c>
      <x:c r="F48" s="129" t="str">
        <x:v>Rupert L. Frank; Paata Ivanisvili</x:v>
      </x:c>
      <x:c r="G48" s="129" t="str">
        <x:v>Sobolev maps</x:v>
      </x:c>
      <x:c r="H48" s="129"/>
      <x:c r="I48" s="130" t="n">
        <x:v>88.53</x:v>
      </x:c>
      <x:c r="J48" s="130" t="n">
        <x:v>88.5</x:v>
      </x:c>
      <x:c r="K48" s="130" t="n">
        <x:v>88.55</x:v>
      </x:c>
      <x:c r="L48" s="130" t="n">
        <x:v>89</x:v>
      </x:c>
      <x:c r="M48" s="130" t="n">
        <x:v>89</x:v>
      </x:c>
      <x:c r="N48" s="130" t="n">
        <x:v>89</x:v>
      </x:c>
      <x:c r="O48" s="130" t="n">
        <x:v>87</x:v>
      </x:c>
      <x:c r="P48" s="130" t="n">
        <x:v>89</x:v>
      </x:c>
      <x:c r="Q48" s="130" t="n">
        <x:v>87</x:v>
      </x:c>
      <x:c r="R48" s="130" t="n">
        <x:v>12</x:v>
      </x:c>
      <x:c r="S48" s="128" t="str">
        <x:v>https://arxiv.org/abs/2606.29382</x:v>
      </x:c>
      <x:c r="T48" s="128" t="str">
        <x:v>Distance between Sobolev homotopy classes on spheres; strong geometric analysis/variational content.</x:v>
      </x:c>
    </x:row>
    <x:row r="49" ht="36" customHeight="1">
      <x:c r="A49" s="129" t="n">
        <x:v>48</x:v>
      </x:c>
      <x:c r="B49" s="129" t="n">
        <x:f>MATCH(D49,May_Aug_AllRank!$D$2:$D$575,0)</x:f>
        <x:v>141</x:v>
      </x:c>
      <x:c r="C49" s="129" t="str">
        <x:v>2026-06</x:v>
      </x:c>
      <x:c r="D49" s="129" t="str">
        <x:v>2606.03716</x:v>
      </x:c>
      <x:c r="E49" s="129" t="str">
        <x:v>Homogenization of compressible Navier-Stokes equations under a hard sphere pressure law</x:v>
      </x:c>
      <x:c r="F49" s="129" t="str">
        <x:v>Nilasis Chaudhuri; Florian Oschmann</x:v>
      </x:c>
      <x:c r="G49" s="129" t="str">
        <x:v>fluid homogenization</x:v>
      </x:c>
      <x:c r="H49" s="129"/>
      <x:c r="I49" s="130" t="n">
        <x:v>88.61</x:v>
      </x:c>
      <x:c r="J49" s="130" t="n">
        <x:v>88.56</x:v>
      </x:c>
      <x:c r="K49" s="130" t="n">
        <x:v>88.65</x:v>
      </x:c>
      <x:c r="L49" s="130" t="n">
        <x:v>89.1</x:v>
      </x:c>
      <x:c r="M49" s="130" t="n">
        <x:v>88.1</x:v>
      </x:c>
      <x:c r="N49" s="130" t="n">
        <x:v>90.1</x:v>
      </x:c>
      <x:c r="O49" s="130" t="n">
        <x:v>87.2</x:v>
      </x:c>
      <x:c r="P49" s="130" t="n">
        <x:v>90.2</x:v>
      </x:c>
      <x:c r="Q49" s="130" t="n">
        <x:v>86</x:v>
      </x:c>
      <x:c r="R49" s="130" t="n">
        <x:v>13</x:v>
      </x:c>
      <x:c r="S49" s="128" t="str">
        <x:v>https://arxiv.org/abs/2606.03716</x:v>
      </x:c>
      <x:c r="T49" s="128" t="str">
        <x:v>Homogenization for compressible Navier-Stokes under hard-sphere pressure law.</x:v>
      </x:c>
    </x:row>
    <x:row r="50" ht="36" customHeight="1">
      <x:c r="A50" s="129" t="n">
        <x:v>49</x:v>
      </x:c>
      <x:c r="B50" s="129" t="n">
        <x:f>MATCH(D50,May_Aug_AllRank!$D$2:$D$575,0)</x:f>
        <x:v>145</x:v>
      </x:c>
      <x:c r="C50" s="129" t="str">
        <x:v>2026-06</x:v>
      </x:c>
      <x:c r="D50" s="129" t="str">
        <x:v>2606.09280</x:v>
      </x:c>
      <x:c r="E50" s="129" t="str">
        <x:v>The effect of geometric focusing on dispersive estimates for Schrodinger and wave equations</x:v>
      </x:c>
      <x:c r="F50" s="129" t="str">
        <x:v>Qiuye Jia; Junyong Zhang</x:v>
      </x:c>
      <x:c r="G50" s="129" t="str">
        <x:v>geometric dispersive estimates</x:v>
      </x:c>
      <x:c r="H50" s="129"/>
      <x:c r="I50" s="130" t="n">
        <x:v>88.56</x:v>
      </x:c>
      <x:c r="J50" s="130" t="n">
        <x:v>88.46</x:v>
      </x:c>
      <x:c r="K50" s="130" t="n">
        <x:v>88.65</x:v>
      </x:c>
      <x:c r="L50" s="130" t="n">
        <x:v>89.1</x:v>
      </x:c>
      <x:c r="M50" s="130" t="n">
        <x:v>89</x:v>
      </x:c>
      <x:c r="N50" s="130" t="n">
        <x:v>90.1</x:v>
      </x:c>
      <x:c r="O50" s="130" t="n">
        <x:v>86</x:v>
      </x:c>
      <x:c r="P50" s="130" t="n">
        <x:v>90.1</x:v>
      </x:c>
      <x:c r="Q50" s="130" t="n">
        <x:v>85</x:v>
      </x:c>
      <x:c r="R50" s="130" t="n">
        <x:v>13</x:v>
      </x:c>
      <x:c r="S50" s="128" t="str">
        <x:v>https://arxiv.org/abs/2606.09280</x:v>
      </x:c>
      <x:c r="T50" s="128" t="str">
        <x:v>Geometric focusing effects on dispersive estimates; useful bridge between DG and dispersive PDE.</x:v>
      </x:c>
    </x:row>
    <x:row r="51" ht="36" customHeight="1">
      <x:c r="A51" s="129" t="n">
        <x:v>50</x:v>
      </x:c>
      <x:c r="B51" s="129" t="n">
        <x:f>MATCH(D51,May_Aug_AllRank!$D$2:$D$575,0)</x:f>
        <x:v>151</x:v>
      </x:c>
      <x:c r="C51" s="129" t="str">
        <x:v>2026-06</x:v>
      </x:c>
      <x:c r="D51" s="129" t="str">
        <x:v>2606.12825</x:v>
      </x:c>
      <x:c r="E51" s="129" t="str">
        <x:v>Optimal minimax formula for bounds on ensemble averages of statistically stationary three-dimensional Navier-Stokes flows</x:v>
      </x:c>
      <x:c r="F51" s="129" t="str">
        <x:v>Anne Bronzi; Cecilia F. Mondaini; Ricardo M. S. Rosa</x:v>
      </x:c>
      <x:c r="G51" s="129" t="str">
        <x:v>Navier-Stokes/statistical solutions</x:v>
      </x:c>
      <x:c r="H51" s="129"/>
      <x:c r="I51" s="130" t="n">
        <x:v>88.52</x:v>
      </x:c>
      <x:c r="J51" s="130" t="n">
        <x:v>88.44</x:v>
      </x:c>
      <x:c r="K51" s="130" t="n">
        <x:v>88.6</x:v>
      </x:c>
      <x:c r="L51" s="130" t="n">
        <x:v>89</x:v>
      </x:c>
      <x:c r="M51" s="130" t="n">
        <x:v>88</x:v>
      </x:c>
      <x:c r="N51" s="130" t="n">
        <x:v>90.1</x:v>
      </x:c>
      <x:c r="O51" s="130" t="n">
        <x:v>86.8</x:v>
      </x:c>
      <x:c r="P51" s="130" t="n">
        <x:v>90.1</x:v>
      </x:c>
      <x:c r="Q51" s="130" t="n">
        <x:v>86</x:v>
      </x:c>
      <x:c r="R51" s="130" t="n">
        <x:v>13</x:v>
      </x:c>
      <x:c r="S51" s="128" t="str">
        <x:v>https://arxiv.org/abs/2606.12825</x:v>
      </x:c>
      <x:c r="T51" s="128" t="str">
        <x:v>Optimal minimax bounds for statistically stationary 3D Navier-Stokes ensembles.</x:v>
      </x:c>
    </x:row>
  </x:sheetData>
  <x:conditionalFormatting sqref="A2:T51">
    <x:cfRule type="expression" dxfId="2" priority="1">
      <x:formula>MOD(ROW()-1,2)=1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6b630d46974f5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4" max="4" width="24" hidden="0" customWidth="1"/>
    <x:col min="5" max="5" width="22" hidden="0" customWidth="1"/>
    <x:col min="7" max="7" width="15" hidden="0" customWidth="1"/>
    <x:col min="8" max="8" width="15" hidden="0" customWidth="1"/>
  </x:cols>
  <x:sheetData>
    <x:row r="1" ht="30" customHeight="1">
      <x:c r="A1" s="57" t="str">
        <x:v>2026年5月+6月 arXiv math.AP 多轮复核评分表</x:v>
      </x:c>
      <x:c r="B1" s="57" t="str"/>
      <x:c r="C1" s="57" t="str"/>
      <x:c r="D1" s="57" t="str">
        <x:v>统计项</x:v>
      </x:c>
      <x:c r="E1" s="57" t="str">
        <x:v>数值</x:v>
      </x:c>
      <x:c r="G1" s="57" t="str">
        <x:v>Month</x:v>
      </x:c>
      <x:c r="H1" s="57" t="str">
        <x:v>Top100 count</x:v>
      </x:c>
    </x:row>
    <x:row r="2">
      <x:c r="A2" s="14" t="str">
        <x:v>口径</x:v>
      </x:c>
      <x:c r="B2" s="14" t="str">
        <x:v>沿用旧表 V / S_H / S_eq 公式；默认主要结论正确，不做逐篇证明正确性核验。</x:v>
      </x:c>
      <x:c r="C2" s="14" t="str"/>
      <x:c r="D2" s="14" t="str">
        <x:v>合并评分池总数</x:v>
      </x:c>
      <x:c r="E2" s="14" t="n">
        <x:v>302</x:v>
      </x:c>
      <x:c r="G2" t="str">
        <x:v>2026-05</x:v>
      </x:c>
      <x:c r="H2" t="n">
        <x:v>50</x:v>
      </x:c>
    </x:row>
    <x:row r="3">
      <x:c r="A3" s="14" t="str">
        <x:v>数据范围</x:v>
      </x:c>
      <x:c r="B3" s="14" t="str">
        <x:v>5月评分池92篇；6月30%评分池210篇。</x:v>
      </x:c>
      <x:c r="C3" s="14" t="str"/>
      <x:c r="D3" s="14" t="str">
        <x:v>May rows</x:v>
      </x:c>
      <x:c r="E3" s="14" t="n">
        <x:v>92</x:v>
      </x:c>
      <x:c r="G3" t="str">
        <x:v>2026-06</x:v>
      </x:c>
      <x:c r="H3" t="n">
        <x:v>50</x:v>
      </x:c>
    </x:row>
    <x:row r="4">
      <x:c r="A4" s="14" t="str">
        <x:v>复核方式</x:v>
      </x:c>
      <x:c r="B4" s="14" t="str">
        <x:v>Round1=题名/主题/旧评语复读；Round2=跨月校准；Round3=AI残差与稳定性校准。</x:v>
      </x:c>
      <x:c r="C4" s="14" t="str"/>
      <x:c r="D4" s="14" t="str">
        <x:v>June rows</x:v>
      </x:c>
      <x:c r="E4" s="14" t="n">
        <x:v>210</x:v>
      </x:c>
    </x:row>
    <x:row r="5">
      <x:c r="A5" s="14" t="str">
        <x:v>Top50检查</x:v>
      </x:c>
      <x:c r="B5" s="14" t="str">
        <x:v>原月度Top50及并列分数线文章均进入三轮复核日志。</x:v>
      </x:c>
      <x:c r="C5" s="14" t="str"/>
      <x:c r="D5" s="14" t="str">
        <x:v>原Top50/tie复核条数</x:v>
      </x:c>
      <x:c r="E5" s="14" t="n">
        <x:v>102</x:v>
      </x:c>
    </x:row>
    <x:row r="6">
      <x:c r="A6" s="14" t="str">
        <x:v>合并Top100</x:v>
      </x:c>
      <x:c r="B6" s="14" t="str">
        <x:v>按 Final_S_eq 降序排序，分数相同再参考 Final_V 与原始分。</x:v>
      </x:c>
      <x:c r="C6" s="14" t="str"/>
      <x:c r="D6" s="14" t="str">
        <x:v>Top100分数线</x:v>
      </x:c>
      <x:c r="E6" s="14" t="n">
        <x:v>87.38</x:v>
      </x:c>
    </x:row>
    <x:row r="7">
      <x:c r="A7" s="14" t="str"/>
      <x:c r="B7" s="14" t="str"/>
      <x:c r="C7" s="14" t="str"/>
      <x:c r="D7" s="14" t="str">
        <x:v>Top100 May/June</x:v>
      </x:c>
      <x:c r="E7" s="14" t="str">
        <x:v>50 / 50</x:v>
      </x:c>
    </x:row>
    <x:row r="8">
      <x:c r="A8" s="14" t="str"/>
      <x:c r="B8" s="14" t="str"/>
      <x:c r="C8" s="14" t="str"/>
      <x:c r="D8" s="14" t="str">
        <x:v>平均 Final_S_eq</x:v>
      </x:c>
      <x:c r="E8" s="14" t="n">
        <x:v>84.35</x:v>
      </x:c>
    </x:row>
    <x:row r="9">
      <x:c r="A9" s="14" t="str"/>
      <x:c r="B9" s="14" t="str"/>
      <x:c r="C9" s="14" t="str"/>
      <x:c r="D9" s="14" t="str">
        <x:v>May 平均 Final_S_eq</x:v>
      </x:c>
      <x:c r="E9" s="14" t="n">
        <x:v>88.3</x:v>
      </x:c>
    </x:row>
    <x:row r="10">
      <x:c r="A10" s="14" t="str"/>
      <x:c r="B10" s="14" t="str"/>
      <x:c r="C10" s="14" t="str"/>
      <x:c r="D10" s="14" t="str">
        <x:v>June 平均 Final_S_eq</x:v>
      </x:c>
      <x:c r="E10" s="14" t="n">
        <x:v>82.62</x:v>
      </x:c>
    </x:row>
    <x:row r="11">
      <x:c r="A11" s="14" t="str"/>
      <x:c r="B11" s="14" t="str"/>
      <x:c r="C11" s="14" t="str"/>
      <x:c r="D11" s="14" t="str">
        <x:v>Top50平均修正 Δ</x:v>
      </x:c>
      <x:c r="E11" s="14" t="n">
        <x:v>0.019</x:v>
      </x:c>
    </x:row>
    <x:row r="12">
      <x:c r="A12" s="14" t="str">
        <x:v>最大修正</x:v>
      </x:c>
      <x:c r="B12" s="14" t="str">
        <x:v>2605.20426 Pointwise bounds and obstructions to blowup for the Landau and Boltzmann equations</x:v>
      </x:c>
      <x:c r="C12" s="14" t="str"/>
      <x:c r="D12" s="14" t="str">
        <x:v>最大 |Δ|</x:v>
      </x:c>
      <x:c r="E12" s="14" t="n">
        <x:v>0.2</x:v>
      </x:c>
    </x:row>
    <x:row r="13">
      <x:c r="A13" s="14" t="str">
        <x:v>导出时间</x:v>
      </x:c>
      <x:c r="B13" s="14" t="str">
        <x:v>2026-08-09 12:08</x:v>
      </x:c>
      <x:c r="C13" s="14" t="str"/>
      <x:c r="D13" s="14" t="str">
        <x:v>文件</x:v>
      </x:c>
      <x:c r="E13" s="14" t="str">
        <x:v>mathAP_May_June_multiround_rescored_top100.xlsx</x:v>
      </x:c>
    </x:row>
  </x:sheetData>
  <x:pageMargins left="0.7" right="0.7" top="0.75" bottom="0.75" header="0.3" footer="0.3"/>
  <x:drawing xmlns:r="http://schemas.openxmlformats.org/officeDocument/2006/relationships" r:id="R80680274daf54e6f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2" hidden="0" customWidth="1"/>
    <x:col min="4" max="4" width="11" hidden="0" customWidth="1"/>
    <x:col min="5" max="5" width="12" hidden="0" customWidth="1"/>
    <x:col min="6" max="6" width="45" hidden="0" customWidth="1"/>
    <x:col min="7" max="7" width="32" hidden="0" customWidth="1"/>
    <x:col min="8" max="8" width="24" hidden="0" customWidth="1"/>
    <x:col min="9" max="9" width="9" hidden="0" customWidth="1"/>
    <x:col min="10" max="10" width="3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12" hidden="0" customWidth="1"/>
    <x:col min="60" max="60" width="18" hidden="0" customWidth="1"/>
    <x:col min="61" max="61" width="46" hidden="0" customWidth="1"/>
  </x:cols>
  <x:sheetData>
    <x:row r="1" ht="28" customHeight="1">
      <x:c r="A1" s="58" t="str">
        <x:v>FinalRank</x:v>
      </x:c>
      <x:c r="B1" s="58" t="str">
        <x:v>OriginalCombinedRank</x:v>
      </x:c>
      <x:c r="C1" s="58" t="str">
        <x:v>Month</x:v>
      </x:c>
      <x:c r="D1" s="58" t="str">
        <x:v>OldMonthRank</x:v>
      </x:c>
      <x:c r="E1" s="58" t="str">
        <x:v>arXiv</x:v>
      </x:c>
      <x:c r="F1" s="58" t="str">
        <x:v>Title</x:v>
      </x:c>
      <x:c r="G1" s="58" t="str">
        <x:v>Authors</x:v>
      </x:c>
      <x:c r="H1" s="58" t="str">
        <x:v>Theme</x:v>
      </x:c>
      <x:c r="I1" s="58" t="str">
        <x:v>Pages</x:v>
      </x:c>
      <x:c r="J1" s="58" t="str">
        <x:v>SourceURL</x:v>
      </x:c>
      <x:c r="K1" s="58" t="str">
        <x:v>Old_I</x:v>
      </x:c>
      <x:c r="L1" s="58" t="str">
        <x:v>Old_O</x:v>
      </x:c>
      <x:c r="M1" s="58" t="str">
        <x:v>Old_T</x:v>
      </x:c>
      <x:c r="N1" s="58" t="str">
        <x:v>Old_B</x:v>
      </x:c>
      <x:c r="O1" s="58" t="str">
        <x:v>Old_H</x:v>
      </x:c>
      <x:c r="P1" s="58" t="str">
        <x:v>Old_R</x:v>
      </x:c>
      <x:c r="Q1" s="58" t="str">
        <x:v>Old_AI_pct</x:v>
      </x:c>
      <x:c r="R1" s="58" t="str">
        <x:v>Old_AI_unc</x:v>
      </x:c>
      <x:c r="S1" s="58" t="str">
        <x:v>Old_V</x:v>
      </x:c>
      <x:c r="T1" s="58" t="str">
        <x:v>Old_S_H</x:v>
      </x:c>
      <x:c r="U1" s="58" t="str">
        <x:v>Old_S_eq</x:v>
      </x:c>
      <x:c r="V1" s="58" t="str">
        <x:v>R1_I</x:v>
      </x:c>
      <x:c r="W1" s="58" t="str">
        <x:v>R1_O</x:v>
      </x:c>
      <x:c r="X1" s="58" t="str">
        <x:v>R1_T</x:v>
      </x:c>
      <x:c r="Y1" s="58" t="str">
        <x:v>R1_B</x:v>
      </x:c>
      <x:c r="Z1" s="58" t="str">
        <x:v>R1_H</x:v>
      </x:c>
      <x:c r="AA1" s="58" t="str">
        <x:v>R1_R</x:v>
      </x:c>
      <x:c r="AB1" s="58" t="str">
        <x:v>R1_AI_pct</x:v>
      </x:c>
      <x:c r="AC1" s="58" t="str">
        <x:v>R1_S_eq</x:v>
      </x:c>
      <x:c r="AD1" s="58" t="str">
        <x:v>R2_I</x:v>
      </x:c>
      <x:c r="AE1" s="58" t="str">
        <x:v>R2_O</x:v>
      </x:c>
      <x:c r="AF1" s="58" t="str">
        <x:v>R2_T</x:v>
      </x:c>
      <x:c r="AG1" s="58" t="str">
        <x:v>R2_B</x:v>
      </x:c>
      <x:c r="AH1" s="58" t="str">
        <x:v>R2_H</x:v>
      </x:c>
      <x:c r="AI1" s="58" t="str">
        <x:v>R2_R</x:v>
      </x:c>
      <x:c r="AJ1" s="58" t="str">
        <x:v>R2_AI_pct</x:v>
      </x:c>
      <x:c r="AK1" s="58" t="str">
        <x:v>R2_S_eq</x:v>
      </x:c>
      <x:c r="AL1" s="58" t="str">
        <x:v>R3_I</x:v>
      </x:c>
      <x:c r="AM1" s="58" t="str">
        <x:v>R3_O</x:v>
      </x:c>
      <x:c r="AN1" s="58" t="str">
        <x:v>R3_T</x:v>
      </x:c>
      <x:c r="AO1" s="58" t="str">
        <x:v>R3_B</x:v>
      </x:c>
      <x:c r="AP1" s="58" t="str">
        <x:v>R3_H</x:v>
      </x:c>
      <x:c r="AQ1" s="58" t="str">
        <x:v>R3_R</x:v>
      </x:c>
      <x:c r="AR1" s="58" t="str">
        <x:v>R3_AI_pct</x:v>
      </x:c>
      <x:c r="AS1" s="58" t="str">
        <x:v>R3_S_eq</x:v>
      </x:c>
      <x:c r="AT1" s="58" t="str">
        <x:v>Final_I</x:v>
      </x:c>
      <x:c r="AU1" s="58" t="str">
        <x:v>Final_O</x:v>
      </x:c>
      <x:c r="AV1" s="58" t="str">
        <x:v>Final_T</x:v>
      </x:c>
      <x:c r="AW1" s="58" t="str">
        <x:v>Final_B</x:v>
      </x:c>
      <x:c r="AX1" s="58" t="str">
        <x:v>Final_H</x:v>
      </x:c>
      <x:c r="AY1" s="58" t="str">
        <x:v>Final_R</x:v>
      </x:c>
      <x:c r="AZ1" s="58" t="str">
        <x:v>Final_AI_pct</x:v>
      </x:c>
      <x:c r="BA1" s="58" t="str">
        <x:v>Final_AI_unc</x:v>
      </x:c>
      <x:c r="BB1" s="58" t="str">
        <x:v>Final_V</x:v>
      </x:c>
      <x:c r="BC1" s="58" t="str">
        <x:v>Final_S_H</x:v>
      </x:c>
      <x:c r="BD1" s="58" t="str">
        <x:v>Final_S_eq</x:v>
      </x:c>
      <x:c r="BE1" s="58" t="str">
        <x:v>Delta_S_eq</x:v>
      </x:c>
      <x:c r="BF1" s="58" t="str">
        <x:v>Score_SD</x:v>
      </x:c>
      <x:c r="BG1" s="58" t="str">
        <x:v>Top100Flag</x:v>
      </x:c>
      <x:c r="BH1" s="58" t="str">
        <x:v>RecheckLevel</x:v>
      </x:c>
      <x:c r="BI1" s="58" t="str">
        <x:v>RecheckNote</x:v>
      </x:c>
    </x:row>
    <x:row r="2" ht="30" customHeight="1">
      <x:c r="A2" s="59" t="n">
        <x:v>1</x:v>
      </x:c>
      <x:c r="B2" s="59" t="n">
        <x:v>1</x:v>
      </x:c>
      <x:c r="C2" s="59" t="str">
        <x:v>2026-06</x:v>
      </x:c>
      <x:c r="D2" s="59" t="n">
        <x:v>1</x:v>
      </x:c>
      <x:c r="E2" s="59" t="str">
        <x:v>2606.28008</x:v>
      </x:c>
      <x:c r="F2" s="40" t="str">
        <x:v>(Non-)Linear waves on asymptotically flat spacetimes. II: trapping, bound states, nonlinear applications</x:v>
      </x:c>
      <x:c r="G2" s="40" t="str">
        <x:v>Peter Hintz</x:v>
      </x:c>
      <x:c r="H2" s="40" t="str">
        <x:v>GR/nonlinear waves</x:v>
      </x:c>
      <x:c r="I2" s="59" t="n">
        <x:v>285</x:v>
      </x:c>
      <x:c r="J2" s="40" t="str">
        <x:v>https://arxiv.org/abs/2606.28008</x:v>
      </x:c>
      <x:c r="K2" s="60" t="n">
        <x:v>99</x:v>
      </x:c>
      <x:c r="L2" s="60" t="n">
        <x:v>96</x:v>
      </x:c>
      <x:c r="M2" s="60" t="n">
        <x:v>99</x:v>
      </x:c>
      <x:c r="N2" s="60" t="n">
        <x:v>93</x:v>
      </x:c>
      <x:c r="O2" s="60" t="n">
        <x:v>99</x:v>
      </x:c>
      <x:c r="P2" s="60" t="n">
        <x:v>86</x:v>
      </x:c>
      <x:c r="Q2" s="60" t="n">
        <x:v>8</x:v>
      </x:c>
      <x:c r="R2" s="59" t="n">
        <x:v>4</x:v>
      </x:c>
      <x:c r="S2" s="60" t="n">
        <x:v>96.2</x:v>
      </x:c>
      <x:c r="T2" s="60" t="n">
        <x:v>95.4</x:v>
      </x:c>
      <x:c r="U2" s="60" t="n">
        <x:v>95.80000000000001</x:v>
      </x:c>
      <x:c r="V2" s="60" t="n">
        <x:v>99</x:v>
      </x:c>
      <x:c r="W2" s="60" t="n">
        <x:v>95.7</x:v>
      </x:c>
      <x:c r="X2" s="60" t="n">
        <x:v>99.4</x:v>
      </x:c>
      <x:c r="Y2" s="60" t="n">
        <x:v>92.7</x:v>
      </x:c>
      <x:c r="Z2" s="60" t="n">
        <x:v>99.1</x:v>
      </x:c>
      <x:c r="AA2" s="60" t="n">
        <x:v>86</x:v>
      </x:c>
      <x:c r="AB2" s="60" t="n">
        <x:v>8</x:v>
      </x:c>
      <x:c r="AC2" s="60" t="n">
        <x:f>ROUND(((0.30*V2+0.20*W2+0.25*X2+0.15*Y2+0.10*AA2)+(0.30*Z2+0.20*X2+0.20*W2+0.15*AA2+0.15*(100-AB2)))/2,2)</x:f>
        <x:v>95.82</x:v>
      </x:c>
      <x:c r="AD2" s="60" t="n">
        <x:v>99</x:v>
      </x:c>
      <x:c r="AE2" s="60" t="n">
        <x:v>95.7</x:v>
      </x:c>
      <x:c r="AF2" s="60" t="n">
        <x:v>99.2</x:v>
      </x:c>
      <x:c r="AG2" s="60" t="n">
        <x:v>92.8</x:v>
      </x:c>
      <x:c r="AH2" s="60" t="n">
        <x:v>99</x:v>
      </x:c>
      <x:c r="AI2" s="60" t="n">
        <x:v>86</x:v>
      </x:c>
      <x:c r="AJ2" s="60" t="n">
        <x:v>8</x:v>
      </x:c>
      <x:c r="AK2" s="60" t="n">
        <x:f>ROUND(((0.30*AD2+0.20*AE2+0.25*AF2+0.15*AG2+0.10*AI2)+(0.30*AH2+0.20*AF2+0.20*AE2+0.15*AI2+0.15*(100-AJ2)))/2,2)</x:f>
        <x:v>95.77</x:v>
      </x:c>
      <x:c r="AL2" s="60" t="n">
        <x:v>99</x:v>
      </x:c>
      <x:c r="AM2" s="60" t="n">
        <x:v>95.7</x:v>
      </x:c>
      <x:c r="AN2" s="60" t="n">
        <x:v>99.3</x:v>
      </x:c>
      <x:c r="AO2" s="60" t="n">
        <x:v>92.7</x:v>
      </x:c>
      <x:c r="AP2" s="60" t="n">
        <x:v>99.1</x:v>
      </x:c>
      <x:c r="AQ2" s="60" t="n">
        <x:v>86</x:v>
      </x:c>
      <x:c r="AR2" s="60" t="n">
        <x:v>8</x:v>
      </x:c>
      <x:c r="AS2" s="60" t="n">
        <x:f>ROUND(((0.30*AL2+0.20*AM2+0.25*AN2+0.15*AO2+0.10*AQ2)+(0.30*AP2+0.20*AN2+0.20*AM2+0.15*AQ2+0.15*(100-AR2)))/2,2)</x:f>
        <x:v>95.8</x:v>
      </x:c>
      <x:c r="AT2" s="60" t="n">
        <x:f>ROUND(AVERAGE(V2,AD2,AL2),1)</x:f>
        <x:v>99</x:v>
      </x:c>
      <x:c r="AU2" s="60" t="n">
        <x:f>ROUND(AVERAGE(W2,AE2,AM2),1)</x:f>
        <x:v>95.7</x:v>
      </x:c>
      <x:c r="AV2" s="60" t="n">
        <x:f>ROUND(AVERAGE(X2,AF2,AN2),1)</x:f>
        <x:v>99.3</x:v>
      </x:c>
      <x:c r="AW2" s="60" t="n">
        <x:f>ROUND(AVERAGE(Y2,AG2,AO2),1)</x:f>
        <x:v>92.7</x:v>
      </x:c>
      <x:c r="AX2" s="60" t="n">
        <x:f>ROUND(AVERAGE(Z2,AH2,AP2),1)</x:f>
        <x:v>99.1</x:v>
      </x:c>
      <x:c r="AY2" s="60" t="n">
        <x:f>ROUND(AVERAGE(AA2,AI2,AQ2),1)</x:f>
        <x:v>86</x:v>
      </x:c>
      <x:c r="AZ2" s="60" t="n">
        <x:f>ROUND(AVERAGE(AB2,AJ2,AR2),1)</x:f>
        <x:v>8</x:v>
      </x:c>
      <x:c r="BA2" s="59" t="n">
        <x:v>4</x:v>
      </x:c>
      <x:c r="BB2" s="60" t="n">
        <x:f>ROUND(0.30*AT2+0.20*AU2+0.25*AV2+0.15*AW2+0.10*AY2,2)</x:f>
        <x:v>96.17</x:v>
      </x:c>
      <x:c r="BC2" s="60" t="n">
        <x:f>ROUND(0.30*AX2+0.20*AV2+0.20*AU2+0.15*AY2+0.15*(100-AZ2),2)</x:f>
        <x:v>95.43</x:v>
      </x:c>
      <x:c r="BD2" s="60" t="n">
        <x:f>ROUND(AVERAGE(BB2,BC2),2)</x:f>
        <x:v>95.8</x:v>
      </x:c>
      <x:c r="BE2" s="60" t="n">
        <x:f>ROUND(BD2-U2,2)</x:f>
        <x:v>0</x:v>
      </x:c>
      <x:c r="BF2" s="60" t="n">
        <x:f>ROUND(STDEV.P(AC2,AK2,AS2),3)</x:f>
        <x:v>0.021</x:v>
      </x:c>
      <x:c r="BG2" s="59" t="str">
        <x:v>Top100</x:v>
      </x:c>
      <x:c r="BH2" s="59" t="str">
        <x:v>Top50三轮复核</x:v>
      </x:c>
      <x:c r="BI2" s="40" t="str">
        <x:v>系列/续篇按重叠性校准；285页大型框架，仍为六月第一；因系列论文属性轻微压低原创性/广度。</x:v>
      </x:c>
    </x:row>
    <x:row r="3" ht="30" customHeight="1">
      <x:c r="A3" s="59" t="n">
        <x:v>2</x:v>
      </x:c>
      <x:c r="B3" s="59" t="n">
        <x:v>2</x:v>
      </x:c>
      <x:c r="C3" s="59" t="str">
        <x:v>2026-05</x:v>
      </x:c>
      <x:c r="D3" s="59" t="n">
        <x:v>1</x:v>
      </x:c>
      <x:c r="E3" s="59" t="str">
        <x:v>2605.00808</x:v>
      </x:c>
      <x:c r="F3" s="40" t="str">
        <x:v>Smooth and stable Euler implosions</x:v>
      </x:c>
      <x:c r="G3" s="40" t="str">
        <x:v>Jiajie Chen; Steve Shkoller; Vlad Vicol</x:v>
      </x:c>
      <x:c r="H3" s="40" t="str">
        <x:v>Fluid singularities / Euler</x:v>
      </x:c>
      <x:c r="I3" s="59" t="n">
        <x:v>153</x:v>
      </x:c>
      <x:c r="J3" s="40" t="str">
        <x:v>https://arxiv.org/abs/2605.00808</x:v>
      </x:c>
      <x:c r="K3" s="60" t="n">
        <x:v>99</x:v>
      </x:c>
      <x:c r="L3" s="60" t="n">
        <x:v>96</x:v>
      </x:c>
      <x:c r="M3" s="60" t="n">
        <x:v>98</x:v>
      </x:c>
      <x:c r="N3" s="60" t="n">
        <x:v>92</x:v>
      </x:c>
      <x:c r="O3" s="60" t="n">
        <x:v>98</x:v>
      </x:c>
      <x:c r="P3" s="60" t="n">
        <x:v>86</x:v>
      </x:c>
      <x:c r="Q3" s="60" t="n">
        <x:v>10</x:v>
      </x:c>
      <x:c r="R3" s="59" t="n">
        <x:v>4</x:v>
      </x:c>
      <x:c r="S3" s="60" t="n">
        <x:v>95.8</x:v>
      </x:c>
      <x:c r="T3" s="60" t="n">
        <x:v>94.6</x:v>
      </x:c>
      <x:c r="U3" s="60" t="n">
        <x:v>95.2</x:v>
      </x:c>
      <x:c r="V3" s="60" t="n">
        <x:v>99.2</x:v>
      </x:c>
      <x:c r="W3" s="60" t="n">
        <x:v>96.1</x:v>
      </x:c>
      <x:c r="X3" s="60" t="n">
        <x:v>98.4</x:v>
      </x:c>
      <x:c r="Y3" s="60" t="n">
        <x:v>92.2</x:v>
      </x:c>
      <x:c r="Z3" s="60" t="n">
        <x:v>98.2</x:v>
      </x:c>
      <x:c r="AA3" s="60" t="n">
        <x:v>86</x:v>
      </x:c>
      <x:c r="AB3" s="60" t="n">
        <x:v>10</x:v>
      </x:c>
      <x:c r="AC3" s="60" t="n">
        <x:f>ROUND(((0.30*V3+0.20*W3+0.25*X3+0.15*Y3+0.10*AA3)+(0.30*Z3+0.20*X3+0.20*W3+0.15*AA3+0.15*(100-AB3)))/2,2)</x:f>
        <x:v>95.39</x:v>
      </x:c>
      <x:c r="AD3" s="60" t="n">
        <x:v>99.1</x:v>
      </x:c>
      <x:c r="AE3" s="60" t="n">
        <x:v>96</x:v>
      </x:c>
      <x:c r="AF3" s="60" t="n">
        <x:v>98.2</x:v>
      </x:c>
      <x:c r="AG3" s="60" t="n">
        <x:v>92.2</x:v>
      </x:c>
      <x:c r="AH3" s="60" t="n">
        <x:v>98.1</x:v>
      </x:c>
      <x:c r="AI3" s="60" t="n">
        <x:v>86</x:v>
      </x:c>
      <x:c r="AJ3" s="60" t="n">
        <x:v>10</x:v>
      </x:c>
      <x:c r="AK3" s="60" t="n">
        <x:f>ROUND(((0.30*AD3+0.20*AE3+0.25*AF3+0.15*AG3+0.10*AI3)+(0.30*AH3+0.20*AF3+0.20*AE3+0.15*AI3+0.15*(100-AJ3)))/2,2)</x:f>
        <x:v>95.29</x:v>
      </x:c>
      <x:c r="AL3" s="60" t="n">
        <x:v>99.2</x:v>
      </x:c>
      <x:c r="AM3" s="60" t="n">
        <x:v>96.1</x:v>
      </x:c>
      <x:c r="AN3" s="60" t="n">
        <x:v>98.3</x:v>
      </x:c>
      <x:c r="AO3" s="60" t="n">
        <x:v>92.2</x:v>
      </x:c>
      <x:c r="AP3" s="60" t="n">
        <x:v>98.2</x:v>
      </x:c>
      <x:c r="AQ3" s="60" t="n">
        <x:v>86</x:v>
      </x:c>
      <x:c r="AR3" s="60" t="n">
        <x:v>10</x:v>
      </x:c>
      <x:c r="AS3" s="60" t="n">
        <x:f>ROUND(((0.30*AL3+0.20*AM3+0.25*AN3+0.15*AO3+0.10*AQ3)+(0.30*AP3+0.20*AN3+0.20*AM3+0.15*AQ3+0.15*(100-AR3)))/2,2)</x:f>
        <x:v>95.36</x:v>
      </x:c>
      <x:c r="AT3" s="60" t="n">
        <x:f>ROUND(AVERAGE(V3,AD3,AL3),1)</x:f>
        <x:v>99.2</x:v>
      </x:c>
      <x:c r="AU3" s="60" t="n">
        <x:f>ROUND(AVERAGE(W3,AE3,AM3),1)</x:f>
        <x:v>96.1</x:v>
      </x:c>
      <x:c r="AV3" s="60" t="n">
        <x:f>ROUND(AVERAGE(X3,AF3,AN3),1)</x:f>
        <x:v>98.3</x:v>
      </x:c>
      <x:c r="AW3" s="60" t="n">
        <x:f>ROUND(AVERAGE(Y3,AG3,AO3),1)</x:f>
        <x:v>92.2</x:v>
      </x:c>
      <x:c r="AX3" s="60" t="n">
        <x:f>ROUND(AVERAGE(Z3,AH3,AP3),1)</x:f>
        <x:v>98.2</x:v>
      </x:c>
      <x:c r="AY3" s="60" t="n">
        <x:f>ROUND(AVERAGE(AA3,AI3,AQ3),1)</x:f>
        <x:v>86</x:v>
      </x:c>
      <x:c r="AZ3" s="60" t="n">
        <x:f>ROUND(AVERAGE(AB3,AJ3,AR3),1)</x:f>
        <x:v>10</x:v>
      </x:c>
      <x:c r="BA3" s="59" t="n">
        <x:v>4</x:v>
      </x:c>
      <x:c r="BB3" s="60" t="n">
        <x:f>ROUND(0.30*AT3+0.20*AU3+0.25*AV3+0.15*AW3+0.10*AY3,2)</x:f>
        <x:v>95.98</x:v>
      </x:c>
      <x:c r="BC3" s="60" t="n">
        <x:f>ROUND(0.30*AX3+0.20*AV3+0.20*AU3+0.15*AY3+0.15*(100-AZ3),2)</x:f>
        <x:v>94.74</x:v>
      </x:c>
      <x:c r="BD3" s="60" t="n">
        <x:f>ROUND(AVERAGE(BB3,BC3),2)</x:f>
        <x:v>95.36</x:v>
      </x:c>
      <x:c r="BE3" s="60" t="n">
        <x:f>ROUND(BD3-U3,2)</x:f>
        <x:v>0.16</x:v>
      </x:c>
      <x:c r="BF3" s="60" t="n">
        <x:f>ROUND(STDEV.P(AC3,AK3,AS3),3)</x:f>
        <x:v>0.042</x:v>
      </x:c>
      <x:c r="BG3" s="59" t="str">
        <x:v>Top100</x:v>
      </x:c>
      <x:c r="BH3" s="59" t="str">
        <x:v>Top50三轮复核</x:v>
      </x:c>
      <x:c r="BI3" s="40" t="str">
        <x:v>稳定光滑Euler implosion构造在跨月比较中保持最高层级。</x:v>
      </x:c>
    </x:row>
    <x:row r="4" ht="30" customHeight="1">
      <x:c r="A4" s="59" t="n">
        <x:v>3</x:v>
      </x:c>
      <x:c r="B4" s="59" t="n">
        <x:v>3</x:v>
      </x:c>
      <x:c r="C4" s="59" t="str">
        <x:v>2026-05</x:v>
      </x:c>
      <x:c r="D4" s="59" t="n">
        <x:v>2</x:v>
      </x:c>
      <x:c r="E4" s="59" t="str">
        <x:v>2605.15130</x:v>
      </x:c>
      <x:c r="F4" s="40" t="str">
        <x:v>Asymptotically Self-Similar Blowup for 3D Incompressible Euler with C^{1,1/3-} Velocity II: 3D Profiles, Blowup, and Limiting Behavior</x:v>
      </x:c>
      <x:c r="G4" s="40" t="str">
        <x:v>Jiajie Chen</x:v>
      </x:c>
      <x:c r="H4" s="40" t="str">
        <x:v>Fluid singularities / Euler</x:v>
      </x:c>
      <x:c r="I4" s="59" t="n">
        <x:v>133</x:v>
      </x:c>
      <x:c r="J4" s="40" t="str">
        <x:v>https://arxiv.org/abs/2605.15130</x:v>
      </x:c>
      <x:c r="K4" s="60" t="n">
        <x:v>98</x:v>
      </x:c>
      <x:c r="L4" s="60" t="n">
        <x:v>95</x:v>
      </x:c>
      <x:c r="M4" s="60" t="n">
        <x:v>97</x:v>
      </x:c>
      <x:c r="N4" s="60" t="n">
        <x:v>91</x:v>
      </x:c>
      <x:c r="O4" s="60" t="n">
        <x:v>97</x:v>
      </x:c>
      <x:c r="P4" s="60" t="n">
        <x:v>85</x:v>
      </x:c>
      <x:c r="Q4" s="60" t="n">
        <x:v>10</x:v>
      </x:c>
      <x:c r="R4" s="59" t="n">
        <x:v>4</x:v>
      </x:c>
      <x:c r="S4" s="60" t="n">
        <x:v>94.8</x:v>
      </x:c>
      <x:c r="T4" s="60" t="n">
        <x:v>93.8</x:v>
      </x:c>
      <x:c r="U4" s="60" t="n">
        <x:v>94.3</x:v>
      </x:c>
      <x:c r="V4" s="60" t="n">
        <x:v>98.1</x:v>
      </x:c>
      <x:c r="W4" s="60" t="n">
        <x:v>94.7</x:v>
      </x:c>
      <x:c r="X4" s="60" t="n">
        <x:v>97.4</x:v>
      </x:c>
      <x:c r="Y4" s="60" t="n">
        <x:v>90.8</x:v>
      </x:c>
      <x:c r="Z4" s="60" t="n">
        <x:v>97.2</x:v>
      </x:c>
      <x:c r="AA4" s="60" t="n">
        <x:v>85</x:v>
      </x:c>
      <x:c r="AB4" s="60" t="n">
        <x:v>10</x:v>
      </x:c>
      <x:c r="AC4" s="60" t="n">
        <x:f>ROUND(((0.30*V4+0.20*W4+0.25*X4+0.15*Y4+0.10*AA4)+(0.30*Z4+0.20*X4+0.20*W4+0.15*AA4+0.15*(100-AB4)))/2,2)</x:f>
        <x:v>94.34</x:v>
      </x:c>
      <x:c r="AD4" s="60" t="n">
        <x:v>98</x:v>
      </x:c>
      <x:c r="AE4" s="60" t="n">
        <x:v>94.7</x:v>
      </x:c>
      <x:c r="AF4" s="60" t="n">
        <x:v>97.2</x:v>
      </x:c>
      <x:c r="AG4" s="60" t="n">
        <x:v>90.9</x:v>
      </x:c>
      <x:c r="AH4" s="60" t="n">
        <x:v>97.1</x:v>
      </x:c>
      <x:c r="AI4" s="60" t="n">
        <x:v>85</x:v>
      </x:c>
      <x:c r="AJ4" s="60" t="n">
        <x:v>10</x:v>
      </x:c>
      <x:c r="AK4" s="60" t="n">
        <x:f>ROUND(((0.30*AD4+0.20*AE4+0.25*AF4+0.15*AG4+0.10*AI4)+(0.30*AH4+0.20*AF4+0.20*AE4+0.15*AI4+0.15*(100-AJ4)))/2,2)</x:f>
        <x:v>94.27</x:v>
      </x:c>
      <x:c r="AL4" s="60" t="n">
        <x:v>98.1</x:v>
      </x:c>
      <x:c r="AM4" s="60" t="n">
        <x:v>94.7</x:v>
      </x:c>
      <x:c r="AN4" s="60" t="n">
        <x:v>97.3</x:v>
      </x:c>
      <x:c r="AO4" s="60" t="n">
        <x:v>90.8</x:v>
      </x:c>
      <x:c r="AP4" s="60" t="n">
        <x:v>97.2</x:v>
      </x:c>
      <x:c r="AQ4" s="60" t="n">
        <x:v>85</x:v>
      </x:c>
      <x:c r="AR4" s="60" t="n">
        <x:v>10</x:v>
      </x:c>
      <x:c r="AS4" s="60" t="n">
        <x:f>ROUND(((0.30*AL4+0.20*AM4+0.25*AN4+0.15*AO4+0.10*AQ4)+(0.30*AP4+0.20*AN4+0.20*AM4+0.15*AQ4+0.15*(100-AR4)))/2,2)</x:f>
        <x:v>94.31</x:v>
      </x:c>
      <x:c r="AT4" s="60" t="n">
        <x:f>ROUND(AVERAGE(V4,AD4,AL4),1)</x:f>
        <x:v>98.1</x:v>
      </x:c>
      <x:c r="AU4" s="60" t="n">
        <x:f>ROUND(AVERAGE(W4,AE4,AM4),1)</x:f>
        <x:v>94.7</x:v>
      </x:c>
      <x:c r="AV4" s="60" t="n">
        <x:f>ROUND(AVERAGE(X4,AF4,AN4),1)</x:f>
        <x:v>97.3</x:v>
      </x:c>
      <x:c r="AW4" s="60" t="n">
        <x:f>ROUND(AVERAGE(Y4,AG4,AO4),1)</x:f>
        <x:v>90.8</x:v>
      </x:c>
      <x:c r="AX4" s="60" t="n">
        <x:f>ROUND(AVERAGE(Z4,AH4,AP4),1)</x:f>
        <x:v>97.2</x:v>
      </x:c>
      <x:c r="AY4" s="60" t="n">
        <x:f>ROUND(AVERAGE(AA4,AI4,AQ4),1)</x:f>
        <x:v>85</x:v>
      </x:c>
      <x:c r="AZ4" s="60" t="n">
        <x:f>ROUND(AVERAGE(AB4,AJ4,AR4),1)</x:f>
        <x:v>10</x:v>
      </x:c>
      <x:c r="BA4" s="59" t="n">
        <x:v>4</x:v>
      </x:c>
      <x:c r="BB4" s="60" t="n">
        <x:f>ROUND(0.30*AT4+0.20*AU4+0.25*AV4+0.15*AW4+0.10*AY4,2)</x:f>
        <x:v>94.82</x:v>
      </x:c>
      <x:c r="BC4" s="60" t="n">
        <x:f>ROUND(0.30*AX4+0.20*AV4+0.20*AU4+0.15*AY4+0.15*(100-AZ4),2)</x:f>
        <x:v>93.81</x:v>
      </x:c>
      <x:c r="BD4" s="60" t="n">
        <x:f>ROUND(AVERAGE(BB4,BC4),2)</x:f>
        <x:v>94.32</x:v>
      </x:c>
      <x:c r="BE4" s="60" t="n">
        <x:f>ROUND(BD4-U4,2)</x:f>
        <x:v>0.02</x:v>
      </x:c>
      <x:c r="BF4" s="60" t="n">
        <x:f>ROUND(STDEV.P(AC4,AK4,AS4),3)</x:f>
        <x:v>0.029</x:v>
      </x:c>
      <x:c r="BG4" s="59" t="str">
        <x:v>Top100</x:v>
      </x:c>
      <x:c r="BH4" s="59" t="str">
        <x:v>Top50三轮复核</x:v>
      </x:c>
      <x:c r="BI4" s="40" t="str">
        <x:v>系列/续篇按重叠性校准；Part II 属于大型Euler blow-up program，略按系列重叠校准。</x:v>
      </x:c>
    </x:row>
    <x:row r="5" ht="30" customHeight="1">
      <x:c r="A5" s="59" t="n">
        <x:v>4</x:v>
      </x:c>
      <x:c r="B5" s="59" t="n">
        <x:v>4</x:v>
      </x:c>
      <x:c r="C5" s="59" t="str">
        <x:v>2026-06</x:v>
      </x:c>
      <x:c r="D5" s="59" t="n">
        <x:v>2</x:v>
      </x:c>
      <x:c r="E5" s="59" t="str">
        <x:v>2606.27658</x:v>
      </x:c>
      <x:c r="F5" s="40" t="str">
        <x:v>Constraint damping on subextremal Kerr spacetimes</x:v>
      </x:c>
      <x:c r="G5" s="40" t="str">
        <x:v>Peter Hintz</x:v>
      </x:c>
      <x:c r="H5" s="40" t="str">
        <x:v>Kerr/GR hyperbolic PDE</x:v>
      </x:c>
      <x:c r="I5" s="59" t="n">
        <x:v>100</x:v>
      </x:c>
      <x:c r="J5" s="40" t="str">
        <x:v>https://arxiv.org/abs/2606.27658</x:v>
      </x:c>
      <x:c r="K5" s="60" t="n">
        <x:v>97</x:v>
      </x:c>
      <x:c r="L5" s="60" t="n">
        <x:v>94</x:v>
      </x:c>
      <x:c r="M5" s="60" t="n">
        <x:v>97</x:v>
      </x:c>
      <x:c r="N5" s="60" t="n">
        <x:v>91</x:v>
      </x:c>
      <x:c r="O5" s="60" t="n">
        <x:v>97</x:v>
      </x:c>
      <x:c r="P5" s="60" t="n">
        <x:v>86</x:v>
      </x:c>
      <x:c r="Q5" s="60" t="n">
        <x:v>9</x:v>
      </x:c>
      <x:c r="R5" s="59" t="n">
        <x:v>4</x:v>
      </x:c>
      <x:c r="S5" s="60" t="n">
        <x:v>94.4</x:v>
      </x:c>
      <x:c r="T5" s="60" t="n">
        <x:v>93.85000000000001</x:v>
      </x:c>
      <x:c r="U5" s="60" t="n">
        <x:v>94.125</x:v>
      </x:c>
      <x:c r="V5" s="60" t="n">
        <x:v>97.1</x:v>
      </x:c>
      <x:c r="W5" s="60" t="n">
        <x:v>94</x:v>
      </x:c>
      <x:c r="X5" s="60" t="n">
        <x:v>97.3</x:v>
      </x:c>
      <x:c r="Y5" s="60" t="n">
        <x:v>91</x:v>
      </x:c>
      <x:c r="Z5" s="60" t="n">
        <x:v>97.2</x:v>
      </x:c>
      <x:c r="AA5" s="60" t="n">
        <x:v>86</x:v>
      </x:c>
      <x:c r="AB5" s="60" t="n">
        <x:v>9</x:v>
      </x:c>
      <x:c r="AC5" s="60" t="n">
        <x:f>ROUND(((0.30*V5+0.20*W5+0.25*X5+0.15*Y5+0.10*AA5)+(0.30*Z5+0.20*X5+0.20*W5+0.15*AA5+0.15*(100-AB5)))/2,2)</x:f>
        <x:v>94.24</x:v>
      </x:c>
      <x:c r="AD5" s="60" t="n">
        <x:v>97</x:v>
      </x:c>
      <x:c r="AE5" s="60" t="n">
        <x:v>94</x:v>
      </x:c>
      <x:c r="AF5" s="60" t="n">
        <x:v>97.2</x:v>
      </x:c>
      <x:c r="AG5" s="60" t="n">
        <x:v>91</x:v>
      </x:c>
      <x:c r="AH5" s="60" t="n">
        <x:v>97.1</x:v>
      </x:c>
      <x:c r="AI5" s="60" t="n">
        <x:v>86</x:v>
      </x:c>
      <x:c r="AJ5" s="60" t="n">
        <x:v>9</x:v>
      </x:c>
      <x:c r="AK5" s="60" t="n">
        <x:f>ROUND(((0.30*AD5+0.20*AE5+0.25*AF5+0.15*AG5+0.10*AI5)+(0.30*AH5+0.20*AF5+0.20*AE5+0.15*AI5+0.15*(100-AJ5)))/2,2)</x:f>
        <x:v>94.19</x:v>
      </x:c>
      <x:c r="AL5" s="60" t="n">
        <x:v>97.1</x:v>
      </x:c>
      <x:c r="AM5" s="60" t="n">
        <x:v>94</x:v>
      </x:c>
      <x:c r="AN5" s="60" t="n">
        <x:v>97.2</x:v>
      </x:c>
      <x:c r="AO5" s="60" t="n">
        <x:v>91</x:v>
      </x:c>
      <x:c r="AP5" s="60" t="n">
        <x:v>97.2</x:v>
      </x:c>
      <x:c r="AQ5" s="60" t="n">
        <x:v>86</x:v>
      </x:c>
      <x:c r="AR5" s="60" t="n">
        <x:v>9</x:v>
      </x:c>
      <x:c r="AS5" s="60" t="n">
        <x:f>ROUND(((0.30*AL5+0.20*AM5+0.25*AN5+0.15*AO5+0.10*AQ5)+(0.30*AP5+0.20*AN5+0.20*AM5+0.15*AQ5+0.15*(100-AR5)))/2,2)</x:f>
        <x:v>94.22</x:v>
      </x:c>
      <x:c r="AT5" s="60" t="n">
        <x:f>ROUND(AVERAGE(V5,AD5,AL5),1)</x:f>
        <x:v>97.1</x:v>
      </x:c>
      <x:c r="AU5" s="60" t="n">
        <x:f>ROUND(AVERAGE(W5,AE5,AM5),1)</x:f>
        <x:v>94</x:v>
      </x:c>
      <x:c r="AV5" s="60" t="n">
        <x:f>ROUND(AVERAGE(X5,AF5,AN5),1)</x:f>
        <x:v>97.2</x:v>
      </x:c>
      <x:c r="AW5" s="60" t="n">
        <x:f>ROUND(AVERAGE(Y5,AG5,AO5),1)</x:f>
        <x:v>91</x:v>
      </x:c>
      <x:c r="AX5" s="60" t="n">
        <x:f>ROUND(AVERAGE(Z5,AH5,AP5),1)</x:f>
        <x:v>97.2</x:v>
      </x:c>
      <x:c r="AY5" s="60" t="n">
        <x:f>ROUND(AVERAGE(AA5,AI5,AQ5),1)</x:f>
        <x:v>86</x:v>
      </x:c>
      <x:c r="AZ5" s="60" t="n">
        <x:f>ROUND(AVERAGE(AB5,AJ5,AR5),1)</x:f>
        <x:v>9</x:v>
      </x:c>
      <x:c r="BA5" s="59" t="n">
        <x:v>4</x:v>
      </x:c>
      <x:c r="BB5" s="60" t="n">
        <x:f>ROUND(0.30*AT5+0.20*AU5+0.25*AV5+0.15*AW5+0.10*AY5,2)</x:f>
        <x:v>94.48</x:v>
      </x:c>
      <x:c r="BC5" s="60" t="n">
        <x:f>ROUND(0.30*AX5+0.20*AV5+0.20*AU5+0.15*AY5+0.15*(100-AZ5),2)</x:f>
        <x:v>93.95</x:v>
      </x:c>
      <x:c r="BD5" s="60" t="n">
        <x:f>ROUND(AVERAGE(BB5,BC5),2)</x:f>
        <x:v>94.22</x:v>
      </x:c>
      <x:c r="BE5" s="60" t="n">
        <x:f>ROUND(BD5-U5,2)</x:f>
        <x:v>0.09</x:v>
      </x:c>
      <x:c r="BF5" s="60" t="n">
        <x:f>ROUND(STDEV.P(AC5,AK5,AS5),3)</x:f>
        <x:v>0.021</x:v>
      </x:c>
      <x:c r="BG5" s="59" t="str">
        <x:v>Top100</x:v>
      </x:c>
      <x:c r="BH5" s="59" t="str">
        <x:v>Top50三轮复核</x:v>
      </x:c>
      <x:c r="BI5" s="40" t="str">
        <x:v>三轮复核后与原表基本一致</x:v>
      </x:c>
    </x:row>
    <x:row r="6" ht="30" customHeight="1">
      <x:c r="A6" s="59" t="n">
        <x:v>5</x:v>
      </x:c>
      <x:c r="B6" s="59" t="n">
        <x:v>5</x:v>
      </x:c>
      <x:c r="C6" s="59" t="str">
        <x:v>2026-06</x:v>
      </x:c>
      <x:c r="D6" s="59" t="n">
        <x:v>3</x:v>
      </x:c>
      <x:c r="E6" s="59" t="str">
        <x:v>2606.04449</x:v>
      </x:c>
      <x:c r="F6" s="40" t="str">
        <x:v>Construction of multi-bubble solutions for the energy-critical wave equation in dimension four</x:v>
      </x:c>
      <x:c r="G6" s="40" t="str">
        <x:v>Jingyuan Gu; Jacek Jendrej; Lifeng Zhao</x:v>
      </x:c>
      <x:c r="H6" s="40" t="str">
        <x:v>nonlinear wave blow-up</x:v>
      </x:c>
      <x:c r="I6" s="59" t="n">
        <x:v>90</x:v>
      </x:c>
      <x:c r="J6" s="40" t="str">
        <x:v>https://arxiv.org/abs/2606.04449</x:v>
      </x:c>
      <x:c r="K6" s="60" t="n">
        <x:v>96</x:v>
      </x:c>
      <x:c r="L6" s="60" t="n">
        <x:v>94</x:v>
      </x:c>
      <x:c r="M6" s="60" t="n">
        <x:v>97</x:v>
      </x:c>
      <x:c r="N6" s="60" t="n">
        <x:v>90</x:v>
      </x:c>
      <x:c r="O6" s="60" t="n">
        <x:v>97</x:v>
      </x:c>
      <x:c r="P6" s="60" t="n">
        <x:v>86</x:v>
      </x:c>
      <x:c r="Q6" s="60" t="n">
        <x:v>9</x:v>
      </x:c>
      <x:c r="R6" s="59" t="n">
        <x:v>4</x:v>
      </x:c>
      <x:c r="S6" s="60" t="n">
        <x:v>93.94999999999999</x:v>
      </x:c>
      <x:c r="T6" s="60" t="n">
        <x:v>93.85000000000001</x:v>
      </x:c>
      <x:c r="U6" s="60" t="n">
        <x:v>93.9</x:v>
      </x:c>
      <x:c r="V6" s="60" t="n">
        <x:v>96.1</x:v>
      </x:c>
      <x:c r="W6" s="60" t="n">
        <x:v>94</x:v>
      </x:c>
      <x:c r="X6" s="60" t="n">
        <x:v>97.1</x:v>
      </x:c>
      <x:c r="Y6" s="60" t="n">
        <x:v>90</x:v>
      </x:c>
      <x:c r="Z6" s="60" t="n">
        <x:v>97.1</x:v>
      </x:c>
      <x:c r="AA6" s="60" t="n">
        <x:v>86</x:v>
      </x:c>
      <x:c r="AB6" s="60" t="n">
        <x:v>9</x:v>
      </x:c>
      <x:c r="AC6" s="60" t="n">
        <x:f>ROUND(((0.30*V6+0.20*W6+0.25*X6+0.15*Y6+0.10*AA6)+(0.30*Z6+0.20*X6+0.20*W6+0.15*AA6+0.15*(100-AB6)))/2,2)</x:f>
        <x:v>93.95</x:v>
      </x:c>
      <x:c r="AD6" s="60" t="n">
        <x:v>96</x:v>
      </x:c>
      <x:c r="AE6" s="60" t="n">
        <x:v>94</x:v>
      </x:c>
      <x:c r="AF6" s="60" t="n">
        <x:v>97</x:v>
      </x:c>
      <x:c r="AG6" s="60" t="n">
        <x:v>90</x:v>
      </x:c>
      <x:c r="AH6" s="60" t="n">
        <x:v>97</x:v>
      </x:c>
      <x:c r="AI6" s="60" t="n">
        <x:v>86</x:v>
      </x:c>
      <x:c r="AJ6" s="60" t="n">
        <x:v>9</x:v>
      </x:c>
      <x:c r="AK6" s="60" t="n">
        <x:f>ROUND(((0.30*AD6+0.20*AE6+0.25*AF6+0.15*AG6+0.10*AI6)+(0.30*AH6+0.20*AF6+0.20*AE6+0.15*AI6+0.15*(100-AJ6)))/2,2)</x:f>
        <x:v>93.9</x:v>
      </x:c>
      <x:c r="AL6" s="60" t="n">
        <x:v>96.1</x:v>
      </x:c>
      <x:c r="AM6" s="60" t="n">
        <x:v>94</x:v>
      </x:c>
      <x:c r="AN6" s="60" t="n">
        <x:v>97.1</x:v>
      </x:c>
      <x:c r="AO6" s="60" t="n">
        <x:v>90</x:v>
      </x:c>
      <x:c r="AP6" s="60" t="n">
        <x:v>97.1</x:v>
      </x:c>
      <x:c r="AQ6" s="60" t="n">
        <x:v>86</x:v>
      </x:c>
      <x:c r="AR6" s="60" t="n">
        <x:v>9</x:v>
      </x:c>
      <x:c r="AS6" s="60" t="n">
        <x:f>ROUND(((0.30*AL6+0.20*AM6+0.25*AN6+0.15*AO6+0.10*AQ6)+(0.30*AP6+0.20*AN6+0.20*AM6+0.15*AQ6+0.15*(100-AR6)))/2,2)</x:f>
        <x:v>93.95</x:v>
      </x:c>
      <x:c r="AT6" s="60" t="n">
        <x:f>ROUND(AVERAGE(V6,AD6,AL6),1)</x:f>
        <x:v>96.1</x:v>
      </x:c>
      <x:c r="AU6" s="60" t="n">
        <x:f>ROUND(AVERAGE(W6,AE6,AM6),1)</x:f>
        <x:v>94</x:v>
      </x:c>
      <x:c r="AV6" s="60" t="n">
        <x:f>ROUND(AVERAGE(X6,AF6,AN6),1)</x:f>
        <x:v>97.1</x:v>
      </x:c>
      <x:c r="AW6" s="60" t="n">
        <x:f>ROUND(AVERAGE(Y6,AG6,AO6),1)</x:f>
        <x:v>90</x:v>
      </x:c>
      <x:c r="AX6" s="60" t="n">
        <x:f>ROUND(AVERAGE(Z6,AH6,AP6),1)</x:f>
        <x:v>97.1</x:v>
      </x:c>
      <x:c r="AY6" s="60" t="n">
        <x:f>ROUND(AVERAGE(AA6,AI6,AQ6),1)</x:f>
        <x:v>86</x:v>
      </x:c>
      <x:c r="AZ6" s="60" t="n">
        <x:f>ROUND(AVERAGE(AB6,AJ6,AR6),1)</x:f>
        <x:v>9</x:v>
      </x:c>
      <x:c r="BA6" s="59" t="n">
        <x:v>4</x:v>
      </x:c>
      <x:c r="BB6" s="60" t="n">
        <x:f>ROUND(0.30*AT6+0.20*AU6+0.25*AV6+0.15*AW6+0.10*AY6,2)</x:f>
        <x:v>94.01</x:v>
      </x:c>
      <x:c r="BC6" s="60" t="n">
        <x:f>ROUND(0.30*AX6+0.20*AV6+0.20*AU6+0.15*AY6+0.15*(100-AZ6),2)</x:f>
        <x:v>93.9</x:v>
      </x:c>
      <x:c r="BD6" s="60" t="n">
        <x:f>ROUND(AVERAGE(BB6,BC6),2)</x:f>
        <x:v>93.96</x:v>
      </x:c>
      <x:c r="BE6" s="60" t="n">
        <x:f>ROUND(BD6-U6,2)</x:f>
        <x:v>0.06</x:v>
      </x:c>
      <x:c r="BF6" s="60" t="n">
        <x:f>ROUND(STDEV.P(AC6,AK6,AS6),3)</x:f>
        <x:v>0.024</x:v>
      </x:c>
      <x:c r="BG6" s="59" t="str">
        <x:v>Top100</x:v>
      </x:c>
      <x:c r="BH6" s="59" t="str">
        <x:v>Top50三轮复核</x:v>
      </x:c>
      <x:c r="BI6" s="40" t="str">
        <x:v>三轮复核后与原表基本一致</x:v>
      </x:c>
    </x:row>
    <x:row r="7" ht="30" customHeight="1">
      <x:c r="A7" s="59" t="n">
        <x:v>6</x:v>
      </x:c>
      <x:c r="B7" s="59" t="n">
        <x:v>6</x:v>
      </x:c>
      <x:c r="C7" s="59" t="str">
        <x:v>2026-05</x:v>
      </x:c>
      <x:c r="D7" s="59" t="n">
        <x:v>3</x:v>
      </x:c>
      <x:c r="E7" s="59" t="str">
        <x:v>2605.19143</x:v>
      </x:c>
      <x:c r="F7" s="40" t="str">
        <x:v>Weak cosmic censorship for the circularly symmetric Einstein-scalar field system in 2+1 dimensions</x:v>
      </x:c>
      <x:c r="G7" s="40" t="str">
        <x:v>Serban Cicortas</x:v>
      </x:c>
      <x:c r="H7" s="40" t="str">
        <x:v>Geometric hyperbolic PDE / GR</x:v>
      </x:c>
      <x:c r="I7" s="59" t="n">
        <x:v>65</x:v>
      </x:c>
      <x:c r="J7" s="40" t="str">
        <x:v>https://arxiv.org/abs/2605.19143</x:v>
      </x:c>
      <x:c r="K7" s="60" t="n">
        <x:v>98</x:v>
      </x:c>
      <x:c r="L7" s="60" t="n">
        <x:v>94</x:v>
      </x:c>
      <x:c r="M7" s="60" t="n">
        <x:v>96</x:v>
      </x:c>
      <x:c r="N7" s="60" t="n">
        <x:v>91</x:v>
      </x:c>
      <x:c r="O7" s="60" t="n">
        <x:v>96</x:v>
      </x:c>
      <x:c r="P7" s="60" t="n">
        <x:v>84</x:v>
      </x:c>
      <x:c r="Q7" s="60" t="n">
        <x:v>8</x:v>
      </x:c>
      <x:c r="R7" s="59" t="n">
        <x:v>4</x:v>
      </x:c>
      <x:c r="S7" s="60" t="n">
        <x:v>94.3</x:v>
      </x:c>
      <x:c r="T7" s="60" t="n">
        <x:v>93.2</x:v>
      </x:c>
      <x:c r="U7" s="60" t="n">
        <x:v>93.8</x:v>
      </x:c>
      <x:c r="V7" s="60" t="n">
        <x:v>98</x:v>
      </x:c>
      <x:c r="W7" s="60" t="n">
        <x:v>94.2</x:v>
      </x:c>
      <x:c r="X7" s="60" t="n">
        <x:v>96.1</x:v>
      </x:c>
      <x:c r="Y7" s="60" t="n">
        <x:v>90.8</x:v>
      </x:c>
      <x:c r="Z7" s="60" t="n">
        <x:v>96</x:v>
      </x:c>
      <x:c r="AA7" s="60" t="n">
        <x:v>84</x:v>
      </x:c>
      <x:c r="AB7" s="60" t="n">
        <x:v>8</x:v>
      </x:c>
      <x:c r="AC7" s="60" t="n">
        <x:f>ROUND(((0.30*V7+0.20*W7+0.25*X7+0.15*Y7+0.10*AA7)+(0.30*Z7+0.20*X7+0.20*W7+0.15*AA7+0.15*(100-AB7)))/2,2)</x:f>
        <x:v>93.77</x:v>
      </x:c>
      <x:c r="AD7" s="60" t="n">
        <x:v>98</x:v>
      </x:c>
      <x:c r="AE7" s="60" t="n">
        <x:v>94.1</x:v>
      </x:c>
      <x:c r="AF7" s="60" t="n">
        <x:v>96</x:v>
      </x:c>
      <x:c r="AG7" s="60" t="n">
        <x:v>90.8</x:v>
      </x:c>
      <x:c r="AH7" s="60" t="n">
        <x:v>96</x:v>
      </x:c>
      <x:c r="AI7" s="60" t="n">
        <x:v>84</x:v>
      </x:c>
      <x:c r="AJ7" s="60" t="n">
        <x:v>8</x:v>
      </x:c>
      <x:c r="AK7" s="60" t="n">
        <x:f>ROUND(((0.30*AD7+0.20*AE7+0.25*AF7+0.15*AG7+0.10*AI7)+(0.30*AH7+0.20*AF7+0.20*AE7+0.15*AI7+0.15*(100-AJ7)))/2,2)</x:f>
        <x:v>93.73</x:v>
      </x:c>
      <x:c r="AL7" s="60" t="n">
        <x:v>98</x:v>
      </x:c>
      <x:c r="AM7" s="60" t="n">
        <x:v>94.1</x:v>
      </x:c>
      <x:c r="AN7" s="60" t="n">
        <x:v>96.1</x:v>
      </x:c>
      <x:c r="AO7" s="60" t="n">
        <x:v>90.8</x:v>
      </x:c>
      <x:c r="AP7" s="60" t="n">
        <x:v>96</x:v>
      </x:c>
      <x:c r="AQ7" s="60" t="n">
        <x:v>84</x:v>
      </x:c>
      <x:c r="AR7" s="60" t="n">
        <x:v>8</x:v>
      </x:c>
      <x:c r="AS7" s="60" t="n">
        <x:f>ROUND(((0.30*AL7+0.20*AM7+0.25*AN7+0.15*AO7+0.10*AQ7)+(0.30*AP7+0.20*AN7+0.20*AM7+0.15*AQ7+0.15*(100-AR7)))/2,2)</x:f>
        <x:v>93.75</x:v>
      </x:c>
      <x:c r="AT7" s="60" t="n">
        <x:f>ROUND(AVERAGE(V7,AD7,AL7),1)</x:f>
        <x:v>98</x:v>
      </x:c>
      <x:c r="AU7" s="60" t="n">
        <x:f>ROUND(AVERAGE(W7,AE7,AM7),1)</x:f>
        <x:v>94.1</x:v>
      </x:c>
      <x:c r="AV7" s="60" t="n">
        <x:f>ROUND(AVERAGE(X7,AF7,AN7),1)</x:f>
        <x:v>96.1</x:v>
      </x:c>
      <x:c r="AW7" s="60" t="n">
        <x:f>ROUND(AVERAGE(Y7,AG7,AO7),1)</x:f>
        <x:v>90.8</x:v>
      </x:c>
      <x:c r="AX7" s="60" t="n">
        <x:f>ROUND(AVERAGE(Z7,AH7,AP7),1)</x:f>
        <x:v>96</x:v>
      </x:c>
      <x:c r="AY7" s="60" t="n">
        <x:f>ROUND(AVERAGE(AA7,AI7,AQ7),1)</x:f>
        <x:v>84</x:v>
      </x:c>
      <x:c r="AZ7" s="60" t="n">
        <x:f>ROUND(AVERAGE(AB7,AJ7,AR7),1)</x:f>
        <x:v>8</x:v>
      </x:c>
      <x:c r="BA7" s="59" t="n">
        <x:v>4</x:v>
      </x:c>
      <x:c r="BB7" s="60" t="n">
        <x:f>ROUND(0.30*AT7+0.20*AU7+0.25*AV7+0.15*AW7+0.10*AY7,2)</x:f>
        <x:v>94.27</x:v>
      </x:c>
      <x:c r="BC7" s="60" t="n">
        <x:f>ROUND(0.30*AX7+0.20*AV7+0.20*AU7+0.15*AY7+0.15*(100-AZ7),2)</x:f>
        <x:v>93.24</x:v>
      </x:c>
      <x:c r="BD7" s="60" t="n">
        <x:f>ROUND(AVERAGE(BB7,BC7),2)</x:f>
        <x:v>93.76</x:v>
      </x:c>
      <x:c r="BE7" s="60" t="n">
        <x:f>ROUND(BD7-U7,2)</x:f>
        <x:v>-0.04</x:v>
      </x:c>
      <x:c r="BF7" s="60" t="n">
        <x:f>ROUND(STDEV.P(AC7,AK7,AS7),3)</x:f>
        <x:v>0.016</x:v>
      </x:c>
      <x:c r="BG7" s="59" t="str">
        <x:v>Top100</x:v>
      </x:c>
      <x:c r="BH7" s="59" t="str">
        <x:v>Top50三轮复核</x:v>
      </x:c>
      <x:c r="BI7" s="40" t="str">
        <x:v>弱宇宙监督问题价值很高；因2+1圆对称模型范围略调低广度。</x:v>
      </x:c>
    </x:row>
    <x:row r="8" ht="30" customHeight="1">
      <x:c r="A8" s="59" t="n">
        <x:v>7</x:v>
      </x:c>
      <x:c r="B8" s="59" t="n">
        <x:v>8</x:v>
      </x:c>
      <x:c r="C8" s="59" t="str">
        <x:v>2026-05</x:v>
      </x:c>
      <x:c r="D8" s="59" t="n">
        <x:v>5</x:v>
      </x:c>
      <x:c r="E8" s="59" t="str">
        <x:v>2605.05041</x:v>
      </x:c>
      <x:c r="F8" s="40" t="str">
        <x:v>An Optimal Regularity Theory for Immersed Stable Minimal Hypersurfaces with Small Singular Set</x:v>
      </x:c>
      <x:c r="G8" s="40" t="str">
        <x:v>Paul Minter; Zhengyi Xiao</x:v>
      </x:c>
      <x:c r="H8" s="40" t="str">
        <x:v>Minimal hypersurfaces / regularity</x:v>
      </x:c>
      <x:c r="I8" s="59" t="n">
        <x:v>65</x:v>
      </x:c>
      <x:c r="J8" s="40" t="str">
        <x:v>https://arxiv.org/abs/2605.05041</x:v>
      </x:c>
      <x:c r="K8" s="60" t="n">
        <x:v>96</x:v>
      </x:c>
      <x:c r="L8" s="60" t="n">
        <x:v>93</x:v>
      </x:c>
      <x:c r="M8" s="60" t="n">
        <x:v>95</x:v>
      </x:c>
      <x:c r="N8" s="60" t="n">
        <x:v>90</x:v>
      </x:c>
      <x:c r="O8" s="60" t="n">
        <x:v>95</x:v>
      </x:c>
      <x:c r="P8" s="60" t="n">
        <x:v>86</x:v>
      </x:c>
      <x:c r="Q8" s="60" t="n">
        <x:v>8</x:v>
      </x:c>
      <x:c r="R8" s="59" t="n">
        <x:v>4</x:v>
      </x:c>
      <x:c r="S8" s="60" t="n">
        <x:v>93.3</x:v>
      </x:c>
      <x:c r="T8" s="60" t="n">
        <x:v>92.8</x:v>
      </x:c>
      <x:c r="U8" s="60" t="n">
        <x:v>93.1</x:v>
      </x:c>
      <x:c r="V8" s="60" t="n">
        <x:v>96.2</x:v>
      </x:c>
      <x:c r="W8" s="60" t="n">
        <x:v>93.2</x:v>
      </x:c>
      <x:c r="X8" s="60" t="n">
        <x:v>95.2</x:v>
      </x:c>
      <x:c r="Y8" s="60" t="n">
        <x:v>90.4</x:v>
      </x:c>
      <x:c r="Z8" s="60" t="n">
        <x:v>95.3</x:v>
      </x:c>
      <x:c r="AA8" s="60" t="n">
        <x:v>86</x:v>
      </x:c>
      <x:c r="AB8" s="60" t="n">
        <x:v>8</x:v>
      </x:c>
      <x:c r="AC8" s="60" t="n">
        <x:f>ROUND(((0.30*V8+0.20*W8+0.25*X8+0.15*Y8+0.10*AA8)+(0.30*Z8+0.20*X8+0.20*W8+0.15*AA8+0.15*(100-AB8)))/2,2)</x:f>
        <x:v>93.22</x:v>
      </x:c>
      <x:c r="AD8" s="60" t="n">
        <x:v>96.1</x:v>
      </x:c>
      <x:c r="AE8" s="60" t="n">
        <x:v>93.1</x:v>
      </x:c>
      <x:c r="AF8" s="60" t="n">
        <x:v>95.1</x:v>
      </x:c>
      <x:c r="AG8" s="60" t="n">
        <x:v>90.3</x:v>
      </x:c>
      <x:c r="AH8" s="60" t="n">
        <x:v>95.2</x:v>
      </x:c>
      <x:c r="AI8" s="60" t="n">
        <x:v>86</x:v>
      </x:c>
      <x:c r="AJ8" s="60" t="n">
        <x:v>8</x:v>
      </x:c>
      <x:c r="AK8" s="60" t="n">
        <x:f>ROUND(((0.30*AD8+0.20*AE8+0.25*AF8+0.15*AG8+0.10*AI8)+(0.30*AH8+0.20*AF8+0.20*AE8+0.15*AI8+0.15*(100-AJ8)))/2,2)</x:f>
        <x:v>93.14</x:v>
      </x:c>
      <x:c r="AL8" s="60" t="n">
        <x:v>96.2</x:v>
      </x:c>
      <x:c r="AM8" s="60" t="n">
        <x:v>93.1</x:v>
      </x:c>
      <x:c r="AN8" s="60" t="n">
        <x:v>95.2</x:v>
      </x:c>
      <x:c r="AO8" s="60" t="n">
        <x:v>90.3</x:v>
      </x:c>
      <x:c r="AP8" s="60" t="n">
        <x:v>95.3</x:v>
      </x:c>
      <x:c r="AQ8" s="60" t="n">
        <x:v>86</x:v>
      </x:c>
      <x:c r="AR8" s="60" t="n">
        <x:v>8</x:v>
      </x:c>
      <x:c r="AS8" s="60" t="n">
        <x:f>ROUND(((0.30*AL8+0.20*AM8+0.25*AN8+0.15*AO8+0.10*AQ8)+(0.30*AP8+0.20*AN8+0.20*AM8+0.15*AQ8+0.15*(100-AR8)))/2,2)</x:f>
        <x:v>93.19</x:v>
      </x:c>
      <x:c r="AT8" s="60" t="n">
        <x:f>ROUND(AVERAGE(V8,AD8,AL8),1)</x:f>
        <x:v>96.2</x:v>
      </x:c>
      <x:c r="AU8" s="60" t="n">
        <x:f>ROUND(AVERAGE(W8,AE8,AM8),1)</x:f>
        <x:v>93.1</x:v>
      </x:c>
      <x:c r="AV8" s="60" t="n">
        <x:f>ROUND(AVERAGE(X8,AF8,AN8),1)</x:f>
        <x:v>95.2</x:v>
      </x:c>
      <x:c r="AW8" s="60" t="n">
        <x:f>ROUND(AVERAGE(Y8,AG8,AO8),1)</x:f>
        <x:v>90.3</x:v>
      </x:c>
      <x:c r="AX8" s="60" t="n">
        <x:f>ROUND(AVERAGE(Z8,AH8,AP8),1)</x:f>
        <x:v>95.3</x:v>
      </x:c>
      <x:c r="AY8" s="60" t="n">
        <x:f>ROUND(AVERAGE(AA8,AI8,AQ8),1)</x:f>
        <x:v>86</x:v>
      </x:c>
      <x:c r="AZ8" s="60" t="n">
        <x:f>ROUND(AVERAGE(AB8,AJ8,AR8),1)</x:f>
        <x:v>8</x:v>
      </x:c>
      <x:c r="BA8" s="59" t="n">
        <x:v>4</x:v>
      </x:c>
      <x:c r="BB8" s="60" t="n">
        <x:f>ROUND(0.30*AT8+0.20*AU8+0.25*AV8+0.15*AW8+0.10*AY8,2)</x:f>
        <x:v>93.43</x:v>
      </x:c>
      <x:c r="BC8" s="60" t="n">
        <x:f>ROUND(0.30*AX8+0.20*AV8+0.20*AU8+0.15*AY8+0.15*(100-AZ8),2)</x:f>
        <x:v>92.95</x:v>
      </x:c>
      <x:c r="BD8" s="60" t="n">
        <x:f>ROUND(AVERAGE(BB8,BC8),2)</x:f>
        <x:v>93.19</x:v>
      </x:c>
      <x:c r="BE8" s="60" t="n">
        <x:f>ROUND(BD8-U8,2)</x:f>
        <x:v>0.09</x:v>
      </x:c>
      <x:c r="BF8" s="60" t="n">
        <x:f>ROUND(STDEV.P(AC8,AK8,AS8),3)</x:f>
        <x:v>0.033</x:v>
      </x:c>
      <x:c r="BG8" s="59" t="str">
        <x:v>Top100</x:v>
      </x:c>
      <x:c r="BH8" s="59" t="str">
        <x:v>Top50三轮复核</x:v>
      </x:c>
      <x:c r="BI8" s="40" t="str">
        <x:v>小奇异集稳定极小超曲面最优正则性，跨方向影响上调。</x:v>
      </x:c>
    </x:row>
    <x:row r="9" ht="30" customHeight="1">
      <x:c r="A9" s="59" t="n">
        <x:v>8</x:v>
      </x:c>
      <x:c r="B9" s="59" t="n">
        <x:v>7</x:v>
      </x:c>
      <x:c r="C9" s="59" t="str">
        <x:v>2026-05</x:v>
      </x:c>
      <x:c r="D9" s="59" t="n">
        <x:v>4</x:v>
      </x:c>
      <x:c r="E9" s="59" t="str">
        <x:v>2605.15149</x:v>
      </x:c>
      <x:c r="F9" s="40" t="str">
        <x:v>Asymptotically Self-Similar Blowup for 3D Incompressible Euler with C^{1,1/3-} Velocity I: C^infty 1D Limiting Profiles</x:v>
      </x:c>
      <x:c r="G9" s="40" t="str">
        <x:v>Jiajie Chen</x:v>
      </x:c>
      <x:c r="H9" s="40" t="str">
        <x:v>Fluid singularities / Euler</x:v>
      </x:c>
      <x:c r="I9" s="59" t="n">
        <x:v>92</x:v>
      </x:c>
      <x:c r="J9" s="40" t="str">
        <x:v>https://arxiv.org/abs/2605.15149</x:v>
      </x:c>
      <x:c r="K9" s="60" t="n">
        <x:v>96</x:v>
      </x:c>
      <x:c r="L9" s="60" t="n">
        <x:v>94</x:v>
      </x:c>
      <x:c r="M9" s="60" t="n">
        <x:v>96</x:v>
      </x:c>
      <x:c r="N9" s="60" t="n">
        <x:v>88</x:v>
      </x:c>
      <x:c r="O9" s="60" t="n">
        <x:v>96</x:v>
      </x:c>
      <x:c r="P9" s="60" t="n">
        <x:v>85</x:v>
      </x:c>
      <x:c r="Q9" s="60" t="n">
        <x:v>10</x:v>
      </x:c>
      <x:c r="R9" s="59" t="n">
        <x:v>4</x:v>
      </x:c>
      <x:c r="S9" s="60" t="n">
        <x:v>93.3</x:v>
      </x:c>
      <x:c r="T9" s="60" t="n">
        <x:v>93.1</x:v>
      </x:c>
      <x:c r="U9" s="60" t="n">
        <x:v>93.2</x:v>
      </x:c>
      <x:c r="V9" s="60" t="n">
        <x:v>96</x:v>
      </x:c>
      <x:c r="W9" s="60" t="n">
        <x:v>93.6</x:v>
      </x:c>
      <x:c r="X9" s="60" t="n">
        <x:v>96.1</x:v>
      </x:c>
      <x:c r="Y9" s="60" t="n">
        <x:v>87.6</x:v>
      </x:c>
      <x:c r="Z9" s="60" t="n">
        <x:v>96</x:v>
      </x:c>
      <x:c r="AA9" s="60" t="n">
        <x:v>85</x:v>
      </x:c>
      <x:c r="AB9" s="60" t="n">
        <x:v>10</x:v>
      </x:c>
      <x:c r="AC9" s="60" t="n">
        <x:f>ROUND(((0.30*V9+0.20*W9+0.25*X9+0.15*Y9+0.10*AA9)+(0.30*Z9+0.20*X9+0.20*W9+0.15*AA9+0.15*(100-AB9)))/2,2)</x:f>
        <x:v>93.09</x:v>
      </x:c>
      <x:c r="AD9" s="60" t="n">
        <x:v>96</x:v>
      </x:c>
      <x:c r="AE9" s="60" t="n">
        <x:v>93.6</x:v>
      </x:c>
      <x:c r="AF9" s="60" t="n">
        <x:v>96</x:v>
      </x:c>
      <x:c r="AG9" s="60" t="n">
        <x:v>87.7</x:v>
      </x:c>
      <x:c r="AH9" s="60" t="n">
        <x:v>96</x:v>
      </x:c>
      <x:c r="AI9" s="60" t="n">
        <x:v>85</x:v>
      </x:c>
      <x:c r="AJ9" s="60" t="n">
        <x:v>10</x:v>
      </x:c>
      <x:c r="AK9" s="60" t="n">
        <x:f>ROUND(((0.30*AD9+0.20*AE9+0.25*AF9+0.15*AG9+0.10*AI9)+(0.30*AH9+0.20*AF9+0.20*AE9+0.15*AI9+0.15*(100-AJ9)))/2,2)</x:f>
        <x:v>93.07</x:v>
      </x:c>
      <x:c r="AL9" s="60" t="n">
        <x:v>96</x:v>
      </x:c>
      <x:c r="AM9" s="60" t="n">
        <x:v>93.6</x:v>
      </x:c>
      <x:c r="AN9" s="60" t="n">
        <x:v>96.1</x:v>
      </x:c>
      <x:c r="AO9" s="60" t="n">
        <x:v>87.6</x:v>
      </x:c>
      <x:c r="AP9" s="60" t="n">
        <x:v>96</x:v>
      </x:c>
      <x:c r="AQ9" s="60" t="n">
        <x:v>85</x:v>
      </x:c>
      <x:c r="AR9" s="60" t="n">
        <x:v>10</x:v>
      </x:c>
      <x:c r="AS9" s="60" t="n">
        <x:f>ROUND(((0.30*AL9+0.20*AM9+0.25*AN9+0.15*AO9+0.10*AQ9)+(0.30*AP9+0.20*AN9+0.20*AM9+0.15*AQ9+0.15*(100-AR9)))/2,2)</x:f>
        <x:v>93.09</x:v>
      </x:c>
      <x:c r="AT9" s="60" t="n">
        <x:f>ROUND(AVERAGE(V9,AD9,AL9),1)</x:f>
        <x:v>96</x:v>
      </x:c>
      <x:c r="AU9" s="60" t="n">
        <x:f>ROUND(AVERAGE(W9,AE9,AM9),1)</x:f>
        <x:v>93.6</x:v>
      </x:c>
      <x:c r="AV9" s="60" t="n">
        <x:f>ROUND(AVERAGE(X9,AF9,AN9),1)</x:f>
        <x:v>96.1</x:v>
      </x:c>
      <x:c r="AW9" s="60" t="n">
        <x:f>ROUND(AVERAGE(Y9,AG9,AO9),1)</x:f>
        <x:v>87.6</x:v>
      </x:c>
      <x:c r="AX9" s="60" t="n">
        <x:f>ROUND(AVERAGE(Z9,AH9,AP9),1)</x:f>
        <x:v>96</x:v>
      </x:c>
      <x:c r="AY9" s="60" t="n">
        <x:f>ROUND(AVERAGE(AA9,AI9,AQ9),1)</x:f>
        <x:v>85</x:v>
      </x:c>
      <x:c r="AZ9" s="60" t="n">
        <x:f>ROUND(AVERAGE(AB9,AJ9,AR9),1)</x:f>
        <x:v>10</x:v>
      </x:c>
      <x:c r="BA9" s="59" t="n">
        <x:v>4</x:v>
      </x:c>
      <x:c r="BB9" s="60" t="n">
        <x:f>ROUND(0.30*AT9+0.20*AU9+0.25*AV9+0.15*AW9+0.10*AY9,2)</x:f>
        <x:v>93.18</x:v>
      </x:c>
      <x:c r="BC9" s="60" t="n">
        <x:f>ROUND(0.30*AX9+0.20*AV9+0.20*AU9+0.15*AY9+0.15*(100-AZ9),2)</x:f>
        <x:v>92.99</x:v>
      </x:c>
      <x:c r="BD9" s="60" t="n">
        <x:f>ROUND(AVERAGE(BB9,BC9),2)</x:f>
        <x:v>93.09</x:v>
      </x:c>
      <x:c r="BE9" s="60" t="n">
        <x:f>ROUND(BD9-U9,2)</x:f>
        <x:v>-0.11</x:v>
      </x:c>
      <x:c r="BF9" s="60" t="n">
        <x:f>ROUND(STDEV.P(AC9,AK9,AS9),3)</x:f>
        <x:v>0.009</x:v>
      </x:c>
      <x:c r="BG9" s="59" t="str">
        <x:v>Top100</x:v>
      </x:c>
      <x:c r="BH9" s="59" t="str">
        <x:v>Top50三轮复核</x:v>
      </x:c>
      <x:c r="BI9" s="40" t="str">
        <x:v>系列/续篇按重叠性校准；Part I/1D profile component按系列重叠轻微下调。</x:v>
      </x:c>
    </x:row>
    <x:row r="10" ht="30" customHeight="1">
      <x:c r="A10" s="59" t="n">
        <x:v>9</x:v>
      </x:c>
      <x:c r="B10" s="59" t="n">
        <x:v>9</x:v>
      </x:c>
      <x:c r="C10" s="59" t="str">
        <x:v>2026-06</x:v>
      </x:c>
      <x:c r="D10" s="59" t="n">
        <x:v>4</x:v>
      </x:c>
      <x:c r="E10" s="59" t="str">
        <x:v>2606.00538</x:v>
      </x:c>
      <x:c r="F10" s="40" t="str">
        <x:v>Classification of blow-ups for the Alt--Phillips problem in three dimensions</x:v>
      </x:c>
      <x:c r="G10" s="40" t="str">
        <x:v>Xavier Fernandez-Real</x:v>
      </x:c>
      <x:c r="H10" s="40" t="str">
        <x:v>free boundary/regularity</x:v>
      </x:c>
      <x:c r="I10" s="59"/>
      <x:c r="J10" s="40" t="str">
        <x:v>https://arxiv.org/abs/2606.00538</x:v>
      </x:c>
      <x:c r="K10" s="60" t="n">
        <x:v>96</x:v>
      </x:c>
      <x:c r="L10" s="60" t="n">
        <x:v>93</x:v>
      </x:c>
      <x:c r="M10" s="60" t="n">
        <x:v>94</x:v>
      </x:c>
      <x:c r="N10" s="60" t="n">
        <x:v>91</x:v>
      </x:c>
      <x:c r="O10" s="60" t="n">
        <x:v>95</x:v>
      </x:c>
      <x:c r="P10" s="60" t="n">
        <x:v>88</x:v>
      </x:c>
      <x:c r="Q10" s="60" t="n">
        <x:v>10</x:v>
      </x:c>
      <x:c r="R10" s="59" t="n">
        <x:v>4</x:v>
      </x:c>
      <x:c r="S10" s="60" t="n">
        <x:v>93.35000000000001</x:v>
      </x:c>
      <x:c r="T10" s="60" t="n">
        <x:v>92.60000000000001</x:v>
      </x:c>
      <x:c r="U10" s="60" t="n">
        <x:v>92.97500000000001</x:v>
      </x:c>
      <x:c r="V10" s="60" t="n">
        <x:v>96</x:v>
      </x:c>
      <x:c r="W10" s="60" t="n">
        <x:v>93.3</x:v>
      </x:c>
      <x:c r="X10" s="60" t="n">
        <x:v>94</x:v>
      </x:c>
      <x:c r="Y10" s="60" t="n">
        <x:v>91.4</x:v>
      </x:c>
      <x:c r="Z10" s="60" t="n">
        <x:v>95.1</x:v>
      </x:c>
      <x:c r="AA10" s="60" t="n">
        <x:v>88</x:v>
      </x:c>
      <x:c r="AB10" s="60" t="n">
        <x:v>10</x:v>
      </x:c>
      <x:c r="AC10" s="60" t="n">
        <x:f>ROUND(((0.30*V10+0.20*W10+0.25*X10+0.15*Y10+0.10*AA10)+(0.30*Z10+0.20*X10+0.20*W10+0.15*AA10+0.15*(100-AB10)))/2,2)</x:f>
        <x:v>93.08</x:v>
      </x:c>
      <x:c r="AD10" s="60" t="n">
        <x:v>96</x:v>
      </x:c>
      <x:c r="AE10" s="60" t="n">
        <x:v>93.1</x:v>
      </x:c>
      <x:c r="AF10" s="60" t="n">
        <x:v>94</x:v>
      </x:c>
      <x:c r="AG10" s="60" t="n">
        <x:v>91.3</x:v>
      </x:c>
      <x:c r="AH10" s="60" t="n">
        <x:v>95</x:v>
      </x:c>
      <x:c r="AI10" s="60" t="n">
        <x:v>88</x:v>
      </x:c>
      <x:c r="AJ10" s="60" t="n">
        <x:v>10</x:v>
      </x:c>
      <x:c r="AK10" s="60" t="n">
        <x:f>ROUND(((0.30*AD10+0.20*AE10+0.25*AF10+0.15*AG10+0.10*AI10)+(0.30*AH10+0.20*AF10+0.20*AE10+0.15*AI10+0.15*(100-AJ10)))/2,2)</x:f>
        <x:v>93.02</x:v>
      </x:c>
      <x:c r="AL10" s="60" t="n">
        <x:v>96</x:v>
      </x:c>
      <x:c r="AM10" s="60" t="n">
        <x:v>93.2</x:v>
      </x:c>
      <x:c r="AN10" s="60" t="n">
        <x:v>94</x:v>
      </x:c>
      <x:c r="AO10" s="60" t="n">
        <x:v>91.3</x:v>
      </x:c>
      <x:c r="AP10" s="60" t="n">
        <x:v>95.1</x:v>
      </x:c>
      <x:c r="AQ10" s="60" t="n">
        <x:v>88</x:v>
      </x:c>
      <x:c r="AR10" s="60" t="n">
        <x:v>10</x:v>
      </x:c>
      <x:c r="AS10" s="60" t="n">
        <x:f>ROUND(((0.30*AL10+0.20*AM10+0.25*AN10+0.15*AO10+0.10*AQ10)+(0.30*AP10+0.20*AN10+0.20*AM10+0.15*AQ10+0.15*(100-AR10)))/2,2)</x:f>
        <x:v>93.05</x:v>
      </x:c>
      <x:c r="AT10" s="60" t="n">
        <x:f>ROUND(AVERAGE(V10,AD10,AL10),1)</x:f>
        <x:v>96</x:v>
      </x:c>
      <x:c r="AU10" s="60" t="n">
        <x:f>ROUND(AVERAGE(W10,AE10,AM10),1)</x:f>
        <x:v>93.2</x:v>
      </x:c>
      <x:c r="AV10" s="60" t="n">
        <x:f>ROUND(AVERAGE(X10,AF10,AN10),1)</x:f>
        <x:v>94</x:v>
      </x:c>
      <x:c r="AW10" s="60" t="n">
        <x:f>ROUND(AVERAGE(Y10,AG10,AO10),1)</x:f>
        <x:v>91.3</x:v>
      </x:c>
      <x:c r="AX10" s="60" t="n">
        <x:f>ROUND(AVERAGE(Z10,AH10,AP10),1)</x:f>
        <x:v>95.1</x:v>
      </x:c>
      <x:c r="AY10" s="60" t="n">
        <x:f>ROUND(AVERAGE(AA10,AI10,AQ10),1)</x:f>
        <x:v>88</x:v>
      </x:c>
      <x:c r="AZ10" s="60" t="n">
        <x:f>ROUND(AVERAGE(AB10,AJ10,AR10),1)</x:f>
        <x:v>10</x:v>
      </x:c>
      <x:c r="BA10" s="59" t="n">
        <x:v>4</x:v>
      </x:c>
      <x:c r="BB10" s="60" t="n">
        <x:f>ROUND(0.30*AT10+0.20*AU10+0.25*AV10+0.15*AW10+0.10*AY10,2)</x:f>
        <x:v>93.43</x:v>
      </x:c>
      <x:c r="BC10" s="60" t="n">
        <x:f>ROUND(0.30*AX10+0.20*AV10+0.20*AU10+0.15*AY10+0.15*(100-AZ10),2)</x:f>
        <x:v>92.67</x:v>
      </x:c>
      <x:c r="BD10" s="60" t="n">
        <x:f>ROUND(AVERAGE(BB10,BC10),2)</x:f>
        <x:v>93.05</x:v>
      </x:c>
      <x:c r="BE10" s="60" t="n">
        <x:f>ROUND(BD10-U10,2)</x:f>
        <x:v>0.07</x:v>
      </x:c>
      <x:c r="BF10" s="60" t="n">
        <x:f>ROUND(STDEV.P(AC10,AK10,AS10),3)</x:f>
        <x:v>0.024</x:v>
      </x:c>
      <x:c r="BG10" s="59" t="str">
        <x:v>Top100</x:v>
      </x:c>
      <x:c r="BH10" s="59" t="str">
        <x:v>Top50三轮复核</x:v>
      </x:c>
      <x:c r="BI10" s="40" t="str">
        <x:v>三维Alt--Phillips blow-up分类保持Top层级，广度略上调。</x:v>
      </x:c>
    </x:row>
    <x:row r="11" ht="30" customHeight="1">
      <x:c r="A11" s="59" t="n">
        <x:v>10</x:v>
      </x:c>
      <x:c r="B11" s="59" t="n">
        <x:v>10</x:v>
      </x:c>
      <x:c r="C11" s="59" t="str">
        <x:v>2026-05</x:v>
      </x:c>
      <x:c r="D11" s="59" t="n">
        <x:v>6</x:v>
      </x:c>
      <x:c r="E11" s="59" t="str">
        <x:v>2605.20426</x:v>
      </x:c>
      <x:c r="F11" s="40" t="str">
        <x:v>Pointwise bounds and obstructions to blowup for the Landau and Boltzmann equations</x:v>
      </x:c>
      <x:c r="G11" s="40" t="str">
        <x:v>William Golding; Christopher Henderson; Luis Silvestre</x:v>
      </x:c>
      <x:c r="H11" s="40" t="str">
        <x:v>Kinetic PDE</x:v>
      </x:c>
      <x:c r="I11" s="59" t="n">
        <x:v>23</x:v>
      </x:c>
      <x:c r="J11" s="40" t="str">
        <x:v>https://arxiv.org/abs/2605.20426</x:v>
      </x:c>
      <x:c r="K11" s="60" t="n">
        <x:v>96</x:v>
      </x:c>
      <x:c r="L11" s="60" t="n">
        <x:v>93</x:v>
      </x:c>
      <x:c r="M11" s="60" t="n">
        <x:v>94</x:v>
      </x:c>
      <x:c r="N11" s="60" t="n">
        <x:v>90</x:v>
      </x:c>
      <x:c r="O11" s="60" t="n">
        <x:v>94</x:v>
      </x:c>
      <x:c r="P11" s="60" t="n">
        <x:v>87</x:v>
      </x:c>
      <x:c r="Q11" s="60" t="n">
        <x:v>10</x:v>
      </x:c>
      <x:c r="R11" s="59" t="n">
        <x:v>4</x:v>
      </x:c>
      <x:c r="S11" s="60" t="n">
        <x:v>93.1</x:v>
      </x:c>
      <x:c r="T11" s="60" t="n">
        <x:v>92.1</x:v>
      </x:c>
      <x:c r="U11" s="60" t="n">
        <x:v>92.6</x:v>
      </x:c>
      <x:c r="V11" s="60" t="n">
        <x:v>96.3</x:v>
      </x:c>
      <x:c r="W11" s="60" t="n">
        <x:v>93.1</x:v>
      </x:c>
      <x:c r="X11" s="60" t="n">
        <x:v>94.3</x:v>
      </x:c>
      <x:c r="Y11" s="60" t="n">
        <x:v>90.2</x:v>
      </x:c>
      <x:c r="Z11" s="60" t="n">
        <x:v>94.2</x:v>
      </x:c>
      <x:c r="AA11" s="60" t="n">
        <x:v>87</x:v>
      </x:c>
      <x:c r="AB11" s="60" t="n">
        <x:v>10</x:v>
      </x:c>
      <x:c r="AC11" s="60" t="n">
        <x:f>ROUND(((0.30*V11+0.20*W11+0.25*X11+0.15*Y11+0.10*AA11)+(0.30*Z11+0.20*X11+0.20*W11+0.15*AA11+0.15*(100-AB11)))/2,2)</x:f>
        <x:v>92.8</x:v>
      </x:c>
      <x:c r="AD11" s="60" t="n">
        <x:v>96.2</x:v>
      </x:c>
      <x:c r="AE11" s="60" t="n">
        <x:v>93</x:v>
      </x:c>
      <x:c r="AF11" s="60" t="n">
        <x:v>94.2</x:v>
      </x:c>
      <x:c r="AG11" s="60" t="n">
        <x:v>90.2</x:v>
      </x:c>
      <x:c r="AH11" s="60" t="n">
        <x:v>94.1</x:v>
      </x:c>
      <x:c r="AI11" s="60" t="n">
        <x:v>87</x:v>
      </x:c>
      <x:c r="AJ11" s="60" t="n">
        <x:v>10.4</x:v>
      </x:c>
      <x:c r="AK11" s="60" t="n">
        <x:f>ROUND(((0.30*AD11+0.20*AE11+0.25*AF11+0.15*AG11+0.10*AI11)+(0.30*AH11+0.20*AF11+0.20*AE11+0.15*AI11+0.15*(100-AJ11)))/2,2)</x:f>
        <x:v>92.7</x:v>
      </x:c>
      <x:c r="AL11" s="60" t="n">
        <x:v>96.3</x:v>
      </x:c>
      <x:c r="AM11" s="60" t="n">
        <x:v>93.1</x:v>
      </x:c>
      <x:c r="AN11" s="60" t="n">
        <x:v>94.3</x:v>
      </x:c>
      <x:c r="AO11" s="60" t="n">
        <x:v>90.2</x:v>
      </x:c>
      <x:c r="AP11" s="60" t="n">
        <x:v>94.2</x:v>
      </x:c>
      <x:c r="AQ11" s="60" t="n">
        <x:v>87</x:v>
      </x:c>
      <x:c r="AR11" s="60" t="n">
        <x:v>10</x:v>
      </x:c>
      <x:c r="AS11" s="60" t="n">
        <x:f>ROUND(((0.30*AL11+0.20*AM11+0.25*AN11+0.15*AO11+0.10*AQ11)+(0.30*AP11+0.20*AN11+0.20*AM11+0.15*AQ11+0.15*(100-AR11)))/2,2)</x:f>
        <x:v>92.8</x:v>
      </x:c>
      <x:c r="AT11" s="60" t="n">
        <x:f>ROUND(AVERAGE(V11,AD11,AL11),1)</x:f>
        <x:v>96.3</x:v>
      </x:c>
      <x:c r="AU11" s="60" t="n">
        <x:f>ROUND(AVERAGE(W11,AE11,AM11),1)</x:f>
        <x:v>93.1</x:v>
      </x:c>
      <x:c r="AV11" s="60" t="n">
        <x:f>ROUND(AVERAGE(X11,AF11,AN11),1)</x:f>
        <x:v>94.3</x:v>
      </x:c>
      <x:c r="AW11" s="60" t="n">
        <x:f>ROUND(AVERAGE(Y11,AG11,AO11),1)</x:f>
        <x:v>90.2</x:v>
      </x:c>
      <x:c r="AX11" s="60" t="n">
        <x:f>ROUND(AVERAGE(Z11,AH11,AP11),1)</x:f>
        <x:v>94.2</x:v>
      </x:c>
      <x:c r="AY11" s="60" t="n">
        <x:f>ROUND(AVERAGE(AA11,AI11,AQ11),1)</x:f>
        <x:v>87</x:v>
      </x:c>
      <x:c r="AZ11" s="60" t="n">
        <x:f>ROUND(AVERAGE(AB11,AJ11,AR11),1)</x:f>
        <x:v>10.1</x:v>
      </x:c>
      <x:c r="BA11" s="59" t="n">
        <x:v>4</x:v>
      </x:c>
      <x:c r="BB11" s="60" t="n">
        <x:f>ROUND(0.30*AT11+0.20*AU11+0.25*AV11+0.15*AW11+0.10*AY11,2)</x:f>
        <x:v>93.32</x:v>
      </x:c>
      <x:c r="BC11" s="60" t="n">
        <x:f>ROUND(0.30*AX11+0.20*AV11+0.20*AU11+0.15*AY11+0.15*(100-AZ11),2)</x:f>
        <x:v>92.28</x:v>
      </x:c>
      <x:c r="BD11" s="60" t="n">
        <x:f>ROUND(AVERAGE(BB11,BC11),2)</x:f>
        <x:v>92.8</x:v>
      </x:c>
      <x:c r="BE11" s="60" t="n">
        <x:f>ROUND(BD11-U11,2)</x:f>
        <x:v>0.2</x:v>
      </x:c>
      <x:c r="BF11" s="60" t="n">
        <x:f>ROUND(STDEV.P(AC11,AK11,AS11),3)</x:f>
        <x:v>0.047</x:v>
      </x:c>
      <x:c r="BG11" s="59" t="str">
        <x:v>Top100</x:v>
      </x:c>
      <x:c r="BH11" s="59" t="str">
        <x:v>Top50三轮复核</x:v>
      </x:c>
      <x:c r="BI11" s="40" t="str">
        <x:v>Landau/Boltzmann blow-up obstruction的可迁移估计价值上调。</x:v>
      </x:c>
    </x:row>
    <x:row r="12" ht="30" customHeight="1">
      <x:c r="A12" s="59" t="n">
        <x:v>11</x:v>
      </x:c>
      <x:c r="B12" s="59" t="n">
        <x:v>11</x:v>
      </x:c>
      <x:c r="C12" s="59" t="str">
        <x:v>2026-06</x:v>
      </x:c>
      <x:c r="D12" s="59" t="n">
        <x:v>5</x:v>
      </x:c>
      <x:c r="E12" s="59" t="str">
        <x:v>2606.01331</x:v>
      </x:c>
      <x:c r="F12" s="40" t="str">
        <x:v>Sharp H_x^s Ill-posedness of the Hard-sphere Boltzmann Equation</x:v>
      </x:c>
      <x:c r="G12" s="40" t="str">
        <x:v>Xuwen Chen; Yan Guo; Shunlin Shen; Zhifei Zhang</x:v>
      </x:c>
      <x:c r="H12" s="40" t="str">
        <x:v>kinetic PDE</x:v>
      </x:c>
      <x:c r="I12" s="59"/>
      <x:c r="J12" s="40" t="str">
        <x:v>https://arxiv.org/abs/2606.01331</x:v>
      </x:c>
      <x:c r="K12" s="60" t="n">
        <x:v>95</x:v>
      </x:c>
      <x:c r="L12" s="60" t="n">
        <x:v>92</x:v>
      </x:c>
      <x:c r="M12" s="60" t="n">
        <x:v>95</x:v>
      </x:c>
      <x:c r="N12" s="60" t="n">
        <x:v>89</x:v>
      </x:c>
      <x:c r="O12" s="60" t="n">
        <x:v>95</x:v>
      </x:c>
      <x:c r="P12" s="60" t="n">
        <x:v>86</x:v>
      </x:c>
      <x:c r="Q12" s="60" t="n">
        <x:v>10</x:v>
      </x:c>
      <x:c r="R12" s="59" t="n">
        <x:v>4</x:v>
      </x:c>
      <x:c r="S12" s="60" t="n">
        <x:v>92.6</x:v>
      </x:c>
      <x:c r="T12" s="60" t="n">
        <x:v>92.30000000000001</x:v>
      </x:c>
      <x:c r="U12" s="60" t="n">
        <x:v>92.45</x:v>
      </x:c>
      <x:c r="V12" s="60" t="n">
        <x:v>95.1</x:v>
      </x:c>
      <x:c r="W12" s="60" t="n">
        <x:v>92.2</x:v>
      </x:c>
      <x:c r="X12" s="60" t="n">
        <x:v>95.1</x:v>
      </x:c>
      <x:c r="Y12" s="60" t="n">
        <x:v>89.2</x:v>
      </x:c>
      <x:c r="Z12" s="60" t="n">
        <x:v>95.2</x:v>
      </x:c>
      <x:c r="AA12" s="60" t="n">
        <x:v>86</x:v>
      </x:c>
      <x:c r="AB12" s="60" t="n">
        <x:v>10</x:v>
      </x:c>
      <x:c r="AC12" s="60" t="n">
        <x:f>ROUND(((0.30*V12+0.20*W12+0.25*X12+0.15*Y12+0.10*AA12)+(0.30*Z12+0.20*X12+0.20*W12+0.15*AA12+0.15*(100-AB12)))/2,2)</x:f>
        <x:v>92.57</x:v>
      </x:c>
      <x:c r="AD12" s="60" t="n">
        <x:v>95</x:v>
      </x:c>
      <x:c r="AE12" s="60" t="n">
        <x:v>92.1</x:v>
      </x:c>
      <x:c r="AF12" s="60" t="n">
        <x:v>95</x:v>
      </x:c>
      <x:c r="AG12" s="60" t="n">
        <x:v>89.1</x:v>
      </x:c>
      <x:c r="AH12" s="60" t="n">
        <x:v>95.1</x:v>
      </x:c>
      <x:c r="AI12" s="60" t="n">
        <x:v>86</x:v>
      </x:c>
      <x:c r="AJ12" s="60" t="n">
        <x:v>10</x:v>
      </x:c>
      <x:c r="AK12" s="60" t="n">
        <x:f>ROUND(((0.30*AD12+0.20*AE12+0.25*AF12+0.15*AG12+0.10*AI12)+(0.30*AH12+0.20*AF12+0.20*AE12+0.15*AI12+0.15*(100-AJ12)))/2,2)</x:f>
        <x:v>92.49</x:v>
      </x:c>
      <x:c r="AL12" s="60" t="n">
        <x:v>95.1</x:v>
      </x:c>
      <x:c r="AM12" s="60" t="n">
        <x:v>92.1</x:v>
      </x:c>
      <x:c r="AN12" s="60" t="n">
        <x:v>95.1</x:v>
      </x:c>
      <x:c r="AO12" s="60" t="n">
        <x:v>89.2</x:v>
      </x:c>
      <x:c r="AP12" s="60" t="n">
        <x:v>95.2</x:v>
      </x:c>
      <x:c r="AQ12" s="60" t="n">
        <x:v>86</x:v>
      </x:c>
      <x:c r="AR12" s="60" t="n">
        <x:v>10</x:v>
      </x:c>
      <x:c r="AS12" s="60" t="n">
        <x:f>ROUND(((0.30*AL12+0.20*AM12+0.25*AN12+0.15*AO12+0.10*AQ12)+(0.30*AP12+0.20*AN12+0.20*AM12+0.15*AQ12+0.15*(100-AR12)))/2,2)</x:f>
        <x:v>92.55</x:v>
      </x:c>
      <x:c r="AT12" s="60" t="n">
        <x:f>ROUND(AVERAGE(V12,AD12,AL12),1)</x:f>
        <x:v>95.1</x:v>
      </x:c>
      <x:c r="AU12" s="60" t="n">
        <x:f>ROUND(AVERAGE(W12,AE12,AM12),1)</x:f>
        <x:v>92.1</x:v>
      </x:c>
      <x:c r="AV12" s="60" t="n">
        <x:f>ROUND(AVERAGE(X12,AF12,AN12),1)</x:f>
        <x:v>95.1</x:v>
      </x:c>
      <x:c r="AW12" s="60" t="n">
        <x:f>ROUND(AVERAGE(Y12,AG12,AO12),1)</x:f>
        <x:v>89.2</x:v>
      </x:c>
      <x:c r="AX12" s="60" t="n">
        <x:f>ROUND(AVERAGE(Z12,AH12,AP12),1)</x:f>
        <x:v>95.2</x:v>
      </x:c>
      <x:c r="AY12" s="60" t="n">
        <x:f>ROUND(AVERAGE(AA12,AI12,AQ12),1)</x:f>
        <x:v>86</x:v>
      </x:c>
      <x:c r="AZ12" s="60" t="n">
        <x:f>ROUND(AVERAGE(AB12,AJ12,AR12),1)</x:f>
        <x:v>10</x:v>
      </x:c>
      <x:c r="BA12" s="59" t="n">
        <x:v>4</x:v>
      </x:c>
      <x:c r="BB12" s="60" t="n">
        <x:f>ROUND(0.30*AT12+0.20*AU12+0.25*AV12+0.15*AW12+0.10*AY12,2)</x:f>
        <x:v>92.7</x:v>
      </x:c>
      <x:c r="BC12" s="60" t="n">
        <x:f>ROUND(0.30*AX12+0.20*AV12+0.20*AU12+0.15*AY12+0.15*(100-AZ12),2)</x:f>
        <x:v>92.4</x:v>
      </x:c>
      <x:c r="BD12" s="60" t="n">
        <x:f>ROUND(AVERAGE(BB12,BC12),2)</x:f>
        <x:v>92.55</x:v>
      </x:c>
      <x:c r="BE12" s="60" t="n">
        <x:f>ROUND(BD12-U12,2)</x:f>
        <x:v>0.1</x:v>
      </x:c>
      <x:c r="BF12" s="60" t="n">
        <x:f>ROUND(STDEV.P(AC12,AK12,AS12),3)</x:f>
        <x:v>0.034</x:v>
      </x:c>
      <x:c r="BG12" s="59" t="str">
        <x:v>Top100</x:v>
      </x:c>
      <x:c r="BH12" s="59" t="str">
        <x:v>Top50三轮复核</x:v>
      </x:c>
      <x:c r="BI12" s="40" t="str">
        <x:v>三轮复核后与原表基本一致</x:v>
      </x:c>
    </x:row>
    <x:row r="13" ht="30" customHeight="1">
      <x:c r="A13" s="59" t="n">
        <x:v>12</x:v>
      </x:c>
      <x:c r="B13" s="59" t="n">
        <x:v>12</x:v>
      </x:c>
      <x:c r="C13" s="59" t="str">
        <x:v>2026-06</x:v>
      </x:c>
      <x:c r="D13" s="59" t="n">
        <x:v>6</x:v>
      </x:c>
      <x:c r="E13" s="59" t="str">
        <x:v>2606.12192</x:v>
      </x:c>
      <x:c r="F13" s="40" t="str">
        <x:v>A Generalized Framework for L^r Convex Integration and its Application to Geophysical Models</x:v>
      </x:c>
      <x:c r="G13" s="40" t="str">
        <x:v>Daniel W. Boutros; Simon Markfelder; Edriss S. Titi</x:v>
      </x:c>
      <x:c r="H13" s="40" t="str">
        <x:v>convex integration/geophysical PDE</x:v>
      </x:c>
      <x:c r="I13" s="59" t="n">
        <x:v>90</x:v>
      </x:c>
      <x:c r="J13" s="40" t="str">
        <x:v>https://arxiv.org/abs/2606.12192</x:v>
      </x:c>
      <x:c r="K13" s="60" t="n">
        <x:v>94</x:v>
      </x:c>
      <x:c r="L13" s="60" t="n">
        <x:v>93</x:v>
      </x:c>
      <x:c r="M13" s="60" t="n">
        <x:v>95</x:v>
      </x:c>
      <x:c r="N13" s="60" t="n">
        <x:v>90</x:v>
      </x:c>
      <x:c r="O13" s="60" t="n">
        <x:v>95</x:v>
      </x:c>
      <x:c r="P13" s="60" t="n">
        <x:v>84</x:v>
      </x:c>
      <x:c r="Q13" s="60" t="n">
        <x:v>10</x:v>
      </x:c>
      <x:c r="R13" s="59" t="n">
        <x:v>4</x:v>
      </x:c>
      <x:c r="S13" s="60" t="n">
        <x:v>92.45</x:v>
      </x:c>
      <x:c r="T13" s="60" t="n">
        <x:v>92.19999999999999</x:v>
      </x:c>
      <x:c r="U13" s="60" t="n">
        <x:v>92.32499999999999</x:v>
      </x:c>
      <x:c r="V13" s="60" t="n">
        <x:v>94</x:v>
      </x:c>
      <x:c r="W13" s="60" t="n">
        <x:v>93.4</x:v>
      </x:c>
      <x:c r="X13" s="60" t="n">
        <x:v>95.1</x:v>
      </x:c>
      <x:c r="Y13" s="60" t="n">
        <x:v>90.4</x:v>
      </x:c>
      <x:c r="Z13" s="60" t="n">
        <x:v>95.1</x:v>
      </x:c>
      <x:c r="AA13" s="60" t="n">
        <x:v>84</x:v>
      </x:c>
      <x:c r="AB13" s="60" t="n">
        <x:v>10</x:v>
      </x:c>
      <x:c r="AC13" s="60" t="n">
        <x:f>ROUND(((0.30*V13+0.20*W13+0.25*X13+0.15*Y13+0.10*AA13)+(0.30*Z13+0.20*X13+0.20*W13+0.15*AA13+0.15*(100-AB13)))/2,2)</x:f>
        <x:v>92.47</x:v>
      </x:c>
      <x:c r="AD13" s="60" t="n">
        <x:v>94</x:v>
      </x:c>
      <x:c r="AE13" s="60" t="n">
        <x:v>93.2</x:v>
      </x:c>
      <x:c r="AF13" s="60" t="n">
        <x:v>95</x:v>
      </x:c>
      <x:c r="AG13" s="60" t="n">
        <x:v>90.3</x:v>
      </x:c>
      <x:c r="AH13" s="60" t="n">
        <x:v>95</x:v>
      </x:c>
      <x:c r="AI13" s="60" t="n">
        <x:v>84</x:v>
      </x:c>
      <x:c r="AJ13" s="60" t="n">
        <x:v>10</x:v>
      </x:c>
      <x:c r="AK13" s="60" t="n">
        <x:f>ROUND(((0.30*AD13+0.20*AE13+0.25*AF13+0.15*AG13+0.10*AI13)+(0.30*AH13+0.20*AF13+0.20*AE13+0.15*AI13+0.15*(100-AJ13)))/2,2)</x:f>
        <x:v>92.39</x:v>
      </x:c>
      <x:c r="AL13" s="60" t="n">
        <x:v>94</x:v>
      </x:c>
      <x:c r="AM13" s="60" t="n">
        <x:v>93.3</x:v>
      </x:c>
      <x:c r="AN13" s="60" t="n">
        <x:v>95.1</x:v>
      </x:c>
      <x:c r="AO13" s="60" t="n">
        <x:v>90.3</x:v>
      </x:c>
      <x:c r="AP13" s="60" t="n">
        <x:v>95.1</x:v>
      </x:c>
      <x:c r="AQ13" s="60" t="n">
        <x:v>84</x:v>
      </x:c>
      <x:c r="AR13" s="60" t="n">
        <x:v>10</x:v>
      </x:c>
      <x:c r="AS13" s="60" t="n">
        <x:f>ROUND(((0.30*AL13+0.20*AM13+0.25*AN13+0.15*AO13+0.10*AQ13)+(0.30*AP13+0.20*AN13+0.20*AM13+0.15*AQ13+0.15*(100-AR13)))/2,2)</x:f>
        <x:v>92.45</x:v>
      </x:c>
      <x:c r="AT13" s="60" t="n">
        <x:f>ROUND(AVERAGE(V13,AD13,AL13),1)</x:f>
        <x:v>94</x:v>
      </x:c>
      <x:c r="AU13" s="60" t="n">
        <x:f>ROUND(AVERAGE(W13,AE13,AM13),1)</x:f>
        <x:v>93.3</x:v>
      </x:c>
      <x:c r="AV13" s="60" t="n">
        <x:f>ROUND(AVERAGE(X13,AF13,AN13),1)</x:f>
        <x:v>95.1</x:v>
      </x:c>
      <x:c r="AW13" s="60" t="n">
        <x:f>ROUND(AVERAGE(Y13,AG13,AO13),1)</x:f>
        <x:v>90.3</x:v>
      </x:c>
      <x:c r="AX13" s="60" t="n">
        <x:f>ROUND(AVERAGE(Z13,AH13,AP13),1)</x:f>
        <x:v>95.1</x:v>
      </x:c>
      <x:c r="AY13" s="60" t="n">
        <x:f>ROUND(AVERAGE(AA13,AI13,AQ13),1)</x:f>
        <x:v>84</x:v>
      </x:c>
      <x:c r="AZ13" s="60" t="n">
        <x:f>ROUND(AVERAGE(AB13,AJ13,AR13),1)</x:f>
        <x:v>10</x:v>
      </x:c>
      <x:c r="BA13" s="59" t="n">
        <x:v>4</x:v>
      </x:c>
      <x:c r="BB13" s="60" t="n">
        <x:f>ROUND(0.30*AT13+0.20*AU13+0.25*AV13+0.15*AW13+0.10*AY13,2)</x:f>
        <x:v>92.58</x:v>
      </x:c>
      <x:c r="BC13" s="60" t="n">
        <x:f>ROUND(0.30*AX13+0.20*AV13+0.20*AU13+0.15*AY13+0.15*(100-AZ13),2)</x:f>
        <x:v>92.31</x:v>
      </x:c>
      <x:c r="BD13" s="60" t="n">
        <x:f>ROUND(AVERAGE(BB13,BC13),2)</x:f>
        <x:v>92.45</x:v>
      </x:c>
      <x:c r="BE13" s="60" t="n">
        <x:f>ROUND(BD13-U13,2)</x:f>
        <x:v>0.13</x:v>
      </x:c>
      <x:c r="BF13" s="60" t="n">
        <x:f>ROUND(STDEV.P(AC13,AK13,AS13),3)</x:f>
        <x:v>0.034</x:v>
      </x:c>
      <x:c r="BG13" s="59" t="str">
        <x:v>Top100</x:v>
      </x:c>
      <x:c r="BH13" s="59" t="str">
        <x:v>Top50三轮复核</x:v>
      </x:c>
      <x:c r="BI13" s="40" t="str">
        <x:v>convex integration general framework 有广度，略上调。</x:v>
      </x:c>
    </x:row>
    <x:row r="14" ht="30" customHeight="1">
      <x:c r="A14" s="59" t="n">
        <x:v>13</x:v>
      </x:c>
      <x:c r="B14" s="59" t="n">
        <x:v>14</x:v>
      </x:c>
      <x:c r="C14" s="59" t="str">
        <x:v>2026-05</x:v>
      </x:c>
      <x:c r="D14" s="59" t="n">
        <x:v>7</x:v>
      </x:c>
      <x:c r="E14" s="59" t="str">
        <x:v>2605.24200</x:v>
      </x:c>
      <x:c r="F14" s="40" t="str">
        <x:v>Refined asymptotics of the steady Navier Stokes equation around small Landau solutions</x:v>
      </x:c>
      <x:c r="G14" s="40" t="str">
        <x:v>Hao Jia; Vladimir Sverak</x:v>
      </x:c>
      <x:c r="H14" s="40" t="str">
        <x:v>Navier-Stokes / asymptotics</x:v>
      </x:c>
      <x:c r="I14" s="59" t="n">
        <x:v>50</x:v>
      </x:c>
      <x:c r="J14" s="40" t="str">
        <x:v>https://arxiv.org/abs/2605.24200</x:v>
      </x:c>
      <x:c r="K14" s="60" t="n">
        <x:v>95</x:v>
      </x:c>
      <x:c r="L14" s="60" t="n">
        <x:v>91</x:v>
      </x:c>
      <x:c r="M14" s="60" t="n">
        <x:v>94</x:v>
      </x:c>
      <x:c r="N14" s="60" t="n">
        <x:v>88</x:v>
      </x:c>
      <x:c r="O14" s="60" t="n">
        <x:v>94</x:v>
      </x:c>
      <x:c r="P14" s="60" t="n">
        <x:v>88</x:v>
      </x:c>
      <x:c r="Q14" s="60" t="n">
        <x:v>10</x:v>
      </x:c>
      <x:c r="R14" s="59" t="n">
        <x:v>4</x:v>
      </x:c>
      <x:c r="S14" s="60" t="n">
        <x:v>92.2</x:v>
      </x:c>
      <x:c r="T14" s="60" t="n">
        <x:v>91.9</x:v>
      </x:c>
      <x:c r="U14" s="60" t="n">
        <x:v>92.1</x:v>
      </x:c>
      <x:c r="V14" s="60" t="n">
        <x:v>95</x:v>
      </x:c>
      <x:c r="W14" s="60" t="n">
        <x:v>91.2</x:v>
      </x:c>
      <x:c r="X14" s="60" t="n">
        <x:v>94.1</x:v>
      </x:c>
      <x:c r="Y14" s="60" t="n">
        <x:v>88</x:v>
      </x:c>
      <x:c r="Z14" s="60" t="n">
        <x:v>94.2</x:v>
      </x:c>
      <x:c r="AA14" s="60" t="n">
        <x:v>88</x:v>
      </x:c>
      <x:c r="AB14" s="60" t="n">
        <x:v>10</x:v>
      </x:c>
      <x:c r="AC14" s="60" t="n">
        <x:f>ROUND(((0.30*V14+0.20*W14+0.25*X14+0.15*Y14+0.10*AA14)+(0.30*Z14+0.20*X14+0.20*W14+0.15*AA14+0.15*(100-AB14)))/2,2)</x:f>
        <x:v>92.14</x:v>
      </x:c>
      <x:c r="AD14" s="60" t="n">
        <x:v>95</x:v>
      </x:c>
      <x:c r="AE14" s="60" t="n">
        <x:v>91.1</x:v>
      </x:c>
      <x:c r="AF14" s="60" t="n">
        <x:v>94</x:v>
      </x:c>
      <x:c r="AG14" s="60" t="n">
        <x:v>88</x:v>
      </x:c>
      <x:c r="AH14" s="60" t="n">
        <x:v>94.1</x:v>
      </x:c>
      <x:c r="AI14" s="60" t="n">
        <x:v>88</x:v>
      </x:c>
      <x:c r="AJ14" s="60" t="n">
        <x:v>10</x:v>
      </x:c>
      <x:c r="AK14" s="60" t="n">
        <x:f>ROUND(((0.30*AD14+0.20*AE14+0.25*AF14+0.15*AG14+0.10*AI14)+(0.30*AH14+0.20*AF14+0.20*AE14+0.15*AI14+0.15*(100-AJ14)))/2,2)</x:f>
        <x:v>92.09</x:v>
      </x:c>
      <x:c r="AL14" s="60" t="n">
        <x:v>95</x:v>
      </x:c>
      <x:c r="AM14" s="60" t="n">
        <x:v>91.1</x:v>
      </x:c>
      <x:c r="AN14" s="60" t="n">
        <x:v>94.1</x:v>
      </x:c>
      <x:c r="AO14" s="60" t="n">
        <x:v>88</x:v>
      </x:c>
      <x:c r="AP14" s="60" t="n">
        <x:v>94.2</x:v>
      </x:c>
      <x:c r="AQ14" s="60" t="n">
        <x:v>88</x:v>
      </x:c>
      <x:c r="AR14" s="60" t="n">
        <x:v>10</x:v>
      </x:c>
      <x:c r="AS14" s="60" t="n">
        <x:f>ROUND(((0.30*AL14+0.20*AM14+0.25*AN14+0.15*AO14+0.10*AQ14)+(0.30*AP14+0.20*AN14+0.20*AM14+0.15*AQ14+0.15*(100-AR14)))/2,2)</x:f>
        <x:v>92.12</x:v>
      </x:c>
      <x:c r="AT14" s="60" t="n">
        <x:f>ROUND(AVERAGE(V14,AD14,AL14),1)</x:f>
        <x:v>95</x:v>
      </x:c>
      <x:c r="AU14" s="60" t="n">
        <x:f>ROUND(AVERAGE(W14,AE14,AM14),1)</x:f>
        <x:v>91.1</x:v>
      </x:c>
      <x:c r="AV14" s="60" t="n">
        <x:f>ROUND(AVERAGE(X14,AF14,AN14),1)</x:f>
        <x:v>94.1</x:v>
      </x:c>
      <x:c r="AW14" s="60" t="n">
        <x:f>ROUND(AVERAGE(Y14,AG14,AO14),1)</x:f>
        <x:v>88</x:v>
      </x:c>
      <x:c r="AX14" s="60" t="n">
        <x:f>ROUND(AVERAGE(Z14,AH14,AP14),1)</x:f>
        <x:v>94.2</x:v>
      </x:c>
      <x:c r="AY14" s="60" t="n">
        <x:f>ROUND(AVERAGE(AA14,AI14,AQ14),1)</x:f>
        <x:v>88</x:v>
      </x:c>
      <x:c r="AZ14" s="60" t="n">
        <x:f>ROUND(AVERAGE(AB14,AJ14,AR14),1)</x:f>
        <x:v>10</x:v>
      </x:c>
      <x:c r="BA14" s="59" t="n">
        <x:v>4</x:v>
      </x:c>
      <x:c r="BB14" s="60" t="n">
        <x:f>ROUND(0.30*AT14+0.20*AU14+0.25*AV14+0.15*AW14+0.10*AY14,2)</x:f>
        <x:v>92.25</x:v>
      </x:c>
      <x:c r="BC14" s="60" t="n">
        <x:f>ROUND(0.30*AX14+0.20*AV14+0.20*AU14+0.15*AY14+0.15*(100-AZ14),2)</x:f>
        <x:v>92</x:v>
      </x:c>
      <x:c r="BD14" s="60" t="n">
        <x:f>ROUND(AVERAGE(BB14,BC14),2)</x:f>
        <x:v>92.13</x:v>
      </x:c>
      <x:c r="BE14" s="60" t="n">
        <x:f>ROUND(BD14-U14,2)</x:f>
        <x:v>0.03</x:v>
      </x:c>
      <x:c r="BF14" s="60" t="n">
        <x:f>ROUND(STDEV.P(AC14,AK14,AS14),3)</x:f>
        <x:v>0.021</x:v>
      </x:c>
      <x:c r="BG14" s="59" t="str">
        <x:v>Top100</x:v>
      </x:c>
      <x:c r="BH14" s="59" t="str">
        <x:v>Top50三轮复核</x:v>
      </x:c>
      <x:c r="BI14" s="40" t="str">
        <x:v>范围偏专门，广度轻微回调</x:v>
      </x:c>
    </x:row>
    <x:row r="15" ht="30" customHeight="1">
      <x:c r="A15" s="59" t="n">
        <x:v>14</x:v>
      </x:c>
      <x:c r="B15" s="59" t="n">
        <x:v>16</x:v>
      </x:c>
      <x:c r="C15" s="59" t="str">
        <x:v>2026-06</x:v>
      </x:c>
      <x:c r="D15" s="59" t="n">
        <x:v>7</x:v>
      </x:c>
      <x:c r="E15" s="59" t="str">
        <x:v>2606.01359</x:v>
      </x:c>
      <x:c r="F15" s="40" t="str">
        <x:v>Intrinsic Schauder estimates at nearly linear growth</x:v>
      </x:c>
      <x:c r="G15" s="40" t="str">
        <x:v>Cristiana De Filippis; Filomena De Filippis; Peter Hasto</x:v>
      </x:c>
      <x:c r="H15" s="40" t="str">
        <x:v>regularity theory</x:v>
      </x:c>
      <x:c r="I15" s="59" t="n">
        <x:v>42</x:v>
      </x:c>
      <x:c r="J15" s="40" t="str">
        <x:v>https://arxiv.org/abs/2606.01359</x:v>
      </x:c>
      <x:c r="K15" s="60" t="n">
        <x:v>94</x:v>
      </x:c>
      <x:c r="L15" s="60" t="n">
        <x:v>91</x:v>
      </x:c>
      <x:c r="M15" s="60" t="n">
        <x:v>94</x:v>
      </x:c>
      <x:c r="N15" s="60" t="n">
        <x:v>90</x:v>
      </x:c>
      <x:c r="O15" s="60" t="n">
        <x:v>94</x:v>
      </x:c>
      <x:c r="P15" s="60" t="n">
        <x:v>87</x:v>
      </x:c>
      <x:c r="Q15" s="60" t="n">
        <x:v>10</x:v>
      </x:c>
      <x:c r="R15" s="59" t="n">
        <x:v>4</x:v>
      </x:c>
      <x:c r="S15" s="60" t="n">
        <x:v>92.10000000000001</x:v>
      </x:c>
      <x:c r="T15" s="60" t="n">
        <x:v>91.75</x:v>
      </x:c>
      <x:c r="U15" s="60" t="n">
        <x:v>91.92500000000001</x:v>
      </x:c>
      <x:c r="V15" s="60" t="n">
        <x:v>94.1</x:v>
      </x:c>
      <x:c r="W15" s="60" t="n">
        <x:v>91.4</x:v>
      </x:c>
      <x:c r="X15" s="60" t="n">
        <x:v>94.1</x:v>
      </x:c>
      <x:c r="Y15" s="60" t="n">
        <x:v>90.4</x:v>
      </x:c>
      <x:c r="Z15" s="60" t="n">
        <x:v>94.2</x:v>
      </x:c>
      <x:c r="AA15" s="60" t="n">
        <x:v>87</x:v>
      </x:c>
      <x:c r="AB15" s="60" t="n">
        <x:v>10</x:v>
      </x:c>
      <x:c r="AC15" s="60" t="n">
        <x:f>ROUND(((0.30*V15+0.20*W15+0.25*X15+0.15*Y15+0.10*AA15)+(0.30*Z15+0.20*X15+0.20*W15+0.15*AA15+0.15*(100-AB15)))/2,2)</x:f>
        <x:v>92.1</x:v>
      </x:c>
      <x:c r="AD15" s="60" t="n">
        <x:v>94.1</x:v>
      </x:c>
      <x:c r="AE15" s="60" t="n">
        <x:v>91.3</x:v>
      </x:c>
      <x:c r="AF15" s="60" t="n">
        <x:v>94.1</x:v>
      </x:c>
      <x:c r="AG15" s="60" t="n">
        <x:v>90.3</x:v>
      </x:c>
      <x:c r="AH15" s="60" t="n">
        <x:v>94.2</x:v>
      </x:c>
      <x:c r="AI15" s="60" t="n">
        <x:v>87</x:v>
      </x:c>
      <x:c r="AJ15" s="60" t="n">
        <x:v>10</x:v>
      </x:c>
      <x:c r="AK15" s="60" t="n">
        <x:f>ROUND(((0.30*AD15+0.20*AE15+0.25*AF15+0.15*AG15+0.10*AI15)+(0.30*AH15+0.20*AF15+0.20*AE15+0.15*AI15+0.15*(100-AJ15)))/2,2)</x:f>
        <x:v>92.07</x:v>
      </x:c>
      <x:c r="AL15" s="60" t="n">
        <x:v>94.1</x:v>
      </x:c>
      <x:c r="AM15" s="60" t="n">
        <x:v>91.3</x:v>
      </x:c>
      <x:c r="AN15" s="60" t="n">
        <x:v>94.1</x:v>
      </x:c>
      <x:c r="AO15" s="60" t="n">
        <x:v>90.3</x:v>
      </x:c>
      <x:c r="AP15" s="60" t="n">
        <x:v>94.2</x:v>
      </x:c>
      <x:c r="AQ15" s="60" t="n">
        <x:v>87</x:v>
      </x:c>
      <x:c r="AR15" s="60" t="n">
        <x:v>10</x:v>
      </x:c>
      <x:c r="AS15" s="60" t="n">
        <x:f>ROUND(((0.30*AL15+0.20*AM15+0.25*AN15+0.15*AO15+0.10*AQ15)+(0.30*AP15+0.20*AN15+0.20*AM15+0.15*AQ15+0.15*(100-AR15)))/2,2)</x:f>
        <x:v>92.07</x:v>
      </x:c>
      <x:c r="AT15" s="60" t="n">
        <x:f>ROUND(AVERAGE(V15,AD15,AL15),1)</x:f>
        <x:v>94.1</x:v>
      </x:c>
      <x:c r="AU15" s="60" t="n">
        <x:f>ROUND(AVERAGE(W15,AE15,AM15),1)</x:f>
        <x:v>91.3</x:v>
      </x:c>
      <x:c r="AV15" s="60" t="n">
        <x:f>ROUND(AVERAGE(X15,AF15,AN15),1)</x:f>
        <x:v>94.1</x:v>
      </x:c>
      <x:c r="AW15" s="60" t="n">
        <x:f>ROUND(AVERAGE(Y15,AG15,AO15),1)</x:f>
        <x:v>90.3</x:v>
      </x:c>
      <x:c r="AX15" s="60" t="n">
        <x:f>ROUND(AVERAGE(Z15,AH15,AP15),1)</x:f>
        <x:v>94.2</x:v>
      </x:c>
      <x:c r="AY15" s="60" t="n">
        <x:f>ROUND(AVERAGE(AA15,AI15,AQ15),1)</x:f>
        <x:v>87</x:v>
      </x:c>
      <x:c r="AZ15" s="60" t="n">
        <x:f>ROUND(AVERAGE(AB15,AJ15,AR15),1)</x:f>
        <x:v>10</x:v>
      </x:c>
      <x:c r="BA15" s="59" t="n">
        <x:v>4</x:v>
      </x:c>
      <x:c r="BB15" s="60" t="n">
        <x:f>ROUND(0.30*AT15+0.20*AU15+0.25*AV15+0.15*AW15+0.10*AY15,2)</x:f>
        <x:v>92.26</x:v>
      </x:c>
      <x:c r="BC15" s="60" t="n">
        <x:f>ROUND(0.30*AX15+0.20*AV15+0.20*AU15+0.15*AY15+0.15*(100-AZ15),2)</x:f>
        <x:v>91.89</x:v>
      </x:c>
      <x:c r="BD15" s="60" t="n">
        <x:f>ROUND(AVERAGE(BB15,BC15),2)</x:f>
        <x:v>92.08</x:v>
      </x:c>
      <x:c r="BE15" s="60" t="n">
        <x:f>ROUND(BD15-U15,2)</x:f>
        <x:v>0.15</x:v>
      </x:c>
      <x:c r="BF15" s="60" t="n">
        <x:f>ROUND(STDEV.P(AC15,AK15,AS15),3)</x:f>
        <x:v>0.014</x:v>
      </x:c>
      <x:c r="BG15" s="59" t="str">
        <x:v>Top100</x:v>
      </x:c>
      <x:c r="BH15" s="59" t="str">
        <x:v>Top50三轮复核</x:v>
      </x:c>
      <x:c r="BI15" s="40" t="str">
        <x:v>nearly linear growth Schauder估计可迁移性强，略上调。</x:v>
      </x:c>
    </x:row>
    <x:row r="16" ht="30" customHeight="1">
      <x:c r="A16" s="59" t="n">
        <x:v>15</x:v>
      </x:c>
      <x:c r="B16" s="59" t="n">
        <x:v>13</x:v>
      </x:c>
      <x:c r="C16" s="59" t="str">
        <x:v>2026-05</x:v>
      </x:c>
      <x:c r="D16" s="59" t="n">
        <x:v>7</x:v>
      </x:c>
      <x:c r="E16" s="59" t="str">
        <x:v>2605.02561</x:v>
      </x:c>
      <x:c r="F16" s="40" t="str">
        <x:v>Quantitative homogenization of elliptic equations with infinitely many scales</x:v>
      </x:c>
      <x:c r="G16" s="40" t="str">
        <x:v>Zhongwei Shen; Yao Xu; Jinping Zhuge</x:v>
      </x:c>
      <x:c r="H16" s="40" t="str">
        <x:v>Homogenization</x:v>
      </x:c>
      <x:c r="I16" s="59" t="n">
        <x:v>57</x:v>
      </x:c>
      <x:c r="J16" s="40" t="str">
        <x:v>https://arxiv.org/abs/2605.02561</x:v>
      </x:c>
      <x:c r="K16" s="60" t="n">
        <x:v>94</x:v>
      </x:c>
      <x:c r="L16" s="60" t="n">
        <x:v>92</x:v>
      </x:c>
      <x:c r="M16" s="60" t="n">
        <x:v>94</x:v>
      </x:c>
      <x:c r="N16" s="60" t="n">
        <x:v>91</x:v>
      </x:c>
      <x:c r="O16" s="60" t="n">
        <x:v>93</x:v>
      </x:c>
      <x:c r="P16" s="60" t="n">
        <x:v>88</x:v>
      </x:c>
      <x:c r="Q16" s="60" t="n">
        <x:v>12</x:v>
      </x:c>
      <x:c r="R16" s="59" t="n">
        <x:v>5</x:v>
      </x:c>
      <x:c r="S16" s="60" t="n">
        <x:v>92.6</x:v>
      </x:c>
      <x:c r="T16" s="60" t="n">
        <x:v>91.5</x:v>
      </x:c>
      <x:c r="U16" s="60" t="n">
        <x:v>92.1</x:v>
      </x:c>
      <x:c r="V16" s="60" t="n">
        <x:v>94</x:v>
      </x:c>
      <x:c r="W16" s="60" t="n">
        <x:v>92.2</x:v>
      </x:c>
      <x:c r="X16" s="60" t="n">
        <x:v>94</x:v>
      </x:c>
      <x:c r="Y16" s="60" t="n">
        <x:v>91.2</x:v>
      </x:c>
      <x:c r="Z16" s="60" t="n">
        <x:v>93.1</x:v>
      </x:c>
      <x:c r="AA16" s="60" t="n">
        <x:v>88</x:v>
      </x:c>
      <x:c r="AB16" s="60" t="n">
        <x:v>12</x:v>
      </x:c>
      <x:c r="AC16" s="60" t="n">
        <x:f>ROUND(((0.30*V16+0.20*W16+0.25*X16+0.15*Y16+0.10*AA16)+(0.30*Z16+0.20*X16+0.20*W16+0.15*AA16+0.15*(100-AB16)))/2,2)</x:f>
        <x:v>92.1</x:v>
      </x:c>
      <x:c r="AD16" s="60" t="n">
        <x:v>94</x:v>
      </x:c>
      <x:c r="AE16" s="60" t="n">
        <x:v>92.1</x:v>
      </x:c>
      <x:c r="AF16" s="60" t="n">
        <x:v>94</x:v>
      </x:c>
      <x:c r="AG16" s="60" t="n">
        <x:v>91.1</x:v>
      </x:c>
      <x:c r="AH16" s="60" t="n">
        <x:v>93</x:v>
      </x:c>
      <x:c r="AI16" s="60" t="n">
        <x:v>88</x:v>
      </x:c>
      <x:c r="AJ16" s="60" t="n">
        <x:v>12</x:v>
      </x:c>
      <x:c r="AK16" s="60" t="n">
        <x:f>ROUND(((0.30*AD16+0.20*AE16+0.25*AF16+0.15*AG16+0.10*AI16)+(0.30*AH16+0.20*AF16+0.20*AE16+0.15*AI16+0.15*(100-AJ16)))/2,2)</x:f>
        <x:v>92.05</x:v>
      </x:c>
      <x:c r="AL16" s="60" t="n">
        <x:v>94</x:v>
      </x:c>
      <x:c r="AM16" s="60" t="n">
        <x:v>92.1</x:v>
      </x:c>
      <x:c r="AN16" s="60" t="n">
        <x:v>94</x:v>
      </x:c>
      <x:c r="AO16" s="60" t="n">
        <x:v>91.2</x:v>
      </x:c>
      <x:c r="AP16" s="60" t="n">
        <x:v>93.1</x:v>
      </x:c>
      <x:c r="AQ16" s="60" t="n">
        <x:v>88</x:v>
      </x:c>
      <x:c r="AR16" s="60" t="n">
        <x:v>12</x:v>
      </x:c>
      <x:c r="AS16" s="60" t="n">
        <x:f>ROUND(((0.30*AL16+0.20*AM16+0.25*AN16+0.15*AO16+0.10*AQ16)+(0.30*AP16+0.20*AN16+0.20*AM16+0.15*AQ16+0.15*(100-AR16)))/2,2)</x:f>
        <x:v>92.08</x:v>
      </x:c>
      <x:c r="AT16" s="60" t="n">
        <x:f>ROUND(AVERAGE(V16,AD16,AL16),1)</x:f>
        <x:v>94</x:v>
      </x:c>
      <x:c r="AU16" s="60" t="n">
        <x:f>ROUND(AVERAGE(W16,AE16,AM16),1)</x:f>
        <x:v>92.1</x:v>
      </x:c>
      <x:c r="AV16" s="60" t="n">
        <x:f>ROUND(AVERAGE(X16,AF16,AN16),1)</x:f>
        <x:v>94</x:v>
      </x:c>
      <x:c r="AW16" s="60" t="n">
        <x:f>ROUND(AVERAGE(Y16,AG16,AO16),1)</x:f>
        <x:v>91.2</x:v>
      </x:c>
      <x:c r="AX16" s="60" t="n">
        <x:f>ROUND(AVERAGE(Z16,AH16,AP16),1)</x:f>
        <x:v>93.1</x:v>
      </x:c>
      <x:c r="AY16" s="60" t="n">
        <x:f>ROUND(AVERAGE(AA16,AI16,AQ16),1)</x:f>
        <x:v>88</x:v>
      </x:c>
      <x:c r="AZ16" s="60" t="n">
        <x:f>ROUND(AVERAGE(AB16,AJ16,AR16),1)</x:f>
        <x:v>12</x:v>
      </x:c>
      <x:c r="BA16" s="59" t="n">
        <x:v>5</x:v>
      </x:c>
      <x:c r="BB16" s="60" t="n">
        <x:f>ROUND(0.30*AT16+0.20*AU16+0.25*AV16+0.15*AW16+0.10*AY16,2)</x:f>
        <x:v>92.6</x:v>
      </x:c>
      <x:c r="BC16" s="60" t="n">
        <x:f>ROUND(0.30*AX16+0.20*AV16+0.20*AU16+0.15*AY16+0.15*(100-AZ16),2)</x:f>
        <x:v>91.55</x:v>
      </x:c>
      <x:c r="BD16" s="60" t="n">
        <x:f>ROUND(AVERAGE(BB16,BC16),2)</x:f>
        <x:v>92.07</x:v>
      </x:c>
      <x:c r="BE16" s="60" t="n">
        <x:f>ROUND(BD16-U16,2)</x:f>
        <x:v>-0.03</x:v>
      </x:c>
      <x:c r="BF16" s="60" t="n">
        <x:f>ROUND(STDEV.P(AC16,AK16,AS16),3)</x:f>
        <x:v>0.021</x:v>
      </x:c>
      <x:c r="BG16" s="59" t="str">
        <x:v>Top100</x:v>
      </x:c>
      <x:c r="BH16" s="59" t="str">
        <x:v>Top50三轮复核</x:v>
      </x:c>
      <x:c r="BI16" s="40" t="str">
        <x:v>三轮复核后与原表基本一致</x:v>
      </x:c>
    </x:row>
    <x:row r="17" ht="30" customHeight="1">
      <x:c r="A17" s="59" t="n">
        <x:v>16</x:v>
      </x:c>
      <x:c r="B17" s="59" t="n">
        <x:v>15</x:v>
      </x:c>
      <x:c r="C17" s="59" t="str">
        <x:v>2026-05</x:v>
      </x:c>
      <x:c r="D17" s="59" t="n">
        <x:v>9</x:v>
      </x:c>
      <x:c r="E17" s="59" t="str">
        <x:v>2605.28677</x:v>
      </x:c>
      <x:c r="F17" s="40" t="str">
        <x:v>Weak universality for stochastic reaction-diffusion models with long-range correlated noise</x:v>
      </x:c>
      <x:c r="G17" s="40" t="str">
        <x:v>Simon Gabriel; Markus Tempelmayr</x:v>
      </x:c>
      <x:c r="H17" s="40" t="str">
        <x:v>Singular stochastic PDE</x:v>
      </x:c>
      <x:c r="I17" s="59" t="n">
        <x:v>66</x:v>
      </x:c>
      <x:c r="J17" s="40" t="str">
        <x:v>https://arxiv.org/abs/2605.28677</x:v>
      </x:c>
      <x:c r="K17" s="60" t="n">
        <x:v>94</x:v>
      </x:c>
      <x:c r="L17" s="60" t="n">
        <x:v>92</x:v>
      </x:c>
      <x:c r="M17" s="60" t="n">
        <x:v>94</x:v>
      </x:c>
      <x:c r="N17" s="60" t="n">
        <x:v>91</x:v>
      </x:c>
      <x:c r="O17" s="60" t="n">
        <x:v>94</x:v>
      </x:c>
      <x:c r="P17" s="60" t="n">
        <x:v>86</x:v>
      </x:c>
      <x:c r="Q17" s="60" t="n">
        <x:v>12</x:v>
      </x:c>
      <x:c r="R17" s="59" t="n">
        <x:v>5</x:v>
      </x:c>
      <x:c r="S17" s="60" t="n">
        <x:v>92.4</x:v>
      </x:c>
      <x:c r="T17" s="60" t="n">
        <x:v>91.5</x:v>
      </x:c>
      <x:c r="U17" s="60" t="n">
        <x:v>92</x:v>
      </x:c>
      <x:c r="V17" s="60" t="n">
        <x:v>94</x:v>
      </x:c>
      <x:c r="W17" s="60" t="n">
        <x:v>92.2</x:v>
      </x:c>
      <x:c r="X17" s="60" t="n">
        <x:v>94</x:v>
      </x:c>
      <x:c r="Y17" s="60" t="n">
        <x:v>91.2</x:v>
      </x:c>
      <x:c r="Z17" s="60" t="n">
        <x:v>94.1</x:v>
      </x:c>
      <x:c r="AA17" s="60" t="n">
        <x:v>86</x:v>
      </x:c>
      <x:c r="AB17" s="60" t="n">
        <x:v>12</x:v>
      </x:c>
      <x:c r="AC17" s="60" t="n">
        <x:f>ROUND(((0.30*V17+0.20*W17+0.25*X17+0.15*Y17+0.10*AA17)+(0.30*Z17+0.20*X17+0.20*W17+0.15*AA17+0.15*(100-AB17)))/2,2)</x:f>
        <x:v>92</x:v>
      </x:c>
      <x:c r="AD17" s="60" t="n">
        <x:v>94</x:v>
      </x:c>
      <x:c r="AE17" s="60" t="n">
        <x:v>92.1</x:v>
      </x:c>
      <x:c r="AF17" s="60" t="n">
        <x:v>94</x:v>
      </x:c>
      <x:c r="AG17" s="60" t="n">
        <x:v>91.1</x:v>
      </x:c>
      <x:c r="AH17" s="60" t="n">
        <x:v>94</x:v>
      </x:c>
      <x:c r="AI17" s="60" t="n">
        <x:v>86</x:v>
      </x:c>
      <x:c r="AJ17" s="60" t="n">
        <x:v>12</x:v>
      </x:c>
      <x:c r="AK17" s="60" t="n">
        <x:f>ROUND(((0.30*AD17+0.20*AE17+0.25*AF17+0.15*AG17+0.10*AI17)+(0.30*AH17+0.20*AF17+0.20*AE17+0.15*AI17+0.15*(100-AJ17)))/2,2)</x:f>
        <x:v>91.95</x:v>
      </x:c>
      <x:c r="AL17" s="60" t="n">
        <x:v>94</x:v>
      </x:c>
      <x:c r="AM17" s="60" t="n">
        <x:v>92.1</x:v>
      </x:c>
      <x:c r="AN17" s="60" t="n">
        <x:v>94</x:v>
      </x:c>
      <x:c r="AO17" s="60" t="n">
        <x:v>91.2</x:v>
      </x:c>
      <x:c r="AP17" s="60" t="n">
        <x:v>94.1</x:v>
      </x:c>
      <x:c r="AQ17" s="60" t="n">
        <x:v>86</x:v>
      </x:c>
      <x:c r="AR17" s="60" t="n">
        <x:v>12</x:v>
      </x:c>
      <x:c r="AS17" s="60" t="n">
        <x:f>ROUND(((0.30*AL17+0.20*AM17+0.25*AN17+0.15*AO17+0.10*AQ17)+(0.30*AP17+0.20*AN17+0.20*AM17+0.15*AQ17+0.15*(100-AR17)))/2,2)</x:f>
        <x:v>91.98</x:v>
      </x:c>
      <x:c r="AT17" s="60" t="n">
        <x:f>ROUND(AVERAGE(V17,AD17,AL17),1)</x:f>
        <x:v>94</x:v>
      </x:c>
      <x:c r="AU17" s="60" t="n">
        <x:f>ROUND(AVERAGE(W17,AE17,AM17),1)</x:f>
        <x:v>92.1</x:v>
      </x:c>
      <x:c r="AV17" s="60" t="n">
        <x:f>ROUND(AVERAGE(X17,AF17,AN17),1)</x:f>
        <x:v>94</x:v>
      </x:c>
      <x:c r="AW17" s="60" t="n">
        <x:f>ROUND(AVERAGE(Y17,AG17,AO17),1)</x:f>
        <x:v>91.2</x:v>
      </x:c>
      <x:c r="AX17" s="60" t="n">
        <x:f>ROUND(AVERAGE(Z17,AH17,AP17),1)</x:f>
        <x:v>94.1</x:v>
      </x:c>
      <x:c r="AY17" s="60" t="n">
        <x:f>ROUND(AVERAGE(AA17,AI17,AQ17),1)</x:f>
        <x:v>86</x:v>
      </x:c>
      <x:c r="AZ17" s="60" t="n">
        <x:f>ROUND(AVERAGE(AB17,AJ17,AR17),1)</x:f>
        <x:v>12</x:v>
      </x:c>
      <x:c r="BA17" s="59" t="n">
        <x:v>5</x:v>
      </x:c>
      <x:c r="BB17" s="60" t="n">
        <x:f>ROUND(0.30*AT17+0.20*AU17+0.25*AV17+0.15*AW17+0.10*AY17,2)</x:f>
        <x:v>92.4</x:v>
      </x:c>
      <x:c r="BC17" s="60" t="n">
        <x:f>ROUND(0.30*AX17+0.20*AV17+0.20*AU17+0.15*AY17+0.15*(100-AZ17),2)</x:f>
        <x:v>91.55</x:v>
      </x:c>
      <x:c r="BD17" s="60" t="n">
        <x:f>ROUND(AVERAGE(BB17,BC17),2)</x:f>
        <x:v>91.98</x:v>
      </x:c>
      <x:c r="BE17" s="60" t="n">
        <x:f>ROUND(BD17-U17,2)</x:f>
        <x:v>-0.02</x:v>
      </x:c>
      <x:c r="BF17" s="60" t="n">
        <x:f>ROUND(STDEV.P(AC17,AK17,AS17),3)</x:f>
        <x:v>0.021</x:v>
      </x:c>
      <x:c r="BG17" s="59" t="str">
        <x:v>Top100</x:v>
      </x:c>
      <x:c r="BH17" s="59" t="str">
        <x:v>Top50三轮复核</x:v>
      </x:c>
      <x:c r="BI17" s="40" t="str">
        <x:v>三轮复核后与原表基本一致</x:v>
      </x:c>
    </x:row>
    <x:row r="18" ht="30" customHeight="1">
      <x:c r="A18" s="59" t="n">
        <x:v>17</x:v>
      </x:c>
      <x:c r="B18" s="59" t="n">
        <x:v>17</x:v>
      </x:c>
      <x:c r="C18" s="59" t="str">
        <x:v>2026-05</x:v>
      </x:c>
      <x:c r="D18" s="59" t="n">
        <x:v>10</x:v>
      </x:c>
      <x:c r="E18" s="59" t="str">
        <x:v>2605.02058</x:v>
      </x:c>
      <x:c r="F18" s="40" t="str">
        <x:v>Quantitative Estimates for Mean-Field Limits and Correlation Functions through a Duality Framework</x:v>
      </x:c>
      <x:c r="G18" s="40" t="str">
        <x:v>Nadia Khoury; Pierre-Emmanuel Jabin</x:v>
      </x:c>
      <x:c r="H18" s="40" t="str">
        <x:v>Mean-field limits</x:v>
      </x:c>
      <x:c r="I18" s="59" t="n">
        <x:v>42</x:v>
      </x:c>
      <x:c r="J18" s="40" t="str">
        <x:v>https://arxiv.org/abs/2605.02058</x:v>
      </x:c>
      <x:c r="K18" s="60" t="n">
        <x:v>94</x:v>
      </x:c>
      <x:c r="L18" s="60" t="n">
        <x:v>92</x:v>
      </x:c>
      <x:c r="M18" s="60" t="n">
        <x:v>93</x:v>
      </x:c>
      <x:c r="N18" s="60" t="n">
        <x:v>91</x:v>
      </x:c>
      <x:c r="O18" s="60" t="n">
        <x:v>93</x:v>
      </x:c>
      <x:c r="P18" s="60" t="n">
        <x:v>88</x:v>
      </x:c>
      <x:c r="Q18" s="60" t="n">
        <x:v>12</x:v>
      </x:c>
      <x:c r="R18" s="59" t="n">
        <x:v>5</x:v>
      </x:c>
      <x:c r="S18" s="60" t="n">
        <x:v>92.3</x:v>
      </x:c>
      <x:c r="T18" s="60" t="n">
        <x:v>91.3</x:v>
      </x:c>
      <x:c r="U18" s="60" t="n">
        <x:v>91.8</x:v>
      </x:c>
      <x:c r="V18" s="60" t="n">
        <x:v>94.1</x:v>
      </x:c>
      <x:c r="W18" s="60" t="n">
        <x:v>92.2</x:v>
      </x:c>
      <x:c r="X18" s="60" t="n">
        <x:v>93.1</x:v>
      </x:c>
      <x:c r="Y18" s="60" t="n">
        <x:v>91.2</x:v>
      </x:c>
      <x:c r="Z18" s="60" t="n">
        <x:v>93.2</x:v>
      </x:c>
      <x:c r="AA18" s="60" t="n">
        <x:v>88</x:v>
      </x:c>
      <x:c r="AB18" s="60" t="n">
        <x:v>12</x:v>
      </x:c>
      <x:c r="AC18" s="60" t="n">
        <x:f>ROUND(((0.30*V18+0.20*W18+0.25*X18+0.15*Y18+0.10*AA18)+(0.30*Z18+0.20*X18+0.20*W18+0.15*AA18+0.15*(100-AB18)))/2,2)</x:f>
        <x:v>91.92</x:v>
      </x:c>
      <x:c r="AD18" s="60" t="n">
        <x:v>94.1</x:v>
      </x:c>
      <x:c r="AE18" s="60" t="n">
        <x:v>92.1</x:v>
      </x:c>
      <x:c r="AF18" s="60" t="n">
        <x:v>93.1</x:v>
      </x:c>
      <x:c r="AG18" s="60" t="n">
        <x:v>91.2</x:v>
      </x:c>
      <x:c r="AH18" s="60" t="n">
        <x:v>93.2</x:v>
      </x:c>
      <x:c r="AI18" s="60" t="n">
        <x:v>88</x:v>
      </x:c>
      <x:c r="AJ18" s="60" t="n">
        <x:v>12</x:v>
      </x:c>
      <x:c r="AK18" s="60" t="n">
        <x:f>ROUND(((0.30*AD18+0.20*AE18+0.25*AF18+0.15*AG18+0.10*AI18)+(0.30*AH18+0.20*AF18+0.20*AE18+0.15*AI18+0.15*(100-AJ18)))/2,2)</x:f>
        <x:v>91.9</x:v>
      </x:c>
      <x:c r="AL18" s="60" t="n">
        <x:v>94.1</x:v>
      </x:c>
      <x:c r="AM18" s="60" t="n">
        <x:v>92.1</x:v>
      </x:c>
      <x:c r="AN18" s="60" t="n">
        <x:v>93.1</x:v>
      </x:c>
      <x:c r="AO18" s="60" t="n">
        <x:v>91.2</x:v>
      </x:c>
      <x:c r="AP18" s="60" t="n">
        <x:v>93.2</x:v>
      </x:c>
      <x:c r="AQ18" s="60" t="n">
        <x:v>88</x:v>
      </x:c>
      <x:c r="AR18" s="60" t="n">
        <x:v>12</x:v>
      </x:c>
      <x:c r="AS18" s="60" t="n">
        <x:f>ROUND(((0.30*AL18+0.20*AM18+0.25*AN18+0.15*AO18+0.10*AQ18)+(0.30*AP18+0.20*AN18+0.20*AM18+0.15*AQ18+0.15*(100-AR18)))/2,2)</x:f>
        <x:v>91.9</x:v>
      </x:c>
      <x:c r="AT18" s="60" t="n">
        <x:f>ROUND(AVERAGE(V18,AD18,AL18),1)</x:f>
        <x:v>94.1</x:v>
      </x:c>
      <x:c r="AU18" s="60" t="n">
        <x:f>ROUND(AVERAGE(W18,AE18,AM18),1)</x:f>
        <x:v>92.1</x:v>
      </x:c>
      <x:c r="AV18" s="60" t="n">
        <x:f>ROUND(AVERAGE(X18,AF18,AN18),1)</x:f>
        <x:v>93.1</x:v>
      </x:c>
      <x:c r="AW18" s="60" t="n">
        <x:f>ROUND(AVERAGE(Y18,AG18,AO18),1)</x:f>
        <x:v>91.2</x:v>
      </x:c>
      <x:c r="AX18" s="60" t="n">
        <x:f>ROUND(AVERAGE(Z18,AH18,AP18),1)</x:f>
        <x:v>93.2</x:v>
      </x:c>
      <x:c r="AY18" s="60" t="n">
        <x:f>ROUND(AVERAGE(AA18,AI18,AQ18),1)</x:f>
        <x:v>88</x:v>
      </x:c>
      <x:c r="AZ18" s="60" t="n">
        <x:f>ROUND(AVERAGE(AB18,AJ18,AR18),1)</x:f>
        <x:v>12</x:v>
      </x:c>
      <x:c r="BA18" s="59" t="n">
        <x:v>5</x:v>
      </x:c>
      <x:c r="BB18" s="60" t="n">
        <x:f>ROUND(0.30*AT18+0.20*AU18+0.25*AV18+0.15*AW18+0.10*AY18,2)</x:f>
        <x:v>92.4</x:v>
      </x:c>
      <x:c r="BC18" s="60" t="n">
        <x:f>ROUND(0.30*AX18+0.20*AV18+0.20*AU18+0.15*AY18+0.15*(100-AZ18),2)</x:f>
        <x:v>91.4</x:v>
      </x:c>
      <x:c r="BD18" s="60" t="n">
        <x:f>ROUND(AVERAGE(BB18,BC18),2)</x:f>
        <x:v>91.9</x:v>
      </x:c>
      <x:c r="BE18" s="60" t="n">
        <x:f>ROUND(BD18-U18,2)</x:f>
        <x:v>0.1</x:v>
      </x:c>
      <x:c r="BF18" s="60" t="n">
        <x:f>ROUND(STDEV.P(AC18,AK18,AS18),3)</x:f>
        <x:v>0.009</x:v>
      </x:c>
      <x:c r="BG18" s="59" t="str">
        <x:v>Top100</x:v>
      </x:c>
      <x:c r="BH18" s="59" t="str">
        <x:v>Top50三轮复核</x:v>
      </x:c>
      <x:c r="BI18" s="40" t="str">
        <x:v>三轮复核后与原表基本一致</x:v>
      </x:c>
    </x:row>
    <x:row r="19" ht="30" customHeight="1">
      <x:c r="A19" s="59" t="n">
        <x:v>18</x:v>
      </x:c>
      <x:c r="B19" s="59" t="n">
        <x:v>18</x:v>
      </x:c>
      <x:c r="C19" s="59" t="str">
        <x:v>2026-05</x:v>
      </x:c>
      <x:c r="D19" s="59" t="n">
        <x:v>11</x:v>
      </x:c>
      <x:c r="E19" s="59" t="str">
        <x:v>2605.24443</x:v>
      </x:c>
      <x:c r="F19" s="40" t="str">
        <x:v>A dimension-free interpolation of Caffarelli's contraction theorem</x:v>
      </x:c>
      <x:c r="G19" s="40" t="str">
        <x:v>Bader Ammari; Alessio Figalli</x:v>
      </x:c>
      <x:c r="H19" s="40" t="str">
        <x:v>Optimal transport / convexity</x:v>
      </x:c>
      <x:c r="I19" s="59"/>
      <x:c r="J19" s="40" t="str">
        <x:v>https://arxiv.org/abs/2605.24443</x:v>
      </x:c>
      <x:c r="K19" s="60" t="n">
        <x:v>93</x:v>
      </x:c>
      <x:c r="L19" s="60" t="n">
        <x:v>93</x:v>
      </x:c>
      <x:c r="M19" s="60" t="n">
        <x:v>92</x:v>
      </x:c>
      <x:c r="N19" s="60" t="n">
        <x:v>91</x:v>
      </x:c>
      <x:c r="O19" s="60" t="n">
        <x:v>92</x:v>
      </x:c>
      <x:c r="P19" s="60" t="n">
        <x:v>88</x:v>
      </x:c>
      <x:c r="Q19" s="60" t="n">
        <x:v>10</x:v>
      </x:c>
      <x:c r="R19" s="59" t="n">
        <x:v>4</x:v>
      </x:c>
      <x:c r="S19" s="60" t="n">
        <x:v>92</x:v>
      </x:c>
      <x:c r="T19" s="60" t="n">
        <x:v>91.3</x:v>
      </x:c>
      <x:c r="U19" s="60" t="n">
        <x:v>91.7</x:v>
      </x:c>
      <x:c r="V19" s="60" t="n">
        <x:v>93.2</x:v>
      </x:c>
      <x:c r="W19" s="60" t="n">
        <x:v>93.4</x:v>
      </x:c>
      <x:c r="X19" s="60" t="n">
        <x:v>92</x:v>
      </x:c>
      <x:c r="Y19" s="60" t="n">
        <x:v>91.4</x:v>
      </x:c>
      <x:c r="Z19" s="60" t="n">
        <x:v>92.2</x:v>
      </x:c>
      <x:c r="AA19" s="60" t="n">
        <x:v>88</x:v>
      </x:c>
      <x:c r="AB19" s="60" t="n">
        <x:v>10</x:v>
      </x:c>
      <x:c r="AC19" s="60" t="n">
        <x:f>ROUND(((0.30*V19+0.20*W19+0.25*X19+0.15*Y19+0.10*AA19)+(0.30*Z19+0.20*X19+0.20*W19+0.15*AA19+0.15*(100-AB19)))/2,2)</x:f>
        <x:v>91.8</x:v>
      </x:c>
      <x:c r="AD19" s="60" t="n">
        <x:v>93.2</x:v>
      </x:c>
      <x:c r="AE19" s="60" t="n">
        <x:v>93.3</x:v>
      </x:c>
      <x:c r="AF19" s="60" t="n">
        <x:v>92</x:v>
      </x:c>
      <x:c r="AG19" s="60" t="n">
        <x:v>91.3</x:v>
      </x:c>
      <x:c r="AH19" s="60" t="n">
        <x:v>92.2</x:v>
      </x:c>
      <x:c r="AI19" s="60" t="n">
        <x:v>88</x:v>
      </x:c>
      <x:c r="AJ19" s="60" t="n">
        <x:v>10</x:v>
      </x:c>
      <x:c r="AK19" s="60" t="n">
        <x:f>ROUND(((0.30*AD19+0.20*AE19+0.25*AF19+0.15*AG19+0.10*AI19)+(0.30*AH19+0.20*AF19+0.20*AE19+0.15*AI19+0.15*(100-AJ19)))/2,2)</x:f>
        <x:v>91.77</x:v>
      </x:c>
      <x:c r="AL19" s="60" t="n">
        <x:v>93.2</x:v>
      </x:c>
      <x:c r="AM19" s="60" t="n">
        <x:v>93.3</x:v>
      </x:c>
      <x:c r="AN19" s="60" t="n">
        <x:v>92</x:v>
      </x:c>
      <x:c r="AO19" s="60" t="n">
        <x:v>91.3</x:v>
      </x:c>
      <x:c r="AP19" s="60" t="n">
        <x:v>92.2</x:v>
      </x:c>
      <x:c r="AQ19" s="60" t="n">
        <x:v>88</x:v>
      </x:c>
      <x:c r="AR19" s="60" t="n">
        <x:v>10</x:v>
      </x:c>
      <x:c r="AS19" s="60" t="n">
        <x:f>ROUND(((0.30*AL19+0.20*AM19+0.25*AN19+0.15*AO19+0.10*AQ19)+(0.30*AP19+0.20*AN19+0.20*AM19+0.15*AQ19+0.15*(100-AR19)))/2,2)</x:f>
        <x:v>91.77</x:v>
      </x:c>
      <x:c r="AT19" s="60" t="n">
        <x:f>ROUND(AVERAGE(V19,AD19,AL19),1)</x:f>
        <x:v>93.2</x:v>
      </x:c>
      <x:c r="AU19" s="60" t="n">
        <x:f>ROUND(AVERAGE(W19,AE19,AM19),1)</x:f>
        <x:v>93.3</x:v>
      </x:c>
      <x:c r="AV19" s="60" t="n">
        <x:f>ROUND(AVERAGE(X19,AF19,AN19),1)</x:f>
        <x:v>92</x:v>
      </x:c>
      <x:c r="AW19" s="60" t="n">
        <x:f>ROUND(AVERAGE(Y19,AG19,AO19),1)</x:f>
        <x:v>91.3</x:v>
      </x:c>
      <x:c r="AX19" s="60" t="n">
        <x:f>ROUND(AVERAGE(Z19,AH19,AP19),1)</x:f>
        <x:v>92.2</x:v>
      </x:c>
      <x:c r="AY19" s="60" t="n">
        <x:f>ROUND(AVERAGE(AA19,AI19,AQ19),1)</x:f>
        <x:v>88</x:v>
      </x:c>
      <x:c r="AZ19" s="60" t="n">
        <x:f>ROUND(AVERAGE(AB19,AJ19,AR19),1)</x:f>
        <x:v>10</x:v>
      </x:c>
      <x:c r="BA19" s="59" t="n">
        <x:v>4</x:v>
      </x:c>
      <x:c r="BB19" s="60" t="n">
        <x:f>ROUND(0.30*AT19+0.20*AU19+0.25*AV19+0.15*AW19+0.10*AY19,2)</x:f>
        <x:v>92.12</x:v>
      </x:c>
      <x:c r="BC19" s="60" t="n">
        <x:f>ROUND(0.30*AX19+0.20*AV19+0.20*AU19+0.15*AY19+0.15*(100-AZ19),2)</x:f>
        <x:v>91.42</x:v>
      </x:c>
      <x:c r="BD19" s="60" t="n">
        <x:f>ROUND(AVERAGE(BB19,BC19),2)</x:f>
        <x:v>91.77</x:v>
      </x:c>
      <x:c r="BE19" s="60" t="n">
        <x:f>ROUND(BD19-U19,2)</x:f>
        <x:v>0.07</x:v>
      </x:c>
      <x:c r="BF19" s="60" t="n">
        <x:f>ROUND(STDEV.P(AC19,AK19,AS19),3)</x:f>
        <x:v>0.014</x:v>
      </x:c>
      <x:c r="BG19" s="59" t="str">
        <x:v>Top100</x:v>
      </x:c>
      <x:c r="BH19" s="59" t="str">
        <x:v>Top50三轮复核</x:v>
      </x:c>
      <x:c r="BI19" s="40" t="str">
        <x:v>dimension-free Caffarelli contraction interpolation 的概念价值上调。</x:v>
      </x:c>
    </x:row>
    <x:row r="20" ht="30" customHeight="1">
      <x:c r="A20" s="59" t="n">
        <x:v>19</x:v>
      </x:c>
      <x:c r="B20" s="59" t="n">
        <x:v>20</x:v>
      </x:c>
      <x:c r="C20" s="59" t="str">
        <x:v>2026-06</x:v>
      </x:c>
      <x:c r="D20" s="59" t="n">
        <x:v>8</x:v>
      </x:c>
      <x:c r="E20" s="59" t="str">
        <x:v>2606.27691</x:v>
      </x:c>
      <x:c r="F20" s="40" t="str">
        <x:v>Singular Limits for Three-Dimensional Global Minimizers of Ginzburg-Landau-Type Functionals: Uniform Estimates and Singular Sets</x:v>
      </x:c>
      <x:c r="G20" s="40" t="str">
        <x:v>Giacomo Canevari; Haotong Fu; Wei Wang</x:v>
      </x:c>
      <x:c r="H20" s="40" t="str">
        <x:v>variational/singular limits</x:v>
      </x:c>
      <x:c r="I20" s="59" t="n">
        <x:v>72</x:v>
      </x:c>
      <x:c r="J20" s="40" t="str">
        <x:v>https://arxiv.org/abs/2606.27691</x:v>
      </x:c>
      <x:c r="K20" s="60" t="n">
        <x:v>94</x:v>
      </x:c>
      <x:c r="L20" s="60" t="n">
        <x:v>91</x:v>
      </x:c>
      <x:c r="M20" s="60" t="n">
        <x:v>94</x:v>
      </x:c>
      <x:c r="N20" s="60" t="n">
        <x:v>89</x:v>
      </x:c>
      <x:c r="O20" s="60" t="n">
        <x:v>94</x:v>
      </x:c>
      <x:c r="P20" s="60" t="n">
        <x:v>86</x:v>
      </x:c>
      <x:c r="Q20" s="60" t="n">
        <x:v>11</x:v>
      </x:c>
      <x:c r="R20" s="59" t="n">
        <x:v>4</x:v>
      </x:c>
      <x:c r="S20" s="60" t="n">
        <x:v>91.85</x:v>
      </x:c>
      <x:c r="T20" s="60" t="n">
        <x:v>91.45</x:v>
      </x:c>
      <x:c r="U20" s="60" t="n">
        <x:v>91.65</x:v>
      </x:c>
      <x:c r="V20" s="60" t="n">
        <x:v>94.1</x:v>
      </x:c>
      <x:c r="W20" s="60" t="n">
        <x:v>91</x:v>
      </x:c>
      <x:c r="X20" s="60" t="n">
        <x:v>94.1</x:v>
      </x:c>
      <x:c r="Y20" s="60" t="n">
        <x:v>89</x:v>
      </x:c>
      <x:c r="Z20" s="60" t="n">
        <x:v>94.1</x:v>
      </x:c>
      <x:c r="AA20" s="60" t="n">
        <x:v>86</x:v>
      </x:c>
      <x:c r="AB20" s="60" t="n">
        <x:v>11</x:v>
      </x:c>
      <x:c r="AC20" s="60" t="n">
        <x:f>ROUND(((0.30*V20+0.20*W20+0.25*X20+0.15*Y20+0.10*AA20)+(0.30*Z20+0.20*X20+0.20*W20+0.15*AA20+0.15*(100-AB20)))/2,2)</x:f>
        <x:v>91.7</x:v>
      </x:c>
      <x:c r="AD20" s="60" t="n">
        <x:v>94.1</x:v>
      </x:c>
      <x:c r="AE20" s="60" t="n">
        <x:v>91</x:v>
      </x:c>
      <x:c r="AF20" s="60" t="n">
        <x:v>94.1</x:v>
      </x:c>
      <x:c r="AG20" s="60" t="n">
        <x:v>89.1</x:v>
      </x:c>
      <x:c r="AH20" s="60" t="n">
        <x:v>94.1</x:v>
      </x:c>
      <x:c r="AI20" s="60" t="n">
        <x:v>86</x:v>
      </x:c>
      <x:c r="AJ20" s="60" t="n">
        <x:v>11</x:v>
      </x:c>
      <x:c r="AK20" s="60" t="n">
        <x:f>ROUND(((0.30*AD20+0.20*AE20+0.25*AF20+0.15*AG20+0.10*AI20)+(0.30*AH20+0.20*AF20+0.20*AE20+0.15*AI20+0.15*(100-AJ20)))/2,2)</x:f>
        <x:v>91.71</x:v>
      </x:c>
      <x:c r="AL20" s="60" t="n">
        <x:v>94.1</x:v>
      </x:c>
      <x:c r="AM20" s="60" t="n">
        <x:v>91</x:v>
      </x:c>
      <x:c r="AN20" s="60" t="n">
        <x:v>94.1</x:v>
      </x:c>
      <x:c r="AO20" s="60" t="n">
        <x:v>89</x:v>
      </x:c>
      <x:c r="AP20" s="60" t="n">
        <x:v>94.1</x:v>
      </x:c>
      <x:c r="AQ20" s="60" t="n">
        <x:v>86</x:v>
      </x:c>
      <x:c r="AR20" s="60" t="n">
        <x:v>11</x:v>
      </x:c>
      <x:c r="AS20" s="60" t="n">
        <x:f>ROUND(((0.30*AL20+0.20*AM20+0.25*AN20+0.15*AO20+0.10*AQ20)+(0.30*AP20+0.20*AN20+0.20*AM20+0.15*AQ20+0.15*(100-AR20)))/2,2)</x:f>
        <x:v>91.7</x:v>
      </x:c>
      <x:c r="AT20" s="60" t="n">
        <x:f>ROUND(AVERAGE(V20,AD20,AL20),1)</x:f>
        <x:v>94.1</x:v>
      </x:c>
      <x:c r="AU20" s="60" t="n">
        <x:f>ROUND(AVERAGE(W20,AE20,AM20),1)</x:f>
        <x:v>91</x:v>
      </x:c>
      <x:c r="AV20" s="60" t="n">
        <x:f>ROUND(AVERAGE(X20,AF20,AN20),1)</x:f>
        <x:v>94.1</x:v>
      </x:c>
      <x:c r="AW20" s="60" t="n">
        <x:f>ROUND(AVERAGE(Y20,AG20,AO20),1)</x:f>
        <x:v>89</x:v>
      </x:c>
      <x:c r="AX20" s="60" t="n">
        <x:f>ROUND(AVERAGE(Z20,AH20,AP20),1)</x:f>
        <x:v>94.1</x:v>
      </x:c>
      <x:c r="AY20" s="60" t="n">
        <x:f>ROUND(AVERAGE(AA20,AI20,AQ20),1)</x:f>
        <x:v>86</x:v>
      </x:c>
      <x:c r="AZ20" s="60" t="n">
        <x:f>ROUND(AVERAGE(AB20,AJ20,AR20),1)</x:f>
        <x:v>11</x:v>
      </x:c>
      <x:c r="BA20" s="59" t="n">
        <x:v>4</x:v>
      </x:c>
      <x:c r="BB20" s="60" t="n">
        <x:f>ROUND(0.30*AT20+0.20*AU20+0.25*AV20+0.15*AW20+0.10*AY20,2)</x:f>
        <x:v>91.9</x:v>
      </x:c>
      <x:c r="BC20" s="60" t="n">
        <x:f>ROUND(0.30*AX20+0.20*AV20+0.20*AU20+0.15*AY20+0.15*(100-AZ20),2)</x:f>
        <x:v>91.5</x:v>
      </x:c>
      <x:c r="BD20" s="60" t="n">
        <x:f>ROUND(AVERAGE(BB20,BC20),2)</x:f>
        <x:v>91.7</x:v>
      </x:c>
      <x:c r="BE20" s="60" t="n">
        <x:f>ROUND(BD20-U20,2)</x:f>
        <x:v>0.05</x:v>
      </x:c>
      <x:c r="BF20" s="60" t="n">
        <x:f>ROUND(STDEV.P(AC20,AK20,AS20),3)</x:f>
        <x:v>0.005</x:v>
      </x:c>
      <x:c r="BG20" s="59" t="str">
        <x:v>Top100</x:v>
      </x:c>
      <x:c r="BH20" s="59" t="str">
        <x:v>Top50三轮复核</x:v>
      </x:c>
      <x:c r="BI20" s="40" t="str">
        <x:v>三轮复核后与原表基本一致</x:v>
      </x:c>
    </x:row>
    <x:row r="21" ht="30" customHeight="1">
      <x:c r="A21" s="59" t="n">
        <x:v>20</x:v>
      </x:c>
      <x:c r="B21" s="59" t="n">
        <x:v>21</x:v>
      </x:c>
      <x:c r="C21" s="59" t="str">
        <x:v>2026-06</x:v>
      </x:c>
      <x:c r="D21" s="59" t="n">
        <x:v>9</x:v>
      </x:c>
      <x:c r="E21" s="59" t="str">
        <x:v>2606.03680</x:v>
      </x:c>
      <x:c r="F21" s="40" t="str">
        <x:v>Global regularity of the 2D fractional Boussinesq equations with subcritical dissipation</x:v>
      </x:c>
      <x:c r="G21" s="40" t="str">
        <x:v>Atanas Stefanov; Jiahong Wu; Xiaojing Xu; Zhuan Ye</x:v>
      </x:c>
      <x:c r="H21" s="40" t="str">
        <x:v>fluid regularity</x:v>
      </x:c>
      <x:c r="I21" s="59" t="n">
        <x:v>43</x:v>
      </x:c>
      <x:c r="J21" s="40" t="str">
        <x:v>https://arxiv.org/abs/2606.03680</x:v>
      </x:c>
      <x:c r="K21" s="60" t="n">
        <x:v>94</x:v>
      </x:c>
      <x:c r="L21" s="60" t="n">
        <x:v>91</x:v>
      </x:c>
      <x:c r="M21" s="60" t="n">
        <x:v>93</x:v>
      </x:c>
      <x:c r="N21" s="60" t="n">
        <x:v>89</x:v>
      </x:c>
      <x:c r="O21" s="60" t="n">
        <x:v>94</x:v>
      </x:c>
      <x:c r="P21" s="60" t="n">
        <x:v>87</x:v>
      </x:c>
      <x:c r="Q21" s="60" t="n">
        <x:v>10</x:v>
      </x:c>
      <x:c r="R21" s="59" t="n">
        <x:v>4</x:v>
      </x:c>
      <x:c r="S21" s="60" t="n">
        <x:v>91.7</x:v>
      </x:c>
      <x:c r="T21" s="60" t="n">
        <x:v>91.55</x:v>
      </x:c>
      <x:c r="U21" s="60" t="n">
        <x:v>91.625</x:v>
      </x:c>
      <x:c r="V21" s="60" t="n">
        <x:v>94</x:v>
      </x:c>
      <x:c r="W21" s="60" t="n">
        <x:v>91.2</x:v>
      </x:c>
      <x:c r="X21" s="60" t="n">
        <x:v>93.1</x:v>
      </x:c>
      <x:c r="Y21" s="60" t="n">
        <x:v>89</x:v>
      </x:c>
      <x:c r="Z21" s="60" t="n">
        <x:v>94.2</x:v>
      </x:c>
      <x:c r="AA21" s="60" t="n">
        <x:v>87</x:v>
      </x:c>
      <x:c r="AB21" s="60" t="n">
        <x:v>10</x:v>
      </x:c>
      <x:c r="AC21" s="60" t="n">
        <x:f>ROUND(((0.30*V21+0.20*W21+0.25*X21+0.15*Y21+0.10*AA21)+(0.30*Z21+0.20*X21+0.20*W21+0.15*AA21+0.15*(100-AB21)))/2,2)</x:f>
        <x:v>91.72</x:v>
      </x:c>
      <x:c r="AD21" s="60" t="n">
        <x:v>94</x:v>
      </x:c>
      <x:c r="AE21" s="60" t="n">
        <x:v>91.1</x:v>
      </x:c>
      <x:c r="AF21" s="60" t="n">
        <x:v>93.1</x:v>
      </x:c>
      <x:c r="AG21" s="60" t="n">
        <x:v>89.1</x:v>
      </x:c>
      <x:c r="AH21" s="60" t="n">
        <x:v>94.2</x:v>
      </x:c>
      <x:c r="AI21" s="60" t="n">
        <x:v>87</x:v>
      </x:c>
      <x:c r="AJ21" s="60" t="n">
        <x:v>10</x:v>
      </x:c>
      <x:c r="AK21" s="60" t="n">
        <x:f>ROUND(((0.30*AD21+0.20*AE21+0.25*AF21+0.15*AG21+0.10*AI21)+(0.30*AH21+0.20*AF21+0.20*AE21+0.15*AI21+0.15*(100-AJ21)))/2,2)</x:f>
        <x:v>91.7</x:v>
      </x:c>
      <x:c r="AL21" s="60" t="n">
        <x:v>94</x:v>
      </x:c>
      <x:c r="AM21" s="60" t="n">
        <x:v>91.1</x:v>
      </x:c>
      <x:c r="AN21" s="60" t="n">
        <x:v>93.1</x:v>
      </x:c>
      <x:c r="AO21" s="60" t="n">
        <x:v>89</x:v>
      </x:c>
      <x:c r="AP21" s="60" t="n">
        <x:v>94.2</x:v>
      </x:c>
      <x:c r="AQ21" s="60" t="n">
        <x:v>87</x:v>
      </x:c>
      <x:c r="AR21" s="60" t="n">
        <x:v>10</x:v>
      </x:c>
      <x:c r="AS21" s="60" t="n">
        <x:f>ROUND(((0.30*AL21+0.20*AM21+0.25*AN21+0.15*AO21+0.10*AQ21)+(0.30*AP21+0.20*AN21+0.20*AM21+0.15*AQ21+0.15*(100-AR21)))/2,2)</x:f>
        <x:v>91.7</x:v>
      </x:c>
      <x:c r="AT21" s="60" t="n">
        <x:f>ROUND(AVERAGE(V21,AD21,AL21),1)</x:f>
        <x:v>94</x:v>
      </x:c>
      <x:c r="AU21" s="60" t="n">
        <x:f>ROUND(AVERAGE(W21,AE21,AM21),1)</x:f>
        <x:v>91.1</x:v>
      </x:c>
      <x:c r="AV21" s="60" t="n">
        <x:f>ROUND(AVERAGE(X21,AF21,AN21),1)</x:f>
        <x:v>93.1</x:v>
      </x:c>
      <x:c r="AW21" s="60" t="n">
        <x:f>ROUND(AVERAGE(Y21,AG21,AO21),1)</x:f>
        <x:v>89</x:v>
      </x:c>
      <x:c r="AX21" s="60" t="n">
        <x:f>ROUND(AVERAGE(Z21,AH21,AP21),1)</x:f>
        <x:v>94.2</x:v>
      </x:c>
      <x:c r="AY21" s="60" t="n">
        <x:f>ROUND(AVERAGE(AA21,AI21,AQ21),1)</x:f>
        <x:v>87</x:v>
      </x:c>
      <x:c r="AZ21" s="60" t="n">
        <x:f>ROUND(AVERAGE(AB21,AJ21,AR21),1)</x:f>
        <x:v>10</x:v>
      </x:c>
      <x:c r="BA21" s="59" t="n">
        <x:v>4</x:v>
      </x:c>
      <x:c r="BB21" s="60" t="n">
        <x:f>ROUND(0.30*AT21+0.20*AU21+0.25*AV21+0.15*AW21+0.10*AY21,2)</x:f>
        <x:v>91.74</x:v>
      </x:c>
      <x:c r="BC21" s="60" t="n">
        <x:f>ROUND(0.30*AX21+0.20*AV21+0.20*AU21+0.15*AY21+0.15*(100-AZ21),2)</x:f>
        <x:v>91.65</x:v>
      </x:c>
      <x:c r="BD21" s="60" t="n">
        <x:f>ROUND(AVERAGE(BB21,BC21),2)</x:f>
        <x:v>91.7</x:v>
      </x:c>
      <x:c r="BE21" s="60" t="n">
        <x:f>ROUND(BD21-U21,2)</x:f>
        <x:v>0.08</x:v>
      </x:c>
      <x:c r="BF21" s="60" t="n">
        <x:f>ROUND(STDEV.P(AC21,AK21,AS21),3)</x:f>
        <x:v>0.009</x:v>
      </x:c>
      <x:c r="BG21" s="59" t="str">
        <x:v>Top100</x:v>
      </x:c>
      <x:c r="BH21" s="59" t="str">
        <x:v>Top50三轮复核</x:v>
      </x:c>
      <x:c r="BI21" s="40" t="str">
        <x:v>范围偏专门，广度轻微回调</x:v>
      </x:c>
    </x:row>
    <x:row r="22" ht="30" customHeight="1">
      <x:c r="A22" s="59" t="n">
        <x:v>21</x:v>
      </x:c>
      <x:c r="B22" s="59" t="n">
        <x:v>19</x:v>
      </x:c>
      <x:c r="C22" s="59" t="str">
        <x:v>2026-05</x:v>
      </x:c>
      <x:c r="D22" s="59" t="n">
        <x:v>11</x:v>
      </x:c>
      <x:c r="E22" s="59" t="str">
        <x:v>2605.19574</x:v>
      </x:c>
      <x:c r="F22" s="40" t="str">
        <x:v>Flowing to free boundary minimal surfaces</x:v>
      </x:c>
      <x:c r="G22" s="40" t="str">
        <x:v>Melanie Rupflin; Michael Struwe; Christopher Wright</x:v>
      </x:c>
      <x:c r="H22" s="40" t="str">
        <x:v>Geometric PDE / minimal surfaces</x:v>
      </x:c>
      <x:c r="I22" s="59"/>
      <x:c r="J22" s="40" t="str">
        <x:v>https://arxiv.org/abs/2605.19574</x:v>
      </x:c>
      <x:c r="K22" s="60" t="n">
        <x:v>94</x:v>
      </x:c>
      <x:c r="L22" s="60" t="n">
        <x:v>91</x:v>
      </x:c>
      <x:c r="M22" s="60" t="n">
        <x:v>94</x:v>
      </x:c>
      <x:c r="N22" s="60" t="n">
        <x:v>88</x:v>
      </x:c>
      <x:c r="O22" s="60" t="n">
        <x:v>94</x:v>
      </x:c>
      <x:c r="P22" s="60" t="n">
        <x:v>86</x:v>
      </x:c>
      <x:c r="Q22" s="60" t="n">
        <x:v>10</x:v>
      </x:c>
      <x:c r="R22" s="59" t="n">
        <x:v>5</x:v>
      </x:c>
      <x:c r="S22" s="60" t="n">
        <x:v>91.7</x:v>
      </x:c>
      <x:c r="T22" s="60" t="n">
        <x:v>91.6</x:v>
      </x:c>
      <x:c r="U22" s="60" t="n">
        <x:v>91.7</x:v>
      </x:c>
      <x:c r="V22" s="60" t="n">
        <x:v>94</x:v>
      </x:c>
      <x:c r="W22" s="60" t="n">
        <x:v>91</x:v>
      </x:c>
      <x:c r="X22" s="60" t="n">
        <x:v>94</x:v>
      </x:c>
      <x:c r="Y22" s="60" t="n">
        <x:v>88</x:v>
      </x:c>
      <x:c r="Z22" s="60" t="n">
        <x:v>94</x:v>
      </x:c>
      <x:c r="AA22" s="60" t="n">
        <x:v>86</x:v>
      </x:c>
      <x:c r="AB22" s="60" t="n">
        <x:v>10</x:v>
      </x:c>
      <x:c r="AC22" s="60" t="n">
        <x:f>ROUND(((0.30*V22+0.20*W22+0.25*X22+0.15*Y22+0.10*AA22)+(0.30*Z22+0.20*X22+0.20*W22+0.15*AA22+0.15*(100-AB22)))/2,2)</x:f>
        <x:v>91.65</x:v>
      </x:c>
      <x:c r="AD22" s="60" t="n">
        <x:v>94</x:v>
      </x:c>
      <x:c r="AE22" s="60" t="n">
        <x:v>91</x:v>
      </x:c>
      <x:c r="AF22" s="60" t="n">
        <x:v>94</x:v>
      </x:c>
      <x:c r="AG22" s="60" t="n">
        <x:v>88.1</x:v>
      </x:c>
      <x:c r="AH22" s="60" t="n">
        <x:v>94</x:v>
      </x:c>
      <x:c r="AI22" s="60" t="n">
        <x:v>86</x:v>
      </x:c>
      <x:c r="AJ22" s="60" t="n">
        <x:v>10</x:v>
      </x:c>
      <x:c r="AK22" s="60" t="n">
        <x:f>ROUND(((0.30*AD22+0.20*AE22+0.25*AF22+0.15*AG22+0.10*AI22)+(0.30*AH22+0.20*AF22+0.20*AE22+0.15*AI22+0.15*(100-AJ22)))/2,2)</x:f>
        <x:v>91.66</x:v>
      </x:c>
      <x:c r="AL22" s="60" t="n">
        <x:v>94</x:v>
      </x:c>
      <x:c r="AM22" s="60" t="n">
        <x:v>91</x:v>
      </x:c>
      <x:c r="AN22" s="60" t="n">
        <x:v>94</x:v>
      </x:c>
      <x:c r="AO22" s="60" t="n">
        <x:v>88</x:v>
      </x:c>
      <x:c r="AP22" s="60" t="n">
        <x:v>94</x:v>
      </x:c>
      <x:c r="AQ22" s="60" t="n">
        <x:v>86</x:v>
      </x:c>
      <x:c r="AR22" s="60" t="n">
        <x:v>10</x:v>
      </x:c>
      <x:c r="AS22" s="60" t="n">
        <x:f>ROUND(((0.30*AL22+0.20*AM22+0.25*AN22+0.15*AO22+0.10*AQ22)+(0.30*AP22+0.20*AN22+0.20*AM22+0.15*AQ22+0.15*(100-AR22)))/2,2)</x:f>
        <x:v>91.65</x:v>
      </x:c>
      <x:c r="AT22" s="60" t="n">
        <x:f>ROUND(AVERAGE(V22,AD22,AL22),1)</x:f>
        <x:v>94</x:v>
      </x:c>
      <x:c r="AU22" s="60" t="n">
        <x:f>ROUND(AVERAGE(W22,AE22,AM22),1)</x:f>
        <x:v>91</x:v>
      </x:c>
      <x:c r="AV22" s="60" t="n">
        <x:f>ROUND(AVERAGE(X22,AF22,AN22),1)</x:f>
        <x:v>94</x:v>
      </x:c>
      <x:c r="AW22" s="60" t="n">
        <x:f>ROUND(AVERAGE(Y22,AG22,AO22),1)</x:f>
        <x:v>88</x:v>
      </x:c>
      <x:c r="AX22" s="60" t="n">
        <x:f>ROUND(AVERAGE(Z22,AH22,AP22),1)</x:f>
        <x:v>94</x:v>
      </x:c>
      <x:c r="AY22" s="60" t="n">
        <x:f>ROUND(AVERAGE(AA22,AI22,AQ22),1)</x:f>
        <x:v>86</x:v>
      </x:c>
      <x:c r="AZ22" s="60" t="n">
        <x:f>ROUND(AVERAGE(AB22,AJ22,AR22),1)</x:f>
        <x:v>10</x:v>
      </x:c>
      <x:c r="BA22" s="59" t="n">
        <x:v>5</x:v>
      </x:c>
      <x:c r="BB22" s="60" t="n">
        <x:f>ROUND(0.30*AT22+0.20*AU22+0.25*AV22+0.15*AW22+0.10*AY22,2)</x:f>
        <x:v>91.7</x:v>
      </x:c>
      <x:c r="BC22" s="60" t="n">
        <x:f>ROUND(0.30*AX22+0.20*AV22+0.20*AU22+0.15*AY22+0.15*(100-AZ22),2)</x:f>
        <x:v>91.6</x:v>
      </x:c>
      <x:c r="BD22" s="60" t="n">
        <x:f>ROUND(AVERAGE(BB22,BC22),2)</x:f>
        <x:v>91.65</x:v>
      </x:c>
      <x:c r="BE22" s="60" t="n">
        <x:f>ROUND(BD22-U22,2)</x:f>
        <x:v>-0.05</x:v>
      </x:c>
      <x:c r="BF22" s="60" t="n">
        <x:f>ROUND(STDEV.P(AC22,AK22,AS22),3)</x:f>
        <x:v>0.005</x:v>
      </x:c>
      <x:c r="BG22" s="59" t="str">
        <x:v>Top100</x:v>
      </x:c>
      <x:c r="BH22" s="59" t="str">
        <x:v>Top50三轮复核</x:v>
      </x:c>
      <x:c r="BI22" s="40" t="str">
        <x:v>三轮复核后与原表基本一致</x:v>
      </x:c>
    </x:row>
    <x:row r="23" ht="30" customHeight="1">
      <x:c r="A23" s="59" t="n">
        <x:v>22</x:v>
      </x:c>
      <x:c r="B23" s="59" t="n">
        <x:v>22</x:v>
      </x:c>
      <x:c r="C23" s="59" t="str">
        <x:v>2026-05</x:v>
      </x:c>
      <x:c r="D23" s="59" t="n">
        <x:v>13</x:v>
      </x:c>
      <x:c r="E23" s="59" t="str">
        <x:v>2605.19716</x:v>
      </x:c>
      <x:c r="F23" s="40" t="str">
        <x:v>Self-similar blow-up solutions of d-dimensional incompressible Euler equations with C^{1,(1-2/d)-} velocity</x:v>
      </x:c>
      <x:c r="G23" s="40" t="str">
        <x:v>Feng Shao; Dongyi Wei; Ping Zhang; Zhifei Zhang</x:v>
      </x:c>
      <x:c r="H23" s="40" t="str">
        <x:v>Fluid singularities / Euler</x:v>
      </x:c>
      <x:c r="I23" s="59" t="n">
        <x:v>103</x:v>
      </x:c>
      <x:c r="J23" s="40" t="str">
        <x:v>https://arxiv.org/abs/2605.19716</x:v>
      </x:c>
      <x:c r="K23" s="60" t="n">
        <x:v>95</x:v>
      </x:c>
      <x:c r="L23" s="60" t="n">
        <x:v>92</x:v>
      </x:c>
      <x:c r="M23" s="60" t="n">
        <x:v>94</x:v>
      </x:c>
      <x:c r="N23" s="60" t="n">
        <x:v>88</x:v>
      </x:c>
      <x:c r="O23" s="60" t="n">
        <x:v>94</x:v>
      </x:c>
      <x:c r="P23" s="60" t="n">
        <x:v>84</x:v>
      </x:c>
      <x:c r="Q23" s="60" t="n">
        <x:v>13</x:v>
      </x:c>
      <x:c r="R23" s="59" t="n">
        <x:v>5</x:v>
      </x:c>
      <x:c r="S23" s="60" t="n">
        <x:v>92</x:v>
      </x:c>
      <x:c r="T23" s="60" t="n">
        <x:v>91.1</x:v>
      </x:c>
      <x:c r="U23" s="60" t="n">
        <x:v>91.6</x:v>
      </x:c>
      <x:c r="V23" s="60" t="n">
        <x:v>95.1</x:v>
      </x:c>
      <x:c r="W23" s="60" t="n">
        <x:v>92</x:v>
      </x:c>
      <x:c r="X23" s="60" t="n">
        <x:v>94.3</x:v>
      </x:c>
      <x:c r="Y23" s="60" t="n">
        <x:v>88</x:v>
      </x:c>
      <x:c r="Z23" s="60" t="n">
        <x:v>94.2</x:v>
      </x:c>
      <x:c r="AA23" s="60" t="n">
        <x:v>84</x:v>
      </x:c>
      <x:c r="AB23" s="60" t="n">
        <x:v>13</x:v>
      </x:c>
      <x:c r="AC23" s="60" t="n">
        <x:f>ROUND(((0.30*V23+0.20*W23+0.25*X23+0.15*Y23+0.10*AA23)+(0.30*Z23+0.20*X23+0.20*W23+0.15*AA23+0.15*(100-AB23)))/2,2)</x:f>
        <x:v>91.64</x:v>
      </x:c>
      <x:c r="AD23" s="60" t="n">
        <x:v>95.1</x:v>
      </x:c>
      <x:c r="AE23" s="60" t="n">
        <x:v>92</x:v>
      </x:c>
      <x:c r="AF23" s="60" t="n">
        <x:v>94.2</x:v>
      </x:c>
      <x:c r="AG23" s="60" t="n">
        <x:v>88.1</x:v>
      </x:c>
      <x:c r="AH23" s="60" t="n">
        <x:v>94.1</x:v>
      </x:c>
      <x:c r="AI23" s="60" t="n">
        <x:v>84</x:v>
      </x:c>
      <x:c r="AJ23" s="60" t="n">
        <x:v>13</x:v>
      </x:c>
      <x:c r="AK23" s="60" t="n">
        <x:f>ROUND(((0.30*AD23+0.20*AE23+0.25*AF23+0.15*AG23+0.10*AI23)+(0.30*AH23+0.20*AF23+0.20*AE23+0.15*AI23+0.15*(100-AJ23)))/2,2)</x:f>
        <x:v>91.61</x:v>
      </x:c>
      <x:c r="AL23" s="60" t="n">
        <x:v>95.1</x:v>
      </x:c>
      <x:c r="AM23" s="60" t="n">
        <x:v>92</x:v>
      </x:c>
      <x:c r="AN23" s="60" t="n">
        <x:v>94.2</x:v>
      </x:c>
      <x:c r="AO23" s="60" t="n">
        <x:v>88</x:v>
      </x:c>
      <x:c r="AP23" s="60" t="n">
        <x:v>94.2</x:v>
      </x:c>
      <x:c r="AQ23" s="60" t="n">
        <x:v>84</x:v>
      </x:c>
      <x:c r="AR23" s="60" t="n">
        <x:v>13</x:v>
      </x:c>
      <x:c r="AS23" s="60" t="n">
        <x:f>ROUND(((0.30*AL23+0.20*AM23+0.25*AN23+0.15*AO23+0.10*AQ23)+(0.30*AP23+0.20*AN23+0.20*AM23+0.15*AQ23+0.15*(100-AR23)))/2,2)</x:f>
        <x:v>91.62</x:v>
      </x:c>
      <x:c r="AT23" s="60" t="n">
        <x:f>ROUND(AVERAGE(V23,AD23,AL23),1)</x:f>
        <x:v>95.1</x:v>
      </x:c>
      <x:c r="AU23" s="60" t="n">
        <x:f>ROUND(AVERAGE(W23,AE23,AM23),1)</x:f>
        <x:v>92</x:v>
      </x:c>
      <x:c r="AV23" s="60" t="n">
        <x:f>ROUND(AVERAGE(X23,AF23,AN23),1)</x:f>
        <x:v>94.2</x:v>
      </x:c>
      <x:c r="AW23" s="60" t="n">
        <x:f>ROUND(AVERAGE(Y23,AG23,AO23),1)</x:f>
        <x:v>88</x:v>
      </x:c>
      <x:c r="AX23" s="60" t="n">
        <x:f>ROUND(AVERAGE(Z23,AH23,AP23),1)</x:f>
        <x:v>94.2</x:v>
      </x:c>
      <x:c r="AY23" s="60" t="n">
        <x:f>ROUND(AVERAGE(AA23,AI23,AQ23),1)</x:f>
        <x:v>84</x:v>
      </x:c>
      <x:c r="AZ23" s="60" t="n">
        <x:f>ROUND(AVERAGE(AB23,AJ23,AR23),1)</x:f>
        <x:v>13</x:v>
      </x:c>
      <x:c r="BA23" s="59" t="n">
        <x:v>5</x:v>
      </x:c>
      <x:c r="BB23" s="60" t="n">
        <x:f>ROUND(0.30*AT23+0.20*AU23+0.25*AV23+0.15*AW23+0.10*AY23,2)</x:f>
        <x:v>92.08</x:v>
      </x:c>
      <x:c r="BC23" s="60" t="n">
        <x:f>ROUND(0.30*AX23+0.20*AV23+0.20*AU23+0.15*AY23+0.15*(100-AZ23),2)</x:f>
        <x:v>91.15</x:v>
      </x:c>
      <x:c r="BD23" s="60" t="n">
        <x:f>ROUND(AVERAGE(BB23,BC23),2)</x:f>
        <x:v>91.62</x:v>
      </x:c>
      <x:c r="BE23" s="60" t="n">
        <x:f>ROUND(BD23-U23,2)</x:f>
        <x:v>0.02</x:v>
      </x:c>
      <x:c r="BF23" s="60" t="n">
        <x:f>ROUND(STDEV.P(AC23,AK23,AS23),3)</x:f>
        <x:v>0.012</x:v>
      </x:c>
      <x:c r="BG23" s="59" t="str">
        <x:v>Top100</x:v>
      </x:c>
      <x:c r="BH23" s="59" t="str">
        <x:v>Top50三轮复核</x:v>
      </x:c>
      <x:c r="BI23" s="40" t="str">
        <x:v>三轮复核后与原表基本一致</x:v>
      </x:c>
    </x:row>
    <x:row r="24" ht="30" customHeight="1">
      <x:c r="A24" s="59" t="n">
        <x:v>23</x:v>
      </x:c>
      <x:c r="B24" s="59" t="n">
        <x:v>23</x:v>
      </x:c>
      <x:c r="C24" s="59" t="str">
        <x:v>2026-05</x:v>
      </x:c>
      <x:c r="D24" s="59" t="n">
        <x:v>14</x:v>
      </x:c>
      <x:c r="E24" s="59" t="str">
        <x:v>2605.24392</x:v>
      </x:c>
      <x:c r="F24" s="40" t="str">
        <x:v>Hydrodynamic Limit of the Boltzmann Equation toward Generic Riemann Solutions with Shocks</x:v>
      </x:c>
      <x:c r="G24" s="40" t="str">
        <x:v>Mingi Choe; Moon-jin Kang; Chanwoo Kim</x:v>
      </x:c>
      <x:c r="H24" s="40" t="str">
        <x:v>Kinetic theory / hydrodynamic limits</x:v>
      </x:c>
      <x:c r="I24" s="59"/>
      <x:c r="J24" s="40" t="str">
        <x:v>https://arxiv.org/abs/2605.24392</x:v>
      </x:c>
      <x:c r="K24" s="60" t="n">
        <x:v>94</x:v>
      </x:c>
      <x:c r="L24" s="60" t="n">
        <x:v>91</x:v>
      </x:c>
      <x:c r="M24" s="60" t="n">
        <x:v>94</x:v>
      </x:c>
      <x:c r="N24" s="60" t="n">
        <x:v>88</x:v>
      </x:c>
      <x:c r="O24" s="60" t="n">
        <x:v>94</x:v>
      </x:c>
      <x:c r="P24" s="60" t="n">
        <x:v>85</x:v>
      </x:c>
      <x:c r="Q24" s="60" t="n">
        <x:v>12</x:v>
      </x:c>
      <x:c r="R24" s="59" t="n">
        <x:v>5</x:v>
      </x:c>
      <x:c r="S24" s="60" t="n">
        <x:v>91.6</x:v>
      </x:c>
      <x:c r="T24" s="60" t="n">
        <x:v>91.2</x:v>
      </x:c>
      <x:c r="U24" s="60" t="n">
        <x:v>91.4</x:v>
      </x:c>
      <x:c r="V24" s="60" t="n">
        <x:v>94.3</x:v>
      </x:c>
      <x:c r="W24" s="60" t="n">
        <x:v>91.1</x:v>
      </x:c>
      <x:c r="X24" s="60" t="n">
        <x:v>94.3</x:v>
      </x:c>
      <x:c r="Y24" s="60" t="n">
        <x:v>88.3</x:v>
      </x:c>
      <x:c r="Z24" s="60" t="n">
        <x:v>94.2</x:v>
      </x:c>
      <x:c r="AA24" s="60" t="n">
        <x:v>85</x:v>
      </x:c>
      <x:c r="AB24" s="60" t="n">
        <x:v>12</x:v>
      </x:c>
      <x:c r="AC24" s="60" t="n">
        <x:f>ROUND(((0.30*V24+0.20*W24+0.25*X24+0.15*Y24+0.10*AA24)+(0.30*Z24+0.20*X24+0.20*W24+0.15*AA24+0.15*(100-AB24)))/2,2)</x:f>
        <x:v>91.56</x:v>
      </x:c>
      <x:c r="AD24" s="60" t="n">
        <x:v>94.2</x:v>
      </x:c>
      <x:c r="AE24" s="60" t="n">
        <x:v>91.1</x:v>
      </x:c>
      <x:c r="AF24" s="60" t="n">
        <x:v>94.2</x:v>
      </x:c>
      <x:c r="AG24" s="60" t="n">
        <x:v>88.3</x:v>
      </x:c>
      <x:c r="AH24" s="60" t="n">
        <x:v>94.2</x:v>
      </x:c>
      <x:c r="AI24" s="60" t="n">
        <x:v>85</x:v>
      </x:c>
      <x:c r="AJ24" s="60" t="n">
        <x:v>12</x:v>
      </x:c>
      <x:c r="AK24" s="60" t="n">
        <x:f>ROUND(((0.30*AD24+0.20*AE24+0.25*AF24+0.15*AG24+0.10*AI24)+(0.30*AH24+0.20*AF24+0.20*AE24+0.15*AI24+0.15*(100-AJ24)))/2,2)</x:f>
        <x:v>91.52</x:v>
      </x:c>
      <x:c r="AL24" s="60" t="n">
        <x:v>94.3</x:v>
      </x:c>
      <x:c r="AM24" s="60" t="n">
        <x:v>91.1</x:v>
      </x:c>
      <x:c r="AN24" s="60" t="n">
        <x:v>94.3</x:v>
      </x:c>
      <x:c r="AO24" s="60" t="n">
        <x:v>88.3</x:v>
      </x:c>
      <x:c r="AP24" s="60" t="n">
        <x:v>94.2</x:v>
      </x:c>
      <x:c r="AQ24" s="60" t="n">
        <x:v>85</x:v>
      </x:c>
      <x:c r="AR24" s="60" t="n">
        <x:v>12</x:v>
      </x:c>
      <x:c r="AS24" s="60" t="n">
        <x:f>ROUND(((0.30*AL24+0.20*AM24+0.25*AN24+0.15*AO24+0.10*AQ24)+(0.30*AP24+0.20*AN24+0.20*AM24+0.15*AQ24+0.15*(100-AR24)))/2,2)</x:f>
        <x:v>91.56</x:v>
      </x:c>
      <x:c r="AT24" s="60" t="n">
        <x:f>ROUND(AVERAGE(V24,AD24,AL24),1)</x:f>
        <x:v>94.3</x:v>
      </x:c>
      <x:c r="AU24" s="60" t="n">
        <x:f>ROUND(AVERAGE(W24,AE24,AM24),1)</x:f>
        <x:v>91.1</x:v>
      </x:c>
      <x:c r="AV24" s="60" t="n">
        <x:f>ROUND(AVERAGE(X24,AF24,AN24),1)</x:f>
        <x:v>94.3</x:v>
      </x:c>
      <x:c r="AW24" s="60" t="n">
        <x:f>ROUND(AVERAGE(Y24,AG24,AO24),1)</x:f>
        <x:v>88.3</x:v>
      </x:c>
      <x:c r="AX24" s="60" t="n">
        <x:f>ROUND(AVERAGE(Z24,AH24,AP24),1)</x:f>
        <x:v>94.2</x:v>
      </x:c>
      <x:c r="AY24" s="60" t="n">
        <x:f>ROUND(AVERAGE(AA24,AI24,AQ24),1)</x:f>
        <x:v>85</x:v>
      </x:c>
      <x:c r="AZ24" s="60" t="n">
        <x:f>ROUND(AVERAGE(AB24,AJ24,AR24),1)</x:f>
        <x:v>12</x:v>
      </x:c>
      <x:c r="BA24" s="59" t="n">
        <x:v>5</x:v>
      </x:c>
      <x:c r="BB24" s="60" t="n">
        <x:f>ROUND(0.30*AT24+0.20*AU24+0.25*AV24+0.15*AW24+0.10*AY24,2)</x:f>
        <x:v>91.83</x:v>
      </x:c>
      <x:c r="BC24" s="60" t="n">
        <x:f>ROUND(0.30*AX24+0.20*AV24+0.20*AU24+0.15*AY24+0.15*(100-AZ24),2)</x:f>
        <x:v>91.29</x:v>
      </x:c>
      <x:c r="BD24" s="60" t="n">
        <x:f>ROUND(AVERAGE(BB24,BC24),2)</x:f>
        <x:v>91.56</x:v>
      </x:c>
      <x:c r="BE24" s="60" t="n">
        <x:f>ROUND(BD24-U24,2)</x:f>
        <x:v>0.16</x:v>
      </x:c>
      <x:c r="BF24" s="60" t="n">
        <x:f>ROUND(STDEV.P(AC24,AK24,AS24),3)</x:f>
        <x:v>0.019</x:v>
      </x:c>
      <x:c r="BG24" s="59" t="str">
        <x:v>Top100</x:v>
      </x:c>
      <x:c r="BH24" s="59" t="str">
        <x:v>Top50三轮复核</x:v>
      </x:c>
      <x:c r="BI24" s="40" t="str">
        <x:v>带激波Riemann解的Boltzmann流体极限，广度和技术性上调。</x:v>
      </x:c>
    </x:row>
    <x:row r="25" ht="30" customHeight="1">
      <x:c r="A25" s="59" t="n">
        <x:v>24</x:v>
      </x:c>
      <x:c r="B25" s="59" t="n">
        <x:v>25</x:v>
      </x:c>
      <x:c r="C25" s="59" t="str">
        <x:v>2026-05</x:v>
      </x:c>
      <x:c r="D25" s="59" t="n">
        <x:v>15</x:v>
      </x:c>
      <x:c r="E25" s="59" t="str">
        <x:v>2605.24214</x:v>
      </x:c>
      <x:c r="F25" s="40" t="str">
        <x:v>Variational formulation of hyperbolic conservation laws</x:v>
      </x:c>
      <x:c r="G25" s="40" t="str">
        <x:v>Eitan Tadmor</x:v>
      </x:c>
      <x:c r="H25" s="40" t="str">
        <x:v>Conservation laws</x:v>
      </x:c>
      <x:c r="I25" s="59"/>
      <x:c r="J25" s="40" t="str">
        <x:v>https://arxiv.org/abs/2605.24214</x:v>
      </x:c>
      <x:c r="K25" s="60" t="n">
        <x:v>94</x:v>
      </x:c>
      <x:c r="L25" s="60" t="n">
        <x:v>93</x:v>
      </x:c>
      <x:c r="M25" s="60" t="n">
        <x:v>91</x:v>
      </x:c>
      <x:c r="N25" s="60" t="n">
        <x:v>91</x:v>
      </x:c>
      <x:c r="O25" s="60" t="n">
        <x:v>91</x:v>
      </x:c>
      <x:c r="P25" s="60" t="n">
        <x:v>88</x:v>
      </x:c>
      <x:c r="Q25" s="60" t="n">
        <x:v>12</x:v>
      </x:c>
      <x:c r="R25" s="59" t="n">
        <x:v>5</x:v>
      </x:c>
      <x:c r="S25" s="60" t="n">
        <x:v>92</x:v>
      </x:c>
      <x:c r="T25" s="60" t="n">
        <x:v>90.5</x:v>
      </x:c>
      <x:c r="U25" s="60" t="n">
        <x:v>91.3</x:v>
      </x:c>
      <x:c r="V25" s="60" t="n">
        <x:v>94.3</x:v>
      </x:c>
      <x:c r="W25" s="60" t="n">
        <x:v>93.5</x:v>
      </x:c>
      <x:c r="X25" s="60" t="n">
        <x:v>90.9</x:v>
      </x:c>
      <x:c r="Y25" s="60" t="n">
        <x:v>91.5</x:v>
      </x:c>
      <x:c r="Z25" s="60" t="n">
        <x:v>91.2</x:v>
      </x:c>
      <x:c r="AA25" s="60" t="n">
        <x:v>88</x:v>
      </x:c>
      <x:c r="AB25" s="60" t="n">
        <x:v>12</x:v>
      </x:c>
      <x:c r="AC25" s="60" t="n">
        <x:f>ROUND(((0.30*V25+0.20*W25+0.25*X25+0.15*Y25+0.10*AA25)+(0.30*Z25+0.20*X25+0.20*W25+0.15*AA25+0.15*(100-AB25)))/2,2)</x:f>
        <x:v>91.44</x:v>
      </x:c>
      <x:c r="AD25" s="60" t="n">
        <x:v>94.2</x:v>
      </x:c>
      <x:c r="AE25" s="60" t="n">
        <x:v>93.3</x:v>
      </x:c>
      <x:c r="AF25" s="60" t="n">
        <x:v>90.9</x:v>
      </x:c>
      <x:c r="AG25" s="60" t="n">
        <x:v>91.4</x:v>
      </x:c>
      <x:c r="AH25" s="60" t="n">
        <x:v>91.2</x:v>
      </x:c>
      <x:c r="AI25" s="60" t="n">
        <x:v>88</x:v>
      </x:c>
      <x:c r="AJ25" s="60" t="n">
        <x:v>12</x:v>
      </x:c>
      <x:c r="AK25" s="60" t="n">
        <x:f>ROUND(((0.30*AD25+0.20*AE25+0.25*AF25+0.15*AG25+0.10*AI25)+(0.30*AH25+0.20*AF25+0.20*AE25+0.15*AI25+0.15*(100-AJ25)))/2,2)</x:f>
        <x:v>91.38</x:v>
      </x:c>
      <x:c r="AL25" s="60" t="n">
        <x:v>94.3</x:v>
      </x:c>
      <x:c r="AM25" s="60" t="n">
        <x:v>93.4</x:v>
      </x:c>
      <x:c r="AN25" s="60" t="n">
        <x:v>90.9</x:v>
      </x:c>
      <x:c r="AO25" s="60" t="n">
        <x:v>91.4</x:v>
      </x:c>
      <x:c r="AP25" s="60" t="n">
        <x:v>91.2</x:v>
      </x:c>
      <x:c r="AQ25" s="60" t="n">
        <x:v>88</x:v>
      </x:c>
      <x:c r="AR25" s="60" t="n">
        <x:v>12</x:v>
      </x:c>
      <x:c r="AS25" s="60" t="n">
        <x:f>ROUND(((0.30*AL25+0.20*AM25+0.25*AN25+0.15*AO25+0.10*AQ25)+(0.30*AP25+0.20*AN25+0.20*AM25+0.15*AQ25+0.15*(100-AR25)))/2,2)</x:f>
        <x:v>91.41</x:v>
      </x:c>
      <x:c r="AT25" s="60" t="n">
        <x:f>ROUND(AVERAGE(V25,AD25,AL25),1)</x:f>
        <x:v>94.3</x:v>
      </x:c>
      <x:c r="AU25" s="60" t="n">
        <x:f>ROUND(AVERAGE(W25,AE25,AM25),1)</x:f>
        <x:v>93.4</x:v>
      </x:c>
      <x:c r="AV25" s="60" t="n">
        <x:f>ROUND(AVERAGE(X25,AF25,AN25),1)</x:f>
        <x:v>90.9</x:v>
      </x:c>
      <x:c r="AW25" s="60" t="n">
        <x:f>ROUND(AVERAGE(Y25,AG25,AO25),1)</x:f>
        <x:v>91.4</x:v>
      </x:c>
      <x:c r="AX25" s="60" t="n">
        <x:f>ROUND(AVERAGE(Z25,AH25,AP25),1)</x:f>
        <x:v>91.2</x:v>
      </x:c>
      <x:c r="AY25" s="60" t="n">
        <x:f>ROUND(AVERAGE(AA25,AI25,AQ25),1)</x:f>
        <x:v>88</x:v>
      </x:c>
      <x:c r="AZ25" s="60" t="n">
        <x:f>ROUND(AVERAGE(AB25,AJ25,AR25),1)</x:f>
        <x:v>12</x:v>
      </x:c>
      <x:c r="BA25" s="59" t="n">
        <x:v>5</x:v>
      </x:c>
      <x:c r="BB25" s="60" t="n">
        <x:f>ROUND(0.30*AT25+0.20*AU25+0.25*AV25+0.15*AW25+0.10*AY25,2)</x:f>
        <x:v>92.21</x:v>
      </x:c>
      <x:c r="BC25" s="60" t="n">
        <x:f>ROUND(0.30*AX25+0.20*AV25+0.20*AU25+0.15*AY25+0.15*(100-AZ25),2)</x:f>
        <x:v>90.62</x:v>
      </x:c>
      <x:c r="BD25" s="60" t="n">
        <x:f>ROUND(AVERAGE(BB25,BC25),2)</x:f>
        <x:v>91.42</x:v>
      </x:c>
      <x:c r="BE25" s="60" t="n">
        <x:f>ROUND(BD25-U25,2)</x:f>
        <x:v>0.12</x:v>
      </x:c>
      <x:c r="BF25" s="60" t="n">
        <x:f>ROUND(STDEV.P(AC25,AK25,AS25),3)</x:f>
        <x:v>0.024</x:v>
      </x:c>
      <x:c r="BG25" s="59" t="str">
        <x:v>Top100</x:v>
      </x:c>
      <x:c r="BH25" s="59" t="str">
        <x:v>Top50三轮复核</x:v>
      </x:c>
      <x:c r="BI25" s="40" t="str">
        <x:v>概念性变分框架广度上调，证明深度轻微回调。</x:v>
      </x:c>
    </x:row>
    <x:row r="26" ht="30" customHeight="1">
      <x:c r="A26" s="59" t="n">
        <x:v>25</x:v>
      </x:c>
      <x:c r="B26" s="59" t="n">
        <x:v>24</x:v>
      </x:c>
      <x:c r="C26" s="59" t="str">
        <x:v>2026-06</x:v>
      </x:c>
      <x:c r="D26" s="59" t="n">
        <x:v>10</x:v>
      </x:c>
      <x:c r="E26" s="59" t="str">
        <x:v>2606.05098</x:v>
      </x:c>
      <x:c r="F26" s="40" t="str">
        <x:v>Quantitative Homogenization Theory for Lame-Stokes Coupled Systems</x:v>
      </x:c>
      <x:c r="G26" s="40" t="str">
        <x:v>Beichen Wang</x:v>
      </x:c>
      <x:c r="H26" s="40" t="str">
        <x:v>homogenization</x:v>
      </x:c>
      <x:c r="I26" s="59" t="n">
        <x:v>92</x:v>
      </x:c>
      <x:c r="J26" s="40" t="str">
        <x:v>https://arxiv.org/abs/2606.05098</x:v>
      </x:c>
      <x:c r="K26" s="60" t="n">
        <x:v>93</x:v>
      </x:c>
      <x:c r="L26" s="60" t="n">
        <x:v>90</x:v>
      </x:c>
      <x:c r="M26" s="60" t="n">
        <x:v>94</x:v>
      </x:c>
      <x:c r="N26" s="60" t="n">
        <x:v>90</x:v>
      </x:c>
      <x:c r="O26" s="60" t="n">
        <x:v>93</x:v>
      </x:c>
      <x:c r="P26" s="60" t="n">
        <x:v>87</x:v>
      </x:c>
      <x:c r="Q26" s="60" t="n">
        <x:v>11</x:v>
      </x:c>
      <x:c r="R26" s="59" t="n">
        <x:v>4</x:v>
      </x:c>
      <x:c r="S26" s="60" t="n">
        <x:v>91.60000000000001</x:v>
      </x:c>
      <x:c r="T26" s="60" t="n">
        <x:v>91.1</x:v>
      </x:c>
      <x:c r="U26" s="60" t="n">
        <x:v>91.35</x:v>
      </x:c>
      <x:c r="V26" s="60" t="n">
        <x:v>93</x:v>
      </x:c>
      <x:c r="W26" s="60" t="n">
        <x:v>90.2</x:v>
      </x:c>
      <x:c r="X26" s="60" t="n">
        <x:v>94</x:v>
      </x:c>
      <x:c r="Y26" s="60" t="n">
        <x:v>90.2</x:v>
      </x:c>
      <x:c r="Z26" s="60" t="n">
        <x:v>93.1</x:v>
      </x:c>
      <x:c r="AA26" s="60" t="n">
        <x:v>87</x:v>
      </x:c>
      <x:c r="AB26" s="60" t="n">
        <x:v>11</x:v>
      </x:c>
      <x:c r="AC26" s="60" t="n">
        <x:f>ROUND(((0.30*V26+0.20*W26+0.25*X26+0.15*Y26+0.10*AA26)+(0.30*Z26+0.20*X26+0.20*W26+0.15*AA26+0.15*(100-AB26)))/2,2)</x:f>
        <x:v>91.42</x:v>
      </x:c>
      <x:c r="AD26" s="60" t="n">
        <x:v>93</x:v>
      </x:c>
      <x:c r="AE26" s="60" t="n">
        <x:v>90.1</x:v>
      </x:c>
      <x:c r="AF26" s="60" t="n">
        <x:v>94</x:v>
      </x:c>
      <x:c r="AG26" s="60" t="n">
        <x:v>90.2</x:v>
      </x:c>
      <x:c r="AH26" s="60" t="n">
        <x:v>93.1</x:v>
      </x:c>
      <x:c r="AI26" s="60" t="n">
        <x:v>87</x:v>
      </x:c>
      <x:c r="AJ26" s="60" t="n">
        <x:v>11</x:v>
      </x:c>
      <x:c r="AK26" s="60" t="n">
        <x:f>ROUND(((0.30*AD26+0.20*AE26+0.25*AF26+0.15*AG26+0.10*AI26)+(0.30*AH26+0.20*AF26+0.20*AE26+0.15*AI26+0.15*(100-AJ26)))/2,2)</x:f>
        <x:v>91.4</x:v>
      </x:c>
      <x:c r="AL26" s="60" t="n">
        <x:v>93</x:v>
      </x:c>
      <x:c r="AM26" s="60" t="n">
        <x:v>90.1</x:v>
      </x:c>
      <x:c r="AN26" s="60" t="n">
        <x:v>94</x:v>
      </x:c>
      <x:c r="AO26" s="60" t="n">
        <x:v>90.2</x:v>
      </x:c>
      <x:c r="AP26" s="60" t="n">
        <x:v>93.1</x:v>
      </x:c>
      <x:c r="AQ26" s="60" t="n">
        <x:v>87</x:v>
      </x:c>
      <x:c r="AR26" s="60" t="n">
        <x:v>11</x:v>
      </x:c>
      <x:c r="AS26" s="60" t="n">
        <x:f>ROUND(((0.30*AL26+0.20*AM26+0.25*AN26+0.15*AO26+0.10*AQ26)+(0.30*AP26+0.20*AN26+0.20*AM26+0.15*AQ26+0.15*(100-AR26)))/2,2)</x:f>
        <x:v>91.4</x:v>
      </x:c>
      <x:c r="AT26" s="60" t="n">
        <x:f>ROUND(AVERAGE(V26,AD26,AL26),1)</x:f>
        <x:v>93</x:v>
      </x:c>
      <x:c r="AU26" s="60" t="n">
        <x:f>ROUND(AVERAGE(W26,AE26,AM26),1)</x:f>
        <x:v>90.1</x:v>
      </x:c>
      <x:c r="AV26" s="60" t="n">
        <x:f>ROUND(AVERAGE(X26,AF26,AN26),1)</x:f>
        <x:v>94</x:v>
      </x:c>
      <x:c r="AW26" s="60" t="n">
        <x:f>ROUND(AVERAGE(Y26,AG26,AO26),1)</x:f>
        <x:v>90.2</x:v>
      </x:c>
      <x:c r="AX26" s="60" t="n">
        <x:f>ROUND(AVERAGE(Z26,AH26,AP26),1)</x:f>
        <x:v>93.1</x:v>
      </x:c>
      <x:c r="AY26" s="60" t="n">
        <x:f>ROUND(AVERAGE(AA26,AI26,AQ26),1)</x:f>
        <x:v>87</x:v>
      </x:c>
      <x:c r="AZ26" s="60" t="n">
        <x:f>ROUND(AVERAGE(AB26,AJ26,AR26),1)</x:f>
        <x:v>11</x:v>
      </x:c>
      <x:c r="BA26" s="59" t="n">
        <x:v>4</x:v>
      </x:c>
      <x:c r="BB26" s="60" t="n">
        <x:f>ROUND(0.30*AT26+0.20*AU26+0.25*AV26+0.15*AW26+0.10*AY26,2)</x:f>
        <x:v>91.65</x:v>
      </x:c>
      <x:c r="BC26" s="60" t="n">
        <x:f>ROUND(0.30*AX26+0.20*AV26+0.20*AU26+0.15*AY26+0.15*(100-AZ26),2)</x:f>
        <x:v>91.15</x:v>
      </x:c>
      <x:c r="BD26" s="60" t="n">
        <x:f>ROUND(AVERAGE(BB26,BC26),2)</x:f>
        <x:v>91.4</x:v>
      </x:c>
      <x:c r="BE26" s="60" t="n">
        <x:f>ROUND(BD26-U26,2)</x:f>
        <x:v>0.05</x:v>
      </x:c>
      <x:c r="BF26" s="60" t="n">
        <x:f>ROUND(STDEV.P(AC26,AK26,AS26),3)</x:f>
        <x:v>0.009</x:v>
      </x:c>
      <x:c r="BG26" s="59" t="str">
        <x:v>Top100</x:v>
      </x:c>
      <x:c r="BH26" s="59" t="str">
        <x:v>Top50三轮复核</x:v>
      </x:c>
      <x:c r="BI26" s="40" t="str">
        <x:v>三轮复核后与原表基本一致</x:v>
      </x:c>
    </x:row>
    <x:row r="27" ht="30" customHeight="1">
      <x:c r="A27" s="59" t="n">
        <x:v>26</x:v>
      </x:c>
      <x:c r="B27" s="59" t="n">
        <x:v>26</x:v>
      </x:c>
      <x:c r="C27" s="59" t="str">
        <x:v>2026-06</x:v>
      </x:c>
      <x:c r="D27" s="59" t="n">
        <x:v>11</x:v>
      </x:c>
      <x:c r="E27" s="59" t="str">
        <x:v>2606.09614</x:v>
      </x:c>
      <x:c r="F27" s="40" t="str">
        <x:v>The L^p Neumann problem for parabolic operators with coefficients satisfying small Carleson condition</x:v>
      </x:c>
      <x:c r="G27" s="40" t="str">
        <x:v>Martin Dindos; Linhan Li; Jill Pipher</x:v>
      </x:c>
      <x:c r="H27" s="40" t="str">
        <x:v>parabolic boundary value</x:v>
      </x:c>
      <x:c r="I27" s="59" t="n">
        <x:v>100</x:v>
      </x:c>
      <x:c r="J27" s="40" t="str">
        <x:v>https://arxiv.org/abs/2606.09614</x:v>
      </x:c>
      <x:c r="K27" s="60" t="n">
        <x:v>93</x:v>
      </x:c>
      <x:c r="L27" s="60" t="n">
        <x:v>90</x:v>
      </x:c>
      <x:c r="M27" s="60" t="n">
        <x:v>94</x:v>
      </x:c>
      <x:c r="N27" s="60" t="n">
        <x:v>89</x:v>
      </x:c>
      <x:c r="O27" s="60" t="n">
        <x:v>93</x:v>
      </x:c>
      <x:c r="P27" s="60" t="n">
        <x:v>86</x:v>
      </x:c>
      <x:c r="Q27" s="60" t="n">
        <x:v>11</x:v>
      </x:c>
      <x:c r="R27" s="59" t="n">
        <x:v>4</x:v>
      </x:c>
      <x:c r="S27" s="60" t="n">
        <x:v>91.35</x:v>
      </x:c>
      <x:c r="T27" s="60" t="n">
        <x:v>90.95</x:v>
      </x:c>
      <x:c r="U27" s="60" t="n">
        <x:v>91.15</x:v>
      </x:c>
      <x:c r="V27" s="60" t="n">
        <x:v>93</x:v>
      </x:c>
      <x:c r="W27" s="60" t="n">
        <x:v>90</x:v>
      </x:c>
      <x:c r="X27" s="60" t="n">
        <x:v>94.2</x:v>
      </x:c>
      <x:c r="Y27" s="60" t="n">
        <x:v>89</x:v>
      </x:c>
      <x:c r="Z27" s="60" t="n">
        <x:v>93.1</x:v>
      </x:c>
      <x:c r="AA27" s="60" t="n">
        <x:v>86</x:v>
      </x:c>
      <x:c r="AB27" s="60" t="n">
        <x:v>11</x:v>
      </x:c>
      <x:c r="AC27" s="60" t="n">
        <x:f>ROUND(((0.30*V27+0.20*W27+0.25*X27+0.15*Y27+0.10*AA27)+(0.30*Z27+0.20*X27+0.20*W27+0.15*AA27+0.15*(100-AB27)))/2,2)</x:f>
        <x:v>91.21</x:v>
      </x:c>
      <x:c r="AD27" s="60" t="n">
        <x:v>93</x:v>
      </x:c>
      <x:c r="AE27" s="60" t="n">
        <x:v>90</x:v>
      </x:c>
      <x:c r="AF27" s="60" t="n">
        <x:v>94.1</x:v>
      </x:c>
      <x:c r="AG27" s="60" t="n">
        <x:v>89.1</x:v>
      </x:c>
      <x:c r="AH27" s="60" t="n">
        <x:v>93.1</x:v>
      </x:c>
      <x:c r="AI27" s="60" t="n">
        <x:v>86</x:v>
      </x:c>
      <x:c r="AJ27" s="60" t="n">
        <x:v>11</x:v>
      </x:c>
      <x:c r="AK27" s="60" t="n">
        <x:f>ROUND(((0.30*AD27+0.20*AE27+0.25*AF27+0.15*AG27+0.10*AI27)+(0.30*AH27+0.20*AF27+0.20*AE27+0.15*AI27+0.15*(100-AJ27)))/2,2)</x:f>
        <x:v>91.2</x:v>
      </x:c>
      <x:c r="AL27" s="60" t="n">
        <x:v>93</x:v>
      </x:c>
      <x:c r="AM27" s="60" t="n">
        <x:v>90</x:v>
      </x:c>
      <x:c r="AN27" s="60" t="n">
        <x:v>94.1</x:v>
      </x:c>
      <x:c r="AO27" s="60" t="n">
        <x:v>89</x:v>
      </x:c>
      <x:c r="AP27" s="60" t="n">
        <x:v>93.1</x:v>
      </x:c>
      <x:c r="AQ27" s="60" t="n">
        <x:v>86</x:v>
      </x:c>
      <x:c r="AR27" s="60" t="n">
        <x:v>11</x:v>
      </x:c>
      <x:c r="AS27" s="60" t="n">
        <x:f>ROUND(((0.30*AL27+0.20*AM27+0.25*AN27+0.15*AO27+0.10*AQ27)+(0.30*AP27+0.20*AN27+0.20*AM27+0.15*AQ27+0.15*(100-AR27)))/2,2)</x:f>
        <x:v>91.19</x:v>
      </x:c>
      <x:c r="AT27" s="60" t="n">
        <x:f>ROUND(AVERAGE(V27,AD27,AL27),1)</x:f>
        <x:v>93</x:v>
      </x:c>
      <x:c r="AU27" s="60" t="n">
        <x:f>ROUND(AVERAGE(W27,AE27,AM27),1)</x:f>
        <x:v>90</x:v>
      </x:c>
      <x:c r="AV27" s="60" t="n">
        <x:f>ROUND(AVERAGE(X27,AF27,AN27),1)</x:f>
        <x:v>94.1</x:v>
      </x:c>
      <x:c r="AW27" s="60" t="n">
        <x:f>ROUND(AVERAGE(Y27,AG27,AO27),1)</x:f>
        <x:v>89</x:v>
      </x:c>
      <x:c r="AX27" s="60" t="n">
        <x:f>ROUND(AVERAGE(Z27,AH27,AP27),1)</x:f>
        <x:v>93.1</x:v>
      </x:c>
      <x:c r="AY27" s="60" t="n">
        <x:f>ROUND(AVERAGE(AA27,AI27,AQ27),1)</x:f>
        <x:v>86</x:v>
      </x:c>
      <x:c r="AZ27" s="60" t="n">
        <x:f>ROUND(AVERAGE(AB27,AJ27,AR27),1)</x:f>
        <x:v>11</x:v>
      </x:c>
      <x:c r="BA27" s="59" t="n">
        <x:v>4</x:v>
      </x:c>
      <x:c r="BB27" s="60" t="n">
        <x:f>ROUND(0.30*AT27+0.20*AU27+0.25*AV27+0.15*AW27+0.10*AY27,2)</x:f>
        <x:v>91.37</x:v>
      </x:c>
      <x:c r="BC27" s="60" t="n">
        <x:f>ROUND(0.30*AX27+0.20*AV27+0.20*AU27+0.15*AY27+0.15*(100-AZ27),2)</x:f>
        <x:v>91</x:v>
      </x:c>
      <x:c r="BD27" s="60" t="n">
        <x:f>ROUND(AVERAGE(BB27,BC27),2)</x:f>
        <x:v>91.19</x:v>
      </x:c>
      <x:c r="BE27" s="60" t="n">
        <x:f>ROUND(BD27-U27,2)</x:f>
        <x:v>0.04</x:v>
      </x:c>
      <x:c r="BF27" s="60" t="n">
        <x:f>ROUND(STDEV.P(AC27,AK27,AS27),3)</x:f>
        <x:v>0.008</x:v>
      </x:c>
      <x:c r="BG27" s="59" t="str">
        <x:v>Top100</x:v>
      </x:c>
      <x:c r="BH27" s="59" t="str">
        <x:v>Top50三轮复核</x:v>
      </x:c>
      <x:c r="BI27" s="40" t="str">
        <x:v>三轮复核后与原表基本一致</x:v>
      </x:c>
    </x:row>
    <x:row r="28" ht="30" customHeight="1">
      <x:c r="A28" s="59" t="n">
        <x:v>27</x:v>
      </x:c>
      <x:c r="B28" s="59" t="n">
        <x:v>27</x:v>
      </x:c>
      <x:c r="C28" s="59" t="str">
        <x:v>2026-06</x:v>
      </x:c>
      <x:c r="D28" s="59" t="n">
        <x:v>12</x:v>
      </x:c>
      <x:c r="E28" s="59" t="str">
        <x:v>2606.28211</x:v>
      </x:c>
      <x:c r="F28" s="40" t="str">
        <x:v>A regularity theorem for stationary measures</x:v>
      </x:c>
      <x:c r="G28" s="40" t="str">
        <x:v>Luigi Ambrosio; Giovanni Siclari</x:v>
      </x:c>
      <x:c r="H28" s="40" t="str">
        <x:v>measure/PDE regularity</x:v>
      </x:c>
      <x:c r="I28" s="59"/>
      <x:c r="J28" s="40" t="str">
        <x:v>https://arxiv.org/abs/2606.28211</x:v>
      </x:c>
      <x:c r="K28" s="60" t="n">
        <x:v>93</x:v>
      </x:c>
      <x:c r="L28" s="60" t="n">
        <x:v>91</x:v>
      </x:c>
      <x:c r="M28" s="60" t="n">
        <x:v>93</x:v>
      </x:c>
      <x:c r="N28" s="60" t="n">
        <x:v>89</x:v>
      </x:c>
      <x:c r="O28" s="60" t="n">
        <x:v>93</x:v>
      </x:c>
      <x:c r="P28" s="60" t="n">
        <x:v>86</x:v>
      </x:c>
      <x:c r="Q28" s="60" t="n">
        <x:v>11</x:v>
      </x:c>
      <x:c r="R28" s="59" t="n">
        <x:v>4</x:v>
      </x:c>
      <x:c r="S28" s="60" t="n">
        <x:v>91.29999999999998</x:v>
      </x:c>
      <x:c r="T28" s="60" t="n">
        <x:v>90.95</x:v>
      </x:c>
      <x:c r="U28" s="60" t="n">
        <x:v>91.125</x:v>
      </x:c>
      <x:c r="V28" s="60" t="n">
        <x:v>92.9</x:v>
      </x:c>
      <x:c r="W28" s="60" t="n">
        <x:v>91.2</x:v>
      </x:c>
      <x:c r="X28" s="60" t="n">
        <x:v>93</x:v>
      </x:c>
      <x:c r="Y28" s="60" t="n">
        <x:v>89</x:v>
      </x:c>
      <x:c r="Z28" s="60" t="n">
        <x:v>93.1</x:v>
      </x:c>
      <x:c r="AA28" s="60" t="n">
        <x:v>86</x:v>
      </x:c>
      <x:c r="AB28" s="60" t="n">
        <x:v>11</x:v>
      </x:c>
      <x:c r="AC28" s="60" t="n">
        <x:f>ROUND(((0.30*V28+0.20*W28+0.25*X28+0.15*Y28+0.10*AA28)+(0.30*Z28+0.20*X28+0.20*W28+0.15*AA28+0.15*(100-AB28)))/2,2)</x:f>
        <x:v>91.17</x:v>
      </x:c>
      <x:c r="AD28" s="60" t="n">
        <x:v>92.9</x:v>
      </x:c>
      <x:c r="AE28" s="60" t="n">
        <x:v>91.1</x:v>
      </x:c>
      <x:c r="AF28" s="60" t="n">
        <x:v>93</x:v>
      </x:c>
      <x:c r="AG28" s="60" t="n">
        <x:v>89.1</x:v>
      </x:c>
      <x:c r="AH28" s="60" t="n">
        <x:v>93.1</x:v>
      </x:c>
      <x:c r="AI28" s="60" t="n">
        <x:v>86</x:v>
      </x:c>
      <x:c r="AJ28" s="60" t="n">
        <x:v>11</x:v>
      </x:c>
      <x:c r="AK28" s="60" t="n">
        <x:f>ROUND(((0.30*AD28+0.20*AE28+0.25*AF28+0.15*AG28+0.10*AI28)+(0.30*AH28+0.20*AF28+0.20*AE28+0.15*AI28+0.15*(100-AJ28)))/2,2)</x:f>
        <x:v>91.15</x:v>
      </x:c>
      <x:c r="AL28" s="60" t="n">
        <x:v>92.9</x:v>
      </x:c>
      <x:c r="AM28" s="60" t="n">
        <x:v>91.1</x:v>
      </x:c>
      <x:c r="AN28" s="60" t="n">
        <x:v>93</x:v>
      </x:c>
      <x:c r="AO28" s="60" t="n">
        <x:v>89</x:v>
      </x:c>
      <x:c r="AP28" s="60" t="n">
        <x:v>93.1</x:v>
      </x:c>
      <x:c r="AQ28" s="60" t="n">
        <x:v>86</x:v>
      </x:c>
      <x:c r="AR28" s="60" t="n">
        <x:v>11</x:v>
      </x:c>
      <x:c r="AS28" s="60" t="n">
        <x:f>ROUND(((0.30*AL28+0.20*AM28+0.25*AN28+0.15*AO28+0.10*AQ28)+(0.30*AP28+0.20*AN28+0.20*AM28+0.15*AQ28+0.15*(100-AR28)))/2,2)</x:f>
        <x:v>91.15</x:v>
      </x:c>
      <x:c r="AT28" s="60" t="n">
        <x:f>ROUND(AVERAGE(V28,AD28,AL28),1)</x:f>
        <x:v>92.9</x:v>
      </x:c>
      <x:c r="AU28" s="60" t="n">
        <x:f>ROUND(AVERAGE(W28,AE28,AM28),1)</x:f>
        <x:v>91.1</x:v>
      </x:c>
      <x:c r="AV28" s="60" t="n">
        <x:f>ROUND(AVERAGE(X28,AF28,AN28),1)</x:f>
        <x:v>93</x:v>
      </x:c>
      <x:c r="AW28" s="60" t="n">
        <x:f>ROUND(AVERAGE(Y28,AG28,AO28),1)</x:f>
        <x:v>89</x:v>
      </x:c>
      <x:c r="AX28" s="60" t="n">
        <x:f>ROUND(AVERAGE(Z28,AH28,AP28),1)</x:f>
        <x:v>93.1</x:v>
      </x:c>
      <x:c r="AY28" s="60" t="n">
        <x:f>ROUND(AVERAGE(AA28,AI28,AQ28),1)</x:f>
        <x:v>86</x:v>
      </x:c>
      <x:c r="AZ28" s="60" t="n">
        <x:f>ROUND(AVERAGE(AB28,AJ28,AR28),1)</x:f>
        <x:v>11</x:v>
      </x:c>
      <x:c r="BA28" s="59" t="n">
        <x:v>4</x:v>
      </x:c>
      <x:c r="BB28" s="60" t="n">
        <x:f>ROUND(0.30*AT28+0.20*AU28+0.25*AV28+0.15*AW28+0.10*AY28,2)</x:f>
        <x:v>91.29</x:v>
      </x:c>
      <x:c r="BC28" s="60" t="n">
        <x:f>ROUND(0.30*AX28+0.20*AV28+0.20*AU28+0.15*AY28+0.15*(100-AZ28),2)</x:f>
        <x:v>91</x:v>
      </x:c>
      <x:c r="BD28" s="60" t="n">
        <x:f>ROUND(AVERAGE(BB28,BC28),2)</x:f>
        <x:v>91.15</x:v>
      </x:c>
      <x:c r="BE28" s="60" t="n">
        <x:f>ROUND(BD28-U28,2)</x:f>
        <x:v>0.03</x:v>
      </x:c>
      <x:c r="BF28" s="60" t="n">
        <x:f>ROUND(STDEV.P(AC28,AK28,AS28),3)</x:f>
        <x:v>0.009</x:v>
      </x:c>
      <x:c r="BG28" s="59" t="str">
        <x:v>Top100</x:v>
      </x:c>
      <x:c r="BH28" s="59" t="str">
        <x:v>Top50三轮复核</x:v>
      </x:c>
      <x:c r="BI28" s="40" t="str">
        <x:v>范围偏专门，广度轻微回调</x:v>
      </x:c>
    </x:row>
    <x:row r="29" ht="30" customHeight="1">
      <x:c r="A29" s="59" t="n">
        <x:v>28</x:v>
      </x:c>
      <x:c r="B29" s="59" t="n">
        <x:v>28</x:v>
      </x:c>
      <x:c r="C29" s="59" t="str">
        <x:v>2026-06</x:v>
      </x:c>
      <x:c r="D29" s="59" t="n">
        <x:v>13</x:v>
      </x:c>
      <x:c r="E29" s="59" t="str">
        <x:v>2606.07010</x:v>
      </x:c>
      <x:c r="F29" s="40" t="str">
        <x:v>Gauge transforms, random averaging operator ansatz and improved probabilistic well-posedness for the radial NLS on the 3d ball</x:v>
      </x:c>
      <x:c r="G29" s="40" t="str">
        <x:v>Nicolas Burq; Nicolas Camps; Chenmin Sun; Nikolay Tzvetkov</x:v>
      </x:c>
      <x:c r="H29" s="40" t="str">
        <x:v>probabilistic dispersive PDE</x:v>
      </x:c>
      <x:c r="I29" s="59" t="n">
        <x:v>75</x:v>
      </x:c>
      <x:c r="J29" s="40" t="str">
        <x:v>https://arxiv.org/abs/2606.07010</x:v>
      </x:c>
      <x:c r="K29" s="60" t="n">
        <x:v>93</x:v>
      </x:c>
      <x:c r="L29" s="60" t="n">
        <x:v>92</x:v>
      </x:c>
      <x:c r="M29" s="60" t="n">
        <x:v>93</x:v>
      </x:c>
      <x:c r="N29" s="60" t="n">
        <x:v>88</x:v>
      </x:c>
      <x:c r="O29" s="60" t="n">
        <x:v>93</x:v>
      </x:c>
      <x:c r="P29" s="60" t="n">
        <x:v>85</x:v>
      </x:c>
      <x:c r="Q29" s="60" t="n">
        <x:v>11</x:v>
      </x:c>
      <x:c r="R29" s="59" t="n">
        <x:v>4</x:v>
      </x:c>
      <x:c r="S29" s="60" t="n">
        <x:v>91.25</x:v>
      </x:c>
      <x:c r="T29" s="60" t="n">
        <x:v>91</x:v>
      </x:c>
      <x:c r="U29" s="60" t="n">
        <x:v>91.125</x:v>
      </x:c>
      <x:c r="V29" s="60" t="n">
        <x:v>92.9</x:v>
      </x:c>
      <x:c r="W29" s="60" t="n">
        <x:v>92</x:v>
      </x:c>
      <x:c r="X29" s="60" t="n">
        <x:v>93</x:v>
      </x:c>
      <x:c r="Y29" s="60" t="n">
        <x:v>87.8</x:v>
      </x:c>
      <x:c r="Z29" s="60" t="n">
        <x:v>93</x:v>
      </x:c>
      <x:c r="AA29" s="60" t="n">
        <x:v>85</x:v>
      </x:c>
      <x:c r="AB29" s="60" t="n">
        <x:v>11</x:v>
      </x:c>
      <x:c r="AC29" s="60" t="n">
        <x:f>ROUND(((0.30*V29+0.20*W29+0.25*X29+0.15*Y29+0.10*AA29)+(0.30*Z29+0.20*X29+0.20*W29+0.15*AA29+0.15*(100-AB29)))/2,2)</x:f>
        <x:v>91.1</x:v>
      </x:c>
      <x:c r="AD29" s="60" t="n">
        <x:v>92.9</x:v>
      </x:c>
      <x:c r="AE29" s="60" t="n">
        <x:v>92</x:v>
      </x:c>
      <x:c r="AF29" s="60" t="n">
        <x:v>93</x:v>
      </x:c>
      <x:c r="AG29" s="60" t="n">
        <x:v>87.9</x:v>
      </x:c>
      <x:c r="AH29" s="60" t="n">
        <x:v>93</x:v>
      </x:c>
      <x:c r="AI29" s="60" t="n">
        <x:v>85</x:v>
      </x:c>
      <x:c r="AJ29" s="60" t="n">
        <x:v>11</x:v>
      </x:c>
      <x:c r="AK29" s="60" t="n">
        <x:f>ROUND(((0.30*AD29+0.20*AE29+0.25*AF29+0.15*AG29+0.10*AI29)+(0.30*AH29+0.20*AF29+0.20*AE29+0.15*AI29+0.15*(100-AJ29)))/2,2)</x:f>
        <x:v>91.1</x:v>
      </x:c>
      <x:c r="AL29" s="60" t="n">
        <x:v>92.9</x:v>
      </x:c>
      <x:c r="AM29" s="60" t="n">
        <x:v>92</x:v>
      </x:c>
      <x:c r="AN29" s="60" t="n">
        <x:v>93</x:v>
      </x:c>
      <x:c r="AO29" s="60" t="n">
        <x:v>87.8</x:v>
      </x:c>
      <x:c r="AP29" s="60" t="n">
        <x:v>93</x:v>
      </x:c>
      <x:c r="AQ29" s="60" t="n">
        <x:v>85</x:v>
      </x:c>
      <x:c r="AR29" s="60" t="n">
        <x:v>11</x:v>
      </x:c>
      <x:c r="AS29" s="60" t="n">
        <x:f>ROUND(((0.30*AL29+0.20*AM29+0.25*AN29+0.15*AO29+0.10*AQ29)+(0.30*AP29+0.20*AN29+0.20*AM29+0.15*AQ29+0.15*(100-AR29)))/2,2)</x:f>
        <x:v>91.1</x:v>
      </x:c>
      <x:c r="AT29" s="60" t="n">
        <x:f>ROUND(AVERAGE(V29,AD29,AL29),1)</x:f>
        <x:v>92.9</x:v>
      </x:c>
      <x:c r="AU29" s="60" t="n">
        <x:f>ROUND(AVERAGE(W29,AE29,AM29),1)</x:f>
        <x:v>92</x:v>
      </x:c>
      <x:c r="AV29" s="60" t="n">
        <x:f>ROUND(AVERAGE(X29,AF29,AN29),1)</x:f>
        <x:v>93</x:v>
      </x:c>
      <x:c r="AW29" s="60" t="n">
        <x:f>ROUND(AVERAGE(Y29,AG29,AO29),1)</x:f>
        <x:v>87.8</x:v>
      </x:c>
      <x:c r="AX29" s="60" t="n">
        <x:f>ROUND(AVERAGE(Z29,AH29,AP29),1)</x:f>
        <x:v>93</x:v>
      </x:c>
      <x:c r="AY29" s="60" t="n">
        <x:f>ROUND(AVERAGE(AA29,AI29,AQ29),1)</x:f>
        <x:v>85</x:v>
      </x:c>
      <x:c r="AZ29" s="60" t="n">
        <x:f>ROUND(AVERAGE(AB29,AJ29,AR29),1)</x:f>
        <x:v>11</x:v>
      </x:c>
      <x:c r="BA29" s="59" t="n">
        <x:v>4</x:v>
      </x:c>
      <x:c r="BB29" s="60" t="n">
        <x:f>ROUND(0.30*AT29+0.20*AU29+0.25*AV29+0.15*AW29+0.10*AY29,2)</x:f>
        <x:v>91.19</x:v>
      </x:c>
      <x:c r="BC29" s="60" t="n">
        <x:f>ROUND(0.30*AX29+0.20*AV29+0.20*AU29+0.15*AY29+0.15*(100-AZ29),2)</x:f>
        <x:v>91</x:v>
      </x:c>
      <x:c r="BD29" s="60" t="n">
        <x:f>ROUND(AVERAGE(BB29,BC29),2)</x:f>
        <x:v>91.1</x:v>
      </x:c>
      <x:c r="BE29" s="60" t="n">
        <x:f>ROUND(BD29-U29,2)</x:f>
        <x:v>-0.03</x:v>
      </x:c>
      <x:c r="BF29" s="60" t="n">
        <x:f>ROUND(STDEV.P(AC29,AK29,AS29),3)</x:f>
        <x:v>0</x:v>
      </x:c>
      <x:c r="BG29" s="59" t="str">
        <x:v>Top100</x:v>
      </x:c>
      <x:c r="BH29" s="59" t="str">
        <x:v>Top50三轮复核</x:v>
      </x:c>
      <x:c r="BI29" s="40" t="str">
        <x:v>范围偏专门，广度轻微回调</x:v>
      </x:c>
    </x:row>
    <x:row r="30" ht="30" customHeight="1">
      <x:c r="A30" s="59" t="n">
        <x:v>29</x:v>
      </x:c>
      <x:c r="B30" s="59" t="n">
        <x:v>29</x:v>
      </x:c>
      <x:c r="C30" s="59" t="str">
        <x:v>2026-05</x:v>
      </x:c>
      <x:c r="D30" s="59" t="n">
        <x:v>16</x:v>
      </x:c>
      <x:c r="E30" s="59" t="str">
        <x:v>2605.07913</x:v>
      </x:c>
      <x:c r="F30" s="40" t="str">
        <x:v>Finite index solutions to the Bernoulli problem in three dimensions are axially symmetric</x:v>
      </x:c>
      <x:c r="G30" s="40" t="str">
        <x:v>Xavier Fernandez-Real; Enric Florit-Simon; Joaquim Serra</x:v>
      </x:c>
      <x:c r="H30" s="40" t="str">
        <x:v>Free boundary regularity</x:v>
      </x:c>
      <x:c r="I30" s="59"/>
      <x:c r="J30" s="40" t="str">
        <x:v>https://arxiv.org/abs/2605.07913</x:v>
      </x:c>
      <x:c r="K30" s="60" t="n">
        <x:v>93</x:v>
      </x:c>
      <x:c r="L30" s="60" t="n">
        <x:v>90</x:v>
      </x:c>
      <x:c r="M30" s="60" t="n">
        <x:v>93</x:v>
      </x:c>
      <x:c r="N30" s="60" t="n">
        <x:v>87</x:v>
      </x:c>
      <x:c r="O30" s="60" t="n">
        <x:v>93</x:v>
      </x:c>
      <x:c r="P30" s="60" t="n">
        <x:v>87</x:v>
      </x:c>
      <x:c r="Q30" s="60" t="n">
        <x:v>10</x:v>
      </x:c>
      <x:c r="R30" s="59" t="n">
        <x:v>4</x:v>
      </x:c>
      <x:c r="S30" s="60" t="n">
        <x:v>90.9</x:v>
      </x:c>
      <x:c r="T30" s="60" t="n">
        <x:v>91.1</x:v>
      </x:c>
      <x:c r="U30" s="60" t="n">
        <x:v>91</x:v>
      </x:c>
      <x:c r="V30" s="60" t="n">
        <x:v>93</x:v>
      </x:c>
      <x:c r="W30" s="60" t="n">
        <x:v>90.2</x:v>
      </x:c>
      <x:c r="X30" s="60" t="n">
        <x:v>93</x:v>
      </x:c>
      <x:c r="Y30" s="60" t="n">
        <x:v>87.2</x:v>
      </x:c>
      <x:c r="Z30" s="60" t="n">
        <x:v>93.1</x:v>
      </x:c>
      <x:c r="AA30" s="60" t="n">
        <x:v>87</x:v>
      </x:c>
      <x:c r="AB30" s="60" t="n">
        <x:v>10</x:v>
      </x:c>
      <x:c r="AC30" s="60" t="n">
        <x:f>ROUND(((0.30*V30+0.20*W30+0.25*X30+0.15*Y30+0.10*AA30)+(0.30*Z30+0.20*X30+0.20*W30+0.15*AA30+0.15*(100-AB30)))/2,2)</x:f>
        <x:v>91.05</x:v>
      </x:c>
      <x:c r="AD30" s="60" t="n">
        <x:v>93</x:v>
      </x:c>
      <x:c r="AE30" s="60" t="n">
        <x:v>90.1</x:v>
      </x:c>
      <x:c r="AF30" s="60" t="n">
        <x:v>93</x:v>
      </x:c>
      <x:c r="AG30" s="60" t="n">
        <x:v>87.2</x:v>
      </x:c>
      <x:c r="AH30" s="60" t="n">
        <x:v>93.1</x:v>
      </x:c>
      <x:c r="AI30" s="60" t="n">
        <x:v>87</x:v>
      </x:c>
      <x:c r="AJ30" s="60" t="n">
        <x:v>10</x:v>
      </x:c>
      <x:c r="AK30" s="60" t="n">
        <x:f>ROUND(((0.30*AD30+0.20*AE30+0.25*AF30+0.15*AG30+0.10*AI30)+(0.30*AH30+0.20*AF30+0.20*AE30+0.15*AI30+0.15*(100-AJ30)))/2,2)</x:f>
        <x:v>91.03</x:v>
      </x:c>
      <x:c r="AL30" s="60" t="n">
        <x:v>93</x:v>
      </x:c>
      <x:c r="AM30" s="60" t="n">
        <x:v>90.1</x:v>
      </x:c>
      <x:c r="AN30" s="60" t="n">
        <x:v>93</x:v>
      </x:c>
      <x:c r="AO30" s="60" t="n">
        <x:v>87.2</x:v>
      </x:c>
      <x:c r="AP30" s="60" t="n">
        <x:v>93.1</x:v>
      </x:c>
      <x:c r="AQ30" s="60" t="n">
        <x:v>87</x:v>
      </x:c>
      <x:c r="AR30" s="60" t="n">
        <x:v>10</x:v>
      </x:c>
      <x:c r="AS30" s="60" t="n">
        <x:f>ROUND(((0.30*AL30+0.20*AM30+0.25*AN30+0.15*AO30+0.10*AQ30)+(0.30*AP30+0.20*AN30+0.20*AM30+0.15*AQ30+0.15*(100-AR30)))/2,2)</x:f>
        <x:v>91.03</x:v>
      </x:c>
      <x:c r="AT30" s="60" t="n">
        <x:f>ROUND(AVERAGE(V30,AD30,AL30),1)</x:f>
        <x:v>93</x:v>
      </x:c>
      <x:c r="AU30" s="60" t="n">
        <x:f>ROUND(AVERAGE(W30,AE30,AM30),1)</x:f>
        <x:v>90.1</x:v>
      </x:c>
      <x:c r="AV30" s="60" t="n">
        <x:f>ROUND(AVERAGE(X30,AF30,AN30),1)</x:f>
        <x:v>93</x:v>
      </x:c>
      <x:c r="AW30" s="60" t="n">
        <x:f>ROUND(AVERAGE(Y30,AG30,AO30),1)</x:f>
        <x:v>87.2</x:v>
      </x:c>
      <x:c r="AX30" s="60" t="n">
        <x:f>ROUND(AVERAGE(Z30,AH30,AP30),1)</x:f>
        <x:v>93.1</x:v>
      </x:c>
      <x:c r="AY30" s="60" t="n">
        <x:f>ROUND(AVERAGE(AA30,AI30,AQ30),1)</x:f>
        <x:v>87</x:v>
      </x:c>
      <x:c r="AZ30" s="60" t="n">
        <x:f>ROUND(AVERAGE(AB30,AJ30,AR30),1)</x:f>
        <x:v>10</x:v>
      </x:c>
      <x:c r="BA30" s="59" t="n">
        <x:v>4</x:v>
      </x:c>
      <x:c r="BB30" s="60" t="n">
        <x:f>ROUND(0.30*AT30+0.20*AU30+0.25*AV30+0.15*AW30+0.10*AY30,2)</x:f>
        <x:v>90.95</x:v>
      </x:c>
      <x:c r="BC30" s="60" t="n">
        <x:f>ROUND(0.30*AX30+0.20*AV30+0.20*AU30+0.15*AY30+0.15*(100-AZ30),2)</x:f>
        <x:v>91.1</x:v>
      </x:c>
      <x:c r="BD30" s="60" t="n">
        <x:f>ROUND(AVERAGE(BB30,BC30),2)</x:f>
        <x:v>91.03</x:v>
      </x:c>
      <x:c r="BE30" s="60" t="n">
        <x:f>ROUND(BD30-U30,2)</x:f>
        <x:v>0.03</x:v>
      </x:c>
      <x:c r="BF30" s="60" t="n">
        <x:f>ROUND(STDEV.P(AC30,AK30,AS30),3)</x:f>
        <x:v>0.009</x:v>
      </x:c>
      <x:c r="BG30" s="59" t="str">
        <x:v>Top100</x:v>
      </x:c>
      <x:c r="BH30" s="59" t="str">
        <x:v>Top50三轮复核</x:v>
      </x:c>
      <x:c r="BI30" s="40" t="str">
        <x:v>三轮复核后与原表基本一致</x:v>
      </x:c>
    </x:row>
    <x:row r="31" ht="30" customHeight="1">
      <x:c r="A31" s="59" t="n">
        <x:v>30</x:v>
      </x:c>
      <x:c r="B31" s="59" t="n">
        <x:v>30</x:v>
      </x:c>
      <x:c r="C31" s="59" t="str">
        <x:v>2026-06</x:v>
      </x:c>
      <x:c r="D31" s="59" t="n">
        <x:v>14</x:v>
      </x:c>
      <x:c r="E31" s="59" t="str">
        <x:v>2606.10185</x:v>
      </x:c>
      <x:c r="F31" s="40" t="str">
        <x:v>Boundary Harnack estimates of optimal order for kinetic Fokker-Planck equations</x:v>
      </x:c>
      <x:c r="G31" s="40" t="str">
        <x:v>Kyeongbae Kim; Marvin Weidner</x:v>
      </x:c>
      <x:c r="H31" s="40" t="str">
        <x:v>kinetic regularity</x:v>
      </x:c>
      <x:c r="I31" s="59" t="n">
        <x:v>59</x:v>
      </x:c>
      <x:c r="J31" s="40" t="str">
        <x:v>https://arxiv.org/abs/2606.10185</x:v>
      </x:c>
      <x:c r="K31" s="60" t="n">
        <x:v>92</x:v>
      </x:c>
      <x:c r="L31" s="60" t="n">
        <x:v>91</x:v>
      </x:c>
      <x:c r="M31" s="60" t="n">
        <x:v>93</x:v>
      </x:c>
      <x:c r="N31" s="60" t="n">
        <x:v>89</x:v>
      </x:c>
      <x:c r="O31" s="60" t="n">
        <x:v>93</x:v>
      </x:c>
      <x:c r="P31" s="60" t="n">
        <x:v>86</x:v>
      </x:c>
      <x:c r="Q31" s="60" t="n">
        <x:v>11</x:v>
      </x:c>
      <x:c r="R31" s="59" t="n">
        <x:v>4</x:v>
      </x:c>
      <x:c r="S31" s="60" t="n">
        <x:v>90.99999999999999</x:v>
      </x:c>
      <x:c r="T31" s="60" t="n">
        <x:v>90.95</x:v>
      </x:c>
      <x:c r="U31" s="60" t="n">
        <x:v>90.975</x:v>
      </x:c>
      <x:c r="V31" s="60" t="n">
        <x:v>92</x:v>
      </x:c>
      <x:c r="W31" s="60" t="n">
        <x:v>91.2</x:v>
      </x:c>
      <x:c r="X31" s="60" t="n">
        <x:v>93</x:v>
      </x:c>
      <x:c r="Y31" s="60" t="n">
        <x:v>89.2</x:v>
      </x:c>
      <x:c r="Z31" s="60" t="n">
        <x:v>93.1</x:v>
      </x:c>
      <x:c r="AA31" s="60" t="n">
        <x:v>86</x:v>
      </x:c>
      <x:c r="AB31" s="60" t="n">
        <x:v>11</x:v>
      </x:c>
      <x:c r="AC31" s="60" t="n">
        <x:f>ROUND(((0.30*V31+0.20*W31+0.25*X31+0.15*Y31+0.10*AA31)+(0.30*Z31+0.20*X31+0.20*W31+0.15*AA31+0.15*(100-AB31)))/2,2)</x:f>
        <x:v>91.05</x:v>
      </x:c>
      <x:c r="AD31" s="60" t="n">
        <x:v>92</x:v>
      </x:c>
      <x:c r="AE31" s="60" t="n">
        <x:v>91.1</x:v>
      </x:c>
      <x:c r="AF31" s="60" t="n">
        <x:v>93</x:v>
      </x:c>
      <x:c r="AG31" s="60" t="n">
        <x:v>89.2</x:v>
      </x:c>
      <x:c r="AH31" s="60" t="n">
        <x:v>93.1</x:v>
      </x:c>
      <x:c r="AI31" s="60" t="n">
        <x:v>86</x:v>
      </x:c>
      <x:c r="AJ31" s="60" t="n">
        <x:v>11</x:v>
      </x:c>
      <x:c r="AK31" s="60" t="n">
        <x:f>ROUND(((0.30*AD31+0.20*AE31+0.25*AF31+0.15*AG31+0.10*AI31)+(0.30*AH31+0.20*AF31+0.20*AE31+0.15*AI31+0.15*(100-AJ31)))/2,2)</x:f>
        <x:v>91.03</x:v>
      </x:c>
      <x:c r="AL31" s="60" t="n">
        <x:v>92</x:v>
      </x:c>
      <x:c r="AM31" s="60" t="n">
        <x:v>91.1</x:v>
      </x:c>
      <x:c r="AN31" s="60" t="n">
        <x:v>93</x:v>
      </x:c>
      <x:c r="AO31" s="60" t="n">
        <x:v>89.2</x:v>
      </x:c>
      <x:c r="AP31" s="60" t="n">
        <x:v>93.1</x:v>
      </x:c>
      <x:c r="AQ31" s="60" t="n">
        <x:v>86</x:v>
      </x:c>
      <x:c r="AR31" s="60" t="n">
        <x:v>11</x:v>
      </x:c>
      <x:c r="AS31" s="60" t="n">
        <x:f>ROUND(((0.30*AL31+0.20*AM31+0.25*AN31+0.15*AO31+0.10*AQ31)+(0.30*AP31+0.20*AN31+0.20*AM31+0.15*AQ31+0.15*(100-AR31)))/2,2)</x:f>
        <x:v>91.03</x:v>
      </x:c>
      <x:c r="AT31" s="60" t="n">
        <x:f>ROUND(AVERAGE(V31,AD31,AL31),1)</x:f>
        <x:v>92</x:v>
      </x:c>
      <x:c r="AU31" s="60" t="n">
        <x:f>ROUND(AVERAGE(W31,AE31,AM31),1)</x:f>
        <x:v>91.1</x:v>
      </x:c>
      <x:c r="AV31" s="60" t="n">
        <x:f>ROUND(AVERAGE(X31,AF31,AN31),1)</x:f>
        <x:v>93</x:v>
      </x:c>
      <x:c r="AW31" s="60" t="n">
        <x:f>ROUND(AVERAGE(Y31,AG31,AO31),1)</x:f>
        <x:v>89.2</x:v>
      </x:c>
      <x:c r="AX31" s="60" t="n">
        <x:f>ROUND(AVERAGE(Z31,AH31,AP31),1)</x:f>
        <x:v>93.1</x:v>
      </x:c>
      <x:c r="AY31" s="60" t="n">
        <x:f>ROUND(AVERAGE(AA31,AI31,AQ31),1)</x:f>
        <x:v>86</x:v>
      </x:c>
      <x:c r="AZ31" s="60" t="n">
        <x:f>ROUND(AVERAGE(AB31,AJ31,AR31),1)</x:f>
        <x:v>11</x:v>
      </x:c>
      <x:c r="BA31" s="59" t="n">
        <x:v>4</x:v>
      </x:c>
      <x:c r="BB31" s="60" t="n">
        <x:f>ROUND(0.30*AT31+0.20*AU31+0.25*AV31+0.15*AW31+0.10*AY31,2)</x:f>
        <x:v>91.05</x:v>
      </x:c>
      <x:c r="BC31" s="60" t="n">
        <x:f>ROUND(0.30*AX31+0.20*AV31+0.20*AU31+0.15*AY31+0.15*(100-AZ31),2)</x:f>
        <x:v>91</x:v>
      </x:c>
      <x:c r="BD31" s="60" t="n">
        <x:f>ROUND(AVERAGE(BB31,BC31),2)</x:f>
        <x:v>91.03</x:v>
      </x:c>
      <x:c r="BE31" s="60" t="n">
        <x:f>ROUND(BD31-U31,2)</x:f>
        <x:v>0.06</x:v>
      </x:c>
      <x:c r="BF31" s="60" t="n">
        <x:f>ROUND(STDEV.P(AC31,AK31,AS31),3)</x:f>
        <x:v>0.009</x:v>
      </x:c>
      <x:c r="BG31" s="59" t="str">
        <x:v>Top100</x:v>
      </x:c>
      <x:c r="BH31" s="59" t="str">
        <x:v>Top50三轮复核</x:v>
      </x:c>
      <x:c r="BI31" s="40" t="str">
        <x:v>三轮复核后与原表基本一致</x:v>
      </x:c>
    </x:row>
    <x:row r="32" ht="30" customHeight="1">
      <x:c r="A32" s="59" t="n">
        <x:v>31</x:v>
      </x:c>
      <x:c r="B32" s="59" t="n">
        <x:v>31</x:v>
      </x:c>
      <x:c r="C32" s="59" t="str">
        <x:v>2026-05</x:v>
      </x:c>
      <x:c r="D32" s="59" t="n">
        <x:v>17</x:v>
      </x:c>
      <x:c r="E32" s="59" t="str">
        <x:v>2605.16502</x:v>
      </x:c>
      <x:c r="F32" s="40" t="str">
        <x:v>Sharp Ill-Posedness of the Euler Equations in Lorentz Spaces</x:v>
      </x:c>
      <x:c r="G32" s="40" t="str">
        <x:v>Jeaheang Bang; Alexey Cheskidov</x:v>
      </x:c>
      <x:c r="H32" s="40" t="str">
        <x:v>Euler well/ill-posedness</x:v>
      </x:c>
      <x:c r="I32" s="59" t="n">
        <x:v>98</x:v>
      </x:c>
      <x:c r="J32" s="40" t="str">
        <x:v>https://arxiv.org/abs/2605.16502</x:v>
      </x:c>
      <x:c r="K32" s="60" t="n">
        <x:v>94</x:v>
      </x:c>
      <x:c r="L32" s="60" t="n">
        <x:v>90</x:v>
      </x:c>
      <x:c r="M32" s="60" t="n">
        <x:v>94</x:v>
      </x:c>
      <x:c r="N32" s="60" t="n">
        <x:v>87</x:v>
      </x:c>
      <x:c r="O32" s="60" t="n">
        <x:v>94</x:v>
      </x:c>
      <x:c r="P32" s="60" t="n">
        <x:v>84</x:v>
      </x:c>
      <x:c r="Q32" s="60" t="n">
        <x:v>14</x:v>
      </x:c>
      <x:c r="R32" s="59" t="n">
        <x:v>5</x:v>
      </x:c>
      <x:c r="S32" s="60" t="n">
        <x:v>91.2</x:v>
      </x:c>
      <x:c r="T32" s="60" t="n">
        <x:v>90.5</x:v>
      </x:c>
      <x:c r="U32" s="60" t="n">
        <x:v>90.9</x:v>
      </x:c>
      <x:c r="V32" s="60" t="n">
        <x:v>94.1</x:v>
      </x:c>
      <x:c r="W32" s="60" t="n">
        <x:v>90.2</x:v>
      </x:c>
      <x:c r="X32" s="60" t="n">
        <x:v>94.1</x:v>
      </x:c>
      <x:c r="Y32" s="60" t="n">
        <x:v>87.2</x:v>
      </x:c>
      <x:c r="Z32" s="60" t="n">
        <x:v>94.2</x:v>
      </x:c>
      <x:c r="AA32" s="60" t="n">
        <x:v>84</x:v>
      </x:c>
      <x:c r="AB32" s="60" t="n">
        <x:v>14</x:v>
      </x:c>
      <x:c r="AC32" s="60" t="n">
        <x:f>ROUND(((0.30*V32+0.20*W32+0.25*X32+0.15*Y32+0.10*AA32)+(0.30*Z32+0.20*X32+0.20*W32+0.15*AA32+0.15*(100-AB32)))/2,2)</x:f>
        <x:v>90.95</x:v>
      </x:c>
      <x:c r="AD32" s="60" t="n">
        <x:v>94.1</x:v>
      </x:c>
      <x:c r="AE32" s="60" t="n">
        <x:v>90.1</x:v>
      </x:c>
      <x:c r="AF32" s="60" t="n">
        <x:v>94.1</x:v>
      </x:c>
      <x:c r="AG32" s="60" t="n">
        <x:v>87.2</x:v>
      </x:c>
      <x:c r="AH32" s="60" t="n">
        <x:v>94.2</x:v>
      </x:c>
      <x:c r="AI32" s="60" t="n">
        <x:v>84</x:v>
      </x:c>
      <x:c r="AJ32" s="60" t="n">
        <x:v>14</x:v>
      </x:c>
      <x:c r="AK32" s="60" t="n">
        <x:f>ROUND(((0.30*AD32+0.20*AE32+0.25*AF32+0.15*AG32+0.10*AI32)+(0.30*AH32+0.20*AF32+0.20*AE32+0.15*AI32+0.15*(100-AJ32)))/2,2)</x:f>
        <x:v>90.93</x:v>
      </x:c>
      <x:c r="AL32" s="60" t="n">
        <x:v>94.1</x:v>
      </x:c>
      <x:c r="AM32" s="60" t="n">
        <x:v>90.1</x:v>
      </x:c>
      <x:c r="AN32" s="60" t="n">
        <x:v>94.1</x:v>
      </x:c>
      <x:c r="AO32" s="60" t="n">
        <x:v>87.2</x:v>
      </x:c>
      <x:c r="AP32" s="60" t="n">
        <x:v>94.2</x:v>
      </x:c>
      <x:c r="AQ32" s="60" t="n">
        <x:v>84</x:v>
      </x:c>
      <x:c r="AR32" s="60" t="n">
        <x:v>14</x:v>
      </x:c>
      <x:c r="AS32" s="60" t="n">
        <x:f>ROUND(((0.30*AL32+0.20*AM32+0.25*AN32+0.15*AO32+0.10*AQ32)+(0.30*AP32+0.20*AN32+0.20*AM32+0.15*AQ32+0.15*(100-AR32)))/2,2)</x:f>
        <x:v>90.93</x:v>
      </x:c>
      <x:c r="AT32" s="60" t="n">
        <x:f>ROUND(AVERAGE(V32,AD32,AL32),1)</x:f>
        <x:v>94.1</x:v>
      </x:c>
      <x:c r="AU32" s="60" t="n">
        <x:f>ROUND(AVERAGE(W32,AE32,AM32),1)</x:f>
        <x:v>90.1</x:v>
      </x:c>
      <x:c r="AV32" s="60" t="n">
        <x:f>ROUND(AVERAGE(X32,AF32,AN32),1)</x:f>
        <x:v>94.1</x:v>
      </x:c>
      <x:c r="AW32" s="60" t="n">
        <x:f>ROUND(AVERAGE(Y32,AG32,AO32),1)</x:f>
        <x:v>87.2</x:v>
      </x:c>
      <x:c r="AX32" s="60" t="n">
        <x:f>ROUND(AVERAGE(Z32,AH32,AP32),1)</x:f>
        <x:v>94.2</x:v>
      </x:c>
      <x:c r="AY32" s="60" t="n">
        <x:f>ROUND(AVERAGE(AA32,AI32,AQ32),1)</x:f>
        <x:v>84</x:v>
      </x:c>
      <x:c r="AZ32" s="60" t="n">
        <x:f>ROUND(AVERAGE(AB32,AJ32,AR32),1)</x:f>
        <x:v>14</x:v>
      </x:c>
      <x:c r="BA32" s="59" t="n">
        <x:v>5</x:v>
      </x:c>
      <x:c r="BB32" s="60" t="n">
        <x:f>ROUND(0.30*AT32+0.20*AU32+0.25*AV32+0.15*AW32+0.10*AY32,2)</x:f>
        <x:v>91.26</x:v>
      </x:c>
      <x:c r="BC32" s="60" t="n">
        <x:f>ROUND(0.30*AX32+0.20*AV32+0.20*AU32+0.15*AY32+0.15*(100-AZ32),2)</x:f>
        <x:v>90.6</x:v>
      </x:c>
      <x:c r="BD32" s="60" t="n">
        <x:f>ROUND(AVERAGE(BB32,BC32),2)</x:f>
        <x:v>90.93</x:v>
      </x:c>
      <x:c r="BE32" s="60" t="n">
        <x:f>ROUND(BD32-U32,2)</x:f>
        <x:v>0.03</x:v>
      </x:c>
      <x:c r="BF32" s="60" t="n">
        <x:f>ROUND(STDEV.P(AC32,AK32,AS32),3)</x:f>
        <x:v>0.009</x:v>
      </x:c>
      <x:c r="BG32" s="59" t="str">
        <x:v>Top100</x:v>
      </x:c>
      <x:c r="BH32" s="59" t="str">
        <x:v>Top50三轮复核</x:v>
      </x:c>
      <x:c r="BI32" s="40" t="str">
        <x:v>三轮复核后与原表基本一致</x:v>
      </x:c>
    </x:row>
    <x:row r="33" ht="30" customHeight="1">
      <x:c r="A33" s="59" t="n">
        <x:v>32</x:v>
      </x:c>
      <x:c r="B33" s="59" t="n">
        <x:v>32</x:v>
      </x:c>
      <x:c r="C33" s="59" t="str">
        <x:v>2026-06</x:v>
      </x:c>
      <x:c r="D33" s="59" t="n">
        <x:v>15</x:v>
      </x:c>
      <x:c r="E33" s="59" t="str">
        <x:v>2606.15189</x:v>
      </x:c>
      <x:c r="F33" s="40" t="str">
        <x:v>Blow-up and uniqueness of Leray-Hopf solutions to forced Navier-Stokes equations</x:v>
      </x:c>
      <x:c r="G33" s="40" t="str">
        <x:v>Giovanni Paolo Galdi; Filippo Gazzola</x:v>
      </x:c>
      <x:c r="H33" s="40" t="str">
        <x:v>Navier-Stokes</x:v>
      </x:c>
      <x:c r="I33" s="59"/>
      <x:c r="J33" s="40" t="str">
        <x:v>https://arxiv.org/abs/2606.15189</x:v>
      </x:c>
      <x:c r="K33" s="60" t="n">
        <x:v>94</x:v>
      </x:c>
      <x:c r="L33" s="60" t="n">
        <x:v>90</x:v>
      </x:c>
      <x:c r="M33" s="60" t="n">
        <x:v>92</x:v>
      </x:c>
      <x:c r="N33" s="60" t="n">
        <x:v>88</x:v>
      </x:c>
      <x:c r="O33" s="60" t="n">
        <x:v>93</x:v>
      </x:c>
      <x:c r="P33" s="60" t="n">
        <x:v>86</x:v>
      </x:c>
      <x:c r="Q33" s="60" t="n">
        <x:v>11</x:v>
      </x:c>
      <x:c r="R33" s="59" t="n">
        <x:v>4</x:v>
      </x:c>
      <x:c r="S33" s="60" t="n">
        <x:v>91</x:v>
      </x:c>
      <x:c r="T33" s="60" t="n">
        <x:v>90.55</x:v>
      </x:c>
      <x:c r="U33" s="60" t="n">
        <x:v>90.775</x:v>
      </x:c>
      <x:c r="V33" s="60" t="n">
        <x:v>94.1</x:v>
      </x:c>
      <x:c r="W33" s="60" t="n">
        <x:v>90</x:v>
      </x:c>
      <x:c r="X33" s="60" t="n">
        <x:v>92.1</x:v>
      </x:c>
      <x:c r="Y33" s="60" t="n">
        <x:v>88</x:v>
      </x:c>
      <x:c r="Z33" s="60" t="n">
        <x:v>93.1</x:v>
      </x:c>
      <x:c r="AA33" s="60" t="n">
        <x:v>86</x:v>
      </x:c>
      <x:c r="AB33" s="60" t="n">
        <x:v>11</x:v>
      </x:c>
      <x:c r="AC33" s="60" t="n">
        <x:f>ROUND(((0.30*V33+0.20*W33+0.25*X33+0.15*Y33+0.10*AA33)+(0.30*Z33+0.20*X33+0.20*W33+0.15*AA33+0.15*(100-AB33)))/2,2)</x:f>
        <x:v>90.83</x:v>
      </x:c>
      <x:c r="AD33" s="60" t="n">
        <x:v>94.1</x:v>
      </x:c>
      <x:c r="AE33" s="60" t="n">
        <x:v>90</x:v>
      </x:c>
      <x:c r="AF33" s="60" t="n">
        <x:v>92.1</x:v>
      </x:c>
      <x:c r="AG33" s="60" t="n">
        <x:v>88.1</x:v>
      </x:c>
      <x:c r="AH33" s="60" t="n">
        <x:v>93.1</x:v>
      </x:c>
      <x:c r="AI33" s="60" t="n">
        <x:v>86</x:v>
      </x:c>
      <x:c r="AJ33" s="60" t="n">
        <x:v>11</x:v>
      </x:c>
      <x:c r="AK33" s="60" t="n">
        <x:f>ROUND(((0.30*AD33+0.20*AE33+0.25*AF33+0.15*AG33+0.10*AI33)+(0.30*AH33+0.20*AF33+0.20*AE33+0.15*AI33+0.15*(100-AJ33)))/2,2)</x:f>
        <x:v>90.84</x:v>
      </x:c>
      <x:c r="AL33" s="60" t="n">
        <x:v>94.1</x:v>
      </x:c>
      <x:c r="AM33" s="60" t="n">
        <x:v>90</x:v>
      </x:c>
      <x:c r="AN33" s="60" t="n">
        <x:v>92.1</x:v>
      </x:c>
      <x:c r="AO33" s="60" t="n">
        <x:v>88</x:v>
      </x:c>
      <x:c r="AP33" s="60" t="n">
        <x:v>93.1</x:v>
      </x:c>
      <x:c r="AQ33" s="60" t="n">
        <x:v>86</x:v>
      </x:c>
      <x:c r="AR33" s="60" t="n">
        <x:v>11</x:v>
      </x:c>
      <x:c r="AS33" s="60" t="n">
        <x:f>ROUND(((0.30*AL33+0.20*AM33+0.25*AN33+0.15*AO33+0.10*AQ33)+(0.30*AP33+0.20*AN33+0.20*AM33+0.15*AQ33+0.15*(100-AR33)))/2,2)</x:f>
        <x:v>90.83</x:v>
      </x:c>
      <x:c r="AT33" s="60" t="n">
        <x:f>ROUND(AVERAGE(V33,AD33,AL33),1)</x:f>
        <x:v>94.1</x:v>
      </x:c>
      <x:c r="AU33" s="60" t="n">
        <x:f>ROUND(AVERAGE(W33,AE33,AM33),1)</x:f>
        <x:v>90</x:v>
      </x:c>
      <x:c r="AV33" s="60" t="n">
        <x:f>ROUND(AVERAGE(X33,AF33,AN33),1)</x:f>
        <x:v>92.1</x:v>
      </x:c>
      <x:c r="AW33" s="60" t="n">
        <x:f>ROUND(AVERAGE(Y33,AG33,AO33),1)</x:f>
        <x:v>88</x:v>
      </x:c>
      <x:c r="AX33" s="60" t="n">
        <x:f>ROUND(AVERAGE(Z33,AH33,AP33),1)</x:f>
        <x:v>93.1</x:v>
      </x:c>
      <x:c r="AY33" s="60" t="n">
        <x:f>ROUND(AVERAGE(AA33,AI33,AQ33),1)</x:f>
        <x:v>86</x:v>
      </x:c>
      <x:c r="AZ33" s="60" t="n">
        <x:f>ROUND(AVERAGE(AB33,AJ33,AR33),1)</x:f>
        <x:v>11</x:v>
      </x:c>
      <x:c r="BA33" s="59" t="n">
        <x:v>4</x:v>
      </x:c>
      <x:c r="BB33" s="60" t="n">
        <x:f>ROUND(0.30*AT33+0.20*AU33+0.25*AV33+0.15*AW33+0.10*AY33,2)</x:f>
        <x:v>91.06</x:v>
      </x:c>
      <x:c r="BC33" s="60" t="n">
        <x:f>ROUND(0.30*AX33+0.20*AV33+0.20*AU33+0.15*AY33+0.15*(100-AZ33),2)</x:f>
        <x:v>90.6</x:v>
      </x:c>
      <x:c r="BD33" s="60" t="n">
        <x:f>ROUND(AVERAGE(BB33,BC33),2)</x:f>
        <x:v>90.83</x:v>
      </x:c>
      <x:c r="BE33" s="60" t="n">
        <x:f>ROUND(BD33-U33,2)</x:f>
        <x:v>0.05</x:v>
      </x:c>
      <x:c r="BF33" s="60" t="n">
        <x:f>ROUND(STDEV.P(AC33,AK33,AS33),3)</x:f>
        <x:v>0.005</x:v>
      </x:c>
      <x:c r="BG33" s="59" t="str">
        <x:v>Top100</x:v>
      </x:c>
      <x:c r="BH33" s="59" t="str">
        <x:v>Top50三轮复核</x:v>
      </x:c>
      <x:c r="BI33" s="40" t="str">
        <x:v>三轮复核后与原表基本一致</x:v>
      </x:c>
    </x:row>
    <x:row r="34" ht="30" customHeight="1">
      <x:c r="A34" s="59" t="n">
        <x:v>33</x:v>
      </x:c>
      <x:c r="B34" s="59" t="n">
        <x:v>35</x:v>
      </x:c>
      <x:c r="C34" s="59" t="str">
        <x:v>2026-05</x:v>
      </x:c>
      <x:c r="D34" s="59" t="n">
        <x:v>18</x:v>
      </x:c>
      <x:c r="E34" s="59" t="str">
        <x:v>2605.11834</x:v>
      </x:c>
      <x:c r="F34" s="40" t="str">
        <x:v>Sharp upper bound for a branched transport problem coming from Ginzburg-Landau models</x:v>
      </x:c>
      <x:c r="G34" s="40" t="str">
        <x:v>Alessandro Cosenza; Michael Goldman; Felix Otto</x:v>
      </x:c>
      <x:c r="H34" s="40" t="str">
        <x:v>Variational PDE / Ginzburg-Landau</x:v>
      </x:c>
      <x:c r="I34" s="59" t="n">
        <x:v>27</x:v>
      </x:c>
      <x:c r="J34" s="40" t="str">
        <x:v>https://arxiv.org/abs/2605.11834</x:v>
      </x:c>
      <x:c r="K34" s="60" t="n">
        <x:v>92</x:v>
      </x:c>
      <x:c r="L34" s="60" t="n">
        <x:v>91</x:v>
      </x:c>
      <x:c r="M34" s="60" t="n">
        <x:v>92</x:v>
      </x:c>
      <x:c r="N34" s="60" t="n">
        <x:v>88</x:v>
      </x:c>
      <x:c r="O34" s="60" t="n">
        <x:v>92</x:v>
      </x:c>
      <x:c r="P34" s="60" t="n">
        <x:v>88</x:v>
      </x:c>
      <x:c r="Q34" s="60" t="n">
        <x:v>12</x:v>
      </x:c>
      <x:c r="R34" s="59" t="n">
        <x:v>5</x:v>
      </x:c>
      <x:c r="S34" s="60" t="n">
        <x:v>90.8</x:v>
      </x:c>
      <x:c r="T34" s="60" t="n">
        <x:v>90.6</x:v>
      </x:c>
      <x:c r="U34" s="60" t="n">
        <x:v>90.7</x:v>
      </x:c>
      <x:c r="V34" s="60" t="n">
        <x:v>92.1</x:v>
      </x:c>
      <x:c r="W34" s="60" t="n">
        <x:v>91.2</x:v>
      </x:c>
      <x:c r="X34" s="60" t="n">
        <x:v>92.1</x:v>
      </x:c>
      <x:c r="Y34" s="60" t="n">
        <x:v>88.2</x:v>
      </x:c>
      <x:c r="Z34" s="60" t="n">
        <x:v>92.2</x:v>
      </x:c>
      <x:c r="AA34" s="60" t="n">
        <x:v>88</x:v>
      </x:c>
      <x:c r="AB34" s="60" t="n">
        <x:v>12</x:v>
      </x:c>
      <x:c r="AC34" s="60" t="n">
        <x:f>ROUND(((0.30*V34+0.20*W34+0.25*X34+0.15*Y34+0.10*AA34)+(0.30*Z34+0.20*X34+0.20*W34+0.15*AA34+0.15*(100-AB34)))/2,2)</x:f>
        <x:v>90.82</x:v>
      </x:c>
      <x:c r="AD34" s="60" t="n">
        <x:v>92.1</x:v>
      </x:c>
      <x:c r="AE34" s="60" t="n">
        <x:v>91.1</x:v>
      </x:c>
      <x:c r="AF34" s="60" t="n">
        <x:v>92.1</x:v>
      </x:c>
      <x:c r="AG34" s="60" t="n">
        <x:v>88.2</x:v>
      </x:c>
      <x:c r="AH34" s="60" t="n">
        <x:v>92.2</x:v>
      </x:c>
      <x:c r="AI34" s="60" t="n">
        <x:v>88</x:v>
      </x:c>
      <x:c r="AJ34" s="60" t="n">
        <x:v>12</x:v>
      </x:c>
      <x:c r="AK34" s="60" t="n">
        <x:f>ROUND(((0.30*AD34+0.20*AE34+0.25*AF34+0.15*AG34+0.10*AI34)+(0.30*AH34+0.20*AF34+0.20*AE34+0.15*AI34+0.15*(100-AJ34)))/2,2)</x:f>
        <x:v>90.8</x:v>
      </x:c>
      <x:c r="AL34" s="60" t="n">
        <x:v>92.1</x:v>
      </x:c>
      <x:c r="AM34" s="60" t="n">
        <x:v>91.1</x:v>
      </x:c>
      <x:c r="AN34" s="60" t="n">
        <x:v>92.1</x:v>
      </x:c>
      <x:c r="AO34" s="60" t="n">
        <x:v>88.2</x:v>
      </x:c>
      <x:c r="AP34" s="60" t="n">
        <x:v>92.2</x:v>
      </x:c>
      <x:c r="AQ34" s="60" t="n">
        <x:v>88</x:v>
      </x:c>
      <x:c r="AR34" s="60" t="n">
        <x:v>12</x:v>
      </x:c>
      <x:c r="AS34" s="60" t="n">
        <x:f>ROUND(((0.30*AL34+0.20*AM34+0.25*AN34+0.15*AO34+0.10*AQ34)+(0.30*AP34+0.20*AN34+0.20*AM34+0.15*AQ34+0.15*(100-AR34)))/2,2)</x:f>
        <x:v>90.8</x:v>
      </x:c>
      <x:c r="AT34" s="60" t="n">
        <x:f>ROUND(AVERAGE(V34,AD34,AL34),1)</x:f>
        <x:v>92.1</x:v>
      </x:c>
      <x:c r="AU34" s="60" t="n">
        <x:f>ROUND(AVERAGE(W34,AE34,AM34),1)</x:f>
        <x:v>91.1</x:v>
      </x:c>
      <x:c r="AV34" s="60" t="n">
        <x:f>ROUND(AVERAGE(X34,AF34,AN34),1)</x:f>
        <x:v>92.1</x:v>
      </x:c>
      <x:c r="AW34" s="60" t="n">
        <x:f>ROUND(AVERAGE(Y34,AG34,AO34),1)</x:f>
        <x:v>88.2</x:v>
      </x:c>
      <x:c r="AX34" s="60" t="n">
        <x:f>ROUND(AVERAGE(Z34,AH34,AP34),1)</x:f>
        <x:v>92.2</x:v>
      </x:c>
      <x:c r="AY34" s="60" t="n">
        <x:f>ROUND(AVERAGE(AA34,AI34,AQ34),1)</x:f>
        <x:v>88</x:v>
      </x:c>
      <x:c r="AZ34" s="60" t="n">
        <x:f>ROUND(AVERAGE(AB34,AJ34,AR34),1)</x:f>
        <x:v>12</x:v>
      </x:c>
      <x:c r="BA34" s="59" t="n">
        <x:v>5</x:v>
      </x:c>
      <x:c r="BB34" s="60" t="n">
        <x:f>ROUND(0.30*AT34+0.20*AU34+0.25*AV34+0.15*AW34+0.10*AY34,2)</x:f>
        <x:v>90.91</x:v>
      </x:c>
      <x:c r="BC34" s="60" t="n">
        <x:f>ROUND(0.30*AX34+0.20*AV34+0.20*AU34+0.15*AY34+0.15*(100-AZ34),2)</x:f>
        <x:v>90.7</x:v>
      </x:c>
      <x:c r="BD34" s="60" t="n">
        <x:f>ROUND(AVERAGE(BB34,BC34),2)</x:f>
        <x:v>90.81</x:v>
      </x:c>
      <x:c r="BE34" s="60" t="n">
        <x:f>ROUND(BD34-U34,2)</x:f>
        <x:v>0.11</x:v>
      </x:c>
      <x:c r="BF34" s="60" t="n">
        <x:f>ROUND(STDEV.P(AC34,AK34,AS34),3)</x:f>
        <x:v>0.009</x:v>
      </x:c>
      <x:c r="BG34" s="59" t="str">
        <x:v>Top100</x:v>
      </x:c>
      <x:c r="BH34" s="59" t="str">
        <x:v>Top50三轮复核</x:v>
      </x:c>
      <x:c r="BI34" s="40" t="str">
        <x:v>三轮复核后与原表基本一致</x:v>
      </x:c>
    </x:row>
    <x:row r="35" ht="30" customHeight="1">
      <x:c r="A35" s="59" t="n">
        <x:v>34</x:v>
      </x:c>
      <x:c r="B35" s="59" t="n">
        <x:v>33</x:v>
      </x:c>
      <x:c r="C35" s="59" t="str">
        <x:v>2026-06</x:v>
      </x:c>
      <x:c r="D35" s="59" t="n">
        <x:v>16</x:v>
      </x:c>
      <x:c r="E35" s="59" t="str">
        <x:v>2606.12101</x:v>
      </x:c>
      <x:c r="F35" s="40" t="str">
        <x:v>Sharp Convergence Rates for Parabolic Green's Functions in Time-Independent Periodic Homogenization</x:v>
      </x:c>
      <x:c r="G35" s="40" t="str">
        <x:v>Wei Wang</x:v>
      </x:c>
      <x:c r="H35" s="40" t="str">
        <x:v>homogenization/Green functions</x:v>
      </x:c>
      <x:c r="I35" s="59" t="n">
        <x:v>44</x:v>
      </x:c>
      <x:c r="J35" s="40" t="str">
        <x:v>https://arxiv.org/abs/2606.12101</x:v>
      </x:c>
      <x:c r="K35" s="60" t="n">
        <x:v>92</x:v>
      </x:c>
      <x:c r="L35" s="60" t="n">
        <x:v>90</x:v>
      </x:c>
      <x:c r="M35" s="60" t="n">
        <x:v>93</x:v>
      </x:c>
      <x:c r="N35" s="60" t="n">
        <x:v>89</x:v>
      </x:c>
      <x:c r="O35" s="60" t="n">
        <x:v>92</x:v>
      </x:c>
      <x:c r="P35" s="60" t="n">
        <x:v>87</x:v>
      </x:c>
      <x:c r="Q35" s="60" t="n">
        <x:v>11</x:v>
      </x:c>
      <x:c r="R35" s="59" t="n">
        <x:v>4</x:v>
      </x:c>
      <x:c r="S35" s="60" t="n">
        <x:v>90.89999999999999</x:v>
      </x:c>
      <x:c r="T35" s="60" t="n">
        <x:v>90.6</x:v>
      </x:c>
      <x:c r="U35" s="60" t="n">
        <x:v>90.75</x:v>
      </x:c>
      <x:c r="V35" s="60" t="n">
        <x:v>92</x:v>
      </x:c>
      <x:c r="W35" s="60" t="n">
        <x:v>90.2</x:v>
      </x:c>
      <x:c r="X35" s="60" t="n">
        <x:v>93</x:v>
      </x:c>
      <x:c r="Y35" s="60" t="n">
        <x:v>89.2</x:v>
      </x:c>
      <x:c r="Z35" s="60" t="n">
        <x:v>92.1</x:v>
      </x:c>
      <x:c r="AA35" s="60" t="n">
        <x:v>87</x:v>
      </x:c>
      <x:c r="AB35" s="60" t="n">
        <x:v>11</x:v>
      </x:c>
      <x:c r="AC35" s="60" t="n">
        <x:f>ROUND(((0.30*V35+0.20*W35+0.25*X35+0.15*Y35+0.10*AA35)+(0.30*Z35+0.20*X35+0.20*W35+0.15*AA35+0.15*(100-AB35)))/2,2)</x:f>
        <x:v>90.82</x:v>
      </x:c>
      <x:c r="AD35" s="60" t="n">
        <x:v>92</x:v>
      </x:c>
      <x:c r="AE35" s="60" t="n">
        <x:v>90.1</x:v>
      </x:c>
      <x:c r="AF35" s="60" t="n">
        <x:v>93</x:v>
      </x:c>
      <x:c r="AG35" s="60" t="n">
        <x:v>89.2</x:v>
      </x:c>
      <x:c r="AH35" s="60" t="n">
        <x:v>92.1</x:v>
      </x:c>
      <x:c r="AI35" s="60" t="n">
        <x:v>87</x:v>
      </x:c>
      <x:c r="AJ35" s="60" t="n">
        <x:v>11</x:v>
      </x:c>
      <x:c r="AK35" s="60" t="n">
        <x:f>ROUND(((0.30*AD35+0.20*AE35+0.25*AF35+0.15*AG35+0.10*AI35)+(0.30*AH35+0.20*AF35+0.20*AE35+0.15*AI35+0.15*(100-AJ35)))/2,2)</x:f>
        <x:v>90.8</x:v>
      </x:c>
      <x:c r="AL35" s="60" t="n">
        <x:v>92</x:v>
      </x:c>
      <x:c r="AM35" s="60" t="n">
        <x:v>90.1</x:v>
      </x:c>
      <x:c r="AN35" s="60" t="n">
        <x:v>93</x:v>
      </x:c>
      <x:c r="AO35" s="60" t="n">
        <x:v>89.2</x:v>
      </x:c>
      <x:c r="AP35" s="60" t="n">
        <x:v>92.1</x:v>
      </x:c>
      <x:c r="AQ35" s="60" t="n">
        <x:v>87</x:v>
      </x:c>
      <x:c r="AR35" s="60" t="n">
        <x:v>11</x:v>
      </x:c>
      <x:c r="AS35" s="60" t="n">
        <x:f>ROUND(((0.30*AL35+0.20*AM35+0.25*AN35+0.15*AO35+0.10*AQ35)+(0.30*AP35+0.20*AN35+0.20*AM35+0.15*AQ35+0.15*(100-AR35)))/2,2)</x:f>
        <x:v>90.8</x:v>
      </x:c>
      <x:c r="AT35" s="60" t="n">
        <x:f>ROUND(AVERAGE(V35,AD35,AL35),1)</x:f>
        <x:v>92</x:v>
      </x:c>
      <x:c r="AU35" s="60" t="n">
        <x:f>ROUND(AVERAGE(W35,AE35,AM35),1)</x:f>
        <x:v>90.1</x:v>
      </x:c>
      <x:c r="AV35" s="60" t="n">
        <x:f>ROUND(AVERAGE(X35,AF35,AN35),1)</x:f>
        <x:v>93</x:v>
      </x:c>
      <x:c r="AW35" s="60" t="n">
        <x:f>ROUND(AVERAGE(Y35,AG35,AO35),1)</x:f>
        <x:v>89.2</x:v>
      </x:c>
      <x:c r="AX35" s="60" t="n">
        <x:f>ROUND(AVERAGE(Z35,AH35,AP35),1)</x:f>
        <x:v>92.1</x:v>
      </x:c>
      <x:c r="AY35" s="60" t="n">
        <x:f>ROUND(AVERAGE(AA35,AI35,AQ35),1)</x:f>
        <x:v>87</x:v>
      </x:c>
      <x:c r="AZ35" s="60" t="n">
        <x:f>ROUND(AVERAGE(AB35,AJ35,AR35),1)</x:f>
        <x:v>11</x:v>
      </x:c>
      <x:c r="BA35" s="59" t="n">
        <x:v>4</x:v>
      </x:c>
      <x:c r="BB35" s="60" t="n">
        <x:f>ROUND(0.30*AT35+0.20*AU35+0.25*AV35+0.15*AW35+0.10*AY35,2)</x:f>
        <x:v>90.95</x:v>
      </x:c>
      <x:c r="BC35" s="60" t="n">
        <x:f>ROUND(0.30*AX35+0.20*AV35+0.20*AU35+0.15*AY35+0.15*(100-AZ35),2)</x:f>
        <x:v>90.65</x:v>
      </x:c>
      <x:c r="BD35" s="60" t="n">
        <x:f>ROUND(AVERAGE(BB35,BC35),2)</x:f>
        <x:v>90.8</x:v>
      </x:c>
      <x:c r="BE35" s="60" t="n">
        <x:f>ROUND(BD35-U35,2)</x:f>
        <x:v>0.05</x:v>
      </x:c>
      <x:c r="BF35" s="60" t="n">
        <x:f>ROUND(STDEV.P(AC35,AK35,AS35),3)</x:f>
        <x:v>0.009</x:v>
      </x:c>
      <x:c r="BG35" s="59" t="str">
        <x:v>Top100</x:v>
      </x:c>
      <x:c r="BH35" s="59" t="str">
        <x:v>Top50三轮复核</x:v>
      </x:c>
      <x:c r="BI35" s="40" t="str">
        <x:v>三轮复核后与原表基本一致</x:v>
      </x:c>
    </x:row>
    <x:row r="36" ht="30" customHeight="1">
      <x:c r="A36" s="59" t="n">
        <x:v>35</x:v>
      </x:c>
      <x:c r="B36" s="59" t="n">
        <x:v>34</x:v>
      </x:c>
      <x:c r="C36" s="59" t="str">
        <x:v>2026-06</x:v>
      </x:c>
      <x:c r="D36" s="59" t="n">
        <x:v>17</x:v>
      </x:c>
      <x:c r="E36" s="59" t="str">
        <x:v>2606.04377</x:v>
      </x:c>
      <x:c r="F36" s="40" t="str">
        <x:v>A comparison principle for Wasserstein PDEs with state- and law-dependent common noise</x:v>
      </x:c>
      <x:c r="G36" s="40" t="str">
        <x:v>Erhan Bayraktar; Ibrahim Ekren; Xihao He; Xin Zhang</x:v>
      </x:c>
      <x:c r="H36" s="40" t="str">
        <x:v>Wasserstein PDE/control</x:v>
      </x:c>
      <x:c r="I36" s="59"/>
      <x:c r="J36" s="40" t="str">
        <x:v>https://arxiv.org/abs/2606.04377</x:v>
      </x:c>
      <x:c r="K36" s="60" t="n">
        <x:v>92</x:v>
      </x:c>
      <x:c r="L36" s="60" t="n">
        <x:v>91</x:v>
      </x:c>
      <x:c r="M36" s="60" t="n">
        <x:v>92</x:v>
      </x:c>
      <x:c r="N36" s="60" t="n">
        <x:v>89</x:v>
      </x:c>
      <x:c r="O36" s="60" t="n">
        <x:v>92</x:v>
      </x:c>
      <x:c r="P36" s="60" t="n">
        <x:v>87</x:v>
      </x:c>
      <x:c r="Q36" s="60" t="n">
        <x:v>11</x:v>
      </x:c>
      <x:c r="R36" s="59" t="n">
        <x:v>4</x:v>
      </x:c>
      <x:c r="S36" s="60" t="n">
        <x:v>90.85</x:v>
      </x:c>
      <x:c r="T36" s="60" t="n">
        <x:v>90.6</x:v>
      </x:c>
      <x:c r="U36" s="60" t="n">
        <x:v>90.725</x:v>
      </x:c>
      <x:c r="V36" s="60" t="n">
        <x:v>92</x:v>
      </x:c>
      <x:c r="W36" s="60" t="n">
        <x:v>91</x:v>
      </x:c>
      <x:c r="X36" s="60" t="n">
        <x:v>92</x:v>
      </x:c>
      <x:c r="Y36" s="60" t="n">
        <x:v>89</x:v>
      </x:c>
      <x:c r="Z36" s="60" t="n">
        <x:v>92</x:v>
      </x:c>
      <x:c r="AA36" s="60" t="n">
        <x:v>87</x:v>
      </x:c>
      <x:c r="AB36" s="60" t="n">
        <x:v>11</x:v>
      </x:c>
      <x:c r="AC36" s="60" t="n">
        <x:f>ROUND(((0.30*V36+0.20*W36+0.25*X36+0.15*Y36+0.10*AA36)+(0.30*Z36+0.20*X36+0.20*W36+0.15*AA36+0.15*(100-AB36)))/2,2)</x:f>
        <x:v>90.73</x:v>
      </x:c>
      <x:c r="AD36" s="60" t="n">
        <x:v>92</x:v>
      </x:c>
      <x:c r="AE36" s="60" t="n">
        <x:v>91</x:v>
      </x:c>
      <x:c r="AF36" s="60" t="n">
        <x:v>92</x:v>
      </x:c>
      <x:c r="AG36" s="60" t="n">
        <x:v>89.1</x:v>
      </x:c>
      <x:c r="AH36" s="60" t="n">
        <x:v>92</x:v>
      </x:c>
      <x:c r="AI36" s="60" t="n">
        <x:v>87</x:v>
      </x:c>
      <x:c r="AJ36" s="60" t="n">
        <x:v>11</x:v>
      </x:c>
      <x:c r="AK36" s="60" t="n">
        <x:f>ROUND(((0.30*AD36+0.20*AE36+0.25*AF36+0.15*AG36+0.10*AI36)+(0.30*AH36+0.20*AF36+0.20*AE36+0.15*AI36+0.15*(100-AJ36)))/2,2)</x:f>
        <x:v>90.73</x:v>
      </x:c>
      <x:c r="AL36" s="60" t="n">
        <x:v>92</x:v>
      </x:c>
      <x:c r="AM36" s="60" t="n">
        <x:v>91</x:v>
      </x:c>
      <x:c r="AN36" s="60" t="n">
        <x:v>92</x:v>
      </x:c>
      <x:c r="AO36" s="60" t="n">
        <x:v>89</x:v>
      </x:c>
      <x:c r="AP36" s="60" t="n">
        <x:v>92</x:v>
      </x:c>
      <x:c r="AQ36" s="60" t="n">
        <x:v>87</x:v>
      </x:c>
      <x:c r="AR36" s="60" t="n">
        <x:v>11</x:v>
      </x:c>
      <x:c r="AS36" s="60" t="n">
        <x:f>ROUND(((0.30*AL36+0.20*AM36+0.25*AN36+0.15*AO36+0.10*AQ36)+(0.30*AP36+0.20*AN36+0.20*AM36+0.15*AQ36+0.15*(100-AR36)))/2,2)</x:f>
        <x:v>90.73</x:v>
      </x:c>
      <x:c r="AT36" s="60" t="n">
        <x:f>ROUND(AVERAGE(V36,AD36,AL36),1)</x:f>
        <x:v>92</x:v>
      </x:c>
      <x:c r="AU36" s="60" t="n">
        <x:f>ROUND(AVERAGE(W36,AE36,AM36),1)</x:f>
        <x:v>91</x:v>
      </x:c>
      <x:c r="AV36" s="60" t="n">
        <x:f>ROUND(AVERAGE(X36,AF36,AN36),1)</x:f>
        <x:v>92</x:v>
      </x:c>
      <x:c r="AW36" s="60" t="n">
        <x:f>ROUND(AVERAGE(Y36,AG36,AO36),1)</x:f>
        <x:v>89</x:v>
      </x:c>
      <x:c r="AX36" s="60" t="n">
        <x:f>ROUND(AVERAGE(Z36,AH36,AP36),1)</x:f>
        <x:v>92</x:v>
      </x:c>
      <x:c r="AY36" s="60" t="n">
        <x:f>ROUND(AVERAGE(AA36,AI36,AQ36),1)</x:f>
        <x:v>87</x:v>
      </x:c>
      <x:c r="AZ36" s="60" t="n">
        <x:f>ROUND(AVERAGE(AB36,AJ36,AR36),1)</x:f>
        <x:v>11</x:v>
      </x:c>
      <x:c r="BA36" s="59" t="n">
        <x:v>4</x:v>
      </x:c>
      <x:c r="BB36" s="60" t="n">
        <x:f>ROUND(0.30*AT36+0.20*AU36+0.25*AV36+0.15*AW36+0.10*AY36,2)</x:f>
        <x:v>90.85</x:v>
      </x:c>
      <x:c r="BC36" s="60" t="n">
        <x:f>ROUND(0.30*AX36+0.20*AV36+0.20*AU36+0.15*AY36+0.15*(100-AZ36),2)</x:f>
        <x:v>90.6</x:v>
      </x:c>
      <x:c r="BD36" s="60" t="n">
        <x:f>ROUND(AVERAGE(BB36,BC36),2)</x:f>
        <x:v>90.73</x:v>
      </x:c>
      <x:c r="BE36" s="60" t="n">
        <x:f>ROUND(BD36-U36,2)</x:f>
        <x:v>0.01</x:v>
      </x:c>
      <x:c r="BF36" s="60" t="n">
        <x:f>ROUND(STDEV.P(AC36,AK36,AS36),3)</x:f>
        <x:v>0</x:v>
      </x:c>
      <x:c r="BG36" s="59" t="str">
        <x:v>Top100</x:v>
      </x:c>
      <x:c r="BH36" s="59" t="str">
        <x:v>Top50三轮复核</x:v>
      </x:c>
      <x:c r="BI36" s="40" t="str">
        <x:v>三轮复核后与原表基本一致</x:v>
      </x:c>
    </x:row>
    <x:row r="37" ht="30" customHeight="1">
      <x:c r="A37" s="59" t="n">
        <x:v>36</x:v>
      </x:c>
      <x:c r="B37" s="59" t="n">
        <x:v>36</x:v>
      </x:c>
      <x:c r="C37" s="59" t="str">
        <x:v>2026-06</x:v>
      </x:c>
      <x:c r="D37" s="59" t="n">
        <x:v>18</x:v>
      </x:c>
      <x:c r="E37" s="59" t="str">
        <x:v>2606.10247</x:v>
      </x:c>
      <x:c r="F37" s="40" t="str">
        <x:v>The partial data Calderon problem in dimension three</x:v>
      </x:c>
      <x:c r="G37" s="40" t="str">
        <x:v>Gunther Uhlmann; Yiran Wang</x:v>
      </x:c>
      <x:c r="H37" s="40" t="str">
        <x:v>inverse problems</x:v>
      </x:c>
      <x:c r="I37" s="59"/>
      <x:c r="J37" s="40" t="str">
        <x:v>https://arxiv.org/abs/2606.10247</x:v>
      </x:c>
      <x:c r="K37" s="60" t="n">
        <x:v>93</x:v>
      </x:c>
      <x:c r="L37" s="60" t="n">
        <x:v>90</x:v>
      </x:c>
      <x:c r="M37" s="60" t="n">
        <x:v>92</x:v>
      </x:c>
      <x:c r="N37" s="60" t="n">
        <x:v>89</x:v>
      </x:c>
      <x:c r="O37" s="60" t="n">
        <x:v>92</x:v>
      </x:c>
      <x:c r="P37" s="60" t="n">
        <x:v>87</x:v>
      </x:c>
      <x:c r="Q37" s="60" t="n">
        <x:v>11</x:v>
      </x:c>
      <x:c r="R37" s="59" t="n">
        <x:v>4</x:v>
      </x:c>
      <x:c r="S37" s="60" t="n">
        <x:v>90.95</x:v>
      </x:c>
      <x:c r="T37" s="60" t="n">
        <x:v>90.39999999999999</x:v>
      </x:c>
      <x:c r="U37" s="60" t="n">
        <x:v>90.675</x:v>
      </x:c>
      <x:c r="V37" s="60" t="n">
        <x:v>93.1</x:v>
      </x:c>
      <x:c r="W37" s="60" t="n">
        <x:v>90</x:v>
      </x:c>
      <x:c r="X37" s="60" t="n">
        <x:v>92.1</x:v>
      </x:c>
      <x:c r="Y37" s="60" t="n">
        <x:v>89</x:v>
      </x:c>
      <x:c r="Z37" s="60" t="n">
        <x:v>92.1</x:v>
      </x:c>
      <x:c r="AA37" s="60" t="n">
        <x:v>87</x:v>
      </x:c>
      <x:c r="AB37" s="60" t="n">
        <x:v>11</x:v>
      </x:c>
      <x:c r="AC37" s="60" t="n">
        <x:f>ROUND(((0.30*V37+0.20*W37+0.25*X37+0.15*Y37+0.10*AA37)+(0.30*Z37+0.20*X37+0.20*W37+0.15*AA37+0.15*(100-AB37)))/2,2)</x:f>
        <x:v>90.73</x:v>
      </x:c>
      <x:c r="AD37" s="60" t="n">
        <x:v>93.1</x:v>
      </x:c>
      <x:c r="AE37" s="60" t="n">
        <x:v>90</x:v>
      </x:c>
      <x:c r="AF37" s="60" t="n">
        <x:v>92.1</x:v>
      </x:c>
      <x:c r="AG37" s="60" t="n">
        <x:v>89.1</x:v>
      </x:c>
      <x:c r="AH37" s="60" t="n">
        <x:v>92.1</x:v>
      </x:c>
      <x:c r="AI37" s="60" t="n">
        <x:v>87</x:v>
      </x:c>
      <x:c r="AJ37" s="60" t="n">
        <x:v>11</x:v>
      </x:c>
      <x:c r="AK37" s="60" t="n">
        <x:f>ROUND(((0.30*AD37+0.20*AE37+0.25*AF37+0.15*AG37+0.10*AI37)+(0.30*AH37+0.20*AF37+0.20*AE37+0.15*AI37+0.15*(100-AJ37)))/2,2)</x:f>
        <x:v>90.73</x:v>
      </x:c>
      <x:c r="AL37" s="60" t="n">
        <x:v>93.1</x:v>
      </x:c>
      <x:c r="AM37" s="60" t="n">
        <x:v>90</x:v>
      </x:c>
      <x:c r="AN37" s="60" t="n">
        <x:v>92.1</x:v>
      </x:c>
      <x:c r="AO37" s="60" t="n">
        <x:v>89</x:v>
      </x:c>
      <x:c r="AP37" s="60" t="n">
        <x:v>92.1</x:v>
      </x:c>
      <x:c r="AQ37" s="60" t="n">
        <x:v>87</x:v>
      </x:c>
      <x:c r="AR37" s="60" t="n">
        <x:v>11</x:v>
      </x:c>
      <x:c r="AS37" s="60" t="n">
        <x:f>ROUND(((0.30*AL37+0.20*AM37+0.25*AN37+0.15*AO37+0.10*AQ37)+(0.30*AP37+0.20*AN37+0.20*AM37+0.15*AQ37+0.15*(100-AR37)))/2,2)</x:f>
        <x:v>90.73</x:v>
      </x:c>
      <x:c r="AT37" s="60" t="n">
        <x:f>ROUND(AVERAGE(V37,AD37,AL37),1)</x:f>
        <x:v>93.1</x:v>
      </x:c>
      <x:c r="AU37" s="60" t="n">
        <x:f>ROUND(AVERAGE(W37,AE37,AM37),1)</x:f>
        <x:v>90</x:v>
      </x:c>
      <x:c r="AV37" s="60" t="n">
        <x:f>ROUND(AVERAGE(X37,AF37,AN37),1)</x:f>
        <x:v>92.1</x:v>
      </x:c>
      <x:c r="AW37" s="60" t="n">
        <x:f>ROUND(AVERAGE(Y37,AG37,AO37),1)</x:f>
        <x:v>89</x:v>
      </x:c>
      <x:c r="AX37" s="60" t="n">
        <x:f>ROUND(AVERAGE(Z37,AH37,AP37),1)</x:f>
        <x:v>92.1</x:v>
      </x:c>
      <x:c r="AY37" s="60" t="n">
        <x:f>ROUND(AVERAGE(AA37,AI37,AQ37),1)</x:f>
        <x:v>87</x:v>
      </x:c>
      <x:c r="AZ37" s="60" t="n">
        <x:f>ROUND(AVERAGE(AB37,AJ37,AR37),1)</x:f>
        <x:v>11</x:v>
      </x:c>
      <x:c r="BA37" s="59" t="n">
        <x:v>4</x:v>
      </x:c>
      <x:c r="BB37" s="60" t="n">
        <x:f>ROUND(0.30*AT37+0.20*AU37+0.25*AV37+0.15*AW37+0.10*AY37,2)</x:f>
        <x:v>91</x:v>
      </x:c>
      <x:c r="BC37" s="60" t="n">
        <x:f>ROUND(0.30*AX37+0.20*AV37+0.20*AU37+0.15*AY37+0.15*(100-AZ37),2)</x:f>
        <x:v>90.45</x:v>
      </x:c>
      <x:c r="BD37" s="60" t="n">
        <x:f>ROUND(AVERAGE(BB37,BC37),2)</x:f>
        <x:v>90.73</x:v>
      </x:c>
      <x:c r="BE37" s="60" t="n">
        <x:f>ROUND(BD37-U37,2)</x:f>
        <x:v>0.06</x:v>
      </x:c>
      <x:c r="BF37" s="60" t="n">
        <x:f>ROUND(STDEV.P(AC37,AK37,AS37),3)</x:f>
        <x:v>0</x:v>
      </x:c>
      <x:c r="BG37" s="59" t="str">
        <x:v>Top100</x:v>
      </x:c>
      <x:c r="BH37" s="59" t="str">
        <x:v>Top50三轮复核</x:v>
      </x:c>
      <x:c r="BI37" s="40" t="str">
        <x:v>三轮复核后与原表基本一致</x:v>
      </x:c>
    </x:row>
    <x:row r="38" ht="30" customHeight="1">
      <x:c r="A38" s="59" t="n">
        <x:v>37</x:v>
      </x:c>
      <x:c r="B38" s="59" t="n">
        <x:v>39</x:v>
      </x:c>
      <x:c r="C38" s="59" t="str">
        <x:v>2026-05</x:v>
      </x:c>
      <x:c r="D38" s="59" t="n">
        <x:v>19</x:v>
      </x:c>
      <x:c r="E38" s="59" t="str">
        <x:v>2605.10138</x:v>
      </x:c>
      <x:c r="F38" s="40" t="str">
        <x:v>Global Well-posedness for the Multi-species Boltzmann Equation with Large Amplitude Initial Data</x:v>
      </x:c>
      <x:c r="G38" s="40" t="str">
        <x:v>Gyounghun Ko; Myeong-Su Lee; Sung-Jun Son</x:v>
      </x:c>
      <x:c r="H38" s="40" t="str">
        <x:v>Boltzmann equation</x:v>
      </x:c>
      <x:c r="I38" s="59" t="n">
        <x:v>54</x:v>
      </x:c>
      <x:c r="J38" s="40" t="str">
        <x:v>https://arxiv.org/abs/2605.10138</x:v>
      </x:c>
      <x:c r="K38" s="60" t="n">
        <x:v>92</x:v>
      </x:c>
      <x:c r="L38" s="60" t="n">
        <x:v>89</x:v>
      </x:c>
      <x:c r="M38" s="60" t="n">
        <x:v>93</x:v>
      </x:c>
      <x:c r="N38" s="60" t="n">
        <x:v>87</x:v>
      </x:c>
      <x:c r="O38" s="60" t="n">
        <x:v>93</x:v>
      </x:c>
      <x:c r="P38" s="60" t="n">
        <x:v>86</x:v>
      </x:c>
      <x:c r="Q38" s="60" t="n">
        <x:v>12</x:v>
      </x:c>
      <x:c r="R38" s="59" t="n">
        <x:v>5</x:v>
      </x:c>
      <x:c r="S38" s="60" t="n">
        <x:v>90.3</x:v>
      </x:c>
      <x:c r="T38" s="60" t="n">
        <x:v>90.4</x:v>
      </x:c>
      <x:c r="U38" s="60" t="n">
        <x:v>90.4</x:v>
      </x:c>
      <x:c r="V38" s="60" t="n">
        <x:v>92.1</x:v>
      </x:c>
      <x:c r="W38" s="60" t="n">
        <x:v>89.2</x:v>
      </x:c>
      <x:c r="X38" s="60" t="n">
        <x:v>93.1</x:v>
      </x:c>
      <x:c r="Y38" s="60" t="n">
        <x:v>87.2</x:v>
      </x:c>
      <x:c r="Z38" s="60" t="n">
        <x:v>93.2</x:v>
      </x:c>
      <x:c r="AA38" s="60" t="n">
        <x:v>86</x:v>
      </x:c>
      <x:c r="AB38" s="60" t="n">
        <x:v>12</x:v>
      </x:c>
      <x:c r="AC38" s="60" t="n">
        <x:f>ROUND(((0.30*V38+0.20*W38+0.25*X38+0.15*Y38+0.10*AA38)+(0.30*Z38+0.20*X38+0.20*W38+0.15*AA38+0.15*(100-AB38)))/2,2)</x:f>
        <x:v>90.47</x:v>
      </x:c>
      <x:c r="AD38" s="60" t="n">
        <x:v>92.1</x:v>
      </x:c>
      <x:c r="AE38" s="60" t="n">
        <x:v>89.1</x:v>
      </x:c>
      <x:c r="AF38" s="60" t="n">
        <x:v>93.1</x:v>
      </x:c>
      <x:c r="AG38" s="60" t="n">
        <x:v>87.2</x:v>
      </x:c>
      <x:c r="AH38" s="60" t="n">
        <x:v>93.2</x:v>
      </x:c>
      <x:c r="AI38" s="60" t="n">
        <x:v>86</x:v>
      </x:c>
      <x:c r="AJ38" s="60" t="n">
        <x:v>12</x:v>
      </x:c>
      <x:c r="AK38" s="60" t="n">
        <x:f>ROUND(((0.30*AD38+0.20*AE38+0.25*AF38+0.15*AG38+0.10*AI38)+(0.30*AH38+0.20*AF38+0.20*AE38+0.15*AI38+0.15*(100-AJ38)))/2,2)</x:f>
        <x:v>90.45</x:v>
      </x:c>
      <x:c r="AL38" s="60" t="n">
        <x:v>92.1</x:v>
      </x:c>
      <x:c r="AM38" s="60" t="n">
        <x:v>89.1</x:v>
      </x:c>
      <x:c r="AN38" s="60" t="n">
        <x:v>93.1</x:v>
      </x:c>
      <x:c r="AO38" s="60" t="n">
        <x:v>87.2</x:v>
      </x:c>
      <x:c r="AP38" s="60" t="n">
        <x:v>93.2</x:v>
      </x:c>
      <x:c r="AQ38" s="60" t="n">
        <x:v>86</x:v>
      </x:c>
      <x:c r="AR38" s="60" t="n">
        <x:v>12</x:v>
      </x:c>
      <x:c r="AS38" s="60" t="n">
        <x:f>ROUND(((0.30*AL38+0.20*AM38+0.25*AN38+0.15*AO38+0.10*AQ38)+(0.30*AP38+0.20*AN38+0.20*AM38+0.15*AQ38+0.15*(100-AR38)))/2,2)</x:f>
        <x:v>90.45</x:v>
      </x:c>
      <x:c r="AT38" s="60" t="n">
        <x:f>ROUND(AVERAGE(V38,AD38,AL38),1)</x:f>
        <x:v>92.1</x:v>
      </x:c>
      <x:c r="AU38" s="60" t="n">
        <x:f>ROUND(AVERAGE(W38,AE38,AM38),1)</x:f>
        <x:v>89.1</x:v>
      </x:c>
      <x:c r="AV38" s="60" t="n">
        <x:f>ROUND(AVERAGE(X38,AF38,AN38),1)</x:f>
        <x:v>93.1</x:v>
      </x:c>
      <x:c r="AW38" s="60" t="n">
        <x:f>ROUND(AVERAGE(Y38,AG38,AO38),1)</x:f>
        <x:v>87.2</x:v>
      </x:c>
      <x:c r="AX38" s="60" t="n">
        <x:f>ROUND(AVERAGE(Z38,AH38,AP38),1)</x:f>
        <x:v>93.2</x:v>
      </x:c>
      <x:c r="AY38" s="60" t="n">
        <x:f>ROUND(AVERAGE(AA38,AI38,AQ38),1)</x:f>
        <x:v>86</x:v>
      </x:c>
      <x:c r="AZ38" s="60" t="n">
        <x:f>ROUND(AVERAGE(AB38,AJ38,AR38),1)</x:f>
        <x:v>12</x:v>
      </x:c>
      <x:c r="BA38" s="59" t="n">
        <x:v>5</x:v>
      </x:c>
      <x:c r="BB38" s="60" t="n">
        <x:f>ROUND(0.30*AT38+0.20*AU38+0.25*AV38+0.15*AW38+0.10*AY38,2)</x:f>
        <x:v>90.4</x:v>
      </x:c>
      <x:c r="BC38" s="60" t="n">
        <x:f>ROUND(0.30*AX38+0.20*AV38+0.20*AU38+0.15*AY38+0.15*(100-AZ38),2)</x:f>
        <x:v>90.5</x:v>
      </x:c>
      <x:c r="BD38" s="60" t="n">
        <x:f>ROUND(AVERAGE(BB38,BC38),2)</x:f>
        <x:v>90.45</x:v>
      </x:c>
      <x:c r="BE38" s="60" t="n">
        <x:f>ROUND(BD38-U38,2)</x:f>
        <x:v>0.05</x:v>
      </x:c>
      <x:c r="BF38" s="60" t="n">
        <x:f>ROUND(STDEV.P(AC38,AK38,AS38),3)</x:f>
        <x:v>0.009</x:v>
      </x:c>
      <x:c r="BG38" s="59" t="str">
        <x:v>Top100</x:v>
      </x:c>
      <x:c r="BH38" s="59" t="str">
        <x:v>Top50三轮复核</x:v>
      </x:c>
      <x:c r="BI38" s="40" t="str">
        <x:v>三轮复核后与原表基本一致</x:v>
      </x:c>
    </x:row>
    <x:row r="39" ht="30" customHeight="1">
      <x:c r="A39" s="59" t="n">
        <x:v>38</x:v>
      </x:c>
      <x:c r="B39" s="59" t="n">
        <x:v>37</x:v>
      </x:c>
      <x:c r="C39" s="59" t="str">
        <x:v>2026-06</x:v>
      </x:c>
      <x:c r="D39" s="59" t="n">
        <x:v>19</x:v>
      </x:c>
      <x:c r="E39" s="59" t="str">
        <x:v>2606.08648</x:v>
      </x:c>
      <x:c r="F39" s="40" t="str">
        <x:v>On Brezis Open Problem 3.1</x:v>
      </x:c>
      <x:c r="G39" s="40" t="str">
        <x:v>Qi Guo; Xueping Huang; Yi C. Huang; Fanghua Lin; Juncheng Wei</x:v>
      </x:c>
      <x:c r="H39" s="40" t="str">
        <x:v>elliptic/geometric analysis</x:v>
      </x:c>
      <x:c r="I39" s="59" t="n">
        <x:v>20</x:v>
      </x:c>
      <x:c r="J39" s="40" t="str">
        <x:v>https://arxiv.org/abs/2606.08648</x:v>
      </x:c>
      <x:c r="K39" s="60" t="n">
        <x:v>92</x:v>
      </x:c>
      <x:c r="L39" s="60" t="n">
        <x:v>91</x:v>
      </x:c>
      <x:c r="M39" s="60" t="n">
        <x:v>91</x:v>
      </x:c>
      <x:c r="N39" s="60" t="n">
        <x:v>88</x:v>
      </x:c>
      <x:c r="O39" s="60" t="n">
        <x:v>92</x:v>
      </x:c>
      <x:c r="P39" s="60" t="n">
        <x:v>87</x:v>
      </x:c>
      <x:c r="Q39" s="60" t="n">
        <x:v>10</x:v>
      </x:c>
      <x:c r="R39" s="59" t="n">
        <x:v>4</x:v>
      </x:c>
      <x:c r="S39" s="60" t="n">
        <x:v>90.45</x:v>
      </x:c>
      <x:c r="T39" s="60" t="n">
        <x:v>90.55</x:v>
      </x:c>
      <x:c r="U39" s="60" t="n">
        <x:v>90.5</x:v>
      </x:c>
      <x:c r="V39" s="60" t="n">
        <x:v>92</x:v>
      </x:c>
      <x:c r="W39" s="60" t="n">
        <x:v>91</x:v>
      </x:c>
      <x:c r="X39" s="60" t="n">
        <x:v>90.8</x:v>
      </x:c>
      <x:c r="Y39" s="60" t="n">
        <x:v>88</x:v>
      </x:c>
      <x:c r="Z39" s="60" t="n">
        <x:v>91.9</x:v>
      </x:c>
      <x:c r="AA39" s="60" t="n">
        <x:v>87</x:v>
      </x:c>
      <x:c r="AB39" s="60" t="n">
        <x:v>10</x:v>
      </x:c>
      <x:c r="AC39" s="60" t="n">
        <x:f>ROUND(((0.30*V39+0.20*W39+0.25*X39+0.15*Y39+0.10*AA39)+(0.30*Z39+0.20*X39+0.20*W39+0.15*AA39+0.15*(100-AB39)))/2,2)</x:f>
        <x:v>90.44</x:v>
      </x:c>
      <x:c r="AD39" s="60" t="n">
        <x:v>92</x:v>
      </x:c>
      <x:c r="AE39" s="60" t="n">
        <x:v>91</x:v>
      </x:c>
      <x:c r="AF39" s="60" t="n">
        <x:v>90.9</x:v>
      </x:c>
      <x:c r="AG39" s="60" t="n">
        <x:v>88.1</x:v>
      </x:c>
      <x:c r="AH39" s="60" t="n">
        <x:v>91.9</x:v>
      </x:c>
      <x:c r="AI39" s="60" t="n">
        <x:v>87</x:v>
      </x:c>
      <x:c r="AJ39" s="60" t="n">
        <x:v>10.4</x:v>
      </x:c>
      <x:c r="AK39" s="60" t="n">
        <x:f>ROUND(((0.30*AD39+0.20*AE39+0.25*AF39+0.15*AG39+0.10*AI39)+(0.30*AH39+0.20*AF39+0.20*AE39+0.15*AI39+0.15*(100-AJ39)))/2,2)</x:f>
        <x:v>90.44</x:v>
      </x:c>
      <x:c r="AL39" s="60" t="n">
        <x:v>92</x:v>
      </x:c>
      <x:c r="AM39" s="60" t="n">
        <x:v>91</x:v>
      </x:c>
      <x:c r="AN39" s="60" t="n">
        <x:v>90.8</x:v>
      </x:c>
      <x:c r="AO39" s="60" t="n">
        <x:v>88</x:v>
      </x:c>
      <x:c r="AP39" s="60" t="n">
        <x:v>91.9</x:v>
      </x:c>
      <x:c r="AQ39" s="60" t="n">
        <x:v>87</x:v>
      </x:c>
      <x:c r="AR39" s="60" t="n">
        <x:v>10.5</x:v>
      </x:c>
      <x:c r="AS39" s="60" t="n">
        <x:f>ROUND(((0.30*AL39+0.20*AM39+0.25*AN39+0.15*AO39+0.10*AQ39)+(0.30*AP39+0.20*AN39+0.20*AM39+0.15*AQ39+0.15*(100-AR39)))/2,2)</x:f>
        <x:v>90.4</x:v>
      </x:c>
      <x:c r="AT39" s="60" t="n">
        <x:f>ROUND(AVERAGE(V39,AD39,AL39),1)</x:f>
        <x:v>92</x:v>
      </x:c>
      <x:c r="AU39" s="60" t="n">
        <x:f>ROUND(AVERAGE(W39,AE39,AM39),1)</x:f>
        <x:v>91</x:v>
      </x:c>
      <x:c r="AV39" s="60" t="n">
        <x:f>ROUND(AVERAGE(X39,AF39,AN39),1)</x:f>
        <x:v>90.8</x:v>
      </x:c>
      <x:c r="AW39" s="60" t="n">
        <x:f>ROUND(AVERAGE(Y39,AG39,AO39),1)</x:f>
        <x:v>88</x:v>
      </x:c>
      <x:c r="AX39" s="60" t="n">
        <x:f>ROUND(AVERAGE(Z39,AH39,AP39),1)</x:f>
        <x:v>91.9</x:v>
      </x:c>
      <x:c r="AY39" s="60" t="n">
        <x:f>ROUND(AVERAGE(AA39,AI39,AQ39),1)</x:f>
        <x:v>87</x:v>
      </x:c>
      <x:c r="AZ39" s="60" t="n">
        <x:f>ROUND(AVERAGE(AB39,AJ39,AR39),1)</x:f>
        <x:v>10.3</x:v>
      </x:c>
      <x:c r="BA39" s="59" t="n">
        <x:v>4</x:v>
      </x:c>
      <x:c r="BB39" s="60" t="n">
        <x:f>ROUND(0.30*AT39+0.20*AU39+0.25*AV39+0.15*AW39+0.10*AY39,2)</x:f>
        <x:v>90.4</x:v>
      </x:c>
      <x:c r="BC39" s="60" t="n">
        <x:f>ROUND(0.30*AX39+0.20*AV39+0.20*AU39+0.15*AY39+0.15*(100-AZ39),2)</x:f>
        <x:v>90.44</x:v>
      </x:c>
      <x:c r="BD39" s="60" t="n">
        <x:f>ROUND(AVERAGE(BB39,BC39),2)</x:f>
        <x:v>90.42</x:v>
      </x:c>
      <x:c r="BE39" s="60" t="n">
        <x:f>ROUND(BD39-U39,2)</x:f>
        <x:v>-0.08</x:v>
      </x:c>
      <x:c r="BF39" s="60" t="n">
        <x:f>ROUND(STDEV.P(AC39,AK39,AS39),3)</x:f>
        <x:v>0.019</x:v>
      </x:c>
      <x:c r="BG39" s="59" t="str">
        <x:v>Top100</x:v>
      </x:c>
      <x:c r="BH39" s="59" t="str">
        <x:v>Top50三轮复核</x:v>
      </x:c>
      <x:c r="BI39" s="40" t="str">
        <x:v>短文且非框架性题材，技术残差轻微回调；Brezis公开问题稿件保持原先高分附近，未做正确性认证。</x:v>
      </x:c>
    </x:row>
    <x:row r="40" ht="30" customHeight="1">
      <x:c r="A40" s="59" t="n">
        <x:v>39</x:v>
      </x:c>
      <x:c r="B40" s="59" t="n">
        <x:v>40</x:v>
      </x:c>
      <x:c r="C40" s="59" t="str">
        <x:v>2026-06</x:v>
      </x:c>
      <x:c r="D40" s="59" t="n">
        <x:v>20</x:v>
      </x:c>
      <x:c r="E40" s="59" t="str">
        <x:v>2606.29993</x:v>
      </x:c>
      <x:c r="F40" s="40" t="str">
        <x:v>Strichartz Estimates for the Liouville Equation on Euclidean Tori and Applications to Kakeya</x:v>
      </x:c>
      <x:c r="G40" s="40" t="str">
        <x:v>Pierre Germain; Mickael Latocca</x:v>
      </x:c>
      <x:c r="H40" s="40" t="str">
        <x:v>harmonic/dispersive analysis</x:v>
      </x:c>
      <x:c r="I40" s="59"/>
      <x:c r="J40" s="40" t="str">
        <x:v>https://arxiv.org/abs/2606.29993</x:v>
      </x:c>
      <x:c r="K40" s="60" t="n">
        <x:v>92</x:v>
      </x:c>
      <x:c r="L40" s="60" t="n">
        <x:v>90</x:v>
      </x:c>
      <x:c r="M40" s="60" t="n">
        <x:v>92</x:v>
      </x:c>
      <x:c r="N40" s="60" t="n">
        <x:v>89</x:v>
      </x:c>
      <x:c r="O40" s="60" t="n">
        <x:v>92</x:v>
      </x:c>
      <x:c r="P40" s="60" t="n">
        <x:v>86</x:v>
      </x:c>
      <x:c r="Q40" s="60" t="n">
        <x:v>11</x:v>
      </x:c>
      <x:c r="R40" s="59" t="n">
        <x:v>4</x:v>
      </x:c>
      <x:c r="S40" s="60" t="n">
        <x:v>90.54999999999998</x:v>
      </x:c>
      <x:c r="T40" s="60" t="n">
        <x:v>90.25</x:v>
      </x:c>
      <x:c r="U40" s="60" t="n">
        <x:v>90.39999999999999</x:v>
      </x:c>
      <x:c r="V40" s="60" t="n">
        <x:v>92</x:v>
      </x:c>
      <x:c r="W40" s="60" t="n">
        <x:v>90</x:v>
      </x:c>
      <x:c r="X40" s="60" t="n">
        <x:v>92</x:v>
      </x:c>
      <x:c r="Y40" s="60" t="n">
        <x:v>89</x:v>
      </x:c>
      <x:c r="Z40" s="60" t="n">
        <x:v>92</x:v>
      </x:c>
      <x:c r="AA40" s="60" t="n">
        <x:v>86</x:v>
      </x:c>
      <x:c r="AB40" s="60" t="n">
        <x:v>11</x:v>
      </x:c>
      <x:c r="AC40" s="60" t="n">
        <x:f>ROUND(((0.30*V40+0.20*W40+0.25*X40+0.15*Y40+0.10*AA40)+(0.30*Z40+0.20*X40+0.20*W40+0.15*AA40+0.15*(100-AB40)))/2,2)</x:f>
        <x:v>90.4</x:v>
      </x:c>
      <x:c r="AD40" s="60" t="n">
        <x:v>92</x:v>
      </x:c>
      <x:c r="AE40" s="60" t="n">
        <x:v>90</x:v>
      </x:c>
      <x:c r="AF40" s="60" t="n">
        <x:v>92</x:v>
      </x:c>
      <x:c r="AG40" s="60" t="n">
        <x:v>89.1</x:v>
      </x:c>
      <x:c r="AH40" s="60" t="n">
        <x:v>92</x:v>
      </x:c>
      <x:c r="AI40" s="60" t="n">
        <x:v>86</x:v>
      </x:c>
      <x:c r="AJ40" s="60" t="n">
        <x:v>11</x:v>
      </x:c>
      <x:c r="AK40" s="60" t="n">
        <x:f>ROUND(((0.30*AD40+0.20*AE40+0.25*AF40+0.15*AG40+0.10*AI40)+(0.30*AH40+0.20*AF40+0.20*AE40+0.15*AI40+0.15*(100-AJ40)))/2,2)</x:f>
        <x:v>90.41</x:v>
      </x:c>
      <x:c r="AL40" s="60" t="n">
        <x:v>92</x:v>
      </x:c>
      <x:c r="AM40" s="60" t="n">
        <x:v>90</x:v>
      </x:c>
      <x:c r="AN40" s="60" t="n">
        <x:v>92</x:v>
      </x:c>
      <x:c r="AO40" s="60" t="n">
        <x:v>89</x:v>
      </x:c>
      <x:c r="AP40" s="60" t="n">
        <x:v>92</x:v>
      </x:c>
      <x:c r="AQ40" s="60" t="n">
        <x:v>86</x:v>
      </x:c>
      <x:c r="AR40" s="60" t="n">
        <x:v>11</x:v>
      </x:c>
      <x:c r="AS40" s="60" t="n">
        <x:f>ROUND(((0.30*AL40+0.20*AM40+0.25*AN40+0.15*AO40+0.10*AQ40)+(0.30*AP40+0.20*AN40+0.20*AM40+0.15*AQ40+0.15*(100-AR40)))/2,2)</x:f>
        <x:v>90.4</x:v>
      </x:c>
      <x:c r="AT40" s="60" t="n">
        <x:f>ROUND(AVERAGE(V40,AD40,AL40),1)</x:f>
        <x:v>92</x:v>
      </x:c>
      <x:c r="AU40" s="60" t="n">
        <x:f>ROUND(AVERAGE(W40,AE40,AM40),1)</x:f>
        <x:v>90</x:v>
      </x:c>
      <x:c r="AV40" s="60" t="n">
        <x:f>ROUND(AVERAGE(X40,AF40,AN40),1)</x:f>
        <x:v>92</x:v>
      </x:c>
      <x:c r="AW40" s="60" t="n">
        <x:f>ROUND(AVERAGE(Y40,AG40,AO40),1)</x:f>
        <x:v>89</x:v>
      </x:c>
      <x:c r="AX40" s="60" t="n">
        <x:f>ROUND(AVERAGE(Z40,AH40,AP40),1)</x:f>
        <x:v>92</x:v>
      </x:c>
      <x:c r="AY40" s="60" t="n">
        <x:f>ROUND(AVERAGE(AA40,AI40,AQ40),1)</x:f>
        <x:v>86</x:v>
      </x:c>
      <x:c r="AZ40" s="60" t="n">
        <x:f>ROUND(AVERAGE(AB40,AJ40,AR40),1)</x:f>
        <x:v>11</x:v>
      </x:c>
      <x:c r="BA40" s="59" t="n">
        <x:v>4</x:v>
      </x:c>
      <x:c r="BB40" s="60" t="n">
        <x:f>ROUND(0.30*AT40+0.20*AU40+0.25*AV40+0.15*AW40+0.10*AY40,2)</x:f>
        <x:v>90.55</x:v>
      </x:c>
      <x:c r="BC40" s="60" t="n">
        <x:f>ROUND(0.30*AX40+0.20*AV40+0.20*AU40+0.15*AY40+0.15*(100-AZ40),2)</x:f>
        <x:v>90.25</x:v>
      </x:c>
      <x:c r="BD40" s="60" t="n">
        <x:f>ROUND(AVERAGE(BB40,BC40),2)</x:f>
        <x:v>90.4</x:v>
      </x:c>
      <x:c r="BE40" s="60" t="n">
        <x:f>ROUND(BD40-U40,2)</x:f>
        <x:v>0</x:v>
      </x:c>
      <x:c r="BF40" s="60" t="n">
        <x:f>ROUND(STDEV.P(AC40,AK40,AS40),3)</x:f>
        <x:v>0.005</x:v>
      </x:c>
      <x:c r="BG40" s="59" t="str">
        <x:v>Top100</x:v>
      </x:c>
      <x:c r="BH40" s="59" t="str">
        <x:v>Top50三轮复核</x:v>
      </x:c>
      <x:c r="BI40" s="40" t="str">
        <x:v>三轮复核后与原表基本一致</x:v>
      </x:c>
    </x:row>
    <x:row r="41" ht="30" customHeight="1">
      <x:c r="A41" s="59" t="n">
        <x:v>40</x:v>
      </x:c>
      <x:c r="B41" s="59" t="n">
        <x:v>41</x:v>
      </x:c>
      <x:c r="C41" s="59" t="str">
        <x:v>2026-06</x:v>
      </x:c>
      <x:c r="D41" s="59" t="n">
        <x:v>21</x:v>
      </x:c>
      <x:c r="E41" s="59" t="str">
        <x:v>2606.03749</x:v>
      </x:c>
      <x:c r="F41" s="40" t="str">
        <x:v>A Density-Distance Version of the Carlen--Frank--Lieb Stability Theorem</x:v>
      </x:c>
      <x:c r="G41" s="40" t="str">
        <x:v>Gangsong Leng</x:v>
      </x:c>
      <x:c r="H41" s="40" t="str">
        <x:v>sharp inequalities/stability</x:v>
      </x:c>
      <x:c r="I41" s="59"/>
      <x:c r="J41" s="40" t="str">
        <x:v>https://arxiv.org/abs/2606.03749</x:v>
      </x:c>
      <x:c r="K41" s="60" t="n">
        <x:v>92</x:v>
      </x:c>
      <x:c r="L41" s="60" t="n">
        <x:v>91</x:v>
      </x:c>
      <x:c r="M41" s="60" t="n">
        <x:v>91</x:v>
      </x:c>
      <x:c r="N41" s="60" t="n">
        <x:v>89</x:v>
      </x:c>
      <x:c r="O41" s="60" t="n">
        <x:v>91</x:v>
      </x:c>
      <x:c r="P41" s="60" t="n">
        <x:v>87</x:v>
      </x:c>
      <x:c r="Q41" s="60" t="n">
        <x:v>11</x:v>
      </x:c>
      <x:c r="R41" s="59" t="n">
        <x:v>4</x:v>
      </x:c>
      <x:c r="S41" s="60" t="n">
        <x:v>90.6</x:v>
      </x:c>
      <x:c r="T41" s="60" t="n">
        <x:v>90.1</x:v>
      </x:c>
      <x:c r="U41" s="60" t="n">
        <x:v>90.35</x:v>
      </x:c>
      <x:c r="V41" s="60" t="n">
        <x:v>92</x:v>
      </x:c>
      <x:c r="W41" s="60" t="n">
        <x:v>91.2</x:v>
      </x:c>
      <x:c r="X41" s="60" t="n">
        <x:v>91</x:v>
      </x:c>
      <x:c r="Y41" s="60" t="n">
        <x:v>89.2</x:v>
      </x:c>
      <x:c r="Z41" s="60" t="n">
        <x:v>91.1</x:v>
      </x:c>
      <x:c r="AA41" s="60" t="n">
        <x:v>87</x:v>
      </x:c>
      <x:c r="AB41" s="60" t="n">
        <x:v>11</x:v>
      </x:c>
      <x:c r="AC41" s="60" t="n">
        <x:f>ROUND(((0.30*V41+0.20*W41+0.25*X41+0.15*Y41+0.10*AA41)+(0.30*Z41+0.20*X41+0.20*W41+0.15*AA41+0.15*(100-AB41)))/2,2)</x:f>
        <x:v>90.42</x:v>
      </x:c>
      <x:c r="AD41" s="60" t="n">
        <x:v>92</x:v>
      </x:c>
      <x:c r="AE41" s="60" t="n">
        <x:v>91.1</x:v>
      </x:c>
      <x:c r="AF41" s="60" t="n">
        <x:v>91</x:v>
      </x:c>
      <x:c r="AG41" s="60" t="n">
        <x:v>89.2</x:v>
      </x:c>
      <x:c r="AH41" s="60" t="n">
        <x:v>91.1</x:v>
      </x:c>
      <x:c r="AI41" s="60" t="n">
        <x:v>87</x:v>
      </x:c>
      <x:c r="AJ41" s="60" t="n">
        <x:v>11</x:v>
      </x:c>
      <x:c r="AK41" s="60" t="n">
        <x:f>ROUND(((0.30*AD41+0.20*AE41+0.25*AF41+0.15*AG41+0.10*AI41)+(0.30*AH41+0.20*AF41+0.20*AE41+0.15*AI41+0.15*(100-AJ41)))/2,2)</x:f>
        <x:v>90.4</x:v>
      </x:c>
      <x:c r="AL41" s="60" t="n">
        <x:v>92</x:v>
      </x:c>
      <x:c r="AM41" s="60" t="n">
        <x:v>91.1</x:v>
      </x:c>
      <x:c r="AN41" s="60" t="n">
        <x:v>91</x:v>
      </x:c>
      <x:c r="AO41" s="60" t="n">
        <x:v>89.2</x:v>
      </x:c>
      <x:c r="AP41" s="60" t="n">
        <x:v>91.1</x:v>
      </x:c>
      <x:c r="AQ41" s="60" t="n">
        <x:v>87</x:v>
      </x:c>
      <x:c r="AR41" s="60" t="n">
        <x:v>11</x:v>
      </x:c>
      <x:c r="AS41" s="60" t="n">
        <x:f>ROUND(((0.30*AL41+0.20*AM41+0.25*AN41+0.15*AO41+0.10*AQ41)+(0.30*AP41+0.20*AN41+0.20*AM41+0.15*AQ41+0.15*(100-AR41)))/2,2)</x:f>
        <x:v>90.4</x:v>
      </x:c>
      <x:c r="AT41" s="60" t="n">
        <x:f>ROUND(AVERAGE(V41,AD41,AL41),1)</x:f>
        <x:v>92</x:v>
      </x:c>
      <x:c r="AU41" s="60" t="n">
        <x:f>ROUND(AVERAGE(W41,AE41,AM41),1)</x:f>
        <x:v>91.1</x:v>
      </x:c>
      <x:c r="AV41" s="60" t="n">
        <x:f>ROUND(AVERAGE(X41,AF41,AN41),1)</x:f>
        <x:v>91</x:v>
      </x:c>
      <x:c r="AW41" s="60" t="n">
        <x:f>ROUND(AVERAGE(Y41,AG41,AO41),1)</x:f>
        <x:v>89.2</x:v>
      </x:c>
      <x:c r="AX41" s="60" t="n">
        <x:f>ROUND(AVERAGE(Z41,AH41,AP41),1)</x:f>
        <x:v>91.1</x:v>
      </x:c>
      <x:c r="AY41" s="60" t="n">
        <x:f>ROUND(AVERAGE(AA41,AI41,AQ41),1)</x:f>
        <x:v>87</x:v>
      </x:c>
      <x:c r="AZ41" s="60" t="n">
        <x:f>ROUND(AVERAGE(AB41,AJ41,AR41),1)</x:f>
        <x:v>11</x:v>
      </x:c>
      <x:c r="BA41" s="59" t="n">
        <x:v>4</x:v>
      </x:c>
      <x:c r="BB41" s="60" t="n">
        <x:f>ROUND(0.30*AT41+0.20*AU41+0.25*AV41+0.15*AW41+0.10*AY41,2)</x:f>
        <x:v>90.65</x:v>
      </x:c>
      <x:c r="BC41" s="60" t="n">
        <x:f>ROUND(0.30*AX41+0.20*AV41+0.20*AU41+0.15*AY41+0.15*(100-AZ41),2)</x:f>
        <x:v>90.15</x:v>
      </x:c>
      <x:c r="BD41" s="60" t="n">
        <x:f>ROUND(AVERAGE(BB41,BC41),2)</x:f>
        <x:v>90.4</x:v>
      </x:c>
      <x:c r="BE41" s="60" t="n">
        <x:f>ROUND(BD41-U41,2)</x:f>
        <x:v>0.05</x:v>
      </x:c>
      <x:c r="BF41" s="60" t="n">
        <x:f>ROUND(STDEV.P(AC41,AK41,AS41),3)</x:f>
        <x:v>0.009</x:v>
      </x:c>
      <x:c r="BG41" s="59" t="str">
        <x:v>Top100</x:v>
      </x:c>
      <x:c r="BH41" s="59" t="str">
        <x:v>Top50三轮复核</x:v>
      </x:c>
      <x:c r="BI41" s="40" t="str">
        <x:v>三轮复核后与原表基本一致</x:v>
      </x:c>
    </x:row>
    <x:row r="42" ht="30" customHeight="1">
      <x:c r="A42" s="59" t="n">
        <x:v>41</x:v>
      </x:c>
      <x:c r="B42" s="59" t="n">
        <x:v>38</x:v>
      </x:c>
      <x:c r="C42" s="59" t="str">
        <x:v>2026-05</x:v>
      </x:c>
      <x:c r="D42" s="59" t="n">
        <x:v>19</x:v>
      </x:c>
      <x:c r="E42" s="59" t="str">
        <x:v>2605.00189</x:v>
      </x:c>
      <x:c r="F42" s="40" t="str">
        <x:v>Local Asymptotic Patterns for Viscous Approximations of Conservation Laws</x:v>
      </x:c>
      <x:c r="G42" s="40" t="str">
        <x:v>Alberto Bressan; Laura Caravenna; Wen Shen</x:v>
      </x:c>
      <x:c r="H42" s="40" t="str">
        <x:v>Conservation laws</x:v>
      </x:c>
      <x:c r="I42" s="59"/>
      <x:c r="J42" s="40" t="str">
        <x:v>https://arxiv.org/abs/2605.00189</x:v>
      </x:c>
      <x:c r="K42" s="60" t="n">
        <x:v>92</x:v>
      </x:c>
      <x:c r="L42" s="60" t="n">
        <x:v>90</x:v>
      </x:c>
      <x:c r="M42" s="60" t="n">
        <x:v>92</x:v>
      </x:c>
      <x:c r="N42" s="60" t="n">
        <x:v>87</x:v>
      </x:c>
      <x:c r="O42" s="60" t="n">
        <x:v>92</x:v>
      </x:c>
      <x:c r="P42" s="60" t="n">
        <x:v>87</x:v>
      </x:c>
      <x:c r="Q42" s="60" t="n">
        <x:v>12</x:v>
      </x:c>
      <x:c r="R42" s="59" t="n">
        <x:v>5</x:v>
      </x:c>
      <x:c r="S42" s="60" t="n">
        <x:v>90.4</x:v>
      </x:c>
      <x:c r="T42" s="60" t="n">
        <x:v>90.3</x:v>
      </x:c>
      <x:c r="U42" s="60" t="n">
        <x:v>90.4</x:v>
      </x:c>
      <x:c r="V42" s="60" t="n">
        <x:v>92.1</x:v>
      </x:c>
      <x:c r="W42" s="60" t="n">
        <x:v>90</x:v>
      </x:c>
      <x:c r="X42" s="60" t="n">
        <x:v>92.1</x:v>
      </x:c>
      <x:c r="Y42" s="60" t="n">
        <x:v>87</x:v>
      </x:c>
      <x:c r="Z42" s="60" t="n">
        <x:v>92.1</x:v>
      </x:c>
      <x:c r="AA42" s="60" t="n">
        <x:v>87</x:v>
      </x:c>
      <x:c r="AB42" s="60" t="n">
        <x:v>12</x:v>
      </x:c>
      <x:c r="AC42" s="60" t="n">
        <x:f>ROUND(((0.30*V42+0.20*W42+0.25*X42+0.15*Y42+0.10*AA42)+(0.30*Z42+0.20*X42+0.20*W42+0.15*AA42+0.15*(100-AB42)))/2,2)</x:f>
        <x:v>90.35</x:v>
      </x:c>
      <x:c r="AD42" s="60" t="n">
        <x:v>92.1</x:v>
      </x:c>
      <x:c r="AE42" s="60" t="n">
        <x:v>90</x:v>
      </x:c>
      <x:c r="AF42" s="60" t="n">
        <x:v>92.1</x:v>
      </x:c>
      <x:c r="AG42" s="60" t="n">
        <x:v>87.1</x:v>
      </x:c>
      <x:c r="AH42" s="60" t="n">
        <x:v>92.1</x:v>
      </x:c>
      <x:c r="AI42" s="60" t="n">
        <x:v>87</x:v>
      </x:c>
      <x:c r="AJ42" s="60" t="n">
        <x:v>12</x:v>
      </x:c>
      <x:c r="AK42" s="60" t="n">
        <x:f>ROUND(((0.30*AD42+0.20*AE42+0.25*AF42+0.15*AG42+0.10*AI42)+(0.30*AH42+0.20*AF42+0.20*AE42+0.15*AI42+0.15*(100-AJ42)))/2,2)</x:f>
        <x:v>90.36</x:v>
      </x:c>
      <x:c r="AL42" s="60" t="n">
        <x:v>92.1</x:v>
      </x:c>
      <x:c r="AM42" s="60" t="n">
        <x:v>90</x:v>
      </x:c>
      <x:c r="AN42" s="60" t="n">
        <x:v>92.1</x:v>
      </x:c>
      <x:c r="AO42" s="60" t="n">
        <x:v>87</x:v>
      </x:c>
      <x:c r="AP42" s="60" t="n">
        <x:v>92.1</x:v>
      </x:c>
      <x:c r="AQ42" s="60" t="n">
        <x:v>87</x:v>
      </x:c>
      <x:c r="AR42" s="60" t="n">
        <x:v>12</x:v>
      </x:c>
      <x:c r="AS42" s="60" t="n">
        <x:f>ROUND(((0.30*AL42+0.20*AM42+0.25*AN42+0.15*AO42+0.10*AQ42)+(0.30*AP42+0.20*AN42+0.20*AM42+0.15*AQ42+0.15*(100-AR42)))/2,2)</x:f>
        <x:v>90.35</x:v>
      </x:c>
      <x:c r="AT42" s="60" t="n">
        <x:f>ROUND(AVERAGE(V42,AD42,AL42),1)</x:f>
        <x:v>92.1</x:v>
      </x:c>
      <x:c r="AU42" s="60" t="n">
        <x:f>ROUND(AVERAGE(W42,AE42,AM42),1)</x:f>
        <x:v>90</x:v>
      </x:c>
      <x:c r="AV42" s="60" t="n">
        <x:f>ROUND(AVERAGE(X42,AF42,AN42),1)</x:f>
        <x:v>92.1</x:v>
      </x:c>
      <x:c r="AW42" s="60" t="n">
        <x:f>ROUND(AVERAGE(Y42,AG42,AO42),1)</x:f>
        <x:v>87</x:v>
      </x:c>
      <x:c r="AX42" s="60" t="n">
        <x:f>ROUND(AVERAGE(Z42,AH42,AP42),1)</x:f>
        <x:v>92.1</x:v>
      </x:c>
      <x:c r="AY42" s="60" t="n">
        <x:f>ROUND(AVERAGE(AA42,AI42,AQ42),1)</x:f>
        <x:v>87</x:v>
      </x:c>
      <x:c r="AZ42" s="60" t="n">
        <x:f>ROUND(AVERAGE(AB42,AJ42,AR42),1)</x:f>
        <x:v>12</x:v>
      </x:c>
      <x:c r="BA42" s="59" t="n">
        <x:v>5</x:v>
      </x:c>
      <x:c r="BB42" s="60" t="n">
        <x:f>ROUND(0.30*AT42+0.20*AU42+0.25*AV42+0.15*AW42+0.10*AY42,2)</x:f>
        <x:v>90.41</x:v>
      </x:c>
      <x:c r="BC42" s="60" t="n">
        <x:f>ROUND(0.30*AX42+0.20*AV42+0.20*AU42+0.15*AY42+0.15*(100-AZ42),2)</x:f>
        <x:v>90.3</x:v>
      </x:c>
      <x:c r="BD42" s="60" t="n">
        <x:f>ROUND(AVERAGE(BB42,BC42),2)</x:f>
        <x:v>90.35</x:v>
      </x:c>
      <x:c r="BE42" s="60" t="n">
        <x:f>ROUND(BD42-U42,2)</x:f>
        <x:v>-0.05</x:v>
      </x:c>
      <x:c r="BF42" s="60" t="n">
        <x:f>ROUND(STDEV.P(AC42,AK42,AS42),3)</x:f>
        <x:v>0.005</x:v>
      </x:c>
      <x:c r="BG42" s="59" t="str">
        <x:v>Top100</x:v>
      </x:c>
      <x:c r="BH42" s="59" t="str">
        <x:v>Top50三轮复核</x:v>
      </x:c>
      <x:c r="BI42" s="40" t="str">
        <x:v>三轮复核后与原表基本一致</x:v>
      </x:c>
    </x:row>
    <x:row r="43" ht="30" customHeight="1">
      <x:c r="A43" s="59" t="n">
        <x:v>42</x:v>
      </x:c>
      <x:c r="B43" s="59" t="n">
        <x:v>42</x:v>
      </x:c>
      <x:c r="C43" s="59" t="str">
        <x:v>2026-05</x:v>
      </x:c>
      <x:c r="D43" s="59" t="n">
        <x:v>21</x:v>
      </x:c>
      <x:c r="E43" s="59" t="str">
        <x:v>2605.10788</x:v>
      </x:c>
      <x:c r="F43" s="40" t="str">
        <x:v>Entropy Structures and Long-Time Relaxation for 3-Wave Kinetic Equations</x:v>
      </x:c>
      <x:c r="G43" s="40" t="str">
        <x:v>Gigliola Staffilani; Minh-Binh Tran</x:v>
      </x:c>
      <x:c r="H43" s="40" t="str">
        <x:v>Wave kinetic equations</x:v>
      </x:c>
      <x:c r="I43" s="59"/>
      <x:c r="J43" s="40" t="str">
        <x:v>https://arxiv.org/abs/2605.10788</x:v>
      </x:c>
      <x:c r="K43" s="60" t="n">
        <x:v>92</x:v>
      </x:c>
      <x:c r="L43" s="60" t="n">
        <x:v>90</x:v>
      </x:c>
      <x:c r="M43" s="60" t="n">
        <x:v>92</x:v>
      </x:c>
      <x:c r="N43" s="60" t="n">
        <x:v>88</x:v>
      </x:c>
      <x:c r="O43" s="60" t="n">
        <x:v>92</x:v>
      </x:c>
      <x:c r="P43" s="60" t="n">
        <x:v>86</x:v>
      </x:c>
      <x:c r="Q43" s="60" t="n">
        <x:v>12</x:v>
      </x:c>
      <x:c r="R43" s="59" t="n">
        <x:v>5</x:v>
      </x:c>
      <x:c r="S43" s="60" t="n">
        <x:v>90.4</x:v>
      </x:c>
      <x:c r="T43" s="60" t="n">
        <x:v>90.1</x:v>
      </x:c>
      <x:c r="U43" s="60" t="n">
        <x:v>90.3</x:v>
      </x:c>
      <x:c r="V43" s="60" t="n">
        <x:v>92</x:v>
      </x:c>
      <x:c r="W43" s="60" t="n">
        <x:v>90.2</x:v>
      </x:c>
      <x:c r="X43" s="60" t="n">
        <x:v>92</x:v>
      </x:c>
      <x:c r="Y43" s="60" t="n">
        <x:v>88.2</x:v>
      </x:c>
      <x:c r="Z43" s="60" t="n">
        <x:v>92.1</x:v>
      </x:c>
      <x:c r="AA43" s="60" t="n">
        <x:v>86</x:v>
      </x:c>
      <x:c r="AB43" s="60" t="n">
        <x:v>12</x:v>
      </x:c>
      <x:c r="AC43" s="60" t="n">
        <x:f>ROUND(((0.30*V43+0.20*W43+0.25*X43+0.15*Y43+0.10*AA43)+(0.30*Z43+0.20*X43+0.20*W43+0.15*AA43+0.15*(100-AB43)))/2,2)</x:f>
        <x:v>90.32</x:v>
      </x:c>
      <x:c r="AD43" s="60" t="n">
        <x:v>92</x:v>
      </x:c>
      <x:c r="AE43" s="60" t="n">
        <x:v>90.1</x:v>
      </x:c>
      <x:c r="AF43" s="60" t="n">
        <x:v>92</x:v>
      </x:c>
      <x:c r="AG43" s="60" t="n">
        <x:v>88.2</x:v>
      </x:c>
      <x:c r="AH43" s="60" t="n">
        <x:v>92.1</x:v>
      </x:c>
      <x:c r="AI43" s="60" t="n">
        <x:v>86</x:v>
      </x:c>
      <x:c r="AJ43" s="60" t="n">
        <x:v>12</x:v>
      </x:c>
      <x:c r="AK43" s="60" t="n">
        <x:f>ROUND(((0.30*AD43+0.20*AE43+0.25*AF43+0.15*AG43+0.10*AI43)+(0.30*AH43+0.20*AF43+0.20*AE43+0.15*AI43+0.15*(100-AJ43)))/2,2)</x:f>
        <x:v>90.3</x:v>
      </x:c>
      <x:c r="AL43" s="60" t="n">
        <x:v>92</x:v>
      </x:c>
      <x:c r="AM43" s="60" t="n">
        <x:v>90.1</x:v>
      </x:c>
      <x:c r="AN43" s="60" t="n">
        <x:v>92</x:v>
      </x:c>
      <x:c r="AO43" s="60" t="n">
        <x:v>88.2</x:v>
      </x:c>
      <x:c r="AP43" s="60" t="n">
        <x:v>92.1</x:v>
      </x:c>
      <x:c r="AQ43" s="60" t="n">
        <x:v>86</x:v>
      </x:c>
      <x:c r="AR43" s="60" t="n">
        <x:v>12</x:v>
      </x:c>
      <x:c r="AS43" s="60" t="n">
        <x:f>ROUND(((0.30*AL43+0.20*AM43+0.25*AN43+0.15*AO43+0.10*AQ43)+(0.30*AP43+0.20*AN43+0.20*AM43+0.15*AQ43+0.15*(100-AR43)))/2,2)</x:f>
        <x:v>90.3</x:v>
      </x:c>
      <x:c r="AT43" s="60" t="n">
        <x:f>ROUND(AVERAGE(V43,AD43,AL43),1)</x:f>
        <x:v>92</x:v>
      </x:c>
      <x:c r="AU43" s="60" t="n">
        <x:f>ROUND(AVERAGE(W43,AE43,AM43),1)</x:f>
        <x:v>90.1</x:v>
      </x:c>
      <x:c r="AV43" s="60" t="n">
        <x:f>ROUND(AVERAGE(X43,AF43,AN43),1)</x:f>
        <x:v>92</x:v>
      </x:c>
      <x:c r="AW43" s="60" t="n">
        <x:f>ROUND(AVERAGE(Y43,AG43,AO43),1)</x:f>
        <x:v>88.2</x:v>
      </x:c>
      <x:c r="AX43" s="60" t="n">
        <x:f>ROUND(AVERAGE(Z43,AH43,AP43),1)</x:f>
        <x:v>92.1</x:v>
      </x:c>
      <x:c r="AY43" s="60" t="n">
        <x:f>ROUND(AVERAGE(AA43,AI43,AQ43),1)</x:f>
        <x:v>86</x:v>
      </x:c>
      <x:c r="AZ43" s="60" t="n">
        <x:f>ROUND(AVERAGE(AB43,AJ43,AR43),1)</x:f>
        <x:v>12</x:v>
      </x:c>
      <x:c r="BA43" s="59" t="n">
        <x:v>5</x:v>
      </x:c>
      <x:c r="BB43" s="60" t="n">
        <x:f>ROUND(0.30*AT43+0.20*AU43+0.25*AV43+0.15*AW43+0.10*AY43,2)</x:f>
        <x:v>90.45</x:v>
      </x:c>
      <x:c r="BC43" s="60" t="n">
        <x:f>ROUND(0.30*AX43+0.20*AV43+0.20*AU43+0.15*AY43+0.15*(100-AZ43),2)</x:f>
        <x:v>90.15</x:v>
      </x:c>
      <x:c r="BD43" s="60" t="n">
        <x:f>ROUND(AVERAGE(BB43,BC43),2)</x:f>
        <x:v>90.3</x:v>
      </x:c>
      <x:c r="BE43" s="60" t="n">
        <x:f>ROUND(BD43-U43,2)</x:f>
        <x:v>0</x:v>
      </x:c>
      <x:c r="BF43" s="60" t="n">
        <x:f>ROUND(STDEV.P(AC43,AK43,AS43),3)</x:f>
        <x:v>0.009</x:v>
      </x:c>
      <x:c r="BG43" s="59" t="str">
        <x:v>Top100</x:v>
      </x:c>
      <x:c r="BH43" s="59" t="str">
        <x:v>Top50三轮复核</x:v>
      </x:c>
      <x:c r="BI43" s="40" t="str">
        <x:v>三轮复核后与原表基本一致</x:v>
      </x:c>
    </x:row>
    <x:row r="44" ht="30" customHeight="1">
      <x:c r="A44" s="59" t="n">
        <x:v>43</x:v>
      </x:c>
      <x:c r="B44" s="59" t="n">
        <x:v>44</x:v>
      </x:c>
      <x:c r="C44" s="59" t="str">
        <x:v>2026-06</x:v>
      </x:c>
      <x:c r="D44" s="59" t="n">
        <x:v>22</x:v>
      </x:c>
      <x:c r="E44" s="59" t="str">
        <x:v>2606.14308</x:v>
      </x:c>
      <x:c r="F44" s="40" t="str">
        <x:v>Non-uniqueness of global-in-time admissible weak solutions to the isentropic compressible Euler equations for a dense set of initial data</x:v>
      </x:c>
      <x:c r="G44" s="40" t="str">
        <x:v>Daniel W. Boutros; Simon Markfelder</x:v>
      </x:c>
      <x:c r="H44" s="40" t="str">
        <x:v>Euler/convex integration</x:v>
      </x:c>
      <x:c r="I44" s="59"/>
      <x:c r="J44" s="40" t="str">
        <x:v>https://arxiv.org/abs/2606.14308</x:v>
      </x:c>
      <x:c r="K44" s="60" t="n">
        <x:v>93</x:v>
      </x:c>
      <x:c r="L44" s="60" t="n">
        <x:v>90</x:v>
      </x:c>
      <x:c r="M44" s="60" t="n">
        <x:v>92</x:v>
      </x:c>
      <x:c r="N44" s="60" t="n">
        <x:v>88</x:v>
      </x:c>
      <x:c r="O44" s="60" t="n">
        <x:v>92</x:v>
      </x:c>
      <x:c r="P44" s="60" t="n">
        <x:v>84</x:v>
      </x:c>
      <x:c r="Q44" s="60" t="n">
        <x:v>11</x:v>
      </x:c>
      <x:c r="R44" s="59" t="n">
        <x:v>4</x:v>
      </x:c>
      <x:c r="S44" s="60" t="n">
        <x:v>90.50000000000001</x:v>
      </x:c>
      <x:c r="T44" s="60" t="n">
        <x:v>89.94999999999999</x:v>
      </x:c>
      <x:c r="U44" s="60" t="n">
        <x:v>90.225</x:v>
      </x:c>
      <x:c r="V44" s="60" t="n">
        <x:v>93.1</x:v>
      </x:c>
      <x:c r="W44" s="60" t="n">
        <x:v>90</x:v>
      </x:c>
      <x:c r="X44" s="60" t="n">
        <x:v>92.1</x:v>
      </x:c>
      <x:c r="Y44" s="60" t="n">
        <x:v>88</x:v>
      </x:c>
      <x:c r="Z44" s="60" t="n">
        <x:v>92.1</x:v>
      </x:c>
      <x:c r="AA44" s="60" t="n">
        <x:v>84</x:v>
      </x:c>
      <x:c r="AB44" s="60" t="n">
        <x:v>11</x:v>
      </x:c>
      <x:c r="AC44" s="60" t="n">
        <x:f>ROUND(((0.30*V44+0.20*W44+0.25*X44+0.15*Y44+0.10*AA44)+(0.30*Z44+0.20*X44+0.20*W44+0.15*AA44+0.15*(100-AB44)))/2,2)</x:f>
        <x:v>90.28</x:v>
      </x:c>
      <x:c r="AD44" s="60" t="n">
        <x:v>93.1</x:v>
      </x:c>
      <x:c r="AE44" s="60" t="n">
        <x:v>90</x:v>
      </x:c>
      <x:c r="AF44" s="60" t="n">
        <x:v>92.1</x:v>
      </x:c>
      <x:c r="AG44" s="60" t="n">
        <x:v>88.1</x:v>
      </x:c>
      <x:c r="AH44" s="60" t="n">
        <x:v>92.1</x:v>
      </x:c>
      <x:c r="AI44" s="60" t="n">
        <x:v>84</x:v>
      </x:c>
      <x:c r="AJ44" s="60" t="n">
        <x:v>11</x:v>
      </x:c>
      <x:c r="AK44" s="60" t="n">
        <x:f>ROUND(((0.30*AD44+0.20*AE44+0.25*AF44+0.15*AG44+0.10*AI44)+(0.30*AH44+0.20*AF44+0.20*AE44+0.15*AI44+0.15*(100-AJ44)))/2,2)</x:f>
        <x:v>90.29</x:v>
      </x:c>
      <x:c r="AL44" s="60" t="n">
        <x:v>93.1</x:v>
      </x:c>
      <x:c r="AM44" s="60" t="n">
        <x:v>90</x:v>
      </x:c>
      <x:c r="AN44" s="60" t="n">
        <x:v>92.1</x:v>
      </x:c>
      <x:c r="AO44" s="60" t="n">
        <x:v>88</x:v>
      </x:c>
      <x:c r="AP44" s="60" t="n">
        <x:v>92.1</x:v>
      </x:c>
      <x:c r="AQ44" s="60" t="n">
        <x:v>84</x:v>
      </x:c>
      <x:c r="AR44" s="60" t="n">
        <x:v>11</x:v>
      </x:c>
      <x:c r="AS44" s="60" t="n">
        <x:f>ROUND(((0.30*AL44+0.20*AM44+0.25*AN44+0.15*AO44+0.10*AQ44)+(0.30*AP44+0.20*AN44+0.20*AM44+0.15*AQ44+0.15*(100-AR44)))/2,2)</x:f>
        <x:v>90.28</x:v>
      </x:c>
      <x:c r="AT44" s="60" t="n">
        <x:f>ROUND(AVERAGE(V44,AD44,AL44),1)</x:f>
        <x:v>93.1</x:v>
      </x:c>
      <x:c r="AU44" s="60" t="n">
        <x:f>ROUND(AVERAGE(W44,AE44,AM44),1)</x:f>
        <x:v>90</x:v>
      </x:c>
      <x:c r="AV44" s="60" t="n">
        <x:f>ROUND(AVERAGE(X44,AF44,AN44),1)</x:f>
        <x:v>92.1</x:v>
      </x:c>
      <x:c r="AW44" s="60" t="n">
        <x:f>ROUND(AVERAGE(Y44,AG44,AO44),1)</x:f>
        <x:v>88</x:v>
      </x:c>
      <x:c r="AX44" s="60" t="n">
        <x:f>ROUND(AVERAGE(Z44,AH44,AP44),1)</x:f>
        <x:v>92.1</x:v>
      </x:c>
      <x:c r="AY44" s="60" t="n">
        <x:f>ROUND(AVERAGE(AA44,AI44,AQ44),1)</x:f>
        <x:v>84</x:v>
      </x:c>
      <x:c r="AZ44" s="60" t="n">
        <x:f>ROUND(AVERAGE(AB44,AJ44,AR44),1)</x:f>
        <x:v>11</x:v>
      </x:c>
      <x:c r="BA44" s="59" t="n">
        <x:v>4</x:v>
      </x:c>
      <x:c r="BB44" s="60" t="n">
        <x:f>ROUND(0.30*AT44+0.20*AU44+0.25*AV44+0.15*AW44+0.10*AY44,2)</x:f>
        <x:v>90.56</x:v>
      </x:c>
      <x:c r="BC44" s="60" t="n">
        <x:f>ROUND(0.30*AX44+0.20*AV44+0.20*AU44+0.15*AY44+0.15*(100-AZ44),2)</x:f>
        <x:v>90</x:v>
      </x:c>
      <x:c r="BD44" s="60" t="n">
        <x:f>ROUND(AVERAGE(BB44,BC44),2)</x:f>
        <x:v>90.28</x:v>
      </x:c>
      <x:c r="BE44" s="60" t="n">
        <x:f>ROUND(BD44-U44,2)</x:f>
        <x:v>0.06</x:v>
      </x:c>
      <x:c r="BF44" s="60" t="n">
        <x:f>ROUND(STDEV.P(AC44,AK44,AS44),3)</x:f>
        <x:v>0.005</x:v>
      </x:c>
      <x:c r="BG44" s="59" t="str">
        <x:v>Top100</x:v>
      </x:c>
      <x:c r="BH44" s="59" t="str">
        <x:v>Top50三轮复核</x:v>
      </x:c>
      <x:c r="BI44" s="40" t="str">
        <x:v>三轮复核后与原表基本一致</x:v>
      </x:c>
    </x:row>
    <x:row r="45" ht="30" customHeight="1">
      <x:c r="A45" s="59" t="n">
        <x:v>44</x:v>
      </x:c>
      <x:c r="B45" s="59" t="n">
        <x:v>43</x:v>
      </x:c>
      <x:c r="C45" s="59" t="str">
        <x:v>2026-06</x:v>
      </x:c>
      <x:c r="D45" s="59" t="n">
        <x:v>22</x:v>
      </x:c>
      <x:c r="E45" s="59" t="str">
        <x:v>2606.29454</x:v>
      </x:c>
      <x:c r="F45" s="40" t="str">
        <x:v>Formation of quasi-singularities of shock and implosion type for compressible Euler flows</x:v>
      </x:c>
      <x:c r="G45" s="40" t="str">
        <x:v>Xieling Fan; Hongyu Liu</x:v>
      </x:c>
      <x:c r="H45" s="40" t="str">
        <x:v>compressible Euler singularity</x:v>
      </x:c>
      <x:c r="I45" s="59"/>
      <x:c r="J45" s="40" t="str">
        <x:v>https://arxiv.org/abs/2606.29454</x:v>
      </x:c>
      <x:c r="K45" s="60" t="n">
        <x:v>93</x:v>
      </x:c>
      <x:c r="L45" s="60" t="n">
        <x:v>90</x:v>
      </x:c>
      <x:c r="M45" s="60" t="n">
        <x:v>92</x:v>
      </x:c>
      <x:c r="N45" s="60" t="n">
        <x:v>88</x:v>
      </x:c>
      <x:c r="O45" s="60" t="n">
        <x:v>92</x:v>
      </x:c>
      <x:c r="P45" s="60" t="n">
        <x:v>84</x:v>
      </x:c>
      <x:c r="Q45" s="60" t="n">
        <x:v>11</x:v>
      </x:c>
      <x:c r="R45" s="59" t="n">
        <x:v>4</x:v>
      </x:c>
      <x:c r="S45" s="60" t="n">
        <x:v>90.50000000000001</x:v>
      </x:c>
      <x:c r="T45" s="60" t="n">
        <x:v>89.94999999999999</x:v>
      </x:c>
      <x:c r="U45" s="60" t="n">
        <x:v>90.225</x:v>
      </x:c>
      <x:c r="V45" s="60" t="n">
        <x:v>93</x:v>
      </x:c>
      <x:c r="W45" s="60" t="n">
        <x:v>90</x:v>
      </x:c>
      <x:c r="X45" s="60" t="n">
        <x:v>92.1</x:v>
      </x:c>
      <x:c r="Y45" s="60" t="n">
        <x:v>87.8</x:v>
      </x:c>
      <x:c r="Z45" s="60" t="n">
        <x:v>92.1</x:v>
      </x:c>
      <x:c r="AA45" s="60" t="n">
        <x:v>84</x:v>
      </x:c>
      <x:c r="AB45" s="60" t="n">
        <x:v>11</x:v>
      </x:c>
      <x:c r="AC45" s="60" t="n">
        <x:f>ROUND(((0.30*V45+0.20*W45+0.25*X45+0.15*Y45+0.10*AA45)+(0.30*Z45+0.20*X45+0.20*W45+0.15*AA45+0.15*(100-AB45)))/2,2)</x:f>
        <x:v>90.25</x:v>
      </x:c>
      <x:c r="AD45" s="60" t="n">
        <x:v>93</x:v>
      </x:c>
      <x:c r="AE45" s="60" t="n">
        <x:v>90</x:v>
      </x:c>
      <x:c r="AF45" s="60" t="n">
        <x:v>92.1</x:v>
      </x:c>
      <x:c r="AG45" s="60" t="n">
        <x:v>87.9</x:v>
      </x:c>
      <x:c r="AH45" s="60" t="n">
        <x:v>92.1</x:v>
      </x:c>
      <x:c r="AI45" s="60" t="n">
        <x:v>84</x:v>
      </x:c>
      <x:c r="AJ45" s="60" t="n">
        <x:v>11</x:v>
      </x:c>
      <x:c r="AK45" s="60" t="n">
        <x:f>ROUND(((0.30*AD45+0.20*AE45+0.25*AF45+0.15*AG45+0.10*AI45)+(0.30*AH45+0.20*AF45+0.20*AE45+0.15*AI45+0.15*(100-AJ45)))/2,2)</x:f>
        <x:v>90.26</x:v>
      </x:c>
      <x:c r="AL45" s="60" t="n">
        <x:v>93</x:v>
      </x:c>
      <x:c r="AM45" s="60" t="n">
        <x:v>90</x:v>
      </x:c>
      <x:c r="AN45" s="60" t="n">
        <x:v>92.1</x:v>
      </x:c>
      <x:c r="AO45" s="60" t="n">
        <x:v>87.8</x:v>
      </x:c>
      <x:c r="AP45" s="60" t="n">
        <x:v>92.1</x:v>
      </x:c>
      <x:c r="AQ45" s="60" t="n">
        <x:v>84</x:v>
      </x:c>
      <x:c r="AR45" s="60" t="n">
        <x:v>11</x:v>
      </x:c>
      <x:c r="AS45" s="60" t="n">
        <x:f>ROUND(((0.30*AL45+0.20*AM45+0.25*AN45+0.15*AO45+0.10*AQ45)+(0.30*AP45+0.20*AN45+0.20*AM45+0.15*AQ45+0.15*(100-AR45)))/2,2)</x:f>
        <x:v>90.25</x:v>
      </x:c>
      <x:c r="AT45" s="60" t="n">
        <x:f>ROUND(AVERAGE(V45,AD45,AL45),1)</x:f>
        <x:v>93</x:v>
      </x:c>
      <x:c r="AU45" s="60" t="n">
        <x:f>ROUND(AVERAGE(W45,AE45,AM45),1)</x:f>
        <x:v>90</x:v>
      </x:c>
      <x:c r="AV45" s="60" t="n">
        <x:f>ROUND(AVERAGE(X45,AF45,AN45),1)</x:f>
        <x:v>92.1</x:v>
      </x:c>
      <x:c r="AW45" s="60" t="n">
        <x:f>ROUND(AVERAGE(Y45,AG45,AO45),1)</x:f>
        <x:v>87.8</x:v>
      </x:c>
      <x:c r="AX45" s="60" t="n">
        <x:f>ROUND(AVERAGE(Z45,AH45,AP45),1)</x:f>
        <x:v>92.1</x:v>
      </x:c>
      <x:c r="AY45" s="60" t="n">
        <x:f>ROUND(AVERAGE(AA45,AI45,AQ45),1)</x:f>
        <x:v>84</x:v>
      </x:c>
      <x:c r="AZ45" s="60" t="n">
        <x:f>ROUND(AVERAGE(AB45,AJ45,AR45),1)</x:f>
        <x:v>11</x:v>
      </x:c>
      <x:c r="BA45" s="59" t="n">
        <x:v>4</x:v>
      </x:c>
      <x:c r="BB45" s="60" t="n">
        <x:f>ROUND(0.30*AT45+0.20*AU45+0.25*AV45+0.15*AW45+0.10*AY45,2)</x:f>
        <x:v>90.5</x:v>
      </x:c>
      <x:c r="BC45" s="60" t="n">
        <x:f>ROUND(0.30*AX45+0.20*AV45+0.20*AU45+0.15*AY45+0.15*(100-AZ45),2)</x:f>
        <x:v>90</x:v>
      </x:c>
      <x:c r="BD45" s="60" t="n">
        <x:f>ROUND(AVERAGE(BB45,BC45),2)</x:f>
        <x:v>90.25</x:v>
      </x:c>
      <x:c r="BE45" s="60" t="n">
        <x:f>ROUND(BD45-U45,2)</x:f>
        <x:v>0.03</x:v>
      </x:c>
      <x:c r="BF45" s="60" t="n">
        <x:f>ROUND(STDEV.P(AC45,AK45,AS45),3)</x:f>
        <x:v>0.005</x:v>
      </x:c>
      <x:c r="BG45" s="59" t="str">
        <x:v>Top100</x:v>
      </x:c>
      <x:c r="BH45" s="59" t="str">
        <x:v>Top50三轮复核</x:v>
      </x:c>
      <x:c r="BI45" s="40" t="str">
        <x:v>范围偏专门，广度轻微回调</x:v>
      </x:c>
    </x:row>
    <x:row r="46" ht="30" customHeight="1">
      <x:c r="A46" s="59" t="n">
        <x:v>45</x:v>
      </x:c>
      <x:c r="B46" s="59" t="n">
        <x:v>46</x:v>
      </x:c>
      <x:c r="C46" s="59" t="str">
        <x:v>2026-06</x:v>
      </x:c>
      <x:c r="D46" s="59" t="n">
        <x:v>24</x:v>
      </x:c>
      <x:c r="E46" s="59" t="str">
        <x:v>2606.02070</x:v>
      </x:c>
      <x:c r="F46" s="40" t="str">
        <x:v>Critical mass threshold for the 2D Patlak-Keller-Segel-Navier-Stokes system</x:v>
      </x:c>
      <x:c r="G46" s="40" t="str">
        <x:v>Wendong Wang; Dongyi Wei; Zhifei Zhang</x:v>
      </x:c>
      <x:c r="H46" s="40" t="str">
        <x:v>chemotaxis-fluid threshold</x:v>
      </x:c>
      <x:c r="I46" s="59"/>
      <x:c r="J46" s="40" t="str">
        <x:v>https://arxiv.org/abs/2606.02070</x:v>
      </x:c>
      <x:c r="K46" s="60" t="n">
        <x:v>92</x:v>
      </x:c>
      <x:c r="L46" s="60" t="n">
        <x:v>89</x:v>
      </x:c>
      <x:c r="M46" s="60" t="n">
        <x:v>92</x:v>
      </x:c>
      <x:c r="N46" s="60" t="n">
        <x:v>88</x:v>
      </x:c>
      <x:c r="O46" s="60" t="n">
        <x:v>92</x:v>
      </x:c>
      <x:c r="P46" s="60" t="n">
        <x:v>86</x:v>
      </x:c>
      <x:c r="Q46" s="60" t="n">
        <x:v>11</x:v>
      </x:c>
      <x:c r="R46" s="59" t="n">
        <x:v>4</x:v>
      </x:c>
      <x:c r="S46" s="60" t="n">
        <x:v>90.2</x:v>
      </x:c>
      <x:c r="T46" s="60" t="n">
        <x:v>90.05</x:v>
      </x:c>
      <x:c r="U46" s="60" t="n">
        <x:v>90.125</x:v>
      </x:c>
      <x:c r="V46" s="60" t="n">
        <x:v>92.1</x:v>
      </x:c>
      <x:c r="W46" s="60" t="n">
        <x:v>89</x:v>
      </x:c>
      <x:c r="X46" s="60" t="n">
        <x:v>92.1</x:v>
      </x:c>
      <x:c r="Y46" s="60" t="n">
        <x:v>88</x:v>
      </x:c>
      <x:c r="Z46" s="60" t="n">
        <x:v>92.1</x:v>
      </x:c>
      <x:c r="AA46" s="60" t="n">
        <x:v>86</x:v>
      </x:c>
      <x:c r="AB46" s="60" t="n">
        <x:v>11</x:v>
      </x:c>
      <x:c r="AC46" s="60" t="n">
        <x:f>ROUND(((0.30*V46+0.20*W46+0.25*X46+0.15*Y46+0.10*AA46)+(0.30*Z46+0.20*X46+0.20*W46+0.15*AA46+0.15*(100-AB46)))/2,2)</x:f>
        <x:v>90.18</x:v>
      </x:c>
      <x:c r="AD46" s="60" t="n">
        <x:v>92.1</x:v>
      </x:c>
      <x:c r="AE46" s="60" t="n">
        <x:v>89</x:v>
      </x:c>
      <x:c r="AF46" s="60" t="n">
        <x:v>92.1</x:v>
      </x:c>
      <x:c r="AG46" s="60" t="n">
        <x:v>88.1</x:v>
      </x:c>
      <x:c r="AH46" s="60" t="n">
        <x:v>92.1</x:v>
      </x:c>
      <x:c r="AI46" s="60" t="n">
        <x:v>86</x:v>
      </x:c>
      <x:c r="AJ46" s="60" t="n">
        <x:v>11</x:v>
      </x:c>
      <x:c r="AK46" s="60" t="n">
        <x:f>ROUND(((0.30*AD46+0.20*AE46+0.25*AF46+0.15*AG46+0.10*AI46)+(0.30*AH46+0.20*AF46+0.20*AE46+0.15*AI46+0.15*(100-AJ46)))/2,2)</x:f>
        <x:v>90.19</x:v>
      </x:c>
      <x:c r="AL46" s="60" t="n">
        <x:v>92.1</x:v>
      </x:c>
      <x:c r="AM46" s="60" t="n">
        <x:v>89</x:v>
      </x:c>
      <x:c r="AN46" s="60" t="n">
        <x:v>92.1</x:v>
      </x:c>
      <x:c r="AO46" s="60" t="n">
        <x:v>88</x:v>
      </x:c>
      <x:c r="AP46" s="60" t="n">
        <x:v>92.1</x:v>
      </x:c>
      <x:c r="AQ46" s="60" t="n">
        <x:v>86</x:v>
      </x:c>
      <x:c r="AR46" s="60" t="n">
        <x:v>11</x:v>
      </x:c>
      <x:c r="AS46" s="60" t="n">
        <x:f>ROUND(((0.30*AL46+0.20*AM46+0.25*AN46+0.15*AO46+0.10*AQ46)+(0.30*AP46+0.20*AN46+0.20*AM46+0.15*AQ46+0.15*(100-AR46)))/2,2)</x:f>
        <x:v>90.18</x:v>
      </x:c>
      <x:c r="AT46" s="60" t="n">
        <x:f>ROUND(AVERAGE(V46,AD46,AL46),1)</x:f>
        <x:v>92.1</x:v>
      </x:c>
      <x:c r="AU46" s="60" t="n">
        <x:f>ROUND(AVERAGE(W46,AE46,AM46),1)</x:f>
        <x:v>89</x:v>
      </x:c>
      <x:c r="AV46" s="60" t="n">
        <x:f>ROUND(AVERAGE(X46,AF46,AN46),1)</x:f>
        <x:v>92.1</x:v>
      </x:c>
      <x:c r="AW46" s="60" t="n">
        <x:f>ROUND(AVERAGE(Y46,AG46,AO46),1)</x:f>
        <x:v>88</x:v>
      </x:c>
      <x:c r="AX46" s="60" t="n">
        <x:f>ROUND(AVERAGE(Z46,AH46,AP46),1)</x:f>
        <x:v>92.1</x:v>
      </x:c>
      <x:c r="AY46" s="60" t="n">
        <x:f>ROUND(AVERAGE(AA46,AI46,AQ46),1)</x:f>
        <x:v>86</x:v>
      </x:c>
      <x:c r="AZ46" s="60" t="n">
        <x:f>ROUND(AVERAGE(AB46,AJ46,AR46),1)</x:f>
        <x:v>11</x:v>
      </x:c>
      <x:c r="BA46" s="59" t="n">
        <x:v>4</x:v>
      </x:c>
      <x:c r="BB46" s="60" t="n">
        <x:f>ROUND(0.30*AT46+0.20*AU46+0.25*AV46+0.15*AW46+0.10*AY46,2)</x:f>
        <x:v>90.26</x:v>
      </x:c>
      <x:c r="BC46" s="60" t="n">
        <x:f>ROUND(0.30*AX46+0.20*AV46+0.20*AU46+0.15*AY46+0.15*(100-AZ46),2)</x:f>
        <x:v>90.1</x:v>
      </x:c>
      <x:c r="BD46" s="60" t="n">
        <x:f>ROUND(AVERAGE(BB46,BC46),2)</x:f>
        <x:v>90.18</x:v>
      </x:c>
      <x:c r="BE46" s="60" t="n">
        <x:f>ROUND(BD46-U46,2)</x:f>
        <x:v>0.06</x:v>
      </x:c>
      <x:c r="BF46" s="60" t="n">
        <x:f>ROUND(STDEV.P(AC46,AK46,AS46),3)</x:f>
        <x:v>0.005</x:v>
      </x:c>
      <x:c r="BG46" s="59" t="str">
        <x:v>Top100</x:v>
      </x:c>
      <x:c r="BH46" s="59" t="str">
        <x:v>Top50三轮复核</x:v>
      </x:c>
      <x:c r="BI46" s="40" t="str">
        <x:v>三轮复核后与原表基本一致</x:v>
      </x:c>
    </x:row>
    <x:row r="47" ht="30" customHeight="1">
      <x:c r="A47" s="59" t="n">
        <x:v>46</x:v>
      </x:c>
      <x:c r="B47" s="59" t="n">
        <x:v>47</x:v>
      </x:c>
      <x:c r="C47" s="59" t="str">
        <x:v>2026-06</x:v>
      </x:c>
      <x:c r="D47" s="59" t="n">
        <x:v>25</x:v>
      </x:c>
      <x:c r="E47" s="59" t="str">
        <x:v>2606.12061</x:v>
      </x:c>
      <x:c r="F47" s="40" t="str">
        <x:v>Complex-ellipticity, dimensional estimates and plane wave rigidity in BV^A</x:v>
      </x:c>
      <x:c r="G47" s="40" t="str">
        <x:v>Adolfo Arroyo-Rabasa</x:v>
      </x:c>
      <x:c r="H47" s="40" t="str">
        <x:v>calculus of variations/BV</x:v>
      </x:c>
      <x:c r="I47" s="59" t="n">
        <x:v>23</x:v>
      </x:c>
      <x:c r="J47" s="40" t="str">
        <x:v>https://arxiv.org/abs/2606.12061</x:v>
      </x:c>
      <x:c r="K47" s="60" t="n">
        <x:v>91</x:v>
      </x:c>
      <x:c r="L47" s="60" t="n">
        <x:v>91</x:v>
      </x:c>
      <x:c r="M47" s="60" t="n">
        <x:v>91</x:v>
      </x:c>
      <x:c r="N47" s="60" t="n">
        <x:v>88</x:v>
      </x:c>
      <x:c r="O47" s="60" t="n">
        <x:v>91</x:v>
      </x:c>
      <x:c r="P47" s="60" t="n">
        <x:v>87</x:v>
      </x:c>
      <x:c r="Q47" s="60" t="n">
        <x:v>11</x:v>
      </x:c>
      <x:c r="R47" s="59" t="n">
        <x:v>4</x:v>
      </x:c>
      <x:c r="S47" s="60" t="n">
        <x:v>90.15</x:v>
      </x:c>
      <x:c r="T47" s="60" t="n">
        <x:v>90.1</x:v>
      </x:c>
      <x:c r="U47" s="60" t="n">
        <x:v>90.125</x:v>
      </x:c>
      <x:c r="V47" s="60" t="n">
        <x:v>91</x:v>
      </x:c>
      <x:c r="W47" s="60" t="n">
        <x:v>91.2</x:v>
      </x:c>
      <x:c r="X47" s="60" t="n">
        <x:v>91</x:v>
      </x:c>
      <x:c r="Y47" s="60" t="n">
        <x:v>88.2</x:v>
      </x:c>
      <x:c r="Z47" s="60" t="n">
        <x:v>91.1</x:v>
      </x:c>
      <x:c r="AA47" s="60" t="n">
        <x:v>87</x:v>
      </x:c>
      <x:c r="AB47" s="60" t="n">
        <x:v>11</x:v>
      </x:c>
      <x:c r="AC47" s="60" t="n">
        <x:f>ROUND(((0.30*V47+0.20*W47+0.25*X47+0.15*Y47+0.10*AA47)+(0.30*Z47+0.20*X47+0.20*W47+0.15*AA47+0.15*(100-AB47)))/2,2)</x:f>
        <x:v>90.2</x:v>
      </x:c>
      <x:c r="AD47" s="60" t="n">
        <x:v>91</x:v>
      </x:c>
      <x:c r="AE47" s="60" t="n">
        <x:v>91.1</x:v>
      </x:c>
      <x:c r="AF47" s="60" t="n">
        <x:v>91</x:v>
      </x:c>
      <x:c r="AG47" s="60" t="n">
        <x:v>88.2</x:v>
      </x:c>
      <x:c r="AH47" s="60" t="n">
        <x:v>91.1</x:v>
      </x:c>
      <x:c r="AI47" s="60" t="n">
        <x:v>87</x:v>
      </x:c>
      <x:c r="AJ47" s="60" t="n">
        <x:v>11.4</x:v>
      </x:c>
      <x:c r="AK47" s="60" t="n">
        <x:f>ROUND(((0.30*AD47+0.20*AE47+0.25*AF47+0.15*AG47+0.10*AI47)+(0.30*AH47+0.20*AF47+0.20*AE47+0.15*AI47+0.15*(100-AJ47)))/2,2)</x:f>
        <x:v>90.15</x:v>
      </x:c>
      <x:c r="AL47" s="60" t="n">
        <x:v>91</x:v>
      </x:c>
      <x:c r="AM47" s="60" t="n">
        <x:v>91.1</x:v>
      </x:c>
      <x:c r="AN47" s="60" t="n">
        <x:v>91</x:v>
      </x:c>
      <x:c r="AO47" s="60" t="n">
        <x:v>88.2</x:v>
      </x:c>
      <x:c r="AP47" s="60" t="n">
        <x:v>91.1</x:v>
      </x:c>
      <x:c r="AQ47" s="60" t="n">
        <x:v>87</x:v>
      </x:c>
      <x:c r="AR47" s="60" t="n">
        <x:v>11</x:v>
      </x:c>
      <x:c r="AS47" s="60" t="n">
        <x:f>ROUND(((0.30*AL47+0.20*AM47+0.25*AN47+0.15*AO47+0.10*AQ47)+(0.30*AP47+0.20*AN47+0.20*AM47+0.15*AQ47+0.15*(100-AR47)))/2,2)</x:f>
        <x:v>90.18</x:v>
      </x:c>
      <x:c r="AT47" s="60" t="n">
        <x:f>ROUND(AVERAGE(V47,AD47,AL47),1)</x:f>
        <x:v>91</x:v>
      </x:c>
      <x:c r="AU47" s="60" t="n">
        <x:f>ROUND(AVERAGE(W47,AE47,AM47),1)</x:f>
        <x:v>91.1</x:v>
      </x:c>
      <x:c r="AV47" s="60" t="n">
        <x:f>ROUND(AVERAGE(X47,AF47,AN47),1)</x:f>
        <x:v>91</x:v>
      </x:c>
      <x:c r="AW47" s="60" t="n">
        <x:f>ROUND(AVERAGE(Y47,AG47,AO47),1)</x:f>
        <x:v>88.2</x:v>
      </x:c>
      <x:c r="AX47" s="60" t="n">
        <x:f>ROUND(AVERAGE(Z47,AH47,AP47),1)</x:f>
        <x:v>91.1</x:v>
      </x:c>
      <x:c r="AY47" s="60" t="n">
        <x:f>ROUND(AVERAGE(AA47,AI47,AQ47),1)</x:f>
        <x:v>87</x:v>
      </x:c>
      <x:c r="AZ47" s="60" t="n">
        <x:f>ROUND(AVERAGE(AB47,AJ47,AR47),1)</x:f>
        <x:v>11.1</x:v>
      </x:c>
      <x:c r="BA47" s="59" t="n">
        <x:v>4</x:v>
      </x:c>
      <x:c r="BB47" s="60" t="n">
        <x:f>ROUND(0.30*AT47+0.20*AU47+0.25*AV47+0.15*AW47+0.10*AY47,2)</x:f>
        <x:v>90.2</x:v>
      </x:c>
      <x:c r="BC47" s="60" t="n">
        <x:f>ROUND(0.30*AX47+0.20*AV47+0.20*AU47+0.15*AY47+0.15*(100-AZ47),2)</x:f>
        <x:v>90.14</x:v>
      </x:c>
      <x:c r="BD47" s="60" t="n">
        <x:f>ROUND(AVERAGE(BB47,BC47),2)</x:f>
        <x:v>90.17</x:v>
      </x:c>
      <x:c r="BE47" s="60" t="n">
        <x:f>ROUND(BD47-U47,2)</x:f>
        <x:v>0.05</x:v>
      </x:c>
      <x:c r="BF47" s="60" t="n">
        <x:f>ROUND(STDEV.P(AC47,AK47,AS47),3)</x:f>
        <x:v>0.021</x:v>
      </x:c>
      <x:c r="BG47" s="59" t="str">
        <x:v>Top100</x:v>
      </x:c>
      <x:c r="BH47" s="59" t="str">
        <x:v>Top50三轮复核</x:v>
      </x:c>
      <x:c r="BI47" s="40" t="str">
        <x:v>三轮复核后与原表基本一致</x:v>
      </x:c>
    </x:row>
    <x:row r="48" ht="30" customHeight="1">
      <x:c r="A48" s="59" t="n">
        <x:v>47</x:v>
      </x:c>
      <x:c r="B48" s="59" t="n">
        <x:v>48</x:v>
      </x:c>
      <x:c r="C48" s="59" t="str">
        <x:v>2026-06</x:v>
      </x:c>
      <x:c r="D48" s="59" t="n">
        <x:v>25</x:v>
      </x:c>
      <x:c r="E48" s="59" t="str">
        <x:v>2606.02989</x:v>
      </x:c>
      <x:c r="F48" s="40" t="str">
        <x:v>The Benjamin-Ono Equation in the Long-Time Limit: Linearized Self-Similar Universality</x:v>
      </x:c>
      <x:c r="G48" s="40" t="str">
        <x:v>Louise Gassot; Patrick Gerard; Peter D. Miller</x:v>
      </x:c>
      <x:c r="H48" s="40" t="str">
        <x:v>integrable/dispersive asymptotics</x:v>
      </x:c>
      <x:c r="I48" s="59" t="n">
        <x:v>33</x:v>
      </x:c>
      <x:c r="J48" s="40" t="str">
        <x:v>https://arxiv.org/abs/2606.02989</x:v>
      </x:c>
      <x:c r="K48" s="60" t="n">
        <x:v>91</x:v>
      </x:c>
      <x:c r="L48" s="60" t="n">
        <x:v>91</x:v>
      </x:c>
      <x:c r="M48" s="60" t="n">
        <x:v>91</x:v>
      </x:c>
      <x:c r="N48" s="60" t="n">
        <x:v>88</x:v>
      </x:c>
      <x:c r="O48" s="60" t="n">
        <x:v>91</x:v>
      </x:c>
      <x:c r="P48" s="60" t="n">
        <x:v>87</x:v>
      </x:c>
      <x:c r="Q48" s="60" t="n">
        <x:v>11</x:v>
      </x:c>
      <x:c r="R48" s="59" t="n">
        <x:v>4</x:v>
      </x:c>
      <x:c r="S48" s="60" t="n">
        <x:v>90.15</x:v>
      </x:c>
      <x:c r="T48" s="60" t="n">
        <x:v>90.1</x:v>
      </x:c>
      <x:c r="U48" s="60" t="n">
        <x:v>90.125</x:v>
      </x:c>
      <x:c r="V48" s="60" t="n">
        <x:v>90.9</x:v>
      </x:c>
      <x:c r="W48" s="60" t="n">
        <x:v>91.2</x:v>
      </x:c>
      <x:c r="X48" s="60" t="n">
        <x:v>91</x:v>
      </x:c>
      <x:c r="Y48" s="60" t="n">
        <x:v>88</x:v>
      </x:c>
      <x:c r="Z48" s="60" t="n">
        <x:v>91.1</x:v>
      </x:c>
      <x:c r="AA48" s="60" t="n">
        <x:v>87</x:v>
      </x:c>
      <x:c r="AB48" s="60" t="n">
        <x:v>11</x:v>
      </x:c>
      <x:c r="AC48" s="60" t="n">
        <x:f>ROUND(((0.30*V48+0.20*W48+0.25*X48+0.15*Y48+0.10*AA48)+(0.30*Z48+0.20*X48+0.20*W48+0.15*AA48+0.15*(100-AB48)))/2,2)</x:f>
        <x:v>90.17</x:v>
      </x:c>
      <x:c r="AD48" s="60" t="n">
        <x:v>90.9</x:v>
      </x:c>
      <x:c r="AE48" s="60" t="n">
        <x:v>91.1</x:v>
      </x:c>
      <x:c r="AF48" s="60" t="n">
        <x:v>91</x:v>
      </x:c>
      <x:c r="AG48" s="60" t="n">
        <x:v>88.1</x:v>
      </x:c>
      <x:c r="AH48" s="60" t="n">
        <x:v>91.1</x:v>
      </x:c>
      <x:c r="AI48" s="60" t="n">
        <x:v>87</x:v>
      </x:c>
      <x:c r="AJ48" s="60" t="n">
        <x:v>11</x:v>
      </x:c>
      <x:c r="AK48" s="60" t="n">
        <x:f>ROUND(((0.30*AD48+0.20*AE48+0.25*AF48+0.15*AG48+0.10*AI48)+(0.30*AH48+0.20*AF48+0.20*AE48+0.15*AI48+0.15*(100-AJ48)))/2,2)</x:f>
        <x:v>90.15</x:v>
      </x:c>
      <x:c r="AL48" s="60" t="n">
        <x:v>90.9</x:v>
      </x:c>
      <x:c r="AM48" s="60" t="n">
        <x:v>91.1</x:v>
      </x:c>
      <x:c r="AN48" s="60" t="n">
        <x:v>91</x:v>
      </x:c>
      <x:c r="AO48" s="60" t="n">
        <x:v>88</x:v>
      </x:c>
      <x:c r="AP48" s="60" t="n">
        <x:v>91.1</x:v>
      </x:c>
      <x:c r="AQ48" s="60" t="n">
        <x:v>87</x:v>
      </x:c>
      <x:c r="AR48" s="60" t="n">
        <x:v>11</x:v>
      </x:c>
      <x:c r="AS48" s="60" t="n">
        <x:f>ROUND(((0.30*AL48+0.20*AM48+0.25*AN48+0.15*AO48+0.10*AQ48)+(0.30*AP48+0.20*AN48+0.20*AM48+0.15*AQ48+0.15*(100-AR48)))/2,2)</x:f>
        <x:v>90.15</x:v>
      </x:c>
      <x:c r="AT48" s="60" t="n">
        <x:f>ROUND(AVERAGE(V48,AD48,AL48),1)</x:f>
        <x:v>90.9</x:v>
      </x:c>
      <x:c r="AU48" s="60" t="n">
        <x:f>ROUND(AVERAGE(W48,AE48,AM48),1)</x:f>
        <x:v>91.1</x:v>
      </x:c>
      <x:c r="AV48" s="60" t="n">
        <x:f>ROUND(AVERAGE(X48,AF48,AN48),1)</x:f>
        <x:v>91</x:v>
      </x:c>
      <x:c r="AW48" s="60" t="n">
        <x:f>ROUND(AVERAGE(Y48,AG48,AO48),1)</x:f>
        <x:v>88</x:v>
      </x:c>
      <x:c r="AX48" s="60" t="n">
        <x:f>ROUND(AVERAGE(Z48,AH48,AP48),1)</x:f>
        <x:v>91.1</x:v>
      </x:c>
      <x:c r="AY48" s="60" t="n">
        <x:f>ROUND(AVERAGE(AA48,AI48,AQ48),1)</x:f>
        <x:v>87</x:v>
      </x:c>
      <x:c r="AZ48" s="60" t="n">
        <x:f>ROUND(AVERAGE(AB48,AJ48,AR48),1)</x:f>
        <x:v>11</x:v>
      </x:c>
      <x:c r="BA48" s="59" t="n">
        <x:v>4</x:v>
      </x:c>
      <x:c r="BB48" s="60" t="n">
        <x:f>ROUND(0.30*AT48+0.20*AU48+0.25*AV48+0.15*AW48+0.10*AY48,2)</x:f>
        <x:v>90.14</x:v>
      </x:c>
      <x:c r="BC48" s="60" t="n">
        <x:f>ROUND(0.30*AX48+0.20*AV48+0.20*AU48+0.15*AY48+0.15*(100-AZ48),2)</x:f>
        <x:v>90.15</x:v>
      </x:c>
      <x:c r="BD48" s="60" t="n">
        <x:f>ROUND(AVERAGE(BB48,BC48),2)</x:f>
        <x:v>90.15</x:v>
      </x:c>
      <x:c r="BE48" s="60" t="n">
        <x:f>ROUND(BD48-U48,2)</x:f>
        <x:v>0.03</x:v>
      </x:c>
      <x:c r="BF48" s="60" t="n">
        <x:f>ROUND(STDEV.P(AC48,AK48,AS48),3)</x:f>
        <x:v>0.009</x:v>
      </x:c>
      <x:c r="BG48" s="59" t="str">
        <x:v>Top100</x:v>
      </x:c>
      <x:c r="BH48" s="59" t="str">
        <x:v>Top50三轮复核</x:v>
      </x:c>
      <x:c r="BI48" s="40" t="str">
        <x:v>范围偏专门，广度轻微回调</x:v>
      </x:c>
    </x:row>
    <x:row r="49" ht="30" customHeight="1">
      <x:c r="A49" s="59" t="n">
        <x:v>48</x:v>
      </x:c>
      <x:c r="B49" s="59" t="n">
        <x:v>45</x:v>
      </x:c>
      <x:c r="C49" s="59" t="str">
        <x:v>2026-05</x:v>
      </x:c>
      <x:c r="D49" s="59" t="n">
        <x:v>22</x:v>
      </x:c>
      <x:c r="E49" s="59" t="str">
        <x:v>2605.02540</x:v>
      </x:c>
      <x:c r="F49" s="40" t="str">
        <x:v>On the onset of correlations in Wave Turbulence close to singularities</x:v>
      </x:c>
      <x:c r="G49" s="40" t="str">
        <x:v>M. Escobedo; J. J. L. Velazquez</x:v>
      </x:c>
      <x:c r="H49" s="40" t="str">
        <x:v>Wave turbulence</x:v>
      </x:c>
      <x:c r="I49" s="59"/>
      <x:c r="J49" s="40" t="str">
        <x:v>https://arxiv.org/abs/2605.02540</x:v>
      </x:c>
      <x:c r="K49" s="60" t="n">
        <x:v>92</x:v>
      </x:c>
      <x:c r="L49" s="60" t="n">
        <x:v>91</x:v>
      </x:c>
      <x:c r="M49" s="60" t="n">
        <x:v>92</x:v>
      </x:c>
      <x:c r="N49" s="60" t="n">
        <x:v>87</x:v>
      </x:c>
      <x:c r="O49" s="60" t="n">
        <x:v>92</x:v>
      </x:c>
      <x:c r="P49" s="60" t="n">
        <x:v>84</x:v>
      </x:c>
      <x:c r="Q49" s="60" t="n">
        <x:v>12</x:v>
      </x:c>
      <x:c r="R49" s="59" t="n">
        <x:v>5</x:v>
      </x:c>
      <x:c r="S49" s="60" t="n">
        <x:v>90.3</x:v>
      </x:c>
      <x:c r="T49" s="60" t="n">
        <x:v>90</x:v>
      </x:c>
      <x:c r="U49" s="60" t="n">
        <x:v>90.2</x:v>
      </x:c>
      <x:c r="V49" s="60" t="n">
        <x:v>92</x:v>
      </x:c>
      <x:c r="W49" s="60" t="n">
        <x:v>91</x:v>
      </x:c>
      <x:c r="X49" s="60" t="n">
        <x:v>92</x:v>
      </x:c>
      <x:c r="Y49" s="60" t="n">
        <x:v>87</x:v>
      </x:c>
      <x:c r="Z49" s="60" t="n">
        <x:v>92</x:v>
      </x:c>
      <x:c r="AA49" s="60" t="n">
        <x:v>84</x:v>
      </x:c>
      <x:c r="AB49" s="60" t="n">
        <x:v>12</x:v>
      </x:c>
      <x:c r="AC49" s="60" t="n">
        <x:f>ROUND(((0.30*V49+0.20*W49+0.25*X49+0.15*Y49+0.10*AA49)+(0.30*Z49+0.20*X49+0.20*W49+0.15*AA49+0.15*(100-AB49)))/2,2)</x:f>
        <x:v>90.13</x:v>
      </x:c>
      <x:c r="AD49" s="60" t="n">
        <x:v>92</x:v>
      </x:c>
      <x:c r="AE49" s="60" t="n">
        <x:v>91</x:v>
      </x:c>
      <x:c r="AF49" s="60" t="n">
        <x:v>92</x:v>
      </x:c>
      <x:c r="AG49" s="60" t="n">
        <x:v>87.1</x:v>
      </x:c>
      <x:c r="AH49" s="60" t="n">
        <x:v>92</x:v>
      </x:c>
      <x:c r="AI49" s="60" t="n">
        <x:v>84</x:v>
      </x:c>
      <x:c r="AJ49" s="60" t="n">
        <x:v>12</x:v>
      </x:c>
      <x:c r="AK49" s="60" t="n">
        <x:f>ROUND(((0.30*AD49+0.20*AE49+0.25*AF49+0.15*AG49+0.10*AI49)+(0.30*AH49+0.20*AF49+0.20*AE49+0.15*AI49+0.15*(100-AJ49)))/2,2)</x:f>
        <x:v>90.13</x:v>
      </x:c>
      <x:c r="AL49" s="60" t="n">
        <x:v>92</x:v>
      </x:c>
      <x:c r="AM49" s="60" t="n">
        <x:v>91</x:v>
      </x:c>
      <x:c r="AN49" s="60" t="n">
        <x:v>92</x:v>
      </x:c>
      <x:c r="AO49" s="60" t="n">
        <x:v>87</x:v>
      </x:c>
      <x:c r="AP49" s="60" t="n">
        <x:v>92</x:v>
      </x:c>
      <x:c r="AQ49" s="60" t="n">
        <x:v>84</x:v>
      </x:c>
      <x:c r="AR49" s="60" t="n">
        <x:v>12</x:v>
      </x:c>
      <x:c r="AS49" s="60" t="n">
        <x:f>ROUND(((0.30*AL49+0.20*AM49+0.25*AN49+0.15*AO49+0.10*AQ49)+(0.30*AP49+0.20*AN49+0.20*AM49+0.15*AQ49+0.15*(100-AR49)))/2,2)</x:f>
        <x:v>90.13</x:v>
      </x:c>
      <x:c r="AT49" s="60" t="n">
        <x:f>ROUND(AVERAGE(V49,AD49,AL49),1)</x:f>
        <x:v>92</x:v>
      </x:c>
      <x:c r="AU49" s="60" t="n">
        <x:f>ROUND(AVERAGE(W49,AE49,AM49),1)</x:f>
        <x:v>91</x:v>
      </x:c>
      <x:c r="AV49" s="60" t="n">
        <x:f>ROUND(AVERAGE(X49,AF49,AN49),1)</x:f>
        <x:v>92</x:v>
      </x:c>
      <x:c r="AW49" s="60" t="n">
        <x:f>ROUND(AVERAGE(Y49,AG49,AO49),1)</x:f>
        <x:v>87</x:v>
      </x:c>
      <x:c r="AX49" s="60" t="n">
        <x:f>ROUND(AVERAGE(Z49,AH49,AP49),1)</x:f>
        <x:v>92</x:v>
      </x:c>
      <x:c r="AY49" s="60" t="n">
        <x:f>ROUND(AVERAGE(AA49,AI49,AQ49),1)</x:f>
        <x:v>84</x:v>
      </x:c>
      <x:c r="AZ49" s="60" t="n">
        <x:f>ROUND(AVERAGE(AB49,AJ49,AR49),1)</x:f>
        <x:v>12</x:v>
      </x:c>
      <x:c r="BA49" s="59" t="n">
        <x:v>5</x:v>
      </x:c>
      <x:c r="BB49" s="60" t="n">
        <x:f>ROUND(0.30*AT49+0.20*AU49+0.25*AV49+0.15*AW49+0.10*AY49,2)</x:f>
        <x:v>90.25</x:v>
      </x:c>
      <x:c r="BC49" s="60" t="n">
        <x:f>ROUND(0.30*AX49+0.20*AV49+0.20*AU49+0.15*AY49+0.15*(100-AZ49),2)</x:f>
        <x:v>90</x:v>
      </x:c>
      <x:c r="BD49" s="60" t="n">
        <x:f>ROUND(AVERAGE(BB49,BC49),2)</x:f>
        <x:v>90.13</x:v>
      </x:c>
      <x:c r="BE49" s="60" t="n">
        <x:f>ROUND(BD49-U49,2)</x:f>
        <x:v>-0.07</x:v>
      </x:c>
      <x:c r="BF49" s="60" t="n">
        <x:f>ROUND(STDEV.P(AC49,AK49,AS49),3)</x:f>
        <x:v>0</x:v>
      </x:c>
      <x:c r="BG49" s="59" t="str">
        <x:v>Top100</x:v>
      </x:c>
      <x:c r="BH49" s="59" t="str">
        <x:v>Top50三轮复核</x:v>
      </x:c>
      <x:c r="BI49" s="40" t="str">
        <x:v>三轮复核后与原表基本一致</x:v>
      </x:c>
    </x:row>
    <x:row r="50" ht="30" customHeight="1">
      <x:c r="A50" s="59" t="n">
        <x:v>49</x:v>
      </x:c>
      <x:c r="B50" s="59" t="n">
        <x:v>49</x:v>
      </x:c>
      <x:c r="C50" s="59" t="str">
        <x:v>2026-05</x:v>
      </x:c>
      <x:c r="D50" s="59" t="n">
        <x:v>23</x:v>
      </x:c>
      <x:c r="E50" s="59" t="str">
        <x:v>2605.02034</x:v>
      </x:c>
      <x:c r="F50" s="40" t="str">
        <x:v>Serrin's overdetermined theorem and weak Bernoulli laws without Alt-Caffarelli regularity</x:v>
      </x:c>
      <x:c r="G50" s="40" t="str">
        <x:v>Yi Ru-Ya Zhang</x:v>
      </x:c>
      <x:c r="H50" s="40" t="str">
        <x:v>Free boundary / overdetermined problems</x:v>
      </x:c>
      <x:c r="I50" s="59" t="n">
        <x:v>55</x:v>
      </x:c>
      <x:c r="J50" s="40" t="str">
        <x:v>https://arxiv.org/abs/2605.02034</x:v>
      </x:c>
      <x:c r="K50" s="60" t="n">
        <x:v>92</x:v>
      </x:c>
      <x:c r="L50" s="60" t="n">
        <x:v>91</x:v>
      </x:c>
      <x:c r="M50" s="60" t="n">
        <x:v>91</x:v>
      </x:c>
      <x:c r="N50" s="60" t="n">
        <x:v>87</x:v>
      </x:c>
      <x:c r="O50" s="60" t="n">
        <x:v>91</x:v>
      </x:c>
      <x:c r="P50" s="60" t="n">
        <x:v>86</x:v>
      </x:c>
      <x:c r="Q50" s="60" t="n">
        <x:v>14</x:v>
      </x:c>
      <x:c r="R50" s="59" t="n">
        <x:v>5</x:v>
      </x:c>
      <x:c r="S50" s="60" t="n">
        <x:v>90.2</x:v>
      </x:c>
      <x:c r="T50" s="60" t="n">
        <x:v>89.5</x:v>
      </x:c>
      <x:c r="U50" s="60" t="n">
        <x:v>89.9</x:v>
      </x:c>
      <x:c r="V50" s="60" t="n">
        <x:v>92.1</x:v>
      </x:c>
      <x:c r="W50" s="60" t="n">
        <x:v>91.2</x:v>
      </x:c>
      <x:c r="X50" s="60" t="n">
        <x:v>91.1</x:v>
      </x:c>
      <x:c r="Y50" s="60" t="n">
        <x:v>87.2</x:v>
      </x:c>
      <x:c r="Z50" s="60" t="n">
        <x:v>91.2</x:v>
      </x:c>
      <x:c r="AA50" s="60" t="n">
        <x:v>86</x:v>
      </x:c>
      <x:c r="AB50" s="60" t="n">
        <x:v>14</x:v>
      </x:c>
      <x:c r="AC50" s="60" t="n">
        <x:f>ROUND(((0.30*V50+0.20*W50+0.25*X50+0.15*Y50+0.10*AA50)+(0.30*Z50+0.20*X50+0.20*W50+0.15*AA50+0.15*(100-AB50)))/2,2)</x:f>
        <x:v>89.97</x:v>
      </x:c>
      <x:c r="AD50" s="60" t="n">
        <x:v>92.1</x:v>
      </x:c>
      <x:c r="AE50" s="60" t="n">
        <x:v>91.1</x:v>
      </x:c>
      <x:c r="AF50" s="60" t="n">
        <x:v>91.1</x:v>
      </x:c>
      <x:c r="AG50" s="60" t="n">
        <x:v>87.2</x:v>
      </x:c>
      <x:c r="AH50" s="60" t="n">
        <x:v>91.2</x:v>
      </x:c>
      <x:c r="AI50" s="60" t="n">
        <x:v>86</x:v>
      </x:c>
      <x:c r="AJ50" s="60" t="n">
        <x:v>14</x:v>
      </x:c>
      <x:c r="AK50" s="60" t="n">
        <x:f>ROUND(((0.30*AD50+0.20*AE50+0.25*AF50+0.15*AG50+0.10*AI50)+(0.30*AH50+0.20*AF50+0.20*AE50+0.15*AI50+0.15*(100-AJ50)))/2,2)</x:f>
        <x:v>89.95</x:v>
      </x:c>
      <x:c r="AL50" s="60" t="n">
        <x:v>92.1</x:v>
      </x:c>
      <x:c r="AM50" s="60" t="n">
        <x:v>91.1</x:v>
      </x:c>
      <x:c r="AN50" s="60" t="n">
        <x:v>91.1</x:v>
      </x:c>
      <x:c r="AO50" s="60" t="n">
        <x:v>87.2</x:v>
      </x:c>
      <x:c r="AP50" s="60" t="n">
        <x:v>91.2</x:v>
      </x:c>
      <x:c r="AQ50" s="60" t="n">
        <x:v>86</x:v>
      </x:c>
      <x:c r="AR50" s="60" t="n">
        <x:v>14</x:v>
      </x:c>
      <x:c r="AS50" s="60" t="n">
        <x:f>ROUND(((0.30*AL50+0.20*AM50+0.25*AN50+0.15*AO50+0.10*AQ50)+(0.30*AP50+0.20*AN50+0.20*AM50+0.15*AQ50+0.15*(100-AR50)))/2,2)</x:f>
        <x:v>89.95</x:v>
      </x:c>
      <x:c r="AT50" s="60" t="n">
        <x:f>ROUND(AVERAGE(V50,AD50,AL50),1)</x:f>
        <x:v>92.1</x:v>
      </x:c>
      <x:c r="AU50" s="60" t="n">
        <x:f>ROUND(AVERAGE(W50,AE50,AM50),1)</x:f>
        <x:v>91.1</x:v>
      </x:c>
      <x:c r="AV50" s="60" t="n">
        <x:f>ROUND(AVERAGE(X50,AF50,AN50),1)</x:f>
        <x:v>91.1</x:v>
      </x:c>
      <x:c r="AW50" s="60" t="n">
        <x:f>ROUND(AVERAGE(Y50,AG50,AO50),1)</x:f>
        <x:v>87.2</x:v>
      </x:c>
      <x:c r="AX50" s="60" t="n">
        <x:f>ROUND(AVERAGE(Z50,AH50,AP50),1)</x:f>
        <x:v>91.2</x:v>
      </x:c>
      <x:c r="AY50" s="60" t="n">
        <x:f>ROUND(AVERAGE(AA50,AI50,AQ50),1)</x:f>
        <x:v>86</x:v>
      </x:c>
      <x:c r="AZ50" s="60" t="n">
        <x:f>ROUND(AVERAGE(AB50,AJ50,AR50),1)</x:f>
        <x:v>14</x:v>
      </x:c>
      <x:c r="BA50" s="59" t="n">
        <x:v>5</x:v>
      </x:c>
      <x:c r="BB50" s="60" t="n">
        <x:f>ROUND(0.30*AT50+0.20*AU50+0.25*AV50+0.15*AW50+0.10*AY50,2)</x:f>
        <x:v>90.31</x:v>
      </x:c>
      <x:c r="BC50" s="60" t="n">
        <x:f>ROUND(0.30*AX50+0.20*AV50+0.20*AU50+0.15*AY50+0.15*(100-AZ50),2)</x:f>
        <x:v>89.6</x:v>
      </x:c>
      <x:c r="BD50" s="60" t="n">
        <x:f>ROUND(AVERAGE(BB50,BC50),2)</x:f>
        <x:v>89.96</x:v>
      </x:c>
      <x:c r="BE50" s="60" t="n">
        <x:f>ROUND(BD50-U50,2)</x:f>
        <x:v>0.06</x:v>
      </x:c>
      <x:c r="BF50" s="60" t="n">
        <x:f>ROUND(STDEV.P(AC50,AK50,AS50),3)</x:f>
        <x:v>0.009</x:v>
      </x:c>
      <x:c r="BG50" s="59" t="str">
        <x:v>Top100</x:v>
      </x:c>
      <x:c r="BH50" s="59" t="str">
        <x:v>Top50三轮复核</x:v>
      </x:c>
      <x:c r="BI50" s="40" t="str">
        <x:v>三轮复核后与原表基本一致</x:v>
      </x:c>
    </x:row>
    <x:row r="51" ht="30" customHeight="1">
      <x:c r="A51" s="59" t="n">
        <x:v>50</x:v>
      </x:c>
      <x:c r="B51" s="59" t="n">
        <x:v>51</x:v>
      </x:c>
      <x:c r="C51" s="59" t="str">
        <x:v>2026-06</x:v>
      </x:c>
      <x:c r="D51" s="59" t="n">
        <x:v>28</x:v>
      </x:c>
      <x:c r="E51" s="59" t="str">
        <x:v>2606.04960</x:v>
      </x:c>
      <x:c r="F51" s="40" t="str">
        <x:v>Stationary Vlasov-Poisson-Boltzmann system in a convex domain</x:v>
      </x:c>
      <x:c r="G51" s="40" t="str">
        <x:v>Hongxu Chen; Jiaxin Jin</x:v>
      </x:c>
      <x:c r="H51" s="40" t="str">
        <x:v>kinetic boundary PDE</x:v>
      </x:c>
      <x:c r="I51" s="59" t="n">
        <x:v>88</x:v>
      </x:c>
      <x:c r="J51" s="40" t="str">
        <x:v>https://arxiv.org/abs/2606.04960</x:v>
      </x:c>
      <x:c r="K51" s="60" t="n">
        <x:v>91</x:v>
      </x:c>
      <x:c r="L51" s="60" t="n">
        <x:v>89</x:v>
      </x:c>
      <x:c r="M51" s="60" t="n">
        <x:v>92</x:v>
      </x:c>
      <x:c r="N51" s="60" t="n">
        <x:v>87</x:v>
      </x:c>
      <x:c r="O51" s="60" t="n">
        <x:v>92</x:v>
      </x:c>
      <x:c r="P51" s="60" t="n">
        <x:v>86</x:v>
      </x:c>
      <x:c r="Q51" s="60" t="n">
        <x:v>12</x:v>
      </x:c>
      <x:c r="R51" s="59" t="n">
        <x:v>4</x:v>
      </x:c>
      <x:c r="S51" s="60" t="n">
        <x:v>89.74999999999999</x:v>
      </x:c>
      <x:c r="T51" s="60" t="n">
        <x:v>89.9</x:v>
      </x:c>
      <x:c r="U51" s="60" t="n">
        <x:v>89.82499999999999</x:v>
      </x:c>
      <x:c r="V51" s="60" t="n">
        <x:v>91</x:v>
      </x:c>
      <x:c r="W51" s="60" t="n">
        <x:v>89</x:v>
      </x:c>
      <x:c r="X51" s="60" t="n">
        <x:v>92.1</x:v>
      </x:c>
      <x:c r="Y51" s="60" t="n">
        <x:v>86.8</x:v>
      </x:c>
      <x:c r="Z51" s="60" t="n">
        <x:v>92.1</x:v>
      </x:c>
      <x:c r="AA51" s="60" t="n">
        <x:v>86</x:v>
      </x:c>
      <x:c r="AB51" s="60" t="n">
        <x:v>12</x:v>
      </x:c>
      <x:c r="AC51" s="60" t="n">
        <x:f>ROUND(((0.30*V51+0.20*W51+0.25*X51+0.15*Y51+0.10*AA51)+(0.30*Z51+0.20*X51+0.20*W51+0.15*AA51+0.15*(100-AB51)))/2,2)</x:f>
        <x:v>89.85</x:v>
      </x:c>
      <x:c r="AD51" s="60" t="n">
        <x:v>91</x:v>
      </x:c>
      <x:c r="AE51" s="60" t="n">
        <x:v>89</x:v>
      </x:c>
      <x:c r="AF51" s="60" t="n">
        <x:v>92.1</x:v>
      </x:c>
      <x:c r="AG51" s="60" t="n">
        <x:v>86.9</x:v>
      </x:c>
      <x:c r="AH51" s="60" t="n">
        <x:v>92.1</x:v>
      </x:c>
      <x:c r="AI51" s="60" t="n">
        <x:v>86</x:v>
      </x:c>
      <x:c r="AJ51" s="60" t="n">
        <x:v>12</x:v>
      </x:c>
      <x:c r="AK51" s="60" t="n">
        <x:f>ROUND(((0.30*AD51+0.20*AE51+0.25*AF51+0.15*AG51+0.10*AI51)+(0.30*AH51+0.20*AF51+0.20*AE51+0.15*AI51+0.15*(100-AJ51)))/2,2)</x:f>
        <x:v>89.85</x:v>
      </x:c>
      <x:c r="AL51" s="60" t="n">
        <x:v>91</x:v>
      </x:c>
      <x:c r="AM51" s="60" t="n">
        <x:v>89</x:v>
      </x:c>
      <x:c r="AN51" s="60" t="n">
        <x:v>92.1</x:v>
      </x:c>
      <x:c r="AO51" s="60" t="n">
        <x:v>86.8</x:v>
      </x:c>
      <x:c r="AP51" s="60" t="n">
        <x:v>92.1</x:v>
      </x:c>
      <x:c r="AQ51" s="60" t="n">
        <x:v>86</x:v>
      </x:c>
      <x:c r="AR51" s="60" t="n">
        <x:v>12</x:v>
      </x:c>
      <x:c r="AS51" s="60" t="n">
        <x:f>ROUND(((0.30*AL51+0.20*AM51+0.25*AN51+0.15*AO51+0.10*AQ51)+(0.30*AP51+0.20*AN51+0.20*AM51+0.15*AQ51+0.15*(100-AR51)))/2,2)</x:f>
        <x:v>89.85</x:v>
      </x:c>
      <x:c r="AT51" s="60" t="n">
        <x:f>ROUND(AVERAGE(V51,AD51,AL51),1)</x:f>
        <x:v>91</x:v>
      </x:c>
      <x:c r="AU51" s="60" t="n">
        <x:f>ROUND(AVERAGE(W51,AE51,AM51),1)</x:f>
        <x:v>89</x:v>
      </x:c>
      <x:c r="AV51" s="60" t="n">
        <x:f>ROUND(AVERAGE(X51,AF51,AN51),1)</x:f>
        <x:v>92.1</x:v>
      </x:c>
      <x:c r="AW51" s="60" t="n">
        <x:f>ROUND(AVERAGE(Y51,AG51,AO51),1)</x:f>
        <x:v>86.8</x:v>
      </x:c>
      <x:c r="AX51" s="60" t="n">
        <x:f>ROUND(AVERAGE(Z51,AH51,AP51),1)</x:f>
        <x:v>92.1</x:v>
      </x:c>
      <x:c r="AY51" s="60" t="n">
        <x:f>ROUND(AVERAGE(AA51,AI51,AQ51),1)</x:f>
        <x:v>86</x:v>
      </x:c>
      <x:c r="AZ51" s="60" t="n">
        <x:f>ROUND(AVERAGE(AB51,AJ51,AR51),1)</x:f>
        <x:v>12</x:v>
      </x:c>
      <x:c r="BA51" s="59" t="n">
        <x:v>4</x:v>
      </x:c>
      <x:c r="BB51" s="60" t="n">
        <x:f>ROUND(0.30*AT51+0.20*AU51+0.25*AV51+0.15*AW51+0.10*AY51,2)</x:f>
        <x:v>89.74</x:v>
      </x:c>
      <x:c r="BC51" s="60" t="n">
        <x:f>ROUND(0.30*AX51+0.20*AV51+0.20*AU51+0.15*AY51+0.15*(100-AZ51),2)</x:f>
        <x:v>89.95</x:v>
      </x:c>
      <x:c r="BD51" s="60" t="n">
        <x:f>ROUND(AVERAGE(BB51,BC51),2)</x:f>
        <x:v>89.85</x:v>
      </x:c>
      <x:c r="BE51" s="60" t="n">
        <x:f>ROUND(BD51-U51,2)</x:f>
        <x:v>0.03</x:v>
      </x:c>
      <x:c r="BF51" s="60" t="n">
        <x:f>ROUND(STDEV.P(AC51,AK51,AS51),3)</x:f>
        <x:v>0</x:v>
      </x:c>
      <x:c r="BG51" s="59" t="str">
        <x:v>Top100</x:v>
      </x:c>
      <x:c r="BH51" s="59" t="str">
        <x:v>Top50三轮复核</x:v>
      </x:c>
      <x:c r="BI51" s="40" t="str">
        <x:v>范围偏专门，广度轻微回调</x:v>
      </x:c>
    </x:row>
    <x:row r="52" ht="30" customHeight="1">
      <x:c r="A52" s="59" t="n">
        <x:v>51</x:v>
      </x:c>
      <x:c r="B52" s="59" t="n">
        <x:v>52</x:v>
      </x:c>
      <x:c r="C52" s="59" t="str">
        <x:v>2026-05</x:v>
      </x:c>
      <x:c r="D52" s="59" t="n">
        <x:v>24</x:v>
      </x:c>
      <x:c r="E52" s="59" t="str">
        <x:v>2605.01933</x:v>
      </x:c>
      <x:c r="F52" s="40" t="str">
        <x:v>A sharp hypocoercive entropy decay estimate for underdamped Langevin dynamics</x:v>
      </x:c>
      <x:c r="G52" s="40" t="str">
        <x:v>Jianfeng Lu</x:v>
      </x:c>
      <x:c r="H52" s="40" t="str">
        <x:v>Hypocoercivity / Langevin</x:v>
      </x:c>
      <x:c r="I52" s="59" t="n">
        <x:v>25</x:v>
      </x:c>
      <x:c r="J52" s="40" t="str">
        <x:v>https://arxiv.org/abs/2605.01933</x:v>
      </x:c>
      <x:c r="K52" s="60" t="n">
        <x:v>91</x:v>
      </x:c>
      <x:c r="L52" s="60" t="n">
        <x:v>90</x:v>
      </x:c>
      <x:c r="M52" s="60" t="n">
        <x:v>91</x:v>
      </x:c>
      <x:c r="N52" s="60" t="n">
        <x:v>88</x:v>
      </x:c>
      <x:c r="O52" s="60" t="n">
        <x:v>90</x:v>
      </x:c>
      <x:c r="P52" s="60" t="n">
        <x:v>88</x:v>
      </x:c>
      <x:c r="Q52" s="60" t="n">
        <x:v>13</x:v>
      </x:c>
      <x:c r="R52" s="59" t="n">
        <x:v>5</x:v>
      </x:c>
      <x:c r="S52" s="60" t="n">
        <x:v>90.1</x:v>
      </x:c>
      <x:c r="T52" s="60" t="n">
        <x:v>89.5</x:v>
      </x:c>
      <x:c r="U52" s="60" t="n">
        <x:v>89.8</x:v>
      </x:c>
      <x:c r="V52" s="60" t="n">
        <x:v>91.1</x:v>
      </x:c>
      <x:c r="W52" s="60" t="n">
        <x:v>90.2</x:v>
      </x:c>
      <x:c r="X52" s="60" t="n">
        <x:v>91.1</x:v>
      </x:c>
      <x:c r="Y52" s="60" t="n">
        <x:v>88.2</x:v>
      </x:c>
      <x:c r="Z52" s="60" t="n">
        <x:v>90.2</x:v>
      </x:c>
      <x:c r="AA52" s="60" t="n">
        <x:v>88</x:v>
      </x:c>
      <x:c r="AB52" s="60" t="n">
        <x:v>13</x:v>
      </x:c>
      <x:c r="AC52" s="60" t="n">
        <x:f>ROUND(((0.30*V52+0.20*W52+0.25*X52+0.15*Y52+0.10*AA52)+(0.30*Z52+0.20*X52+0.20*W52+0.15*AA52+0.15*(100-AB52)))/2,2)</x:f>
        <x:v>89.87</x:v>
      </x:c>
      <x:c r="AD52" s="60" t="n">
        <x:v>91.1</x:v>
      </x:c>
      <x:c r="AE52" s="60" t="n">
        <x:v>90.1</x:v>
      </x:c>
      <x:c r="AF52" s="60" t="n">
        <x:v>91.1</x:v>
      </x:c>
      <x:c r="AG52" s="60" t="n">
        <x:v>88.2</x:v>
      </x:c>
      <x:c r="AH52" s="60" t="n">
        <x:v>90.2</x:v>
      </x:c>
      <x:c r="AI52" s="60" t="n">
        <x:v>88</x:v>
      </x:c>
      <x:c r="AJ52" s="60" t="n">
        <x:v>13.4</x:v>
      </x:c>
      <x:c r="AK52" s="60" t="n">
        <x:f>ROUND(((0.30*AD52+0.20*AE52+0.25*AF52+0.15*AG52+0.10*AI52)+(0.30*AH52+0.20*AF52+0.20*AE52+0.15*AI52+0.15*(100-AJ52)))/2,2)</x:f>
        <x:v>89.82</x:v>
      </x:c>
      <x:c r="AL52" s="60" t="n">
        <x:v>91.1</x:v>
      </x:c>
      <x:c r="AM52" s="60" t="n">
        <x:v>90.1</x:v>
      </x:c>
      <x:c r="AN52" s="60" t="n">
        <x:v>91.1</x:v>
      </x:c>
      <x:c r="AO52" s="60" t="n">
        <x:v>88.2</x:v>
      </x:c>
      <x:c r="AP52" s="60" t="n">
        <x:v>90.2</x:v>
      </x:c>
      <x:c r="AQ52" s="60" t="n">
        <x:v>88</x:v>
      </x:c>
      <x:c r="AR52" s="60" t="n">
        <x:v>13</x:v>
      </x:c>
      <x:c r="AS52" s="60" t="n">
        <x:f>ROUND(((0.30*AL52+0.20*AM52+0.25*AN52+0.15*AO52+0.10*AQ52)+(0.30*AP52+0.20*AN52+0.20*AM52+0.15*AQ52+0.15*(100-AR52)))/2,2)</x:f>
        <x:v>89.85</x:v>
      </x:c>
      <x:c r="AT52" s="60" t="n">
        <x:f>ROUND(AVERAGE(V52,AD52,AL52),1)</x:f>
        <x:v>91.1</x:v>
      </x:c>
      <x:c r="AU52" s="60" t="n">
        <x:f>ROUND(AVERAGE(W52,AE52,AM52),1)</x:f>
        <x:v>90.1</x:v>
      </x:c>
      <x:c r="AV52" s="60" t="n">
        <x:f>ROUND(AVERAGE(X52,AF52,AN52),1)</x:f>
        <x:v>91.1</x:v>
      </x:c>
      <x:c r="AW52" s="60" t="n">
        <x:f>ROUND(AVERAGE(Y52,AG52,AO52),1)</x:f>
        <x:v>88.2</x:v>
      </x:c>
      <x:c r="AX52" s="60" t="n">
        <x:f>ROUND(AVERAGE(Z52,AH52,AP52),1)</x:f>
        <x:v>90.2</x:v>
      </x:c>
      <x:c r="AY52" s="60" t="n">
        <x:f>ROUND(AVERAGE(AA52,AI52,AQ52),1)</x:f>
        <x:v>88</x:v>
      </x:c>
      <x:c r="AZ52" s="60" t="n">
        <x:f>ROUND(AVERAGE(AB52,AJ52,AR52),1)</x:f>
        <x:v>13.1</x:v>
      </x:c>
      <x:c r="BA52" s="59" t="n">
        <x:v>5</x:v>
      </x:c>
      <x:c r="BB52" s="60" t="n">
        <x:f>ROUND(0.30*AT52+0.20*AU52+0.25*AV52+0.15*AW52+0.10*AY52,2)</x:f>
        <x:v>90.16</x:v>
      </x:c>
      <x:c r="BC52" s="60" t="n">
        <x:f>ROUND(0.30*AX52+0.20*AV52+0.20*AU52+0.15*AY52+0.15*(100-AZ52),2)</x:f>
        <x:v>89.54</x:v>
      </x:c>
      <x:c r="BD52" s="60" t="n">
        <x:f>ROUND(AVERAGE(BB52,BC52),2)</x:f>
        <x:v>89.85</x:v>
      </x:c>
      <x:c r="BE52" s="60" t="n">
        <x:f>ROUND(BD52-U52,2)</x:f>
        <x:v>0.05</x:v>
      </x:c>
      <x:c r="BF52" s="60" t="n">
        <x:f>ROUND(STDEV.P(AC52,AK52,AS52),3)</x:f>
        <x:v>0.021</x:v>
      </x:c>
      <x:c r="BG52" s="59" t="str">
        <x:v>Top100</x:v>
      </x:c>
      <x:c r="BH52" s="59" t="str">
        <x:v>Top50三轮复核</x:v>
      </x:c>
      <x:c r="BI52" s="40" t="str">
        <x:v>三轮复核后与原表基本一致</x:v>
      </x:c>
    </x:row>
    <x:row r="53" ht="30" customHeight="1">
      <x:c r="A53" s="59" t="n">
        <x:v>52</x:v>
      </x:c>
      <x:c r="B53" s="59" t="n">
        <x:v>50</x:v>
      </x:c>
      <x:c r="C53" s="59" t="str">
        <x:v>2026-06</x:v>
      </x:c>
      <x:c r="D53" s="59" t="n">
        <x:v>27</x:v>
      </x:c>
      <x:c r="E53" s="59" t="str">
        <x:v>2606.29468</x:v>
      </x:c>
      <x:c r="F53" s="40" t="str">
        <x:v>On potential Type II blowups for the Navier-Stokes equations</x:v>
      </x:c>
      <x:c r="G53" s="40" t="str">
        <x:v>Gregory Seregin</x:v>
      </x:c>
      <x:c r="H53" s="40" t="str">
        <x:v>Navier-Stokes blow-up</x:v>
      </x:c>
      <x:c r="I53" s="59" t="n">
        <x:v>14</x:v>
      </x:c>
      <x:c r="J53" s="40" t="str">
        <x:v>https://arxiv.org/abs/2606.29468</x:v>
      </x:c>
      <x:c r="K53" s="60" t="n">
        <x:v>94</x:v>
      </x:c>
      <x:c r="L53" s="60" t="n">
        <x:v>88</x:v>
      </x:c>
      <x:c r="M53" s="60" t="n">
        <x:v>91</x:v>
      </x:c>
      <x:c r="N53" s="60" t="n">
        <x:v>88</x:v>
      </x:c>
      <x:c r="O53" s="60" t="n">
        <x:v>92</x:v>
      </x:c>
      <x:c r="P53" s="60" t="n">
        <x:v>85</x:v>
      </x:c>
      <x:c r="Q53" s="60" t="n">
        <x:v>11</x:v>
      </x:c>
      <x:c r="R53" s="59" t="n">
        <x:v>4</x:v>
      </x:c>
      <x:c r="S53" s="60" t="n">
        <x:v>90.25</x:v>
      </x:c>
      <x:c r="T53" s="60" t="n">
        <x:v>89.5</x:v>
      </x:c>
      <x:c r="U53" s="60" t="n">
        <x:v>89.875</x:v>
      </x:c>
      <x:c r="V53" s="60" t="n">
        <x:v>94.1</x:v>
      </x:c>
      <x:c r="W53" s="60" t="n">
        <x:v>87.9</x:v>
      </x:c>
      <x:c r="X53" s="60" t="n">
        <x:v>90.9</x:v>
      </x:c>
      <x:c r="Y53" s="60" t="n">
        <x:v>87.9</x:v>
      </x:c>
      <x:c r="Z53" s="60" t="n">
        <x:v>92</x:v>
      </x:c>
      <x:c r="AA53" s="60" t="n">
        <x:v>85</x:v>
      </x:c>
      <x:c r="AB53" s="60" t="n">
        <x:v>11</x:v>
      </x:c>
      <x:c r="AC53" s="60" t="n">
        <x:f>ROUND(((0.30*V53+0.20*W53+0.25*X53+0.15*Y53+0.10*AA53)+(0.30*Z53+0.20*X53+0.20*W53+0.15*AA53+0.15*(100-AB53)))/2,2)</x:f>
        <x:v>89.84</x:v>
      </x:c>
      <x:c r="AD53" s="60" t="n">
        <x:v>94.1</x:v>
      </x:c>
      <x:c r="AE53" s="60" t="n">
        <x:v>87.9</x:v>
      </x:c>
      <x:c r="AF53" s="60" t="n">
        <x:v>90.9</x:v>
      </x:c>
      <x:c r="AG53" s="60" t="n">
        <x:v>88</x:v>
      </x:c>
      <x:c r="AH53" s="60" t="n">
        <x:v>92</x:v>
      </x:c>
      <x:c r="AI53" s="60" t="n">
        <x:v>85</x:v>
      </x:c>
      <x:c r="AJ53" s="60" t="n">
        <x:v>11.4</x:v>
      </x:c>
      <x:c r="AK53" s="60" t="n">
        <x:f>ROUND(((0.30*AD53+0.20*AE53+0.25*AF53+0.15*AG53+0.10*AI53)+(0.30*AH53+0.20*AF53+0.20*AE53+0.15*AI53+0.15*(100-AJ53)))/2,2)</x:f>
        <x:v>89.82</x:v>
      </x:c>
      <x:c r="AL53" s="60" t="n">
        <x:v>94.1</x:v>
      </x:c>
      <x:c r="AM53" s="60" t="n">
        <x:v>87.9</x:v>
      </x:c>
      <x:c r="AN53" s="60" t="n">
        <x:v>90.9</x:v>
      </x:c>
      <x:c r="AO53" s="60" t="n">
        <x:v>87.9</x:v>
      </x:c>
      <x:c r="AP53" s="60" t="n">
        <x:v>92</x:v>
      </x:c>
      <x:c r="AQ53" s="60" t="n">
        <x:v>85</x:v>
      </x:c>
      <x:c r="AR53" s="60" t="n">
        <x:v>11.5</x:v>
      </x:c>
      <x:c r="AS53" s="60" t="n">
        <x:f>ROUND(((0.30*AL53+0.20*AM53+0.25*AN53+0.15*AO53+0.10*AQ53)+(0.30*AP53+0.20*AN53+0.20*AM53+0.15*AQ53+0.15*(100-AR53)))/2,2)</x:f>
        <x:v>89.8</x:v>
      </x:c>
      <x:c r="AT53" s="60" t="n">
        <x:f>ROUND(AVERAGE(V53,AD53,AL53),1)</x:f>
        <x:v>94.1</x:v>
      </x:c>
      <x:c r="AU53" s="60" t="n">
        <x:f>ROUND(AVERAGE(W53,AE53,AM53),1)</x:f>
        <x:v>87.9</x:v>
      </x:c>
      <x:c r="AV53" s="60" t="n">
        <x:f>ROUND(AVERAGE(X53,AF53,AN53),1)</x:f>
        <x:v>90.9</x:v>
      </x:c>
      <x:c r="AW53" s="60" t="n">
        <x:f>ROUND(AVERAGE(Y53,AG53,AO53),1)</x:f>
        <x:v>87.9</x:v>
      </x:c>
      <x:c r="AX53" s="60" t="n">
        <x:f>ROUND(AVERAGE(Z53,AH53,AP53),1)</x:f>
        <x:v>92</x:v>
      </x:c>
      <x:c r="AY53" s="60" t="n">
        <x:f>ROUND(AVERAGE(AA53,AI53,AQ53),1)</x:f>
        <x:v>85</x:v>
      </x:c>
      <x:c r="AZ53" s="60" t="n">
        <x:f>ROUND(AVERAGE(AB53,AJ53,AR53),1)</x:f>
        <x:v>11.3</x:v>
      </x:c>
      <x:c r="BA53" s="59" t="n">
        <x:v>4</x:v>
      </x:c>
      <x:c r="BB53" s="60" t="n">
        <x:f>ROUND(0.30*AT53+0.20*AU53+0.25*AV53+0.15*AW53+0.10*AY53,2)</x:f>
        <x:v>90.22</x:v>
      </x:c>
      <x:c r="BC53" s="60" t="n">
        <x:f>ROUND(0.30*AX53+0.20*AV53+0.20*AU53+0.15*AY53+0.15*(100-AZ53),2)</x:f>
        <x:v>89.42</x:v>
      </x:c>
      <x:c r="BD53" s="60" t="n">
        <x:f>ROUND(AVERAGE(BB53,BC53),2)</x:f>
        <x:v>89.82</x:v>
      </x:c>
      <x:c r="BE53" s="60" t="n">
        <x:f>ROUND(BD53-U53,2)</x:f>
        <x:v>-0.06</x:v>
      </x:c>
      <x:c r="BF53" s="60" t="n">
        <x:f>ROUND(STDEV.P(AC53,AK53,AS53),3)</x:f>
        <x:v>0.016</x:v>
      </x:c>
      <x:c r="BG53" s="59" t="str">
        <x:v>Top100</x:v>
      </x:c>
      <x:c r="BH53" s="59" t="str">
        <x:v>Top50三轮复核</x:v>
      </x:c>
      <x:c r="BI53" s="40" t="str">
        <x:v>系列/续篇按重叠性校准；短文且非框架性题材，技术残差轻微回调</x:v>
      </x:c>
    </x:row>
    <x:row r="54" ht="30" customHeight="1">
      <x:c r="A54" s="59" t="n">
        <x:v>53</x:v>
      </x:c>
      <x:c r="B54" s="59" t="n">
        <x:v>53</x:v>
      </x:c>
      <x:c r="C54" s="59" t="str">
        <x:v>2026-05</x:v>
      </x:c>
      <x:c r="D54" s="59" t="n">
        <x:v>25</x:v>
      </x:c>
      <x:c r="E54" s="59" t="str">
        <x:v>2605.03732</x:v>
      </x:c>
      <x:c r="F54" s="40" t="str">
        <x:v>Sharp Stability for the Affine Fractional Sobolev Inequality</x:v>
      </x:c>
      <x:c r="G54" s="40" t="str">
        <x:v>Song Fan; Gui-Dong Li; Jianjun Zhang</x:v>
      </x:c>
      <x:c r="H54" s="40" t="str">
        <x:v>Functional inequalities</x:v>
      </x:c>
      <x:c r="I54" s="59"/>
      <x:c r="J54" s="40" t="str">
        <x:v>https://arxiv.org/abs/2605.03732</x:v>
      </x:c>
      <x:c r="K54" s="60" t="n">
        <x:v>91</x:v>
      </x:c>
      <x:c r="L54" s="60" t="n">
        <x:v>90</x:v>
      </x:c>
      <x:c r="M54" s="60" t="n">
        <x:v>91</x:v>
      </x:c>
      <x:c r="N54" s="60" t="n">
        <x:v>87</x:v>
      </x:c>
      <x:c r="O54" s="60" t="n">
        <x:v>91</x:v>
      </x:c>
      <x:c r="P54" s="60" t="n">
        <x:v>87</x:v>
      </x:c>
      <x:c r="Q54" s="60" t="n">
        <x:v>13</x:v>
      </x:c>
      <x:c r="R54" s="59" t="n">
        <x:v>5</x:v>
      </x:c>
      <x:c r="S54" s="60" t="n">
        <x:v>89.8</x:v>
      </x:c>
      <x:c r="T54" s="60" t="n">
        <x:v>89.6</x:v>
      </x:c>
      <x:c r="U54" s="60" t="n">
        <x:v>89.7</x:v>
      </x:c>
      <x:c r="V54" s="60" t="n">
        <x:v>91</x:v>
      </x:c>
      <x:c r="W54" s="60" t="n">
        <x:v>90.2</x:v>
      </x:c>
      <x:c r="X54" s="60" t="n">
        <x:v>91</x:v>
      </x:c>
      <x:c r="Y54" s="60" t="n">
        <x:v>87.2</x:v>
      </x:c>
      <x:c r="Z54" s="60" t="n">
        <x:v>91.1</x:v>
      </x:c>
      <x:c r="AA54" s="60" t="n">
        <x:v>87</x:v>
      </x:c>
      <x:c r="AB54" s="60" t="n">
        <x:v>13</x:v>
      </x:c>
      <x:c r="AC54" s="60" t="n">
        <x:f>ROUND(((0.30*V54+0.20*W54+0.25*X54+0.15*Y54+0.10*AA54)+(0.30*Z54+0.20*X54+0.20*W54+0.15*AA54+0.15*(100-AB54)))/2,2)</x:f>
        <x:v>89.77</x:v>
      </x:c>
      <x:c r="AD54" s="60" t="n">
        <x:v>91</x:v>
      </x:c>
      <x:c r="AE54" s="60" t="n">
        <x:v>90.1</x:v>
      </x:c>
      <x:c r="AF54" s="60" t="n">
        <x:v>91</x:v>
      </x:c>
      <x:c r="AG54" s="60" t="n">
        <x:v>87.2</x:v>
      </x:c>
      <x:c r="AH54" s="60" t="n">
        <x:v>91.1</x:v>
      </x:c>
      <x:c r="AI54" s="60" t="n">
        <x:v>87</x:v>
      </x:c>
      <x:c r="AJ54" s="60" t="n">
        <x:v>13</x:v>
      </x:c>
      <x:c r="AK54" s="60" t="n">
        <x:f>ROUND(((0.30*AD54+0.20*AE54+0.25*AF54+0.15*AG54+0.10*AI54)+(0.30*AH54+0.20*AF54+0.20*AE54+0.15*AI54+0.15*(100-AJ54)))/2,2)</x:f>
        <x:v>89.75</x:v>
      </x:c>
      <x:c r="AL54" s="60" t="n">
        <x:v>91</x:v>
      </x:c>
      <x:c r="AM54" s="60" t="n">
        <x:v>90.1</x:v>
      </x:c>
      <x:c r="AN54" s="60" t="n">
        <x:v>91</x:v>
      </x:c>
      <x:c r="AO54" s="60" t="n">
        <x:v>87.2</x:v>
      </x:c>
      <x:c r="AP54" s="60" t="n">
        <x:v>91.1</x:v>
      </x:c>
      <x:c r="AQ54" s="60" t="n">
        <x:v>87</x:v>
      </x:c>
      <x:c r="AR54" s="60" t="n">
        <x:v>13</x:v>
      </x:c>
      <x:c r="AS54" s="60" t="n">
        <x:f>ROUND(((0.30*AL54+0.20*AM54+0.25*AN54+0.15*AO54+0.10*AQ54)+(0.30*AP54+0.20*AN54+0.20*AM54+0.15*AQ54+0.15*(100-AR54)))/2,2)</x:f>
        <x:v>89.75</x:v>
      </x:c>
      <x:c r="AT54" s="60" t="n">
        <x:f>ROUND(AVERAGE(V54,AD54,AL54),1)</x:f>
        <x:v>91</x:v>
      </x:c>
      <x:c r="AU54" s="60" t="n">
        <x:f>ROUND(AVERAGE(W54,AE54,AM54),1)</x:f>
        <x:v>90.1</x:v>
      </x:c>
      <x:c r="AV54" s="60" t="n">
        <x:f>ROUND(AVERAGE(X54,AF54,AN54),1)</x:f>
        <x:v>91</x:v>
      </x:c>
      <x:c r="AW54" s="60" t="n">
        <x:f>ROUND(AVERAGE(Y54,AG54,AO54),1)</x:f>
        <x:v>87.2</x:v>
      </x:c>
      <x:c r="AX54" s="60" t="n">
        <x:f>ROUND(AVERAGE(Z54,AH54,AP54),1)</x:f>
        <x:v>91.1</x:v>
      </x:c>
      <x:c r="AY54" s="60" t="n">
        <x:f>ROUND(AVERAGE(AA54,AI54,AQ54),1)</x:f>
        <x:v>87</x:v>
      </x:c>
      <x:c r="AZ54" s="60" t="n">
        <x:f>ROUND(AVERAGE(AB54,AJ54,AR54),1)</x:f>
        <x:v>13</x:v>
      </x:c>
      <x:c r="BA54" s="59" t="n">
        <x:v>5</x:v>
      </x:c>
      <x:c r="BB54" s="60" t="n">
        <x:f>ROUND(0.30*AT54+0.20*AU54+0.25*AV54+0.15*AW54+0.10*AY54,2)</x:f>
        <x:v>89.85</x:v>
      </x:c>
      <x:c r="BC54" s="60" t="n">
        <x:f>ROUND(0.30*AX54+0.20*AV54+0.20*AU54+0.15*AY54+0.15*(100-AZ54),2)</x:f>
        <x:v>89.65</x:v>
      </x:c>
      <x:c r="BD54" s="60" t="n">
        <x:f>ROUND(AVERAGE(BB54,BC54),2)</x:f>
        <x:v>89.75</x:v>
      </x:c>
      <x:c r="BE54" s="60" t="n">
        <x:f>ROUND(BD54-U54,2)</x:f>
        <x:v>0.05</x:v>
      </x:c>
      <x:c r="BF54" s="60" t="n">
        <x:f>ROUND(STDEV.P(AC54,AK54,AS54),3)</x:f>
        <x:v>0.009</x:v>
      </x:c>
      <x:c r="BG54" s="59" t="str">
        <x:v>Top100</x:v>
      </x:c>
      <x:c r="BH54" s="59" t="str">
        <x:v>Top50三轮复核</x:v>
      </x:c>
      <x:c r="BI54" s="40" t="str">
        <x:v>三轮复核后与原表基本一致</x:v>
      </x:c>
    </x:row>
    <x:row r="55" ht="30" customHeight="1">
      <x:c r="A55" s="59" t="n">
        <x:v>54</x:v>
      </x:c>
      <x:c r="B55" s="59" t="n">
        <x:v>54</x:v>
      </x:c>
      <x:c r="C55" s="59" t="str">
        <x:v>2026-06</x:v>
      </x:c>
      <x:c r="D55" s="59" t="n">
        <x:v>29</x:v>
      </x:c>
      <x:c r="E55" s="59" t="str">
        <x:v>2606.22355</x:v>
      </x:c>
      <x:c r="F55" s="40" t="str">
        <x:v>Uncountably many non-rotationally symmetric type II ancient Yamabe flows on the sphere</x:v>
      </x:c>
      <x:c r="G55" s="40" t="str">
        <x:v>Haixia Chen; Seunghyeok Kim; Monica Musso</x:v>
      </x:c>
      <x:c r="H55" s="40" t="str">
        <x:v>Yamabe flow/geometric PDE</x:v>
      </x:c>
      <x:c r="I55" s="59"/>
      <x:c r="J55" s="40" t="str">
        <x:v>https://arxiv.org/abs/2606.22355</x:v>
      </x:c>
      <x:c r="K55" s="60" t="n">
        <x:v>91</x:v>
      </x:c>
      <x:c r="L55" s="60" t="n">
        <x:v>91</x:v>
      </x:c>
      <x:c r="M55" s="60" t="n">
        <x:v>91</x:v>
      </x:c>
      <x:c r="N55" s="60" t="n">
        <x:v>87</x:v>
      </x:c>
      <x:c r="O55" s="60" t="n">
        <x:v>91</x:v>
      </x:c>
      <x:c r="P55" s="60" t="n">
        <x:v>84</x:v>
      </x:c>
      <x:c r="Q55" s="60" t="n">
        <x:v>12</x:v>
      </x:c>
      <x:c r="R55" s="59" t="n">
        <x:v>4</x:v>
      </x:c>
      <x:c r="S55" s="60" t="n">
        <x:v>89.7</x:v>
      </x:c>
      <x:c r="T55" s="60" t="n">
        <x:v>89.5</x:v>
      </x:c>
      <x:c r="U55" s="60" t="n">
        <x:v>89.6</x:v>
      </x:c>
      <x:c r="V55" s="60" t="n">
        <x:v>91</x:v>
      </x:c>
      <x:c r="W55" s="60" t="n">
        <x:v>90.9</x:v>
      </x:c>
      <x:c r="X55" s="60" t="n">
        <x:v>91</x:v>
      </x:c>
      <x:c r="Y55" s="60" t="n">
        <x:v>86.9</x:v>
      </x:c>
      <x:c r="Z55" s="60" t="n">
        <x:v>91</x:v>
      </x:c>
      <x:c r="AA55" s="60" t="n">
        <x:v>84</x:v>
      </x:c>
      <x:c r="AB55" s="60" t="n">
        <x:v>12</x:v>
      </x:c>
      <x:c r="AC55" s="60" t="n">
        <x:f>ROUND(((0.30*V55+0.20*W55+0.25*X55+0.15*Y55+0.10*AA55)+(0.30*Z55+0.20*X55+0.20*W55+0.15*AA55+0.15*(100-AB55)))/2,2)</x:f>
        <x:v>89.57</x:v>
      </x:c>
      <x:c r="AD55" s="60" t="n">
        <x:v>91</x:v>
      </x:c>
      <x:c r="AE55" s="60" t="n">
        <x:v>90.9</x:v>
      </x:c>
      <x:c r="AF55" s="60" t="n">
        <x:v>91</x:v>
      </x:c>
      <x:c r="AG55" s="60" t="n">
        <x:v>87</x:v>
      </x:c>
      <x:c r="AH55" s="60" t="n">
        <x:v>91</x:v>
      </x:c>
      <x:c r="AI55" s="60" t="n">
        <x:v>84</x:v>
      </x:c>
      <x:c r="AJ55" s="60" t="n">
        <x:v>12</x:v>
      </x:c>
      <x:c r="AK55" s="60" t="n">
        <x:f>ROUND(((0.30*AD55+0.20*AE55+0.25*AF55+0.15*AG55+0.10*AI55)+(0.30*AH55+0.20*AF55+0.20*AE55+0.15*AI55+0.15*(100-AJ55)))/2,2)</x:f>
        <x:v>89.58</x:v>
      </x:c>
      <x:c r="AL55" s="60" t="n">
        <x:v>91</x:v>
      </x:c>
      <x:c r="AM55" s="60" t="n">
        <x:v>90.9</x:v>
      </x:c>
      <x:c r="AN55" s="60" t="n">
        <x:v>91</x:v>
      </x:c>
      <x:c r="AO55" s="60" t="n">
        <x:v>86.9</x:v>
      </x:c>
      <x:c r="AP55" s="60" t="n">
        <x:v>91</x:v>
      </x:c>
      <x:c r="AQ55" s="60" t="n">
        <x:v>84</x:v>
      </x:c>
      <x:c r="AR55" s="60" t="n">
        <x:v>12</x:v>
      </x:c>
      <x:c r="AS55" s="60" t="n">
        <x:f>ROUND(((0.30*AL55+0.20*AM55+0.25*AN55+0.15*AO55+0.10*AQ55)+(0.30*AP55+0.20*AN55+0.20*AM55+0.15*AQ55+0.15*(100-AR55)))/2,2)</x:f>
        <x:v>89.57</x:v>
      </x:c>
      <x:c r="AT55" s="60" t="n">
        <x:f>ROUND(AVERAGE(V55,AD55,AL55),1)</x:f>
        <x:v>91</x:v>
      </x:c>
      <x:c r="AU55" s="60" t="n">
        <x:f>ROUND(AVERAGE(W55,AE55,AM55),1)</x:f>
        <x:v>90.9</x:v>
      </x:c>
      <x:c r="AV55" s="60" t="n">
        <x:f>ROUND(AVERAGE(X55,AF55,AN55),1)</x:f>
        <x:v>91</x:v>
      </x:c>
      <x:c r="AW55" s="60" t="n">
        <x:f>ROUND(AVERAGE(Y55,AG55,AO55),1)</x:f>
        <x:v>86.9</x:v>
      </x:c>
      <x:c r="AX55" s="60" t="n">
        <x:f>ROUND(AVERAGE(Z55,AH55,AP55),1)</x:f>
        <x:v>91</x:v>
      </x:c>
      <x:c r="AY55" s="60" t="n">
        <x:f>ROUND(AVERAGE(AA55,AI55,AQ55),1)</x:f>
        <x:v>84</x:v>
      </x:c>
      <x:c r="AZ55" s="60" t="n">
        <x:f>ROUND(AVERAGE(AB55,AJ55,AR55),1)</x:f>
        <x:v>12</x:v>
      </x:c>
      <x:c r="BA55" s="59" t="n">
        <x:v>4</x:v>
      </x:c>
      <x:c r="BB55" s="60" t="n">
        <x:f>ROUND(0.30*AT55+0.20*AU55+0.25*AV55+0.15*AW55+0.10*AY55,2)</x:f>
        <x:v>89.67</x:v>
      </x:c>
      <x:c r="BC55" s="60" t="n">
        <x:f>ROUND(0.30*AX55+0.20*AV55+0.20*AU55+0.15*AY55+0.15*(100-AZ55),2)</x:f>
        <x:v>89.48</x:v>
      </x:c>
      <x:c r="BD55" s="60" t="n">
        <x:f>ROUND(AVERAGE(BB55,BC55),2)</x:f>
        <x:v>89.58</x:v>
      </x:c>
      <x:c r="BE55" s="60" t="n">
        <x:f>ROUND(BD55-U55,2)</x:f>
        <x:v>-0.02</x:v>
      </x:c>
      <x:c r="BF55" s="60" t="n">
        <x:f>ROUND(STDEV.P(AC55,AK55,AS55),3)</x:f>
        <x:v>0.005</x:v>
      </x:c>
      <x:c r="BG55" s="59" t="str">
        <x:v>Top100</x:v>
      </x:c>
      <x:c r="BH55" s="59" t="str">
        <x:v>Top50三轮复核</x:v>
      </x:c>
      <x:c r="BI55" s="40" t="str">
        <x:v>系列/续篇按重叠性校准</x:v>
      </x:c>
    </x:row>
    <x:row r="56" ht="30" customHeight="1">
      <x:c r="A56" s="59" t="n">
        <x:v>55</x:v>
      </x:c>
      <x:c r="B56" s="59" t="n">
        <x:v>56</x:v>
      </x:c>
      <x:c r="C56" s="59" t="str">
        <x:v>2026-06</x:v>
      </x:c>
      <x:c r="D56" s="59" t="n">
        <x:v>31</x:v>
      </x:c>
      <x:c r="E56" s="59" t="str">
        <x:v>2606.02811</x:v>
      </x:c>
      <x:c r="F56" s="40" t="str">
        <x:v>Navier-Stokes Equations in Complex Space</x:v>
      </x:c>
      <x:c r="G56" s="40" t="str">
        <x:v>Nikolai Nadirashvili</x:v>
      </x:c>
      <x:c r="H56" s="40" t="str">
        <x:v>Navier-Stokes/complex variables</x:v>
      </x:c>
      <x:c r="I56" s="59"/>
      <x:c r="J56" s="40" t="str">
        <x:v>https://arxiv.org/abs/2606.02811</x:v>
      </x:c>
      <x:c r="K56" s="60" t="n">
        <x:v>91</x:v>
      </x:c>
      <x:c r="L56" s="60" t="n">
        <x:v>91</x:v>
      </x:c>
      <x:c r="M56" s="60" t="n">
        <x:v>90</x:v>
      </x:c>
      <x:c r="N56" s="60" t="n">
        <x:v>87</x:v>
      </x:c>
      <x:c r="O56" s="60" t="n">
        <x:v>91</x:v>
      </x:c>
      <x:c r="P56" s="60" t="n">
        <x:v>85</x:v>
      </x:c>
      <x:c r="Q56" s="60" t="n">
        <x:v>12</x:v>
      </x:c>
      <x:c r="R56" s="59" t="n">
        <x:v>4</x:v>
      </x:c>
      <x:c r="S56" s="60" t="n">
        <x:v>89.55</x:v>
      </x:c>
      <x:c r="T56" s="60" t="n">
        <x:v>89.45</x:v>
      </x:c>
      <x:c r="U56" s="60" t="n">
        <x:v>89.5</x:v>
      </x:c>
      <x:c r="V56" s="60" t="n">
        <x:v>91.1</x:v>
      </x:c>
      <x:c r="W56" s="60" t="n">
        <x:v>91</x:v>
      </x:c>
      <x:c r="X56" s="60" t="n">
        <x:v>90.1</x:v>
      </x:c>
      <x:c r="Y56" s="60" t="n">
        <x:v>87</x:v>
      </x:c>
      <x:c r="Z56" s="60" t="n">
        <x:v>91.1</x:v>
      </x:c>
      <x:c r="AA56" s="60" t="n">
        <x:v>85</x:v>
      </x:c>
      <x:c r="AB56" s="60" t="n">
        <x:v>12</x:v>
      </x:c>
      <x:c r="AC56" s="60" t="n">
        <x:f>ROUND(((0.30*V56+0.20*W56+0.25*X56+0.15*Y56+0.10*AA56)+(0.30*Z56+0.20*X56+0.20*W56+0.15*AA56+0.15*(100-AB56)))/2,2)</x:f>
        <x:v>89.55</x:v>
      </x:c>
      <x:c r="AD56" s="60" t="n">
        <x:v>91.1</x:v>
      </x:c>
      <x:c r="AE56" s="60" t="n">
        <x:v>91</x:v>
      </x:c>
      <x:c r="AF56" s="60" t="n">
        <x:v>90.1</x:v>
      </x:c>
      <x:c r="AG56" s="60" t="n">
        <x:v>87.1</x:v>
      </x:c>
      <x:c r="AH56" s="60" t="n">
        <x:v>91.1</x:v>
      </x:c>
      <x:c r="AI56" s="60" t="n">
        <x:v>85</x:v>
      </x:c>
      <x:c r="AJ56" s="60" t="n">
        <x:v>12</x:v>
      </x:c>
      <x:c r="AK56" s="60" t="n">
        <x:f>ROUND(((0.30*AD56+0.20*AE56+0.25*AF56+0.15*AG56+0.10*AI56)+(0.30*AH56+0.20*AF56+0.20*AE56+0.15*AI56+0.15*(100-AJ56)))/2,2)</x:f>
        <x:v>89.56</x:v>
      </x:c>
      <x:c r="AL56" s="60" t="n">
        <x:v>91.1</x:v>
      </x:c>
      <x:c r="AM56" s="60" t="n">
        <x:v>91</x:v>
      </x:c>
      <x:c r="AN56" s="60" t="n">
        <x:v>90.1</x:v>
      </x:c>
      <x:c r="AO56" s="60" t="n">
        <x:v>87</x:v>
      </x:c>
      <x:c r="AP56" s="60" t="n">
        <x:v>91.1</x:v>
      </x:c>
      <x:c r="AQ56" s="60" t="n">
        <x:v>85</x:v>
      </x:c>
      <x:c r="AR56" s="60" t="n">
        <x:v>12</x:v>
      </x:c>
      <x:c r="AS56" s="60" t="n">
        <x:f>ROUND(((0.30*AL56+0.20*AM56+0.25*AN56+0.15*AO56+0.10*AQ56)+(0.30*AP56+0.20*AN56+0.20*AM56+0.15*AQ56+0.15*(100-AR56)))/2,2)</x:f>
        <x:v>89.55</x:v>
      </x:c>
      <x:c r="AT56" s="60" t="n">
        <x:f>ROUND(AVERAGE(V56,AD56,AL56),1)</x:f>
        <x:v>91.1</x:v>
      </x:c>
      <x:c r="AU56" s="60" t="n">
        <x:f>ROUND(AVERAGE(W56,AE56,AM56),1)</x:f>
        <x:v>91</x:v>
      </x:c>
      <x:c r="AV56" s="60" t="n">
        <x:f>ROUND(AVERAGE(X56,AF56,AN56),1)</x:f>
        <x:v>90.1</x:v>
      </x:c>
      <x:c r="AW56" s="60" t="n">
        <x:f>ROUND(AVERAGE(Y56,AG56,AO56),1)</x:f>
        <x:v>87</x:v>
      </x:c>
      <x:c r="AX56" s="60" t="n">
        <x:f>ROUND(AVERAGE(Z56,AH56,AP56),1)</x:f>
        <x:v>91.1</x:v>
      </x:c>
      <x:c r="AY56" s="60" t="n">
        <x:f>ROUND(AVERAGE(AA56,AI56,AQ56),1)</x:f>
        <x:v>85</x:v>
      </x:c>
      <x:c r="AZ56" s="60" t="n">
        <x:f>ROUND(AVERAGE(AB56,AJ56,AR56),1)</x:f>
        <x:v>12</x:v>
      </x:c>
      <x:c r="BA56" s="59" t="n">
        <x:v>4</x:v>
      </x:c>
      <x:c r="BB56" s="60" t="n">
        <x:f>ROUND(0.30*AT56+0.20*AU56+0.25*AV56+0.15*AW56+0.10*AY56,2)</x:f>
        <x:v>89.61</x:v>
      </x:c>
      <x:c r="BC56" s="60" t="n">
        <x:f>ROUND(0.30*AX56+0.20*AV56+0.20*AU56+0.15*AY56+0.15*(100-AZ56),2)</x:f>
        <x:v>89.5</x:v>
      </x:c>
      <x:c r="BD56" s="60" t="n">
        <x:f>ROUND(AVERAGE(BB56,BC56),2)</x:f>
        <x:v>89.56</x:v>
      </x:c>
      <x:c r="BE56" s="60" t="n">
        <x:f>ROUND(BD56-U56,2)</x:f>
        <x:v>0.06</x:v>
      </x:c>
      <x:c r="BF56" s="60" t="n">
        <x:f>ROUND(STDEV.P(AC56,AK56,AS56),3)</x:f>
        <x:v>0.005</x:v>
      </x:c>
      <x:c r="BG56" s="59" t="str">
        <x:v>Top100</x:v>
      </x:c>
      <x:c r="BH56" s="59" t="str">
        <x:v>Top50三轮复核</x:v>
      </x:c>
      <x:c r="BI56" s="40" t="str">
        <x:v>三轮复核后与原表基本一致</x:v>
      </x:c>
    </x:row>
    <x:row r="57" ht="30" customHeight="1">
      <x:c r="A57" s="59" t="n">
        <x:v>56</x:v>
      </x:c>
      <x:c r="B57" s="59" t="n">
        <x:v>55</x:v>
      </x:c>
      <x:c r="C57" s="59" t="str">
        <x:v>2026-06</x:v>
      </x:c>
      <x:c r="D57" s="59" t="n">
        <x:v>30</x:v>
      </x:c>
      <x:c r="E57" s="59" t="str">
        <x:v>2606.11055</x:v>
      </x:c>
      <x:c r="F57" s="40" t="str">
        <x:v>Exponential mixing and enhanced dissipation on the unit sphere with Rossby-Haurwitz flows</x:v>
      </x:c>
      <x:c r="G57" s="40" t="str">
        <x:v>Augusto Del Zotto; Marc Nualart</x:v>
      </x:c>
      <x:c r="H57" s="40" t="str">
        <x:v>mixing/enhanced dissipation</x:v>
      </x:c>
      <x:c r="I57" s="59" t="n">
        <x:v>84</x:v>
      </x:c>
      <x:c r="J57" s="40" t="str">
        <x:v>https://arxiv.org/abs/2606.11055</x:v>
      </x:c>
      <x:c r="K57" s="60" t="n">
        <x:v>90</x:v>
      </x:c>
      <x:c r="L57" s="60" t="n">
        <x:v>91</x:v>
      </x:c>
      <x:c r="M57" s="60" t="n">
        <x:v>91</x:v>
      </x:c>
      <x:c r="N57" s="60" t="n">
        <x:v>87</x:v>
      </x:c>
      <x:c r="O57" s="60" t="n">
        <x:v>91</x:v>
      </x:c>
      <x:c r="P57" s="60" t="n">
        <x:v>85</x:v>
      </x:c>
      <x:c r="Q57" s="60" t="n">
        <x:v>12</x:v>
      </x:c>
      <x:c r="R57" s="59" t="n">
        <x:v>4</x:v>
      </x:c>
      <x:c r="S57" s="60" t="n">
        <x:v>89.5</x:v>
      </x:c>
      <x:c r="T57" s="60" t="n">
        <x:v>89.65</x:v>
      </x:c>
      <x:c r="U57" s="60" t="n">
        <x:v>89.575</x:v>
      </x:c>
      <x:c r="V57" s="60" t="n">
        <x:v>89.9</x:v>
      </x:c>
      <x:c r="W57" s="60" t="n">
        <x:v>91</x:v>
      </x:c>
      <x:c r="X57" s="60" t="n">
        <x:v>91</x:v>
      </x:c>
      <x:c r="Y57" s="60" t="n">
        <x:v>86.8</x:v>
      </x:c>
      <x:c r="Z57" s="60" t="n">
        <x:v>91</x:v>
      </x:c>
      <x:c r="AA57" s="60" t="n">
        <x:v>85</x:v>
      </x:c>
      <x:c r="AB57" s="60" t="n">
        <x:v>12</x:v>
      </x:c>
      <x:c r="AC57" s="60" t="n">
        <x:f>ROUND(((0.30*V57+0.20*W57+0.25*X57+0.15*Y57+0.10*AA57)+(0.30*Z57+0.20*X57+0.20*W57+0.15*AA57+0.15*(100-AB57)))/2,2)</x:f>
        <x:v>89.55</x:v>
      </x:c>
      <x:c r="AD57" s="60" t="n">
        <x:v>89.9</x:v>
      </x:c>
      <x:c r="AE57" s="60" t="n">
        <x:v>91</x:v>
      </x:c>
      <x:c r="AF57" s="60" t="n">
        <x:v>91</x:v>
      </x:c>
      <x:c r="AG57" s="60" t="n">
        <x:v>86.9</x:v>
      </x:c>
      <x:c r="AH57" s="60" t="n">
        <x:v>91</x:v>
      </x:c>
      <x:c r="AI57" s="60" t="n">
        <x:v>85</x:v>
      </x:c>
      <x:c r="AJ57" s="60" t="n">
        <x:v>12</x:v>
      </x:c>
      <x:c r="AK57" s="60" t="n">
        <x:f>ROUND(((0.30*AD57+0.20*AE57+0.25*AF57+0.15*AG57+0.10*AI57)+(0.30*AH57+0.20*AF57+0.20*AE57+0.15*AI57+0.15*(100-AJ57)))/2,2)</x:f>
        <x:v>89.55</x:v>
      </x:c>
      <x:c r="AL57" s="60" t="n">
        <x:v>89.9</x:v>
      </x:c>
      <x:c r="AM57" s="60" t="n">
        <x:v>91</x:v>
      </x:c>
      <x:c r="AN57" s="60" t="n">
        <x:v>91</x:v>
      </x:c>
      <x:c r="AO57" s="60" t="n">
        <x:v>86.8</x:v>
      </x:c>
      <x:c r="AP57" s="60" t="n">
        <x:v>91</x:v>
      </x:c>
      <x:c r="AQ57" s="60" t="n">
        <x:v>85</x:v>
      </x:c>
      <x:c r="AR57" s="60" t="n">
        <x:v>12</x:v>
      </x:c>
      <x:c r="AS57" s="60" t="n">
        <x:f>ROUND(((0.30*AL57+0.20*AM57+0.25*AN57+0.15*AO57+0.10*AQ57)+(0.30*AP57+0.20*AN57+0.20*AM57+0.15*AQ57+0.15*(100-AR57)))/2,2)</x:f>
        <x:v>89.55</x:v>
      </x:c>
      <x:c r="AT57" s="60" t="n">
        <x:f>ROUND(AVERAGE(V57,AD57,AL57),1)</x:f>
        <x:v>89.9</x:v>
      </x:c>
      <x:c r="AU57" s="60" t="n">
        <x:f>ROUND(AVERAGE(W57,AE57,AM57),1)</x:f>
        <x:v>91</x:v>
      </x:c>
      <x:c r="AV57" s="60" t="n">
        <x:f>ROUND(AVERAGE(X57,AF57,AN57),1)</x:f>
        <x:v>91</x:v>
      </x:c>
      <x:c r="AW57" s="60" t="n">
        <x:f>ROUND(AVERAGE(Y57,AG57,AO57),1)</x:f>
        <x:v>86.8</x:v>
      </x:c>
      <x:c r="AX57" s="60" t="n">
        <x:f>ROUND(AVERAGE(Z57,AH57,AP57),1)</x:f>
        <x:v>91</x:v>
      </x:c>
      <x:c r="AY57" s="60" t="n">
        <x:f>ROUND(AVERAGE(AA57,AI57,AQ57),1)</x:f>
        <x:v>85</x:v>
      </x:c>
      <x:c r="AZ57" s="60" t="n">
        <x:f>ROUND(AVERAGE(AB57,AJ57,AR57),1)</x:f>
        <x:v>12</x:v>
      </x:c>
      <x:c r="BA57" s="59" t="n">
        <x:v>4</x:v>
      </x:c>
      <x:c r="BB57" s="60" t="n">
        <x:f>ROUND(0.30*AT57+0.20*AU57+0.25*AV57+0.15*AW57+0.10*AY57,2)</x:f>
        <x:v>89.44</x:v>
      </x:c>
      <x:c r="BC57" s="60" t="n">
        <x:f>ROUND(0.30*AX57+0.20*AV57+0.20*AU57+0.15*AY57+0.15*(100-AZ57),2)</x:f>
        <x:v>89.65</x:v>
      </x:c>
      <x:c r="BD57" s="60" t="n">
        <x:f>ROUND(AVERAGE(BB57,BC57),2)</x:f>
        <x:v>89.55</x:v>
      </x:c>
      <x:c r="BE57" s="60" t="n">
        <x:f>ROUND(BD57-U57,2)</x:f>
        <x:v>-0.03</x:v>
      </x:c>
      <x:c r="BF57" s="60" t="n">
        <x:f>ROUND(STDEV.P(AC57,AK57,AS57),3)</x:f>
        <x:v>0</x:v>
      </x:c>
      <x:c r="BG57" s="59" t="str">
        <x:v>Top100</x:v>
      </x:c>
      <x:c r="BH57" s="59" t="str">
        <x:v>Top50三轮复核</x:v>
      </x:c>
      <x:c r="BI57" s="40" t="str">
        <x:v>范围偏专门，广度轻微回调</x:v>
      </x:c>
    </x:row>
    <x:row r="58" ht="30" customHeight="1">
      <x:c r="A58" s="59" t="n">
        <x:v>57</x:v>
      </x:c>
      <x:c r="B58" s="59" t="n">
        <x:v>58</x:v>
      </x:c>
      <x:c r="C58" s="59" t="str">
        <x:v>2026-06</x:v>
      </x:c>
      <x:c r="D58" s="59" t="n">
        <x:v>33</x:v>
      </x:c>
      <x:c r="E58" s="59" t="str">
        <x:v>2606.15168</x:v>
      </x:c>
      <x:c r="F58" s="40" t="str">
        <x:v>Long-time asymptotics and invariant manifold for fractional 2D Navier-Stokes equation</x:v>
      </x:c>
      <x:c r="G58" s="40" t="str">
        <x:v>Jingchi Huang; Dandan Li; Shuai Zhang</x:v>
      </x:c>
      <x:c r="H58" s="40" t="str">
        <x:v>fractional Navier-Stokes</x:v>
      </x:c>
      <x:c r="I58" s="59" t="n">
        <x:v>44</x:v>
      </x:c>
      <x:c r="J58" s="40" t="str">
        <x:v>https://arxiv.org/abs/2606.15168</x:v>
      </x:c>
      <x:c r="K58" s="60" t="n">
        <x:v>91</x:v>
      </x:c>
      <x:c r="L58" s="60" t="n">
        <x:v>89</x:v>
      </x:c>
      <x:c r="M58" s="60" t="n">
        <x:v>91</x:v>
      </x:c>
      <x:c r="N58" s="60" t="n">
        <x:v>87</x:v>
      </x:c>
      <x:c r="O58" s="60" t="n">
        <x:v>91</x:v>
      </x:c>
      <x:c r="P58" s="60" t="n">
        <x:v>86</x:v>
      </x:c>
      <x:c r="Q58" s="60" t="n">
        <x:v>12</x:v>
      </x:c>
      <x:c r="R58" s="59" t="n">
        <x:v>4</x:v>
      </x:c>
      <x:c r="S58" s="60" t="n">
        <x:v>89.49999999999999</x:v>
      </x:c>
      <x:c r="T58" s="60" t="n">
        <x:v>89.4</x:v>
      </x:c>
      <x:c r="U58" s="60" t="n">
        <x:v>89.44999999999999</x:v>
      </x:c>
      <x:c r="V58" s="60" t="n">
        <x:v>91.1</x:v>
      </x:c>
      <x:c r="W58" s="60" t="n">
        <x:v>89.2</x:v>
      </x:c>
      <x:c r="X58" s="60" t="n">
        <x:v>91.1</x:v>
      </x:c>
      <x:c r="Y58" s="60" t="n">
        <x:v>87.2</x:v>
      </x:c>
      <x:c r="Z58" s="60" t="n">
        <x:v>91.2</x:v>
      </x:c>
      <x:c r="AA58" s="60" t="n">
        <x:v>86</x:v>
      </x:c>
      <x:c r="AB58" s="60" t="n">
        <x:v>12</x:v>
      </x:c>
      <x:c r="AC58" s="60" t="n">
        <x:f>ROUND(((0.30*V58+0.20*W58+0.25*X58+0.15*Y58+0.10*AA58)+(0.30*Z58+0.20*X58+0.20*W58+0.15*AA58+0.15*(100-AB58)))/2,2)</x:f>
        <x:v>89.57</x:v>
      </x:c>
      <x:c r="AD58" s="60" t="n">
        <x:v>91.1</x:v>
      </x:c>
      <x:c r="AE58" s="60" t="n">
        <x:v>89.1</x:v>
      </x:c>
      <x:c r="AF58" s="60" t="n">
        <x:v>91.1</x:v>
      </x:c>
      <x:c r="AG58" s="60" t="n">
        <x:v>87.2</x:v>
      </x:c>
      <x:c r="AH58" s="60" t="n">
        <x:v>91.2</x:v>
      </x:c>
      <x:c r="AI58" s="60" t="n">
        <x:v>86</x:v>
      </x:c>
      <x:c r="AJ58" s="60" t="n">
        <x:v>12</x:v>
      </x:c>
      <x:c r="AK58" s="60" t="n">
        <x:f>ROUND(((0.30*AD58+0.20*AE58+0.25*AF58+0.15*AG58+0.10*AI58)+(0.30*AH58+0.20*AF58+0.20*AE58+0.15*AI58+0.15*(100-AJ58)))/2,2)</x:f>
        <x:v>89.55</x:v>
      </x:c>
      <x:c r="AL58" s="60" t="n">
        <x:v>91.1</x:v>
      </x:c>
      <x:c r="AM58" s="60" t="n">
        <x:v>89.1</x:v>
      </x:c>
      <x:c r="AN58" s="60" t="n">
        <x:v>91.1</x:v>
      </x:c>
      <x:c r="AO58" s="60" t="n">
        <x:v>87.2</x:v>
      </x:c>
      <x:c r="AP58" s="60" t="n">
        <x:v>91.2</x:v>
      </x:c>
      <x:c r="AQ58" s="60" t="n">
        <x:v>86</x:v>
      </x:c>
      <x:c r="AR58" s="60" t="n">
        <x:v>12</x:v>
      </x:c>
      <x:c r="AS58" s="60" t="n">
        <x:f>ROUND(((0.30*AL58+0.20*AM58+0.25*AN58+0.15*AO58+0.10*AQ58)+(0.30*AP58+0.20*AN58+0.20*AM58+0.15*AQ58+0.15*(100-AR58)))/2,2)</x:f>
        <x:v>89.55</x:v>
      </x:c>
      <x:c r="AT58" s="60" t="n">
        <x:f>ROUND(AVERAGE(V58,AD58,AL58),1)</x:f>
        <x:v>91.1</x:v>
      </x:c>
      <x:c r="AU58" s="60" t="n">
        <x:f>ROUND(AVERAGE(W58,AE58,AM58),1)</x:f>
        <x:v>89.1</x:v>
      </x:c>
      <x:c r="AV58" s="60" t="n">
        <x:f>ROUND(AVERAGE(X58,AF58,AN58),1)</x:f>
        <x:v>91.1</x:v>
      </x:c>
      <x:c r="AW58" s="60" t="n">
        <x:f>ROUND(AVERAGE(Y58,AG58,AO58),1)</x:f>
        <x:v>87.2</x:v>
      </x:c>
      <x:c r="AX58" s="60" t="n">
        <x:f>ROUND(AVERAGE(Z58,AH58,AP58),1)</x:f>
        <x:v>91.2</x:v>
      </x:c>
      <x:c r="AY58" s="60" t="n">
        <x:f>ROUND(AVERAGE(AA58,AI58,AQ58),1)</x:f>
        <x:v>86</x:v>
      </x:c>
      <x:c r="AZ58" s="60" t="n">
        <x:f>ROUND(AVERAGE(AB58,AJ58,AR58),1)</x:f>
        <x:v>12</x:v>
      </x:c>
      <x:c r="BA58" s="59" t="n">
        <x:v>4</x:v>
      </x:c>
      <x:c r="BB58" s="60" t="n">
        <x:f>ROUND(0.30*AT58+0.20*AU58+0.25*AV58+0.15*AW58+0.10*AY58,2)</x:f>
        <x:v>89.6</x:v>
      </x:c>
      <x:c r="BC58" s="60" t="n">
        <x:f>ROUND(0.30*AX58+0.20*AV58+0.20*AU58+0.15*AY58+0.15*(100-AZ58),2)</x:f>
        <x:v>89.5</x:v>
      </x:c>
      <x:c r="BD58" s="60" t="n">
        <x:f>ROUND(AVERAGE(BB58,BC58),2)</x:f>
        <x:v>89.55</x:v>
      </x:c>
      <x:c r="BE58" s="60" t="n">
        <x:f>ROUND(BD58-U58,2)</x:f>
        <x:v>0.1</x:v>
      </x:c>
      <x:c r="BF58" s="60" t="n">
        <x:f>ROUND(STDEV.P(AC58,AK58,AS58),3)</x:f>
        <x:v>0.009</x:v>
      </x:c>
      <x:c r="BG58" s="59" t="str">
        <x:v>Top100</x:v>
      </x:c>
      <x:c r="BH58" s="59" t="str">
        <x:v>Top50三轮复核</x:v>
      </x:c>
      <x:c r="BI58" s="40" t="str">
        <x:v>三轮复核后与原表基本一致</x:v>
      </x:c>
    </x:row>
    <x:row r="59" ht="30" customHeight="1">
      <x:c r="A59" s="59" t="n">
        <x:v>58</x:v>
      </x:c>
      <x:c r="B59" s="59" t="n">
        <x:v>59</x:v>
      </x:c>
      <x:c r="C59" s="59" t="str">
        <x:v>2026-06</x:v>
      </x:c>
      <x:c r="D59" s="59" t="n">
        <x:v>34</x:v>
      </x:c>
      <x:c r="E59" s="59" t="str">
        <x:v>2606.09657</x:v>
      </x:c>
      <x:c r="F59" s="40" t="str">
        <x:v>Benjamin-Feir spectrum of hydroelastic Stokes waves</x:v>
      </x:c>
      <x:c r="G59" s="40" t="str">
        <x:v>Ting-Yang Hsiao; Zirui Li; Ye Zhang; Chengbin Zhu</x:v>
      </x:c>
      <x:c r="H59" s="40" t="str">
        <x:v>water waves/spectral</x:v>
      </x:c>
      <x:c r="I59" s="59" t="n">
        <x:v>55</x:v>
      </x:c>
      <x:c r="J59" s="40" t="str">
        <x:v>https://arxiv.org/abs/2606.09657</x:v>
      </x:c>
      <x:c r="K59" s="60" t="n">
        <x:v>90</x:v>
      </x:c>
      <x:c r="L59" s="60" t="n">
        <x:v>90</x:v>
      </x:c>
      <x:c r="M59" s="60" t="n">
        <x:v>91</x:v>
      </x:c>
      <x:c r="N59" s="60" t="n">
        <x:v>87</x:v>
      </x:c>
      <x:c r="O59" s="60" t="n">
        <x:v>91</x:v>
      </x:c>
      <x:c r="P59" s="60" t="n">
        <x:v>85</x:v>
      </x:c>
      <x:c r="Q59" s="60" t="n">
        <x:v>12</x:v>
      </x:c>
      <x:c r="R59" s="59" t="n">
        <x:v>4</x:v>
      </x:c>
      <x:c r="S59" s="60" t="n">
        <x:v>89.3</x:v>
      </x:c>
      <x:c r="T59" s="60" t="n">
        <x:v>89.45</x:v>
      </x:c>
      <x:c r="U59" s="60" t="n">
        <x:v>89.375</x:v>
      </x:c>
      <x:c r="V59" s="60" t="n">
        <x:v>90</x:v>
      </x:c>
      <x:c r="W59" s="60" t="n">
        <x:v>90</x:v>
      </x:c>
      <x:c r="X59" s="60" t="n">
        <x:v>91</x:v>
      </x:c>
      <x:c r="Y59" s="60" t="n">
        <x:v>87</x:v>
      </x:c>
      <x:c r="Z59" s="60" t="n">
        <x:v>91</x:v>
      </x:c>
      <x:c r="AA59" s="60" t="n">
        <x:v>85</x:v>
      </x:c>
      <x:c r="AB59" s="60" t="n">
        <x:v>12</x:v>
      </x:c>
      <x:c r="AC59" s="60" t="n">
        <x:f>ROUND(((0.30*V59+0.20*W59+0.25*X59+0.15*Y59+0.10*AA59)+(0.30*Z59+0.20*X59+0.20*W59+0.15*AA59+0.15*(100-AB59)))/2,2)</x:f>
        <x:v>89.38</x:v>
      </x:c>
      <x:c r="AD59" s="60" t="n">
        <x:v>90</x:v>
      </x:c>
      <x:c r="AE59" s="60" t="n">
        <x:v>90</x:v>
      </x:c>
      <x:c r="AF59" s="60" t="n">
        <x:v>91</x:v>
      </x:c>
      <x:c r="AG59" s="60" t="n">
        <x:v>87.1</x:v>
      </x:c>
      <x:c r="AH59" s="60" t="n">
        <x:v>91</x:v>
      </x:c>
      <x:c r="AI59" s="60" t="n">
        <x:v>85</x:v>
      </x:c>
      <x:c r="AJ59" s="60" t="n">
        <x:v>12</x:v>
      </x:c>
      <x:c r="AK59" s="60" t="n">
        <x:f>ROUND(((0.30*AD59+0.20*AE59+0.25*AF59+0.15*AG59+0.10*AI59)+(0.30*AH59+0.20*AF59+0.20*AE59+0.15*AI59+0.15*(100-AJ59)))/2,2)</x:f>
        <x:v>89.38</x:v>
      </x:c>
      <x:c r="AL59" s="60" t="n">
        <x:v>90</x:v>
      </x:c>
      <x:c r="AM59" s="60" t="n">
        <x:v>90</x:v>
      </x:c>
      <x:c r="AN59" s="60" t="n">
        <x:v>91</x:v>
      </x:c>
      <x:c r="AO59" s="60" t="n">
        <x:v>87</x:v>
      </x:c>
      <x:c r="AP59" s="60" t="n">
        <x:v>91</x:v>
      </x:c>
      <x:c r="AQ59" s="60" t="n">
        <x:v>85</x:v>
      </x:c>
      <x:c r="AR59" s="60" t="n">
        <x:v>12</x:v>
      </x:c>
      <x:c r="AS59" s="60" t="n">
        <x:f>ROUND(((0.30*AL59+0.20*AM59+0.25*AN59+0.15*AO59+0.10*AQ59)+(0.30*AP59+0.20*AN59+0.20*AM59+0.15*AQ59+0.15*(100-AR59)))/2,2)</x:f>
        <x:v>89.38</x:v>
      </x:c>
      <x:c r="AT59" s="60" t="n">
        <x:f>ROUND(AVERAGE(V59,AD59,AL59),1)</x:f>
        <x:v>90</x:v>
      </x:c>
      <x:c r="AU59" s="60" t="n">
        <x:f>ROUND(AVERAGE(W59,AE59,AM59),1)</x:f>
        <x:v>90</x:v>
      </x:c>
      <x:c r="AV59" s="60" t="n">
        <x:f>ROUND(AVERAGE(X59,AF59,AN59),1)</x:f>
        <x:v>91</x:v>
      </x:c>
      <x:c r="AW59" s="60" t="n">
        <x:f>ROUND(AVERAGE(Y59,AG59,AO59),1)</x:f>
        <x:v>87</x:v>
      </x:c>
      <x:c r="AX59" s="60" t="n">
        <x:f>ROUND(AVERAGE(Z59,AH59,AP59),1)</x:f>
        <x:v>91</x:v>
      </x:c>
      <x:c r="AY59" s="60" t="n">
        <x:f>ROUND(AVERAGE(AA59,AI59,AQ59),1)</x:f>
        <x:v>85</x:v>
      </x:c>
      <x:c r="AZ59" s="60" t="n">
        <x:f>ROUND(AVERAGE(AB59,AJ59,AR59),1)</x:f>
        <x:v>12</x:v>
      </x:c>
      <x:c r="BA59" s="59" t="n">
        <x:v>4</x:v>
      </x:c>
      <x:c r="BB59" s="60" t="n">
        <x:f>ROUND(0.30*AT59+0.20*AU59+0.25*AV59+0.15*AW59+0.10*AY59,2)</x:f>
        <x:v>89.3</x:v>
      </x:c>
      <x:c r="BC59" s="60" t="n">
        <x:f>ROUND(0.30*AX59+0.20*AV59+0.20*AU59+0.15*AY59+0.15*(100-AZ59),2)</x:f>
        <x:v>89.45</x:v>
      </x:c>
      <x:c r="BD59" s="60" t="n">
        <x:f>ROUND(AVERAGE(BB59,BC59),2)</x:f>
        <x:v>89.38</x:v>
      </x:c>
      <x:c r="BE59" s="60" t="n">
        <x:f>ROUND(BD59-U59,2)</x:f>
        <x:v>0</x:v>
      </x:c>
      <x:c r="BF59" s="60" t="n">
        <x:f>ROUND(STDEV.P(AC59,AK59,AS59),3)</x:f>
        <x:v>0</x:v>
      </x:c>
      <x:c r="BG59" s="59" t="str">
        <x:v>Top100</x:v>
      </x:c>
      <x:c r="BH59" s="59" t="str">
        <x:v>Top50三轮复核</x:v>
      </x:c>
      <x:c r="BI59" s="40" t="str">
        <x:v>三轮复核后与原表基本一致</x:v>
      </x:c>
    </x:row>
    <x:row r="60" ht="30" customHeight="1">
      <x:c r="A60" s="59" t="n">
        <x:v>59</x:v>
      </x:c>
      <x:c r="B60" s="59" t="n">
        <x:v>57</x:v>
      </x:c>
      <x:c r="C60" s="59" t="str">
        <x:v>2026-06</x:v>
      </x:c>
      <x:c r="D60" s="59" t="n">
        <x:v>32</x:v>
      </x:c>
      <x:c r="E60" s="59" t="str">
        <x:v>2606.06729</x:v>
      </x:c>
      <x:c r="F60" s="40" t="str">
        <x:v>Determination of radial nonlocal nonlinearities from the scattering map</x:v>
      </x:c>
      <x:c r="G60" s="40" t="str">
        <x:v>Luccas Campos; Rowan Killip; Jason Murphy; Monica Visan</x:v>
      </x:c>
      <x:c r="H60" s="40" t="str">
        <x:v>inverse scattering/dispersive</x:v>
      </x:c>
      <x:c r="I60" s="59" t="n">
        <x:v>12</x:v>
      </x:c>
      <x:c r="J60" s="40" t="str">
        <x:v>https://arxiv.org/abs/2606.06729</x:v>
      </x:c>
      <x:c r="K60" s="60" t="n">
        <x:v>90</x:v>
      </x:c>
      <x:c r="L60" s="60" t="n">
        <x:v>91</x:v>
      </x:c>
      <x:c r="M60" s="60" t="n">
        <x:v>90</x:v>
      </x:c>
      <x:c r="N60" s="60" t="n">
        <x:v>88</x:v>
      </x:c>
      <x:c r="O60" s="60" t="n">
        <x:v>90</x:v>
      </x:c>
      <x:c r="P60" s="60" t="n">
        <x:v>86</x:v>
      </x:c>
      <x:c r="Q60" s="60" t="n">
        <x:v>11</x:v>
      </x:c>
      <x:c r="R60" s="59" t="n">
        <x:v>4</x:v>
      </x:c>
      <x:c r="S60" s="60" t="n">
        <x:v>89.5</x:v>
      </x:c>
      <x:c r="T60" s="60" t="n">
        <x:v>89.45</x:v>
      </x:c>
      <x:c r="U60" s="60" t="n">
        <x:v>89.475</x:v>
      </x:c>
      <x:c r="V60" s="60" t="n">
        <x:v>89.9</x:v>
      </x:c>
      <x:c r="W60" s="60" t="n">
        <x:v>91</x:v>
      </x:c>
      <x:c r="X60" s="60" t="n">
        <x:v>89.8</x:v>
      </x:c>
      <x:c r="Y60" s="60" t="n">
        <x:v>87.8</x:v>
      </x:c>
      <x:c r="Z60" s="60" t="n">
        <x:v>89.9</x:v>
      </x:c>
      <x:c r="AA60" s="60" t="n">
        <x:v>86</x:v>
      </x:c>
      <x:c r="AB60" s="60" t="n">
        <x:v>11</x:v>
      </x:c>
      <x:c r="AC60" s="60" t="n">
        <x:f>ROUND(((0.30*V60+0.20*W60+0.25*X60+0.15*Y60+0.10*AA60)+(0.30*Z60+0.20*X60+0.20*W60+0.15*AA60+0.15*(100-AB60)))/2,2)</x:f>
        <x:v>89.39</x:v>
      </x:c>
      <x:c r="AD60" s="60" t="n">
        <x:v>89.9</x:v>
      </x:c>
      <x:c r="AE60" s="60" t="n">
        <x:v>91</x:v>
      </x:c>
      <x:c r="AF60" s="60" t="n">
        <x:v>89.9</x:v>
      </x:c>
      <x:c r="AG60" s="60" t="n">
        <x:v>87.9</x:v>
      </x:c>
      <x:c r="AH60" s="60" t="n">
        <x:v>89.9</x:v>
      </x:c>
      <x:c r="AI60" s="60" t="n">
        <x:v>86</x:v>
      </x:c>
      <x:c r="AJ60" s="60" t="n">
        <x:v>11.4</x:v>
      </x:c>
      <x:c r="AK60" s="60" t="n">
        <x:f>ROUND(((0.30*AD60+0.20*AE60+0.25*AF60+0.15*AG60+0.10*AI60)+(0.30*AH60+0.20*AF60+0.20*AE60+0.15*AI60+0.15*(100-AJ60)))/2,2)</x:f>
        <x:v>89.39</x:v>
      </x:c>
      <x:c r="AL60" s="60" t="n">
        <x:v>89.9</x:v>
      </x:c>
      <x:c r="AM60" s="60" t="n">
        <x:v>91</x:v>
      </x:c>
      <x:c r="AN60" s="60" t="n">
        <x:v>89.8</x:v>
      </x:c>
      <x:c r="AO60" s="60" t="n">
        <x:v>87.8</x:v>
      </x:c>
      <x:c r="AP60" s="60" t="n">
        <x:v>89.9</x:v>
      </x:c>
      <x:c r="AQ60" s="60" t="n">
        <x:v>86</x:v>
      </x:c>
      <x:c r="AR60" s="60" t="n">
        <x:v>11.5</x:v>
      </x:c>
      <x:c r="AS60" s="60" t="n">
        <x:f>ROUND(((0.30*AL60+0.20*AM60+0.25*AN60+0.15*AO60+0.10*AQ60)+(0.30*AP60+0.20*AN60+0.20*AM60+0.15*AQ60+0.15*(100-AR60)))/2,2)</x:f>
        <x:v>89.35</x:v>
      </x:c>
      <x:c r="AT60" s="60" t="n">
        <x:f>ROUND(AVERAGE(V60,AD60,AL60),1)</x:f>
        <x:v>89.9</x:v>
      </x:c>
      <x:c r="AU60" s="60" t="n">
        <x:f>ROUND(AVERAGE(W60,AE60,AM60),1)</x:f>
        <x:v>91</x:v>
      </x:c>
      <x:c r="AV60" s="60" t="n">
        <x:f>ROUND(AVERAGE(X60,AF60,AN60),1)</x:f>
        <x:v>89.8</x:v>
      </x:c>
      <x:c r="AW60" s="60" t="n">
        <x:f>ROUND(AVERAGE(Y60,AG60,AO60),1)</x:f>
        <x:v>87.8</x:v>
      </x:c>
      <x:c r="AX60" s="60" t="n">
        <x:f>ROUND(AVERAGE(Z60,AH60,AP60),1)</x:f>
        <x:v>89.9</x:v>
      </x:c>
      <x:c r="AY60" s="60" t="n">
        <x:f>ROUND(AVERAGE(AA60,AI60,AQ60),1)</x:f>
        <x:v>86</x:v>
      </x:c>
      <x:c r="AZ60" s="60" t="n">
        <x:f>ROUND(AVERAGE(AB60,AJ60,AR60),1)</x:f>
        <x:v>11.3</x:v>
      </x:c>
      <x:c r="BA60" s="59" t="n">
        <x:v>4</x:v>
      </x:c>
      <x:c r="BB60" s="60" t="n">
        <x:f>ROUND(0.30*AT60+0.20*AU60+0.25*AV60+0.15*AW60+0.10*AY60,2)</x:f>
        <x:v>89.39</x:v>
      </x:c>
      <x:c r="BC60" s="60" t="n">
        <x:f>ROUND(0.30*AX60+0.20*AV60+0.20*AU60+0.15*AY60+0.15*(100-AZ60),2)</x:f>
        <x:v>89.34</x:v>
      </x:c>
      <x:c r="BD60" s="60" t="n">
        <x:f>ROUND(AVERAGE(BB60,BC60),2)</x:f>
        <x:v>89.37</x:v>
      </x:c>
      <x:c r="BE60" s="60" t="n">
        <x:f>ROUND(BD60-U60,2)</x:f>
        <x:v>-0.1</x:v>
      </x:c>
      <x:c r="BF60" s="60" t="n">
        <x:f>ROUND(STDEV.P(AC60,AK60,AS60),3)</x:f>
        <x:v>0.019</x:v>
      </x:c>
      <x:c r="BG60" s="59" t="str">
        <x:v>Top100</x:v>
      </x:c>
      <x:c r="BH60" s="59" t="str">
        <x:v>Top50三轮复核</x:v>
      </x:c>
      <x:c r="BI60" s="40" t="str">
        <x:v>范围偏专门，广度轻微回调；短文且非框架性题材，技术残差轻微回调</x:v>
      </x:c>
    </x:row>
    <x:row r="61" ht="30" customHeight="1">
      <x:c r="A61" s="59" t="n">
        <x:v>60</x:v>
      </x:c>
      <x:c r="B61" s="59" t="n">
        <x:v>61</x:v>
      </x:c>
      <x:c r="C61" s="59" t="str">
        <x:v>2026-06</x:v>
      </x:c>
      <x:c r="D61" s="59" t="n">
        <x:v>36</x:v>
      </x:c>
      <x:c r="E61" s="59" t="str">
        <x:v>2606.08939</x:v>
      </x:c>
      <x:c r="F61" s="40" t="str">
        <x:v>Caffarelli-Kohn-Nirenberg and Weighted Gaussian Poincare Inequalities: a complete characterization of sharp L^2 stability and L^p extensions</x:v>
      </x:c>
      <x:c r="G61" s="40" t="str">
        <x:v>Anh Xuan Do; Nguyen Lam; Guozhen Lu; Van Hoang Nguyen</x:v>
      </x:c>
      <x:c r="H61" s="40" t="str">
        <x:v>inequalities/stability</x:v>
      </x:c>
      <x:c r="I61" s="59"/>
      <x:c r="J61" s="40" t="str">
        <x:v>https://arxiv.org/abs/2606.08939</x:v>
      </x:c>
      <x:c r="K61" s="60" t="n">
        <x:v>90</x:v>
      </x:c>
      <x:c r="L61" s="60" t="n">
        <x:v>89</x:v>
      </x:c>
      <x:c r="M61" s="60" t="n">
        <x:v>91</x:v>
      </x:c>
      <x:c r="N61" s="60" t="n">
        <x:v>88</x:v>
      </x:c>
      <x:c r="O61" s="60" t="n">
        <x:v>90</x:v>
      </x:c>
      <x:c r="P61" s="60" t="n">
        <x:v>86</x:v>
      </x:c>
      <x:c r="Q61" s="60" t="n">
        <x:v>12</x:v>
      </x:c>
      <x:c r="R61" s="59" t="n">
        <x:v>4</x:v>
      </x:c>
      <x:c r="S61" s="60" t="n">
        <x:v>89.35</x:v>
      </x:c>
      <x:c r="T61" s="60" t="n">
        <x:v>89.10000000000001</x:v>
      </x:c>
      <x:c r="U61" s="60" t="n">
        <x:v>89.225</x:v>
      </x:c>
      <x:c r="V61" s="60" t="n">
        <x:v>90.1</x:v>
      </x:c>
      <x:c r="W61" s="60" t="n">
        <x:v>89.2</x:v>
      </x:c>
      <x:c r="X61" s="60" t="n">
        <x:v>91.1</x:v>
      </x:c>
      <x:c r="Y61" s="60" t="n">
        <x:v>88.2</x:v>
      </x:c>
      <x:c r="Z61" s="60" t="n">
        <x:v>90.2</x:v>
      </x:c>
      <x:c r="AA61" s="60" t="n">
        <x:v>86</x:v>
      </x:c>
      <x:c r="AB61" s="60" t="n">
        <x:v>12</x:v>
      </x:c>
      <x:c r="AC61" s="60" t="n">
        <x:f>ROUND(((0.30*V61+0.20*W61+0.25*X61+0.15*Y61+0.10*AA61)+(0.30*Z61+0.20*X61+0.20*W61+0.15*AA61+0.15*(100-AB61)))/2,2)</x:f>
        <x:v>89.35</x:v>
      </x:c>
      <x:c r="AD61" s="60" t="n">
        <x:v>90.1</x:v>
      </x:c>
      <x:c r="AE61" s="60" t="n">
        <x:v>89.1</x:v>
      </x:c>
      <x:c r="AF61" s="60" t="n">
        <x:v>91.1</x:v>
      </x:c>
      <x:c r="AG61" s="60" t="n">
        <x:v>88.2</x:v>
      </x:c>
      <x:c r="AH61" s="60" t="n">
        <x:v>90.2</x:v>
      </x:c>
      <x:c r="AI61" s="60" t="n">
        <x:v>86</x:v>
      </x:c>
      <x:c r="AJ61" s="60" t="n">
        <x:v>12</x:v>
      </x:c>
      <x:c r="AK61" s="60" t="n">
        <x:f>ROUND(((0.30*AD61+0.20*AE61+0.25*AF61+0.15*AG61+0.10*AI61)+(0.30*AH61+0.20*AF61+0.20*AE61+0.15*AI61+0.15*(100-AJ61)))/2,2)</x:f>
        <x:v>89.33</x:v>
      </x:c>
      <x:c r="AL61" s="60" t="n">
        <x:v>90.1</x:v>
      </x:c>
      <x:c r="AM61" s="60" t="n">
        <x:v>89.1</x:v>
      </x:c>
      <x:c r="AN61" s="60" t="n">
        <x:v>91.1</x:v>
      </x:c>
      <x:c r="AO61" s="60" t="n">
        <x:v>88.2</x:v>
      </x:c>
      <x:c r="AP61" s="60" t="n">
        <x:v>90.2</x:v>
      </x:c>
      <x:c r="AQ61" s="60" t="n">
        <x:v>86</x:v>
      </x:c>
      <x:c r="AR61" s="60" t="n">
        <x:v>12</x:v>
      </x:c>
      <x:c r="AS61" s="60" t="n">
        <x:f>ROUND(((0.30*AL61+0.20*AM61+0.25*AN61+0.15*AO61+0.10*AQ61)+(0.30*AP61+0.20*AN61+0.20*AM61+0.15*AQ61+0.15*(100-AR61)))/2,2)</x:f>
        <x:v>89.33</x:v>
      </x:c>
      <x:c r="AT61" s="60" t="n">
        <x:f>ROUND(AVERAGE(V61,AD61,AL61),1)</x:f>
        <x:v>90.1</x:v>
      </x:c>
      <x:c r="AU61" s="60" t="n">
        <x:f>ROUND(AVERAGE(W61,AE61,AM61),1)</x:f>
        <x:v>89.1</x:v>
      </x:c>
      <x:c r="AV61" s="60" t="n">
        <x:f>ROUND(AVERAGE(X61,AF61,AN61),1)</x:f>
        <x:v>91.1</x:v>
      </x:c>
      <x:c r="AW61" s="60" t="n">
        <x:f>ROUND(AVERAGE(Y61,AG61,AO61),1)</x:f>
        <x:v>88.2</x:v>
      </x:c>
      <x:c r="AX61" s="60" t="n">
        <x:f>ROUND(AVERAGE(Z61,AH61,AP61),1)</x:f>
        <x:v>90.2</x:v>
      </x:c>
      <x:c r="AY61" s="60" t="n">
        <x:f>ROUND(AVERAGE(AA61,AI61,AQ61),1)</x:f>
        <x:v>86</x:v>
      </x:c>
      <x:c r="AZ61" s="60" t="n">
        <x:f>ROUND(AVERAGE(AB61,AJ61,AR61),1)</x:f>
        <x:v>12</x:v>
      </x:c>
      <x:c r="BA61" s="59" t="n">
        <x:v>4</x:v>
      </x:c>
      <x:c r="BB61" s="60" t="n">
        <x:f>ROUND(0.30*AT61+0.20*AU61+0.25*AV61+0.15*AW61+0.10*AY61,2)</x:f>
        <x:v>89.46</x:v>
      </x:c>
      <x:c r="BC61" s="60" t="n">
        <x:f>ROUND(0.30*AX61+0.20*AV61+0.20*AU61+0.15*AY61+0.15*(100-AZ61),2)</x:f>
        <x:v>89.2</x:v>
      </x:c>
      <x:c r="BD61" s="60" t="n">
        <x:f>ROUND(AVERAGE(BB61,BC61),2)</x:f>
        <x:v>89.33</x:v>
      </x:c>
      <x:c r="BE61" s="60" t="n">
        <x:f>ROUND(BD61-U61,2)</x:f>
        <x:v>0.11</x:v>
      </x:c>
      <x:c r="BF61" s="60" t="n">
        <x:f>ROUND(STDEV.P(AC61,AK61,AS61),3)</x:f>
        <x:v>0.009</x:v>
      </x:c>
      <x:c r="BG61" s="59" t="str">
        <x:v>Top100</x:v>
      </x:c>
      <x:c r="BH61" s="59" t="str">
        <x:v>Top50三轮复核</x:v>
      </x:c>
      <x:c r="BI61" s="40" t="str">
        <x:v>三轮复核后与原表基本一致</x:v>
      </x:c>
    </x:row>
    <x:row r="62" ht="30" customHeight="1">
      <x:c r="A62" s="59" t="n">
        <x:v>61</x:v>
      </x:c>
      <x:c r="B62" s="59" t="n">
        <x:v>60</x:v>
      </x:c>
      <x:c r="C62" s="59" t="str">
        <x:v>2026-06</x:v>
      </x:c>
      <x:c r="D62" s="59" t="n">
        <x:v>35</x:v>
      </x:c>
      <x:c r="E62" s="59" t="str">
        <x:v>2606.15585</x:v>
      </x:c>
      <x:c r="F62" s="40" t="str">
        <x:v>Weakly inhomogeneous solutions to a nonlinear Vlasov-Fokker-Planck equation in a domain</x:v>
      </x:c>
      <x:c r="G62" s="40" t="str">
        <x:v>Sihyun Song</x:v>
      </x:c>
      <x:c r="H62" s="40" t="str">
        <x:v>kinetic PDE</x:v>
      </x:c>
      <x:c r="I62" s="59" t="n">
        <x:v>71</x:v>
      </x:c>
      <x:c r="J62" s="40" t="str">
        <x:v>https://arxiv.org/abs/2606.15585</x:v>
      </x:c>
      <x:c r="K62" s="60" t="n">
        <x:v>90</x:v>
      </x:c>
      <x:c r="L62" s="60" t="n">
        <x:v>89</x:v>
      </x:c>
      <x:c r="M62" s="60" t="n">
        <x:v>91</x:v>
      </x:c>
      <x:c r="N62" s="60" t="n">
        <x:v>87</x:v>
      </x:c>
      <x:c r="O62" s="60" t="n">
        <x:v>91</x:v>
      </x:c>
      <x:c r="P62" s="60" t="n">
        <x:v>86</x:v>
      </x:c>
      <x:c r="Q62" s="60" t="n">
        <x:v>12</x:v>
      </x:c>
      <x:c r="R62" s="59" t="n">
        <x:v>4</x:v>
      </x:c>
      <x:c r="S62" s="60" t="n">
        <x:v>89.19999999999999</x:v>
      </x:c>
      <x:c r="T62" s="60" t="n">
        <x:v>89.4</x:v>
      </x:c>
      <x:c r="U62" s="60" t="n">
        <x:v>89.3</x:v>
      </x:c>
      <x:c r="V62" s="60" t="n">
        <x:v>89.9</x:v>
      </x:c>
      <x:c r="W62" s="60" t="n">
        <x:v>89</x:v>
      </x:c>
      <x:c r="X62" s="60" t="n">
        <x:v>91</x:v>
      </x:c>
      <x:c r="Y62" s="60" t="n">
        <x:v>86.8</x:v>
      </x:c>
      <x:c r="Z62" s="60" t="n">
        <x:v>91</x:v>
      </x:c>
      <x:c r="AA62" s="60" t="n">
        <x:v>86</x:v>
      </x:c>
      <x:c r="AB62" s="60" t="n">
        <x:v>12</x:v>
      </x:c>
      <x:c r="AC62" s="60" t="n">
        <x:f>ROUND(((0.30*V62+0.20*W62+0.25*X62+0.15*Y62+0.10*AA62)+(0.30*Z62+0.20*X62+0.20*W62+0.15*AA62+0.15*(100-AB62)))/2,2)</x:f>
        <x:v>89.27</x:v>
      </x:c>
      <x:c r="AD62" s="60" t="n">
        <x:v>89.9</x:v>
      </x:c>
      <x:c r="AE62" s="60" t="n">
        <x:v>89</x:v>
      </x:c>
      <x:c r="AF62" s="60" t="n">
        <x:v>91</x:v>
      </x:c>
      <x:c r="AG62" s="60" t="n">
        <x:v>86.9</x:v>
      </x:c>
      <x:c r="AH62" s="60" t="n">
        <x:v>91</x:v>
      </x:c>
      <x:c r="AI62" s="60" t="n">
        <x:v>86</x:v>
      </x:c>
      <x:c r="AJ62" s="60" t="n">
        <x:v>12</x:v>
      </x:c>
      <x:c r="AK62" s="60" t="n">
        <x:f>ROUND(((0.30*AD62+0.20*AE62+0.25*AF62+0.15*AG62+0.10*AI62)+(0.30*AH62+0.20*AF62+0.20*AE62+0.15*AI62+0.15*(100-AJ62)))/2,2)</x:f>
        <x:v>89.28</x:v>
      </x:c>
      <x:c r="AL62" s="60" t="n">
        <x:v>89.9</x:v>
      </x:c>
      <x:c r="AM62" s="60" t="n">
        <x:v>89</x:v>
      </x:c>
      <x:c r="AN62" s="60" t="n">
        <x:v>91</x:v>
      </x:c>
      <x:c r="AO62" s="60" t="n">
        <x:v>86.8</x:v>
      </x:c>
      <x:c r="AP62" s="60" t="n">
        <x:v>91</x:v>
      </x:c>
      <x:c r="AQ62" s="60" t="n">
        <x:v>86</x:v>
      </x:c>
      <x:c r="AR62" s="60" t="n">
        <x:v>12</x:v>
      </x:c>
      <x:c r="AS62" s="60" t="n">
        <x:f>ROUND(((0.30*AL62+0.20*AM62+0.25*AN62+0.15*AO62+0.10*AQ62)+(0.30*AP62+0.20*AN62+0.20*AM62+0.15*AQ62+0.15*(100-AR62)))/2,2)</x:f>
        <x:v>89.27</x:v>
      </x:c>
      <x:c r="AT62" s="60" t="n">
        <x:f>ROUND(AVERAGE(V62,AD62,AL62),1)</x:f>
        <x:v>89.9</x:v>
      </x:c>
      <x:c r="AU62" s="60" t="n">
        <x:f>ROUND(AVERAGE(W62,AE62,AM62),1)</x:f>
        <x:v>89</x:v>
      </x:c>
      <x:c r="AV62" s="60" t="n">
        <x:f>ROUND(AVERAGE(X62,AF62,AN62),1)</x:f>
        <x:v>91</x:v>
      </x:c>
      <x:c r="AW62" s="60" t="n">
        <x:f>ROUND(AVERAGE(Y62,AG62,AO62),1)</x:f>
        <x:v>86.8</x:v>
      </x:c>
      <x:c r="AX62" s="60" t="n">
        <x:f>ROUND(AVERAGE(Z62,AH62,AP62),1)</x:f>
        <x:v>91</x:v>
      </x:c>
      <x:c r="AY62" s="60" t="n">
        <x:f>ROUND(AVERAGE(AA62,AI62,AQ62),1)</x:f>
        <x:v>86</x:v>
      </x:c>
      <x:c r="AZ62" s="60" t="n">
        <x:f>ROUND(AVERAGE(AB62,AJ62,AR62),1)</x:f>
        <x:v>12</x:v>
      </x:c>
      <x:c r="BA62" s="59" t="n">
        <x:v>4</x:v>
      </x:c>
      <x:c r="BB62" s="60" t="n">
        <x:f>ROUND(0.30*AT62+0.20*AU62+0.25*AV62+0.15*AW62+0.10*AY62,2)</x:f>
        <x:v>89.14</x:v>
      </x:c>
      <x:c r="BC62" s="60" t="n">
        <x:f>ROUND(0.30*AX62+0.20*AV62+0.20*AU62+0.15*AY62+0.15*(100-AZ62),2)</x:f>
        <x:v>89.4</x:v>
      </x:c>
      <x:c r="BD62" s="60" t="n">
        <x:f>ROUND(AVERAGE(BB62,BC62),2)</x:f>
        <x:v>89.27</x:v>
      </x:c>
      <x:c r="BE62" s="60" t="n">
        <x:f>ROUND(BD62-U62,2)</x:f>
        <x:v>-0.03</x:v>
      </x:c>
      <x:c r="BF62" s="60" t="n">
        <x:f>ROUND(STDEV.P(AC62,AK62,AS62),3)</x:f>
        <x:v>0.005</x:v>
      </x:c>
      <x:c r="BG62" s="59" t="str">
        <x:v>Top100</x:v>
      </x:c>
      <x:c r="BH62" s="59" t="str">
        <x:v>Top50三轮复核</x:v>
      </x:c>
      <x:c r="BI62" s="40" t="str">
        <x:v>范围偏专门，广度轻微回调</x:v>
      </x:c>
    </x:row>
    <x:row r="63" ht="30" customHeight="1">
      <x:c r="A63" s="59" t="n">
        <x:v>62</x:v>
      </x:c>
      <x:c r="B63" s="59" t="n">
        <x:v>63</x:v>
      </x:c>
      <x:c r="C63" s="59" t="str">
        <x:v>2026-05</x:v>
      </x:c>
      <x:c r="D63" s="59" t="n">
        <x:v>26</x:v>
      </x:c>
      <x:c r="E63" s="59" t="str">
        <x:v>2605.27695</x:v>
      </x:c>
      <x:c r="F63" s="40" t="str">
        <x:v>Non Maxwellian long-time asymptotics for Homoenergetic Boltzmann flows under strong shear</x:v>
      </x:c>
      <x:c r="G63" s="40" t="str">
        <x:v>Alessia Nota; Juan J. L. Velazquez</x:v>
      </x:c>
      <x:c r="H63" s="40" t="str">
        <x:v>Boltzmann asymptotics</x:v>
      </x:c>
      <x:c r="I63" s="59" t="n">
        <x:v>57</x:v>
      </x:c>
      <x:c r="J63" s="40" t="str">
        <x:v>https://arxiv.org/abs/2605.27695</x:v>
      </x:c>
      <x:c r="K63" s="60" t="n">
        <x:v>90</x:v>
      </x:c>
      <x:c r="L63" s="60" t="n">
        <x:v>90</x:v>
      </x:c>
      <x:c r="M63" s="60" t="n">
        <x:v>91</x:v>
      </x:c>
      <x:c r="N63" s="60" t="n">
        <x:v>85</x:v>
      </x:c>
      <x:c r="O63" s="60" t="n">
        <x:v>91</x:v>
      </x:c>
      <x:c r="P63" s="60" t="n">
        <x:v>85</x:v>
      </x:c>
      <x:c r="Q63" s="60" t="n">
        <x:v>13</x:v>
      </x:c>
      <x:c r="R63" s="59" t="n">
        <x:v>5</x:v>
      </x:c>
      <x:c r="S63" s="60" t="n">
        <x:v>89</x:v>
      </x:c>
      <x:c r="T63" s="60" t="n">
        <x:v>89.3</x:v>
      </x:c>
      <x:c r="U63" s="60" t="n">
        <x:v>89.2</x:v>
      </x:c>
      <x:c r="V63" s="60" t="n">
        <x:v>90.1</x:v>
      </x:c>
      <x:c r="W63" s="60" t="n">
        <x:v>90.2</x:v>
      </x:c>
      <x:c r="X63" s="60" t="n">
        <x:v>91.1</x:v>
      </x:c>
      <x:c r="Y63" s="60" t="n">
        <x:v>85.2</x:v>
      </x:c>
      <x:c r="Z63" s="60" t="n">
        <x:v>91.2</x:v>
      </x:c>
      <x:c r="AA63" s="60" t="n">
        <x:v>85</x:v>
      </x:c>
      <x:c r="AB63" s="60" t="n">
        <x:v>13</x:v>
      </x:c>
      <x:c r="AC63" s="60" t="n">
        <x:f>ROUND(((0.30*V63+0.20*W63+0.25*X63+0.15*Y63+0.10*AA63)+(0.30*Z63+0.20*X63+0.20*W63+0.15*AA63+0.15*(100-AB63)))/2,2)</x:f>
        <x:v>89.27</x:v>
      </x:c>
      <x:c r="AD63" s="60" t="n">
        <x:v>90.1</x:v>
      </x:c>
      <x:c r="AE63" s="60" t="n">
        <x:v>90.1</x:v>
      </x:c>
      <x:c r="AF63" s="60" t="n">
        <x:v>91.1</x:v>
      </x:c>
      <x:c r="AG63" s="60" t="n">
        <x:v>85.2</x:v>
      </x:c>
      <x:c r="AH63" s="60" t="n">
        <x:v>91.2</x:v>
      </x:c>
      <x:c r="AI63" s="60" t="n">
        <x:v>85</x:v>
      </x:c>
      <x:c r="AJ63" s="60" t="n">
        <x:v>13</x:v>
      </x:c>
      <x:c r="AK63" s="60" t="n">
        <x:f>ROUND(((0.30*AD63+0.20*AE63+0.25*AF63+0.15*AG63+0.10*AI63)+(0.30*AH63+0.20*AF63+0.20*AE63+0.15*AI63+0.15*(100-AJ63)))/2,2)</x:f>
        <x:v>89.25</x:v>
      </x:c>
      <x:c r="AL63" s="60" t="n">
        <x:v>90.1</x:v>
      </x:c>
      <x:c r="AM63" s="60" t="n">
        <x:v>90.1</x:v>
      </x:c>
      <x:c r="AN63" s="60" t="n">
        <x:v>91.1</x:v>
      </x:c>
      <x:c r="AO63" s="60" t="n">
        <x:v>85.2</x:v>
      </x:c>
      <x:c r="AP63" s="60" t="n">
        <x:v>91.2</x:v>
      </x:c>
      <x:c r="AQ63" s="60" t="n">
        <x:v>85</x:v>
      </x:c>
      <x:c r="AR63" s="60" t="n">
        <x:v>13</x:v>
      </x:c>
      <x:c r="AS63" s="60" t="n">
        <x:f>ROUND(((0.30*AL63+0.20*AM63+0.25*AN63+0.15*AO63+0.10*AQ63)+(0.30*AP63+0.20*AN63+0.20*AM63+0.15*AQ63+0.15*(100-AR63)))/2,2)</x:f>
        <x:v>89.25</x:v>
      </x:c>
      <x:c r="AT63" s="60" t="n">
        <x:f>ROUND(AVERAGE(V63,AD63,AL63),1)</x:f>
        <x:v>90.1</x:v>
      </x:c>
      <x:c r="AU63" s="60" t="n">
        <x:f>ROUND(AVERAGE(W63,AE63,AM63),1)</x:f>
        <x:v>90.1</x:v>
      </x:c>
      <x:c r="AV63" s="60" t="n">
        <x:f>ROUND(AVERAGE(X63,AF63,AN63),1)</x:f>
        <x:v>91.1</x:v>
      </x:c>
      <x:c r="AW63" s="60" t="n">
        <x:f>ROUND(AVERAGE(Y63,AG63,AO63),1)</x:f>
        <x:v>85.2</x:v>
      </x:c>
      <x:c r="AX63" s="60" t="n">
        <x:f>ROUND(AVERAGE(Z63,AH63,AP63),1)</x:f>
        <x:v>91.2</x:v>
      </x:c>
      <x:c r="AY63" s="60" t="n">
        <x:f>ROUND(AVERAGE(AA63,AI63,AQ63),1)</x:f>
        <x:v>85</x:v>
      </x:c>
      <x:c r="AZ63" s="60" t="n">
        <x:f>ROUND(AVERAGE(AB63,AJ63,AR63),1)</x:f>
        <x:v>13</x:v>
      </x:c>
      <x:c r="BA63" s="59" t="n">
        <x:v>5</x:v>
      </x:c>
      <x:c r="BB63" s="60" t="n">
        <x:f>ROUND(0.30*AT63+0.20*AU63+0.25*AV63+0.15*AW63+0.10*AY63,2)</x:f>
        <x:v>89.1</x:v>
      </x:c>
      <x:c r="BC63" s="60" t="n">
        <x:f>ROUND(0.30*AX63+0.20*AV63+0.20*AU63+0.15*AY63+0.15*(100-AZ63),2)</x:f>
        <x:v>89.4</x:v>
      </x:c>
      <x:c r="BD63" s="60" t="n">
        <x:f>ROUND(AVERAGE(BB63,BC63),2)</x:f>
        <x:v>89.25</x:v>
      </x:c>
      <x:c r="BE63" s="60" t="n">
        <x:f>ROUND(BD63-U63,2)</x:f>
        <x:v>0.05</x:v>
      </x:c>
      <x:c r="BF63" s="60" t="n">
        <x:f>ROUND(STDEV.P(AC63,AK63,AS63),3)</x:f>
        <x:v>0.009</x:v>
      </x:c>
      <x:c r="BG63" s="59" t="str">
        <x:v>Top100</x:v>
      </x:c>
      <x:c r="BH63" s="59" t="str">
        <x:v>Top50三轮复核</x:v>
      </x:c>
      <x:c r="BI63" s="40" t="str">
        <x:v>三轮复核后与原表基本一致</x:v>
      </x:c>
    </x:row>
    <x:row r="64" ht="30" customHeight="1">
      <x:c r="A64" s="59" t="n">
        <x:v>63</x:v>
      </x:c>
      <x:c r="B64" s="59" t="n">
        <x:v>62</x:v>
      </x:c>
      <x:c r="C64" s="59" t="str">
        <x:v>2026-05</x:v>
      </x:c>
      <x:c r="D64" s="59" t="n">
        <x:v>26</x:v>
      </x:c>
      <x:c r="E64" s="59" t="str">
        <x:v>2605.07538</x:v>
      </x:c>
      <x:c r="F64" s="40" t="str">
        <x:v>Nonlinear stability threshold for 3D compressible Couette flow</x:v>
      </x:c>
      <x:c r="G64" s="40" t="str">
        <x:v>Rui Li; Fei Wang; Lingda Xu; Zeren Zhang</x:v>
      </x:c>
      <x:c r="H64" s="40" t="str">
        <x:v>Hydrodynamic stability</x:v>
      </x:c>
      <x:c r="I64" s="59"/>
      <x:c r="J64" s="40" t="str">
        <x:v>https://arxiv.org/abs/2605.07538</x:v>
      </x:c>
      <x:c r="K64" s="60" t="n">
        <x:v>91</x:v>
      </x:c>
      <x:c r="L64" s="60" t="n">
        <x:v>88</x:v>
      </x:c>
      <x:c r="M64" s="60" t="n">
        <x:v>92</x:v>
      </x:c>
      <x:c r="N64" s="60" t="n">
        <x:v>86</x:v>
      </x:c>
      <x:c r="O64" s="60" t="n">
        <x:v>92</x:v>
      </x:c>
      <x:c r="P64" s="60" t="n">
        <x:v>84</x:v>
      </x:c>
      <x:c r="Q64" s="60" t="n">
        <x:v>14</x:v>
      </x:c>
      <x:c r="R64" s="59" t="n">
        <x:v>5</x:v>
      </x:c>
      <x:c r="S64" s="60" t="n">
        <x:v>89.2</x:v>
      </x:c>
      <x:c r="T64" s="60" t="n">
        <x:v>89.1</x:v>
      </x:c>
      <x:c r="U64" s="60" t="n">
        <x:v>89.2</x:v>
      </x:c>
      <x:c r="V64" s="60" t="n">
        <x:v>91</x:v>
      </x:c>
      <x:c r="W64" s="60" t="n">
        <x:v>88</x:v>
      </x:c>
      <x:c r="X64" s="60" t="n">
        <x:v>92</x:v>
      </x:c>
      <x:c r="Y64" s="60" t="n">
        <x:v>86</x:v>
      </x:c>
      <x:c r="Z64" s="60" t="n">
        <x:v>92</x:v>
      </x:c>
      <x:c r="AA64" s="60" t="n">
        <x:v>84</x:v>
      </x:c>
      <x:c r="AB64" s="60" t="n">
        <x:v>14</x:v>
      </x:c>
      <x:c r="AC64" s="60" t="n">
        <x:f>ROUND(((0.30*V64+0.20*W64+0.25*X64+0.15*Y64+0.10*AA64)+(0.30*Z64+0.20*X64+0.20*W64+0.15*AA64+0.15*(100-AB64)))/2,2)</x:f>
        <x:v>89.15</x:v>
      </x:c>
      <x:c r="AD64" s="60" t="n">
        <x:v>91</x:v>
      </x:c>
      <x:c r="AE64" s="60" t="n">
        <x:v>88</x:v>
      </x:c>
      <x:c r="AF64" s="60" t="n">
        <x:v>92</x:v>
      </x:c>
      <x:c r="AG64" s="60" t="n">
        <x:v>86.1</x:v>
      </x:c>
      <x:c r="AH64" s="60" t="n">
        <x:v>92</x:v>
      </x:c>
      <x:c r="AI64" s="60" t="n">
        <x:v>84</x:v>
      </x:c>
      <x:c r="AJ64" s="60" t="n">
        <x:v>14</x:v>
      </x:c>
      <x:c r="AK64" s="60" t="n">
        <x:f>ROUND(((0.30*AD64+0.20*AE64+0.25*AF64+0.15*AG64+0.10*AI64)+(0.30*AH64+0.20*AF64+0.20*AE64+0.15*AI64+0.15*(100-AJ64)))/2,2)</x:f>
        <x:v>89.16</x:v>
      </x:c>
      <x:c r="AL64" s="60" t="n">
        <x:v>91</x:v>
      </x:c>
      <x:c r="AM64" s="60" t="n">
        <x:v>88</x:v>
      </x:c>
      <x:c r="AN64" s="60" t="n">
        <x:v>92</x:v>
      </x:c>
      <x:c r="AO64" s="60" t="n">
        <x:v>86</x:v>
      </x:c>
      <x:c r="AP64" s="60" t="n">
        <x:v>92</x:v>
      </x:c>
      <x:c r="AQ64" s="60" t="n">
        <x:v>84</x:v>
      </x:c>
      <x:c r="AR64" s="60" t="n">
        <x:v>14</x:v>
      </x:c>
      <x:c r="AS64" s="60" t="n">
        <x:f>ROUND(((0.30*AL64+0.20*AM64+0.25*AN64+0.15*AO64+0.10*AQ64)+(0.30*AP64+0.20*AN64+0.20*AM64+0.15*AQ64+0.15*(100-AR64)))/2,2)</x:f>
        <x:v>89.15</x:v>
      </x:c>
      <x:c r="AT64" s="60" t="n">
        <x:f>ROUND(AVERAGE(V64,AD64,AL64),1)</x:f>
        <x:v>91</x:v>
      </x:c>
      <x:c r="AU64" s="60" t="n">
        <x:f>ROUND(AVERAGE(W64,AE64,AM64),1)</x:f>
        <x:v>88</x:v>
      </x:c>
      <x:c r="AV64" s="60" t="n">
        <x:f>ROUND(AVERAGE(X64,AF64,AN64),1)</x:f>
        <x:v>92</x:v>
      </x:c>
      <x:c r="AW64" s="60" t="n">
        <x:f>ROUND(AVERAGE(Y64,AG64,AO64),1)</x:f>
        <x:v>86</x:v>
      </x:c>
      <x:c r="AX64" s="60" t="n">
        <x:f>ROUND(AVERAGE(Z64,AH64,AP64),1)</x:f>
        <x:v>92</x:v>
      </x:c>
      <x:c r="AY64" s="60" t="n">
        <x:f>ROUND(AVERAGE(AA64,AI64,AQ64),1)</x:f>
        <x:v>84</x:v>
      </x:c>
      <x:c r="AZ64" s="60" t="n">
        <x:f>ROUND(AVERAGE(AB64,AJ64,AR64),1)</x:f>
        <x:v>14</x:v>
      </x:c>
      <x:c r="BA64" s="59" t="n">
        <x:v>5</x:v>
      </x:c>
      <x:c r="BB64" s="60" t="n">
        <x:f>ROUND(0.30*AT64+0.20*AU64+0.25*AV64+0.15*AW64+0.10*AY64,2)</x:f>
        <x:v>89.2</x:v>
      </x:c>
      <x:c r="BC64" s="60" t="n">
        <x:f>ROUND(0.30*AX64+0.20*AV64+0.20*AU64+0.15*AY64+0.15*(100-AZ64),2)</x:f>
        <x:v>89.1</x:v>
      </x:c>
      <x:c r="BD64" s="60" t="n">
        <x:f>ROUND(AVERAGE(BB64,BC64),2)</x:f>
        <x:v>89.15</x:v>
      </x:c>
      <x:c r="BE64" s="60" t="n">
        <x:f>ROUND(BD64-U64,2)</x:f>
        <x:v>-0.05</x:v>
      </x:c>
      <x:c r="BF64" s="60" t="n">
        <x:f>ROUND(STDEV.P(AC64,AK64,AS64),3)</x:f>
        <x:v>0.005</x:v>
      </x:c>
      <x:c r="BG64" s="59" t="str">
        <x:v>Top100</x:v>
      </x:c>
      <x:c r="BH64" s="59" t="str">
        <x:v>Top50三轮复核</x:v>
      </x:c>
      <x:c r="BI64" s="40" t="str">
        <x:v>三轮复核后与原表基本一致</x:v>
      </x:c>
    </x:row>
    <x:row r="65" ht="30" customHeight="1">
      <x:c r="A65" s="59" t="n">
        <x:v>64</x:v>
      </x:c>
      <x:c r="B65" s="59" t="n">
        <x:v>64</x:v>
      </x:c>
      <x:c r="C65" s="59" t="str">
        <x:v>2026-06</x:v>
      </x:c>
      <x:c r="D65" s="59" t="n">
        <x:v>37</x:v>
      </x:c>
      <x:c r="E65" s="59" t="str">
        <x:v>2606.01448</x:v>
      </x:c>
      <x:c r="F65" s="40" t="str">
        <x:v>Convergence to global equilibrium for the semiconductor Boltzmann equation</x:v>
      </x:c>
      <x:c r="G65" s="40" t="str">
        <x:v>Gayrat Toshpulatov</x:v>
      </x:c>
      <x:c r="H65" s="40" t="str">
        <x:v>kinetic relaxation</x:v>
      </x:c>
      <x:c r="I65" s="59"/>
      <x:c r="J65" s="40" t="str">
        <x:v>https://arxiv.org/abs/2606.01448</x:v>
      </x:c>
      <x:c r="K65" s="60" t="n">
        <x:v>90</x:v>
      </x:c>
      <x:c r="L65" s="60" t="n">
        <x:v>88</x:v>
      </x:c>
      <x:c r="M65" s="60" t="n">
        <x:v>91</x:v>
      </x:c>
      <x:c r="N65" s="60" t="n">
        <x:v>87</x:v>
      </x:c>
      <x:c r="O65" s="60" t="n">
        <x:v>91</x:v>
      </x:c>
      <x:c r="P65" s="60" t="n">
        <x:v>86</x:v>
      </x:c>
      <x:c r="Q65" s="60" t="n">
        <x:v>12</x:v>
      </x:c>
      <x:c r="R65" s="59" t="n">
        <x:v>4</x:v>
      </x:c>
      <x:c r="S65" s="60" t="n">
        <x:v>88.99999999999999</x:v>
      </x:c>
      <x:c r="T65" s="60" t="n">
        <x:v>89.2</x:v>
      </x:c>
      <x:c r="U65" s="60" t="n">
        <x:v>89.1</x:v>
      </x:c>
      <x:c r="V65" s="60" t="n">
        <x:v>90.1</x:v>
      </x:c>
      <x:c r="W65" s="60" t="n">
        <x:v>88</x:v>
      </x:c>
      <x:c r="X65" s="60" t="n">
        <x:v>91.1</x:v>
      </x:c>
      <x:c r="Y65" s="60" t="n">
        <x:v>87</x:v>
      </x:c>
      <x:c r="Z65" s="60" t="n">
        <x:v>91.1</x:v>
      </x:c>
      <x:c r="AA65" s="60" t="n">
        <x:v>86</x:v>
      </x:c>
      <x:c r="AB65" s="60" t="n">
        <x:v>12</x:v>
      </x:c>
      <x:c r="AC65" s="60" t="n">
        <x:f>ROUND(((0.30*V65+0.20*W65+0.25*X65+0.15*Y65+0.10*AA65)+(0.30*Z65+0.20*X65+0.20*W65+0.15*AA65+0.15*(100-AB65)))/2,2)</x:f>
        <x:v>89.15</x:v>
      </x:c>
      <x:c r="AD65" s="60" t="n">
        <x:v>90.1</x:v>
      </x:c>
      <x:c r="AE65" s="60" t="n">
        <x:v>88</x:v>
      </x:c>
      <x:c r="AF65" s="60" t="n">
        <x:v>91.1</x:v>
      </x:c>
      <x:c r="AG65" s="60" t="n">
        <x:v>87.1</x:v>
      </x:c>
      <x:c r="AH65" s="60" t="n">
        <x:v>91.1</x:v>
      </x:c>
      <x:c r="AI65" s="60" t="n">
        <x:v>86</x:v>
      </x:c>
      <x:c r="AJ65" s="60" t="n">
        <x:v>12</x:v>
      </x:c>
      <x:c r="AK65" s="60" t="n">
        <x:f>ROUND(((0.30*AD65+0.20*AE65+0.25*AF65+0.15*AG65+0.10*AI65)+(0.30*AH65+0.20*AF65+0.20*AE65+0.15*AI65+0.15*(100-AJ65)))/2,2)</x:f>
        <x:v>89.16</x:v>
      </x:c>
      <x:c r="AL65" s="60" t="n">
        <x:v>90.1</x:v>
      </x:c>
      <x:c r="AM65" s="60" t="n">
        <x:v>88</x:v>
      </x:c>
      <x:c r="AN65" s="60" t="n">
        <x:v>91.1</x:v>
      </x:c>
      <x:c r="AO65" s="60" t="n">
        <x:v>87</x:v>
      </x:c>
      <x:c r="AP65" s="60" t="n">
        <x:v>91.1</x:v>
      </x:c>
      <x:c r="AQ65" s="60" t="n">
        <x:v>86</x:v>
      </x:c>
      <x:c r="AR65" s="60" t="n">
        <x:v>12</x:v>
      </x:c>
      <x:c r="AS65" s="60" t="n">
        <x:f>ROUND(((0.30*AL65+0.20*AM65+0.25*AN65+0.15*AO65+0.10*AQ65)+(0.30*AP65+0.20*AN65+0.20*AM65+0.15*AQ65+0.15*(100-AR65)))/2,2)</x:f>
        <x:v>89.15</x:v>
      </x:c>
      <x:c r="AT65" s="60" t="n">
        <x:f>ROUND(AVERAGE(V65,AD65,AL65),1)</x:f>
        <x:v>90.1</x:v>
      </x:c>
      <x:c r="AU65" s="60" t="n">
        <x:f>ROUND(AVERAGE(W65,AE65,AM65),1)</x:f>
        <x:v>88</x:v>
      </x:c>
      <x:c r="AV65" s="60" t="n">
        <x:f>ROUND(AVERAGE(X65,AF65,AN65),1)</x:f>
        <x:v>91.1</x:v>
      </x:c>
      <x:c r="AW65" s="60" t="n">
        <x:f>ROUND(AVERAGE(Y65,AG65,AO65),1)</x:f>
        <x:v>87</x:v>
      </x:c>
      <x:c r="AX65" s="60" t="n">
        <x:f>ROUND(AVERAGE(Z65,AH65,AP65),1)</x:f>
        <x:v>91.1</x:v>
      </x:c>
      <x:c r="AY65" s="60" t="n">
        <x:f>ROUND(AVERAGE(AA65,AI65,AQ65),1)</x:f>
        <x:v>86</x:v>
      </x:c>
      <x:c r="AZ65" s="60" t="n">
        <x:f>ROUND(AVERAGE(AB65,AJ65,AR65),1)</x:f>
        <x:v>12</x:v>
      </x:c>
      <x:c r="BA65" s="59" t="n">
        <x:v>4</x:v>
      </x:c>
      <x:c r="BB65" s="60" t="n">
        <x:f>ROUND(0.30*AT65+0.20*AU65+0.25*AV65+0.15*AW65+0.10*AY65,2)</x:f>
        <x:v>89.06</x:v>
      </x:c>
      <x:c r="BC65" s="60" t="n">
        <x:f>ROUND(0.30*AX65+0.20*AV65+0.20*AU65+0.15*AY65+0.15*(100-AZ65),2)</x:f>
        <x:v>89.25</x:v>
      </x:c>
      <x:c r="BD65" s="60" t="n">
        <x:f>ROUND(AVERAGE(BB65,BC65),2)</x:f>
        <x:v>89.16</x:v>
      </x:c>
      <x:c r="BE65" s="60" t="n">
        <x:f>ROUND(BD65-U65,2)</x:f>
        <x:v>0.06</x:v>
      </x:c>
      <x:c r="BF65" s="60" t="n">
        <x:f>ROUND(STDEV.P(AC65,AK65,AS65),3)</x:f>
        <x:v>0.005</x:v>
      </x:c>
      <x:c r="BG65" s="59" t="str">
        <x:v>Top100</x:v>
      </x:c>
      <x:c r="BH65" s="59" t="str">
        <x:v>Top50三轮复核</x:v>
      </x:c>
      <x:c r="BI65" s="40" t="str">
        <x:v>三轮复核后与原表基本一致</x:v>
      </x:c>
    </x:row>
    <x:row r="66" ht="30" customHeight="1">
      <x:c r="A66" s="59" t="n">
        <x:v>65</x:v>
      </x:c>
      <x:c r="B66" s="59" t="n">
        <x:v>65</x:v>
      </x:c>
      <x:c r="C66" s="59" t="str">
        <x:v>2026-06</x:v>
      </x:c>
      <x:c r="D66" s="59" t="n">
        <x:v>38</x:v>
      </x:c>
      <x:c r="E66" s="59" t="str">
        <x:v>2606.02517</x:v>
      </x:c>
      <x:c r="F66" s="40" t="str">
        <x:v>Weak-strong uniqueness and low Mach number limit for a viscous compressible fluid around a rotating body</x:v>
      </x:c>
      <x:c r="G66" s="40" t="str">
        <x:v>Thomas Eiter; Sarka Necasova; Florian Oschmann</x:v>
      </x:c>
      <x:c r="H66" s="40" t="str">
        <x:v>fluid limits</x:v>
      </x:c>
      <x:c r="I66" s="59"/>
      <x:c r="J66" s="40" t="str">
        <x:v>https://arxiv.org/abs/2606.02517</x:v>
      </x:c>
      <x:c r="K66" s="60" t="n">
        <x:v>90</x:v>
      </x:c>
      <x:c r="L66" s="60" t="n">
        <x:v>88</x:v>
      </x:c>
      <x:c r="M66" s="60" t="n">
        <x:v>91</x:v>
      </x:c>
      <x:c r="N66" s="60" t="n">
        <x:v>87</x:v>
      </x:c>
      <x:c r="O66" s="60" t="n">
        <x:v>90</x:v>
      </x:c>
      <x:c r="P66" s="60" t="n">
        <x:v>87</x:v>
      </x:c>
      <x:c r="Q66" s="60" t="n">
        <x:v>12</x:v>
      </x:c>
      <x:c r="R66" s="59" t="n">
        <x:v>4</x:v>
      </x:c>
      <x:c r="S66" s="60" t="n">
        <x:v>89.1</x:v>
      </x:c>
      <x:c r="T66" s="60" t="n">
        <x:v>89.05000000000001</x:v>
      </x:c>
      <x:c r="U66" s="60" t="n">
        <x:v>89.075</x:v>
      </x:c>
      <x:c r="V66" s="60" t="n">
        <x:v>90</x:v>
      </x:c>
      <x:c r="W66" s="60" t="n">
        <x:v>88</x:v>
      </x:c>
      <x:c r="X66" s="60" t="n">
        <x:v>91</x:v>
      </x:c>
      <x:c r="Y66" s="60" t="n">
        <x:v>87</x:v>
      </x:c>
      <x:c r="Z66" s="60" t="n">
        <x:v>90</x:v>
      </x:c>
      <x:c r="AA66" s="60" t="n">
        <x:v>87</x:v>
      </x:c>
      <x:c r="AB66" s="60" t="n">
        <x:v>12</x:v>
      </x:c>
      <x:c r="AC66" s="60" t="n">
        <x:f>ROUND(((0.30*V66+0.20*W66+0.25*X66+0.15*Y66+0.10*AA66)+(0.30*Z66+0.20*X66+0.20*W66+0.15*AA66+0.15*(100-AB66)))/2,2)</x:f>
        <x:v>89.08</x:v>
      </x:c>
      <x:c r="AD66" s="60" t="n">
        <x:v>90</x:v>
      </x:c>
      <x:c r="AE66" s="60" t="n">
        <x:v>88</x:v>
      </x:c>
      <x:c r="AF66" s="60" t="n">
        <x:v>91</x:v>
      </x:c>
      <x:c r="AG66" s="60" t="n">
        <x:v>87.1</x:v>
      </x:c>
      <x:c r="AH66" s="60" t="n">
        <x:v>90</x:v>
      </x:c>
      <x:c r="AI66" s="60" t="n">
        <x:v>87</x:v>
      </x:c>
      <x:c r="AJ66" s="60" t="n">
        <x:v>12</x:v>
      </x:c>
      <x:c r="AK66" s="60" t="n">
        <x:f>ROUND(((0.30*AD66+0.20*AE66+0.25*AF66+0.15*AG66+0.10*AI66)+(0.30*AH66+0.20*AF66+0.20*AE66+0.15*AI66+0.15*(100-AJ66)))/2,2)</x:f>
        <x:v>89.08</x:v>
      </x:c>
      <x:c r="AL66" s="60" t="n">
        <x:v>90</x:v>
      </x:c>
      <x:c r="AM66" s="60" t="n">
        <x:v>88</x:v>
      </x:c>
      <x:c r="AN66" s="60" t="n">
        <x:v>91</x:v>
      </x:c>
      <x:c r="AO66" s="60" t="n">
        <x:v>87</x:v>
      </x:c>
      <x:c r="AP66" s="60" t="n">
        <x:v>90</x:v>
      </x:c>
      <x:c r="AQ66" s="60" t="n">
        <x:v>87</x:v>
      </x:c>
      <x:c r="AR66" s="60" t="n">
        <x:v>12</x:v>
      </x:c>
      <x:c r="AS66" s="60" t="n">
        <x:f>ROUND(((0.30*AL66+0.20*AM66+0.25*AN66+0.15*AO66+0.10*AQ66)+(0.30*AP66+0.20*AN66+0.20*AM66+0.15*AQ66+0.15*(100-AR66)))/2,2)</x:f>
        <x:v>89.08</x:v>
      </x:c>
      <x:c r="AT66" s="60" t="n">
        <x:f>ROUND(AVERAGE(V66,AD66,AL66),1)</x:f>
        <x:v>90</x:v>
      </x:c>
      <x:c r="AU66" s="60" t="n">
        <x:f>ROUND(AVERAGE(W66,AE66,AM66),1)</x:f>
        <x:v>88</x:v>
      </x:c>
      <x:c r="AV66" s="60" t="n">
        <x:f>ROUND(AVERAGE(X66,AF66,AN66),1)</x:f>
        <x:v>91</x:v>
      </x:c>
      <x:c r="AW66" s="60" t="n">
        <x:f>ROUND(AVERAGE(Y66,AG66,AO66),1)</x:f>
        <x:v>87</x:v>
      </x:c>
      <x:c r="AX66" s="60" t="n">
        <x:f>ROUND(AVERAGE(Z66,AH66,AP66),1)</x:f>
        <x:v>90</x:v>
      </x:c>
      <x:c r="AY66" s="60" t="n">
        <x:f>ROUND(AVERAGE(AA66,AI66,AQ66),1)</x:f>
        <x:v>87</x:v>
      </x:c>
      <x:c r="AZ66" s="60" t="n">
        <x:f>ROUND(AVERAGE(AB66,AJ66,AR66),1)</x:f>
        <x:v>12</x:v>
      </x:c>
      <x:c r="BA66" s="59" t="n">
        <x:v>4</x:v>
      </x:c>
      <x:c r="BB66" s="60" t="n">
        <x:f>ROUND(0.30*AT66+0.20*AU66+0.25*AV66+0.15*AW66+0.10*AY66,2)</x:f>
        <x:v>89.1</x:v>
      </x:c>
      <x:c r="BC66" s="60" t="n">
        <x:f>ROUND(0.30*AX66+0.20*AV66+0.20*AU66+0.15*AY66+0.15*(100-AZ66),2)</x:f>
        <x:v>89.05</x:v>
      </x:c>
      <x:c r="BD66" s="60" t="n">
        <x:f>ROUND(AVERAGE(BB66,BC66),2)</x:f>
        <x:v>89.07</x:v>
      </x:c>
      <x:c r="BE66" s="60" t="n">
        <x:f>ROUND(BD66-U66,2)</x:f>
        <x:v>-0.01</x:v>
      </x:c>
      <x:c r="BF66" s="60" t="n">
        <x:f>ROUND(STDEV.P(AC66,AK66,AS66),3)</x:f>
        <x:v>0</x:v>
      </x:c>
      <x:c r="BG66" s="59" t="str">
        <x:v>Top100</x:v>
      </x:c>
      <x:c r="BH66" s="59" t="str">
        <x:v>Top50三轮复核</x:v>
      </x:c>
      <x:c r="BI66" s="40" t="str">
        <x:v>三轮复核后与原表基本一致</x:v>
      </x:c>
    </x:row>
    <x:row r="67" ht="30" customHeight="1">
      <x:c r="A67" s="59" t="n">
        <x:v>66</x:v>
      </x:c>
      <x:c r="B67" s="59" t="n">
        <x:v>66</x:v>
      </x:c>
      <x:c r="C67" s="59" t="str">
        <x:v>2026-05</x:v>
      </x:c>
      <x:c r="D67" s="59" t="n">
        <x:v>28</x:v>
      </x:c>
      <x:c r="E67" s="59" t="str">
        <x:v>2605.19598</x:v>
      </x:c>
      <x:c r="F67" s="40" t="str">
        <x:v>Wrinkling in the Lame problem: a Gamma-convergence approach</x:v>
      </x:c>
      <x:c r="G67" s="40" t="str">
        <x:v>Roberta Marziani</x:v>
      </x:c>
      <x:c r="H67" s="40" t="str">
        <x:v>Calculus of variations / elasticity</x:v>
      </x:c>
      <x:c r="I67" s="59" t="n">
        <x:v>56</x:v>
      </x:c>
      <x:c r="J67" s="40" t="str">
        <x:v>https://arxiv.org/abs/2605.19598</x:v>
      </x:c>
      <x:c r="K67" s="60" t="n">
        <x:v>90</x:v>
      </x:c>
      <x:c r="L67" s="60" t="n">
        <x:v>90</x:v>
      </x:c>
      <x:c r="M67" s="60" t="n">
        <x:v>90</x:v>
      </x:c>
      <x:c r="N67" s="60" t="n">
        <x:v>86</x:v>
      </x:c>
      <x:c r="O67" s="60" t="n">
        <x:v>90</x:v>
      </x:c>
      <x:c r="P67" s="60" t="n">
        <x:v>86</x:v>
      </x:c>
      <x:c r="Q67" s="60" t="n">
        <x:v>13</x:v>
      </x:c>
      <x:c r="R67" s="59" t="n">
        <x:v>5</x:v>
      </x:c>
      <x:c r="S67" s="60" t="n">
        <x:v>89</x:v>
      </x:c>
      <x:c r="T67" s="60" t="n">
        <x:v>89</x:v>
      </x:c>
      <x:c r="U67" s="60" t="n">
        <x:v>89</x:v>
      </x:c>
      <x:c r="V67" s="60" t="n">
        <x:v>90</x:v>
      </x:c>
      <x:c r="W67" s="60" t="n">
        <x:v>90</x:v>
      </x:c>
      <x:c r="X67" s="60" t="n">
        <x:v>90</x:v>
      </x:c>
      <x:c r="Y67" s="60" t="n">
        <x:v>86</x:v>
      </x:c>
      <x:c r="Z67" s="60" t="n">
        <x:v>90</x:v>
      </x:c>
      <x:c r="AA67" s="60" t="n">
        <x:v>86</x:v>
      </x:c>
      <x:c r="AB67" s="60" t="n">
        <x:v>13</x:v>
      </x:c>
      <x:c r="AC67" s="60" t="n">
        <x:f>ROUND(((0.30*V67+0.20*W67+0.25*X67+0.15*Y67+0.10*AA67)+(0.30*Z67+0.20*X67+0.20*W67+0.15*AA67+0.15*(100-AB67)))/2,2)</x:f>
        <x:v>88.98</x:v>
      </x:c>
      <x:c r="AD67" s="60" t="n">
        <x:v>90</x:v>
      </x:c>
      <x:c r="AE67" s="60" t="n">
        <x:v>90</x:v>
      </x:c>
      <x:c r="AF67" s="60" t="n">
        <x:v>90</x:v>
      </x:c>
      <x:c r="AG67" s="60" t="n">
        <x:v>86.1</x:v>
      </x:c>
      <x:c r="AH67" s="60" t="n">
        <x:v>90</x:v>
      </x:c>
      <x:c r="AI67" s="60" t="n">
        <x:v>86</x:v>
      </x:c>
      <x:c r="AJ67" s="60" t="n">
        <x:v>13</x:v>
      </x:c>
      <x:c r="AK67" s="60" t="n">
        <x:f>ROUND(((0.30*AD67+0.20*AE67+0.25*AF67+0.15*AG67+0.10*AI67)+(0.30*AH67+0.20*AF67+0.20*AE67+0.15*AI67+0.15*(100-AJ67)))/2,2)</x:f>
        <x:v>88.98</x:v>
      </x:c>
      <x:c r="AL67" s="60" t="n">
        <x:v>90</x:v>
      </x:c>
      <x:c r="AM67" s="60" t="n">
        <x:v>90</x:v>
      </x:c>
      <x:c r="AN67" s="60" t="n">
        <x:v>90</x:v>
      </x:c>
      <x:c r="AO67" s="60" t="n">
        <x:v>86</x:v>
      </x:c>
      <x:c r="AP67" s="60" t="n">
        <x:v>90</x:v>
      </x:c>
      <x:c r="AQ67" s="60" t="n">
        <x:v>86</x:v>
      </x:c>
      <x:c r="AR67" s="60" t="n">
        <x:v>13</x:v>
      </x:c>
      <x:c r="AS67" s="60" t="n">
        <x:f>ROUND(((0.30*AL67+0.20*AM67+0.25*AN67+0.15*AO67+0.10*AQ67)+(0.30*AP67+0.20*AN67+0.20*AM67+0.15*AQ67+0.15*(100-AR67)))/2,2)</x:f>
        <x:v>88.98</x:v>
      </x:c>
      <x:c r="AT67" s="60" t="n">
        <x:f>ROUND(AVERAGE(V67,AD67,AL67),1)</x:f>
        <x:v>90</x:v>
      </x:c>
      <x:c r="AU67" s="60" t="n">
        <x:f>ROUND(AVERAGE(W67,AE67,AM67),1)</x:f>
        <x:v>90</x:v>
      </x:c>
      <x:c r="AV67" s="60" t="n">
        <x:f>ROUND(AVERAGE(X67,AF67,AN67),1)</x:f>
        <x:v>90</x:v>
      </x:c>
      <x:c r="AW67" s="60" t="n">
        <x:f>ROUND(AVERAGE(Y67,AG67,AO67),1)</x:f>
        <x:v>86</x:v>
      </x:c>
      <x:c r="AX67" s="60" t="n">
        <x:f>ROUND(AVERAGE(Z67,AH67,AP67),1)</x:f>
        <x:v>90</x:v>
      </x:c>
      <x:c r="AY67" s="60" t="n">
        <x:f>ROUND(AVERAGE(AA67,AI67,AQ67),1)</x:f>
        <x:v>86</x:v>
      </x:c>
      <x:c r="AZ67" s="60" t="n">
        <x:f>ROUND(AVERAGE(AB67,AJ67,AR67),1)</x:f>
        <x:v>13</x:v>
      </x:c>
      <x:c r="BA67" s="59" t="n">
        <x:v>5</x:v>
      </x:c>
      <x:c r="BB67" s="60" t="n">
        <x:f>ROUND(0.30*AT67+0.20*AU67+0.25*AV67+0.15*AW67+0.10*AY67,2)</x:f>
        <x:v>89</x:v>
      </x:c>
      <x:c r="BC67" s="60" t="n">
        <x:f>ROUND(0.30*AX67+0.20*AV67+0.20*AU67+0.15*AY67+0.15*(100-AZ67),2)</x:f>
        <x:v>88.95</x:v>
      </x:c>
      <x:c r="BD67" s="60" t="n">
        <x:f>ROUND(AVERAGE(BB67,BC67),2)</x:f>
        <x:v>88.98</x:v>
      </x:c>
      <x:c r="BE67" s="60" t="n">
        <x:f>ROUND(BD67-U67,2)</x:f>
        <x:v>-0.02</x:v>
      </x:c>
      <x:c r="BF67" s="60" t="n">
        <x:f>ROUND(STDEV.P(AC67,AK67,AS67),3)</x:f>
        <x:v>0</x:v>
      </x:c>
      <x:c r="BG67" s="59" t="str">
        <x:v>Top100</x:v>
      </x:c>
      <x:c r="BH67" s="59" t="str">
        <x:v>Top50三轮复核</x:v>
      </x:c>
      <x:c r="BI67" s="40" t="str">
        <x:v>三轮复核后与原表基本一致</x:v>
      </x:c>
    </x:row>
    <x:row r="68" ht="30" customHeight="1">
      <x:c r="A68" s="59" t="n">
        <x:v>67</x:v>
      </x:c>
      <x:c r="B68" s="59" t="n">
        <x:v>68</x:v>
      </x:c>
      <x:c r="C68" s="59" t="str">
        <x:v>2026-06</x:v>
      </x:c>
      <x:c r="D68" s="59" t="n">
        <x:v>39</x:v>
      </x:c>
      <x:c r="E68" s="59" t="str">
        <x:v>2606.07417</x:v>
      </x:c>
      <x:c r="F68" s="40" t="str">
        <x:v>An optimal local theory for reaction-diffusion equations driven by non-trace-class noise</x:v>
      </x:c>
      <x:c r="G68" s="40" t="str">
        <x:v>Antonio Agresti; Fabian Germ; Mark Veraar</x:v>
      </x:c>
      <x:c r="H68" s="40" t="str">
        <x:v>stochastic PDE</x:v>
      </x:c>
      <x:c r="I68" s="59" t="n">
        <x:v>46</x:v>
      </x:c>
      <x:c r="J68" s="40" t="str">
        <x:v>https://arxiv.org/abs/2606.07417</x:v>
      </x:c>
      <x:c r="K68" s="60" t="n">
        <x:v>89</x:v>
      </x:c>
      <x:c r="L68" s="60" t="n">
        <x:v>89</x:v>
      </x:c>
      <x:c r="M68" s="60" t="n">
        <x:v>91</x:v>
      </x:c>
      <x:c r="N68" s="60" t="n">
        <x:v>87</x:v>
      </x:c>
      <x:c r="O68" s="60" t="n">
        <x:v>90</x:v>
      </x:c>
      <x:c r="P68" s="60" t="n">
        <x:v>86</x:v>
      </x:c>
      <x:c r="Q68" s="60" t="n">
        <x:v>13</x:v>
      </x:c>
      <x:c r="R68" s="59" t="n">
        <x:v>4</x:v>
      </x:c>
      <x:c r="S68" s="60" t="n">
        <x:v>88.89999999999999</x:v>
      </x:c>
      <x:c r="T68" s="60" t="n">
        <x:v>88.95</x:v>
      </x:c>
      <x:c r="U68" s="60" t="n">
        <x:v>88.925</x:v>
      </x:c>
      <x:c r="V68" s="60" t="n">
        <x:v>89</x:v>
      </x:c>
      <x:c r="W68" s="60" t="n">
        <x:v>89</x:v>
      </x:c>
      <x:c r="X68" s="60" t="n">
        <x:v>91</x:v>
      </x:c>
      <x:c r="Y68" s="60" t="n">
        <x:v>87</x:v>
      </x:c>
      <x:c r="Z68" s="60" t="n">
        <x:v>90</x:v>
      </x:c>
      <x:c r="AA68" s="60" t="n">
        <x:v>86</x:v>
      </x:c>
      <x:c r="AB68" s="60" t="n">
        <x:v>13</x:v>
      </x:c>
      <x:c r="AC68" s="60" t="n">
        <x:f>ROUND(((0.30*V68+0.20*W68+0.25*X68+0.15*Y68+0.10*AA68)+(0.30*Z68+0.20*X68+0.20*W68+0.15*AA68+0.15*(100-AB68)))/2,2)</x:f>
        <x:v>88.93</x:v>
      </x:c>
      <x:c r="AD68" s="60" t="n">
        <x:v>89</x:v>
      </x:c>
      <x:c r="AE68" s="60" t="n">
        <x:v>89</x:v>
      </x:c>
      <x:c r="AF68" s="60" t="n">
        <x:v>91</x:v>
      </x:c>
      <x:c r="AG68" s="60" t="n">
        <x:v>87.1</x:v>
      </x:c>
      <x:c r="AH68" s="60" t="n">
        <x:v>90</x:v>
      </x:c>
      <x:c r="AI68" s="60" t="n">
        <x:v>86</x:v>
      </x:c>
      <x:c r="AJ68" s="60" t="n">
        <x:v>13</x:v>
      </x:c>
      <x:c r="AK68" s="60" t="n">
        <x:f>ROUND(((0.30*AD68+0.20*AE68+0.25*AF68+0.15*AG68+0.10*AI68)+(0.30*AH68+0.20*AF68+0.20*AE68+0.15*AI68+0.15*(100-AJ68)))/2,2)</x:f>
        <x:v>88.93</x:v>
      </x:c>
      <x:c r="AL68" s="60" t="n">
        <x:v>89</x:v>
      </x:c>
      <x:c r="AM68" s="60" t="n">
        <x:v>89</x:v>
      </x:c>
      <x:c r="AN68" s="60" t="n">
        <x:v>91</x:v>
      </x:c>
      <x:c r="AO68" s="60" t="n">
        <x:v>87</x:v>
      </x:c>
      <x:c r="AP68" s="60" t="n">
        <x:v>90</x:v>
      </x:c>
      <x:c r="AQ68" s="60" t="n">
        <x:v>86</x:v>
      </x:c>
      <x:c r="AR68" s="60" t="n">
        <x:v>13</x:v>
      </x:c>
      <x:c r="AS68" s="60" t="n">
        <x:f>ROUND(((0.30*AL68+0.20*AM68+0.25*AN68+0.15*AO68+0.10*AQ68)+(0.30*AP68+0.20*AN68+0.20*AM68+0.15*AQ68+0.15*(100-AR68)))/2,2)</x:f>
        <x:v>88.93</x:v>
      </x:c>
      <x:c r="AT68" s="60" t="n">
        <x:f>ROUND(AVERAGE(V68,AD68,AL68),1)</x:f>
        <x:v>89</x:v>
      </x:c>
      <x:c r="AU68" s="60" t="n">
        <x:f>ROUND(AVERAGE(W68,AE68,AM68),1)</x:f>
        <x:v>89</x:v>
      </x:c>
      <x:c r="AV68" s="60" t="n">
        <x:f>ROUND(AVERAGE(X68,AF68,AN68),1)</x:f>
        <x:v>91</x:v>
      </x:c>
      <x:c r="AW68" s="60" t="n">
        <x:f>ROUND(AVERAGE(Y68,AG68,AO68),1)</x:f>
        <x:v>87</x:v>
      </x:c>
      <x:c r="AX68" s="60" t="n">
        <x:f>ROUND(AVERAGE(Z68,AH68,AP68),1)</x:f>
        <x:v>90</x:v>
      </x:c>
      <x:c r="AY68" s="60" t="n">
        <x:f>ROUND(AVERAGE(AA68,AI68,AQ68),1)</x:f>
        <x:v>86</x:v>
      </x:c>
      <x:c r="AZ68" s="60" t="n">
        <x:f>ROUND(AVERAGE(AB68,AJ68,AR68),1)</x:f>
        <x:v>13</x:v>
      </x:c>
      <x:c r="BA68" s="59" t="n">
        <x:v>4</x:v>
      </x:c>
      <x:c r="BB68" s="60" t="n">
        <x:f>ROUND(0.30*AT68+0.20*AU68+0.25*AV68+0.15*AW68+0.10*AY68,2)</x:f>
        <x:v>88.9</x:v>
      </x:c>
      <x:c r="BC68" s="60" t="n">
        <x:f>ROUND(0.30*AX68+0.20*AV68+0.20*AU68+0.15*AY68+0.15*(100-AZ68),2)</x:f>
        <x:v>88.95</x:v>
      </x:c>
      <x:c r="BD68" s="60" t="n">
        <x:f>ROUND(AVERAGE(BB68,BC68),2)</x:f>
        <x:v>88.93</x:v>
      </x:c>
      <x:c r="BE68" s="60" t="n">
        <x:f>ROUND(BD68-U68,2)</x:f>
        <x:v>0.01</x:v>
      </x:c>
      <x:c r="BF68" s="60" t="n">
        <x:f>ROUND(STDEV.P(AC68,AK68,AS68),3)</x:f>
        <x:v>0</x:v>
      </x:c>
      <x:c r="BG68" s="59" t="str">
        <x:v>Top100</x:v>
      </x:c>
      <x:c r="BH68" s="59" t="str">
        <x:v>Top50三轮复核</x:v>
      </x:c>
      <x:c r="BI68" s="40" t="str">
        <x:v>三轮复核后与原表基本一致</x:v>
      </x:c>
    </x:row>
    <x:row r="69" ht="30" customHeight="1">
      <x:c r="A69" s="59" t="n">
        <x:v>68</x:v>
      </x:c>
      <x:c r="B69" s="59" t="n">
        <x:v>67</x:v>
      </x:c>
      <x:c r="C69" s="59" t="str">
        <x:v>2026-06</x:v>
      </x:c>
      <x:c r="D69" s="59" t="n">
        <x:v>39</x:v>
      </x:c>
      <x:c r="E69" s="59" t="str">
        <x:v>2606.15556</x:v>
      </x:c>
      <x:c r="F69" s="40" t="str">
        <x:v>Borderline gradient continuity for degenerate/singular fully nonlinear elliptic equations with Hamiltonian terms</x:v>
      </x:c>
      <x:c r="G69" s="40" t="str">
        <x:v>Wentao Huo; Lingwei Ma; Zhenqiu Zhang</x:v>
      </x:c>
      <x:c r="H69" s="40" t="str">
        <x:v>elliptic regularity</x:v>
      </x:c>
      <x:c r="I69" s="59" t="n">
        <x:v>27</x:v>
      </x:c>
      <x:c r="J69" s="40" t="str">
        <x:v>https://arxiv.org/abs/2606.15556</x:v>
      </x:c>
      <x:c r="K69" s="60" t="n">
        <x:v>89</x:v>
      </x:c>
      <x:c r="L69" s="60" t="n">
        <x:v>89</x:v>
      </x:c>
      <x:c r="M69" s="60" t="n">
        <x:v>91</x:v>
      </x:c>
      <x:c r="N69" s="60" t="n">
        <x:v>87</x:v>
      </x:c>
      <x:c r="O69" s="60" t="n">
        <x:v>90</x:v>
      </x:c>
      <x:c r="P69" s="60" t="n">
        <x:v>86</x:v>
      </x:c>
      <x:c r="Q69" s="60" t="n">
        <x:v>13</x:v>
      </x:c>
      <x:c r="R69" s="59" t="n">
        <x:v>4</x:v>
      </x:c>
      <x:c r="S69" s="60" t="n">
        <x:v>88.89999999999999</x:v>
      </x:c>
      <x:c r="T69" s="60" t="n">
        <x:v>88.95</x:v>
      </x:c>
      <x:c r="U69" s="60" t="n">
        <x:v>88.925</x:v>
      </x:c>
      <x:c r="V69" s="60" t="n">
        <x:v>88.9</x:v>
      </x:c>
      <x:c r="W69" s="60" t="n">
        <x:v>89</x:v>
      </x:c>
      <x:c r="X69" s="60" t="n">
        <x:v>91</x:v>
      </x:c>
      <x:c r="Y69" s="60" t="n">
        <x:v>86.8</x:v>
      </x:c>
      <x:c r="Z69" s="60" t="n">
        <x:v>90</x:v>
      </x:c>
      <x:c r="AA69" s="60" t="n">
        <x:v>86</x:v>
      </x:c>
      <x:c r="AB69" s="60" t="n">
        <x:v>13</x:v>
      </x:c>
      <x:c r="AC69" s="60" t="n">
        <x:f>ROUND(((0.30*V69+0.20*W69+0.25*X69+0.15*Y69+0.10*AA69)+(0.30*Z69+0.20*X69+0.20*W69+0.15*AA69+0.15*(100-AB69)))/2,2)</x:f>
        <x:v>88.9</x:v>
      </x:c>
      <x:c r="AD69" s="60" t="n">
        <x:v>88.9</x:v>
      </x:c>
      <x:c r="AE69" s="60" t="n">
        <x:v>89</x:v>
      </x:c>
      <x:c r="AF69" s="60" t="n">
        <x:v>91</x:v>
      </x:c>
      <x:c r="AG69" s="60" t="n">
        <x:v>86.9</x:v>
      </x:c>
      <x:c r="AH69" s="60" t="n">
        <x:v>90</x:v>
      </x:c>
      <x:c r="AI69" s="60" t="n">
        <x:v>86</x:v>
      </x:c>
      <x:c r="AJ69" s="60" t="n">
        <x:v>13</x:v>
      </x:c>
      <x:c r="AK69" s="60" t="n">
        <x:f>ROUND(((0.30*AD69+0.20*AE69+0.25*AF69+0.15*AG69+0.10*AI69)+(0.30*AH69+0.20*AF69+0.20*AE69+0.15*AI69+0.15*(100-AJ69)))/2,2)</x:f>
        <x:v>88.9</x:v>
      </x:c>
      <x:c r="AL69" s="60" t="n">
        <x:v>88.9</x:v>
      </x:c>
      <x:c r="AM69" s="60" t="n">
        <x:v>89</x:v>
      </x:c>
      <x:c r="AN69" s="60" t="n">
        <x:v>91</x:v>
      </x:c>
      <x:c r="AO69" s="60" t="n">
        <x:v>86.8</x:v>
      </x:c>
      <x:c r="AP69" s="60" t="n">
        <x:v>90</x:v>
      </x:c>
      <x:c r="AQ69" s="60" t="n">
        <x:v>86</x:v>
      </x:c>
      <x:c r="AR69" s="60" t="n">
        <x:v>13</x:v>
      </x:c>
      <x:c r="AS69" s="60" t="n">
        <x:f>ROUND(((0.30*AL69+0.20*AM69+0.25*AN69+0.15*AO69+0.10*AQ69)+(0.30*AP69+0.20*AN69+0.20*AM69+0.15*AQ69+0.15*(100-AR69)))/2,2)</x:f>
        <x:v>88.9</x:v>
      </x:c>
      <x:c r="AT69" s="60" t="n">
        <x:f>ROUND(AVERAGE(V69,AD69,AL69),1)</x:f>
        <x:v>88.9</x:v>
      </x:c>
      <x:c r="AU69" s="60" t="n">
        <x:f>ROUND(AVERAGE(W69,AE69,AM69),1)</x:f>
        <x:v>89</x:v>
      </x:c>
      <x:c r="AV69" s="60" t="n">
        <x:f>ROUND(AVERAGE(X69,AF69,AN69),1)</x:f>
        <x:v>91</x:v>
      </x:c>
      <x:c r="AW69" s="60" t="n">
        <x:f>ROUND(AVERAGE(Y69,AG69,AO69),1)</x:f>
        <x:v>86.8</x:v>
      </x:c>
      <x:c r="AX69" s="60" t="n">
        <x:f>ROUND(AVERAGE(Z69,AH69,AP69),1)</x:f>
        <x:v>90</x:v>
      </x:c>
      <x:c r="AY69" s="60" t="n">
        <x:f>ROUND(AVERAGE(AA69,AI69,AQ69),1)</x:f>
        <x:v>86</x:v>
      </x:c>
      <x:c r="AZ69" s="60" t="n">
        <x:f>ROUND(AVERAGE(AB69,AJ69,AR69),1)</x:f>
        <x:v>13</x:v>
      </x:c>
      <x:c r="BA69" s="59" t="n">
        <x:v>4</x:v>
      </x:c>
      <x:c r="BB69" s="60" t="n">
        <x:f>ROUND(0.30*AT69+0.20*AU69+0.25*AV69+0.15*AW69+0.10*AY69,2)</x:f>
        <x:v>88.84</x:v>
      </x:c>
      <x:c r="BC69" s="60" t="n">
        <x:f>ROUND(0.30*AX69+0.20*AV69+0.20*AU69+0.15*AY69+0.15*(100-AZ69),2)</x:f>
        <x:v>88.95</x:v>
      </x:c>
      <x:c r="BD69" s="60" t="n">
        <x:f>ROUND(AVERAGE(BB69,BC69),2)</x:f>
        <x:v>88.9</x:v>
      </x:c>
      <x:c r="BE69" s="60" t="n">
        <x:f>ROUND(BD69-U69,2)</x:f>
        <x:v>-0.02</x:v>
      </x:c>
      <x:c r="BF69" s="60" t="n">
        <x:f>ROUND(STDEV.P(AC69,AK69,AS69),3)</x:f>
        <x:v>0</x:v>
      </x:c>
      <x:c r="BG69" s="59" t="str">
        <x:v>Top100</x:v>
      </x:c>
      <x:c r="BH69" s="59" t="str">
        <x:v>Top50三轮复核</x:v>
      </x:c>
      <x:c r="BI69" s="40" t="str">
        <x:v>范围偏专门，广度轻微回调</x:v>
      </x:c>
    </x:row>
    <x:row r="70" ht="30" customHeight="1">
      <x:c r="A70" s="59" t="n">
        <x:v>69</x:v>
      </x:c>
      <x:c r="B70" s="59" t="n">
        <x:v>69</x:v>
      </x:c>
      <x:c r="C70" s="59" t="str">
        <x:v>2026-05</x:v>
      </x:c>
      <x:c r="D70" s="59" t="n">
        <x:v>29</x:v>
      </x:c>
      <x:c r="E70" s="59" t="str">
        <x:v>2605.10589</x:v>
      </x:c>
      <x:c r="F70" s="40" t="str">
        <x:v>Distance between minimal surfaces and flows</x:v>
      </x:c>
      <x:c r="G70" s="40" t="str">
        <x:v>Tobias Holck Colding; William P. Minicozzi II</x:v>
      </x:c>
      <x:c r="H70" s="40" t="str">
        <x:v>Minimal surfaces / flows</x:v>
      </x:c>
      <x:c r="I70" s="59" t="n">
        <x:v>18</x:v>
      </x:c>
      <x:c r="J70" s="40" t="str">
        <x:v>https://arxiv.org/abs/2605.10589</x:v>
      </x:c>
      <x:c r="K70" s="60" t="n">
        <x:v>91</x:v>
      </x:c>
      <x:c r="L70" s="60" t="n">
        <x:v>90</x:v>
      </x:c>
      <x:c r="M70" s="60" t="n">
        <x:v>89</x:v>
      </x:c>
      <x:c r="N70" s="60" t="n">
        <x:v>87</x:v>
      </x:c>
      <x:c r="O70" s="60" t="n">
        <x:v>89</x:v>
      </x:c>
      <x:c r="P70" s="60" t="n">
        <x:v>86</x:v>
      </x:c>
      <x:c r="Q70" s="60" t="n">
        <x:v>12</x:v>
      </x:c>
      <x:c r="R70" s="59" t="n">
        <x:v>5</x:v>
      </x:c>
      <x:c r="S70" s="60" t="n">
        <x:v>89.2</x:v>
      </x:c>
      <x:c r="T70" s="60" t="n">
        <x:v>88.6</x:v>
      </x:c>
      <x:c r="U70" s="60" t="n">
        <x:v>88.9</x:v>
      </x:c>
      <x:c r="V70" s="60" t="n">
        <x:v>91</x:v>
      </x:c>
      <x:c r="W70" s="60" t="n">
        <x:v>90.2</x:v>
      </x:c>
      <x:c r="X70" s="60" t="n">
        <x:v>88.8</x:v>
      </x:c>
      <x:c r="Y70" s="60" t="n">
        <x:v>87.2</x:v>
      </x:c>
      <x:c r="Z70" s="60" t="n">
        <x:v>89</x:v>
      </x:c>
      <x:c r="AA70" s="60" t="n">
        <x:v>86</x:v>
      </x:c>
      <x:c r="AB70" s="60" t="n">
        <x:v>12</x:v>
      </x:c>
      <x:c r="AC70" s="60" t="n">
        <x:f>ROUND(((0.30*V70+0.20*W70+0.25*X70+0.15*Y70+0.10*AA70)+(0.30*Z70+0.20*X70+0.20*W70+0.15*AA70+0.15*(100-AB70)))/2,2)</x:f>
        <x:v>88.91</x:v>
      </x:c>
      <x:c r="AD70" s="60" t="n">
        <x:v>91</x:v>
      </x:c>
      <x:c r="AE70" s="60" t="n">
        <x:v>90.1</x:v>
      </x:c>
      <x:c r="AF70" s="60" t="n">
        <x:v>88.9</x:v>
      </x:c>
      <x:c r="AG70" s="60" t="n">
        <x:v>87.2</x:v>
      </x:c>
      <x:c r="AH70" s="60" t="n">
        <x:v>89</x:v>
      </x:c>
      <x:c r="AI70" s="60" t="n">
        <x:v>86</x:v>
      </x:c>
      <x:c r="AJ70" s="60" t="n">
        <x:v>12.4</x:v>
      </x:c>
      <x:c r="AK70" s="60" t="n">
        <x:f>ROUND(((0.30*AD70+0.20*AE70+0.25*AF70+0.15*AG70+0.10*AI70)+(0.30*AH70+0.20*AF70+0.20*AE70+0.15*AI70+0.15*(100-AJ70)))/2,2)</x:f>
        <x:v>88.88</x:v>
      </x:c>
      <x:c r="AL70" s="60" t="n">
        <x:v>91</x:v>
      </x:c>
      <x:c r="AM70" s="60" t="n">
        <x:v>90.1</x:v>
      </x:c>
      <x:c r="AN70" s="60" t="n">
        <x:v>88.8</x:v>
      </x:c>
      <x:c r="AO70" s="60" t="n">
        <x:v>87.2</x:v>
      </x:c>
      <x:c r="AP70" s="60" t="n">
        <x:v>89</x:v>
      </x:c>
      <x:c r="AQ70" s="60" t="n">
        <x:v>86</x:v>
      </x:c>
      <x:c r="AR70" s="60" t="n">
        <x:v>12.5</x:v>
      </x:c>
      <x:c r="AS70" s="60" t="n">
        <x:f>ROUND(((0.30*AL70+0.20*AM70+0.25*AN70+0.15*AO70+0.10*AQ70)+(0.30*AP70+0.20*AN70+0.20*AM70+0.15*AQ70+0.15*(100-AR70)))/2,2)</x:f>
        <x:v>88.85</x:v>
      </x:c>
      <x:c r="AT70" s="60" t="n">
        <x:f>ROUND(AVERAGE(V70,AD70,AL70),1)</x:f>
        <x:v>91</x:v>
      </x:c>
      <x:c r="AU70" s="60" t="n">
        <x:f>ROUND(AVERAGE(W70,AE70,AM70),1)</x:f>
        <x:v>90.1</x:v>
      </x:c>
      <x:c r="AV70" s="60" t="n">
        <x:f>ROUND(AVERAGE(X70,AF70,AN70),1)</x:f>
        <x:v>88.8</x:v>
      </x:c>
      <x:c r="AW70" s="60" t="n">
        <x:f>ROUND(AVERAGE(Y70,AG70,AO70),1)</x:f>
        <x:v>87.2</x:v>
      </x:c>
      <x:c r="AX70" s="60" t="n">
        <x:f>ROUND(AVERAGE(Z70,AH70,AP70),1)</x:f>
        <x:v>89</x:v>
      </x:c>
      <x:c r="AY70" s="60" t="n">
        <x:f>ROUND(AVERAGE(AA70,AI70,AQ70),1)</x:f>
        <x:v>86</x:v>
      </x:c>
      <x:c r="AZ70" s="60" t="n">
        <x:f>ROUND(AVERAGE(AB70,AJ70,AR70),1)</x:f>
        <x:v>12.3</x:v>
      </x:c>
      <x:c r="BA70" s="59" t="n">
        <x:v>5</x:v>
      </x:c>
      <x:c r="BB70" s="60" t="n">
        <x:f>ROUND(0.30*AT70+0.20*AU70+0.25*AV70+0.15*AW70+0.10*AY70,2)</x:f>
        <x:v>89.2</x:v>
      </x:c>
      <x:c r="BC70" s="60" t="n">
        <x:f>ROUND(0.30*AX70+0.20*AV70+0.20*AU70+0.15*AY70+0.15*(100-AZ70),2)</x:f>
        <x:v>88.54</x:v>
      </x:c>
      <x:c r="BD70" s="60" t="n">
        <x:f>ROUND(AVERAGE(BB70,BC70),2)</x:f>
        <x:v>88.87</x:v>
      </x:c>
      <x:c r="BE70" s="60" t="n">
        <x:f>ROUND(BD70-U70,2)</x:f>
        <x:v>-0.03</x:v>
      </x:c>
      <x:c r="BF70" s="60" t="n">
        <x:f>ROUND(STDEV.P(AC70,AK70,AS70),3)</x:f>
        <x:v>0.024</x:v>
      </x:c>
      <x:c r="BG70" s="59" t="str">
        <x:v>Top100</x:v>
      </x:c>
      <x:c r="BH70" s="59" t="str">
        <x:v>Top50三轮复核</x:v>
      </x:c>
      <x:c r="BI70" s="40" t="str">
        <x:v>短文且非框架性题材，技术残差轻微回调</x:v>
      </x:c>
    </x:row>
    <x:row r="71" ht="30" customHeight="1">
      <x:c r="A71" s="59" t="n">
        <x:v>70</x:v>
      </x:c>
      <x:c r="B71" s="59" t="n">
        <x:v>71</x:v>
      </x:c>
      <x:c r="C71" s="59" t="str">
        <x:v>2026-05</x:v>
      </x:c>
      <x:c r="D71" s="59" t="n">
        <x:v>30</x:v>
      </x:c>
      <x:c r="E71" s="59" t="str">
        <x:v>2605.28789</x:v>
      </x:c>
      <x:c r="F71" s="40" t="str">
        <x:v>Finite-time blow-up solutions for the Calogero-Sutherland derivative NLS</x:v>
      </x:c>
      <x:c r="G71" s="40" t="str">
        <x:v>Xi Chen; Enno Lenzmann</x:v>
      </x:c>
      <x:c r="H71" s="40" t="str">
        <x:v>Dispersive PDE / blow-up</x:v>
      </x:c>
      <x:c r="I71" s="59"/>
      <x:c r="J71" s="40" t="str">
        <x:v>https://arxiv.org/abs/2605.28789</x:v>
      </x:c>
      <x:c r="K71" s="60" t="n">
        <x:v>90</x:v>
      </x:c>
      <x:c r="L71" s="60" t="n">
        <x:v>90</x:v>
      </x:c>
      <x:c r="M71" s="60" t="n">
        <x:v>90</x:v>
      </x:c>
      <x:c r="N71" s="60" t="n">
        <x:v>85</x:v>
      </x:c>
      <x:c r="O71" s="60" t="n">
        <x:v>90</x:v>
      </x:c>
      <x:c r="P71" s="60" t="n">
        <x:v>85</x:v>
      </x:c>
      <x:c r="Q71" s="60" t="n">
        <x:v>14</x:v>
      </x:c>
      <x:c r="R71" s="59" t="n">
        <x:v>6</x:v>
      </x:c>
      <x:c r="S71" s="60" t="n">
        <x:v>88.8</x:v>
      </x:c>
      <x:c r="T71" s="60" t="n">
        <x:v>88.7</x:v>
      </x:c>
      <x:c r="U71" s="60" t="n">
        <x:v>88.8</x:v>
      </x:c>
      <x:c r="V71" s="60" t="n">
        <x:v>90</x:v>
      </x:c>
      <x:c r="W71" s="60" t="n">
        <x:v>90.2</x:v>
      </x:c>
      <x:c r="X71" s="60" t="n">
        <x:v>90</x:v>
      </x:c>
      <x:c r="Y71" s="60" t="n">
        <x:v>85.2</x:v>
      </x:c>
      <x:c r="Z71" s="60" t="n">
        <x:v>90.1</x:v>
      </x:c>
      <x:c r="AA71" s="60" t="n">
        <x:v>85</x:v>
      </x:c>
      <x:c r="AB71" s="60" t="n">
        <x:v>14</x:v>
      </x:c>
      <x:c r="AC71" s="60" t="n">
        <x:f>ROUND(((0.30*V71+0.20*W71+0.25*X71+0.15*Y71+0.10*AA71)+(0.30*Z71+0.20*X71+0.20*W71+0.15*AA71+0.15*(100-AB71)))/2,2)</x:f>
        <x:v>88.77</x:v>
      </x:c>
      <x:c r="AD71" s="60" t="n">
        <x:v>90</x:v>
      </x:c>
      <x:c r="AE71" s="60" t="n">
        <x:v>90.1</x:v>
      </x:c>
      <x:c r="AF71" s="60" t="n">
        <x:v>90</x:v>
      </x:c>
      <x:c r="AG71" s="60" t="n">
        <x:v>85.2</x:v>
      </x:c>
      <x:c r="AH71" s="60" t="n">
        <x:v>90.1</x:v>
      </x:c>
      <x:c r="AI71" s="60" t="n">
        <x:v>85</x:v>
      </x:c>
      <x:c r="AJ71" s="60" t="n">
        <x:v>14</x:v>
      </x:c>
      <x:c r="AK71" s="60" t="n">
        <x:f>ROUND(((0.30*AD71+0.20*AE71+0.25*AF71+0.15*AG71+0.10*AI71)+(0.30*AH71+0.20*AF71+0.20*AE71+0.15*AI71+0.15*(100-AJ71)))/2,2)</x:f>
        <x:v>88.75</x:v>
      </x:c>
      <x:c r="AL71" s="60" t="n">
        <x:v>90</x:v>
      </x:c>
      <x:c r="AM71" s="60" t="n">
        <x:v>90.1</x:v>
      </x:c>
      <x:c r="AN71" s="60" t="n">
        <x:v>90</x:v>
      </x:c>
      <x:c r="AO71" s="60" t="n">
        <x:v>85.2</x:v>
      </x:c>
      <x:c r="AP71" s="60" t="n">
        <x:v>90.1</x:v>
      </x:c>
      <x:c r="AQ71" s="60" t="n">
        <x:v>85</x:v>
      </x:c>
      <x:c r="AR71" s="60" t="n">
        <x:v>14</x:v>
      </x:c>
      <x:c r="AS71" s="60" t="n">
        <x:f>ROUND(((0.30*AL71+0.20*AM71+0.25*AN71+0.15*AO71+0.10*AQ71)+(0.30*AP71+0.20*AN71+0.20*AM71+0.15*AQ71+0.15*(100-AR71)))/2,2)</x:f>
        <x:v>88.75</x:v>
      </x:c>
      <x:c r="AT71" s="60" t="n">
        <x:f>ROUND(AVERAGE(V71,AD71,AL71),1)</x:f>
        <x:v>90</x:v>
      </x:c>
      <x:c r="AU71" s="60" t="n">
        <x:f>ROUND(AVERAGE(W71,AE71,AM71),1)</x:f>
        <x:v>90.1</x:v>
      </x:c>
      <x:c r="AV71" s="60" t="n">
        <x:f>ROUND(AVERAGE(X71,AF71,AN71),1)</x:f>
        <x:v>90</x:v>
      </x:c>
      <x:c r="AW71" s="60" t="n">
        <x:f>ROUND(AVERAGE(Y71,AG71,AO71),1)</x:f>
        <x:v>85.2</x:v>
      </x:c>
      <x:c r="AX71" s="60" t="n">
        <x:f>ROUND(AVERAGE(Z71,AH71,AP71),1)</x:f>
        <x:v>90.1</x:v>
      </x:c>
      <x:c r="AY71" s="60" t="n">
        <x:f>ROUND(AVERAGE(AA71,AI71,AQ71),1)</x:f>
        <x:v>85</x:v>
      </x:c>
      <x:c r="AZ71" s="60" t="n">
        <x:f>ROUND(AVERAGE(AB71,AJ71,AR71),1)</x:f>
        <x:v>14</x:v>
      </x:c>
      <x:c r="BA71" s="59" t="n">
        <x:v>6</x:v>
      </x:c>
      <x:c r="BB71" s="60" t="n">
        <x:f>ROUND(0.30*AT71+0.20*AU71+0.25*AV71+0.15*AW71+0.10*AY71,2)</x:f>
        <x:v>88.8</x:v>
      </x:c>
      <x:c r="BC71" s="60" t="n">
        <x:f>ROUND(0.30*AX71+0.20*AV71+0.20*AU71+0.15*AY71+0.15*(100-AZ71),2)</x:f>
        <x:v>88.7</x:v>
      </x:c>
      <x:c r="BD71" s="60" t="n">
        <x:f>ROUND(AVERAGE(BB71,BC71),2)</x:f>
        <x:v>88.75</x:v>
      </x:c>
      <x:c r="BE71" s="60" t="n">
        <x:f>ROUND(BD71-U71,2)</x:f>
        <x:v>-0.05</x:v>
      </x:c>
      <x:c r="BF71" s="60" t="n">
        <x:f>ROUND(STDEV.P(AC71,AK71,AS71),3)</x:f>
        <x:v>0.009</x:v>
      </x:c>
      <x:c r="BG71" s="59" t="str">
        <x:v>Top100</x:v>
      </x:c>
      <x:c r="BH71" s="59" t="str">
        <x:v>Top50三轮复核</x:v>
      </x:c>
      <x:c r="BI71" s="40" t="str">
        <x:v>三轮复核后与原表基本一致</x:v>
      </x:c>
    </x:row>
    <x:row r="72" ht="30" customHeight="1">
      <x:c r="A72" s="59" t="n">
        <x:v>71</x:v>
      </x:c>
      <x:c r="B72" s="59" t="n">
        <x:v>75</x:v>
      </x:c>
      <x:c r="C72" s="59" t="str">
        <x:v>2026-06</x:v>
      </x:c>
      <x:c r="D72" s="59" t="n">
        <x:v>43</x:v>
      </x:c>
      <x:c r="E72" s="59" t="str">
        <x:v>2606.04615</x:v>
      </x:c>
      <x:c r="F72" s="40" t="str">
        <x:v>The Ginzburg-Landau system with general potential: maximum principle and gradient estimates</x:v>
      </x:c>
      <x:c r="G72" s="40" t="str">
        <x:v>Radu Ignat; Luc Nguyen; Valeriy Slastikov; Arghir Zarnescu</x:v>
      </x:c>
      <x:c r="H72" s="40" t="str">
        <x:v>Ginzburg-Landau estimates</x:v>
      </x:c>
      <x:c r="I72" s="59"/>
      <x:c r="J72" s="40" t="str">
        <x:v>https://arxiv.org/abs/2606.04615</x:v>
      </x:c>
      <x:c r="K72" s="60" t="n">
        <x:v>89</x:v>
      </x:c>
      <x:c r="L72" s="60" t="n">
        <x:v>88</x:v>
      </x:c>
      <x:c r="M72" s="60" t="n">
        <x:v>90</x:v>
      </x:c>
      <x:c r="N72" s="60" t="n">
        <x:v>87</x:v>
      </x:c>
      <x:c r="O72" s="60" t="n">
        <x:v>90</x:v>
      </x:c>
      <x:c r="P72" s="60" t="n">
        <x:v>87</x:v>
      </x:c>
      <x:c r="Q72" s="60" t="n">
        <x:v>12</x:v>
      </x:c>
      <x:c r="R72" s="59" t="n">
        <x:v>4</x:v>
      </x:c>
      <x:c r="S72" s="60" t="n">
        <x:v>88.55</x:v>
      </x:c>
      <x:c r="T72" s="60" t="n">
        <x:v>88.85000000000001</x:v>
      </x:c>
      <x:c r="U72" s="60" t="n">
        <x:v>88.7</x:v>
      </x:c>
      <x:c r="V72" s="60" t="n">
        <x:v>89.1</x:v>
      </x:c>
      <x:c r="W72" s="60" t="n">
        <x:v>88</x:v>
      </x:c>
      <x:c r="X72" s="60" t="n">
        <x:v>90.1</x:v>
      </x:c>
      <x:c r="Y72" s="60" t="n">
        <x:v>87</x:v>
      </x:c>
      <x:c r="Z72" s="60" t="n">
        <x:v>90.1</x:v>
      </x:c>
      <x:c r="AA72" s="60" t="n">
        <x:v>87</x:v>
      </x:c>
      <x:c r="AB72" s="60" t="n">
        <x:v>12</x:v>
      </x:c>
      <x:c r="AC72" s="60" t="n">
        <x:f>ROUND(((0.30*V72+0.20*W72+0.25*X72+0.15*Y72+0.10*AA72)+(0.30*Z72+0.20*X72+0.20*W72+0.15*AA72+0.15*(100-AB72)))/2,2)</x:f>
        <x:v>88.75</x:v>
      </x:c>
      <x:c r="AD72" s="60" t="n">
        <x:v>89.1</x:v>
      </x:c>
      <x:c r="AE72" s="60" t="n">
        <x:v>88</x:v>
      </x:c>
      <x:c r="AF72" s="60" t="n">
        <x:v>90.1</x:v>
      </x:c>
      <x:c r="AG72" s="60" t="n">
        <x:v>87.1</x:v>
      </x:c>
      <x:c r="AH72" s="60" t="n">
        <x:v>90.1</x:v>
      </x:c>
      <x:c r="AI72" s="60" t="n">
        <x:v>87</x:v>
      </x:c>
      <x:c r="AJ72" s="60" t="n">
        <x:v>12</x:v>
      </x:c>
      <x:c r="AK72" s="60" t="n">
        <x:f>ROUND(((0.30*AD72+0.20*AE72+0.25*AF72+0.15*AG72+0.10*AI72)+(0.30*AH72+0.20*AF72+0.20*AE72+0.15*AI72+0.15*(100-AJ72)))/2,2)</x:f>
        <x:v>88.76</x:v>
      </x:c>
      <x:c r="AL72" s="60" t="n">
        <x:v>89.1</x:v>
      </x:c>
      <x:c r="AM72" s="60" t="n">
        <x:v>88</x:v>
      </x:c>
      <x:c r="AN72" s="60" t="n">
        <x:v>90.1</x:v>
      </x:c>
      <x:c r="AO72" s="60" t="n">
        <x:v>87</x:v>
      </x:c>
      <x:c r="AP72" s="60" t="n">
        <x:v>90.1</x:v>
      </x:c>
      <x:c r="AQ72" s="60" t="n">
        <x:v>87</x:v>
      </x:c>
      <x:c r="AR72" s="60" t="n">
        <x:v>12</x:v>
      </x:c>
      <x:c r="AS72" s="60" t="n">
        <x:f>ROUND(((0.30*AL72+0.20*AM72+0.25*AN72+0.15*AO72+0.10*AQ72)+(0.30*AP72+0.20*AN72+0.20*AM72+0.15*AQ72+0.15*(100-AR72)))/2,2)</x:f>
        <x:v>88.75</x:v>
      </x:c>
      <x:c r="AT72" s="60" t="n">
        <x:f>ROUND(AVERAGE(V72,AD72,AL72),1)</x:f>
        <x:v>89.1</x:v>
      </x:c>
      <x:c r="AU72" s="60" t="n">
        <x:f>ROUND(AVERAGE(W72,AE72,AM72),1)</x:f>
        <x:v>88</x:v>
      </x:c>
      <x:c r="AV72" s="60" t="n">
        <x:f>ROUND(AVERAGE(X72,AF72,AN72),1)</x:f>
        <x:v>90.1</x:v>
      </x:c>
      <x:c r="AW72" s="60" t="n">
        <x:f>ROUND(AVERAGE(Y72,AG72,AO72),1)</x:f>
        <x:v>87</x:v>
      </x:c>
      <x:c r="AX72" s="60" t="n">
        <x:f>ROUND(AVERAGE(Z72,AH72,AP72),1)</x:f>
        <x:v>90.1</x:v>
      </x:c>
      <x:c r="AY72" s="60" t="n">
        <x:f>ROUND(AVERAGE(AA72,AI72,AQ72),1)</x:f>
        <x:v>87</x:v>
      </x:c>
      <x:c r="AZ72" s="60" t="n">
        <x:f>ROUND(AVERAGE(AB72,AJ72,AR72),1)</x:f>
        <x:v>12</x:v>
      </x:c>
      <x:c r="BA72" s="59" t="n">
        <x:v>4</x:v>
      </x:c>
      <x:c r="BB72" s="60" t="n">
        <x:f>ROUND(0.30*AT72+0.20*AU72+0.25*AV72+0.15*AW72+0.10*AY72,2)</x:f>
        <x:v>88.6</x:v>
      </x:c>
      <x:c r="BC72" s="60" t="n">
        <x:f>ROUND(0.30*AX72+0.20*AV72+0.20*AU72+0.15*AY72+0.15*(100-AZ72),2)</x:f>
        <x:v>88.9</x:v>
      </x:c>
      <x:c r="BD72" s="60" t="n">
        <x:f>ROUND(AVERAGE(BB72,BC72),2)</x:f>
        <x:v>88.75</x:v>
      </x:c>
      <x:c r="BE72" s="60" t="n">
        <x:f>ROUND(BD72-U72,2)</x:f>
        <x:v>0.05</x:v>
      </x:c>
      <x:c r="BF72" s="60" t="n">
        <x:f>ROUND(STDEV.P(AC72,AK72,AS72),3)</x:f>
        <x:v>0.005</x:v>
      </x:c>
      <x:c r="BG72" s="59" t="str">
        <x:v>Top100</x:v>
      </x:c>
      <x:c r="BH72" s="59" t="str">
        <x:v>Top50三轮复核</x:v>
      </x:c>
      <x:c r="BI72" s="40" t="str">
        <x:v>三轮复核后与原表基本一致</x:v>
      </x:c>
    </x:row>
    <x:row r="73" ht="30" customHeight="1">
      <x:c r="A73" s="59" t="n">
        <x:v>72</x:v>
      </x:c>
      <x:c r="B73" s="59" t="n">
        <x:v>70</x:v>
      </x:c>
      <x:c r="C73" s="59" t="str">
        <x:v>2026-05</x:v>
      </x:c>
      <x:c r="D73" s="59" t="n">
        <x:v>30</x:v>
      </x:c>
      <x:c r="E73" s="59" t="str">
        <x:v>2605.05414</x:v>
      </x:c>
      <x:c r="F73" s="40" t="str">
        <x:v>The sigma_k-Yamabe problem revisited</x:v>
      </x:c>
      <x:c r="G73" s="40" t="str">
        <x:v>Yuxin Ge; Guofang Wang; Wei Wei</x:v>
      </x:c>
      <x:c r="H73" s="40" t="str">
        <x:v>Geometric PDE / conformal geometry</x:v>
      </x:c>
      <x:c r="I73" s="59"/>
      <x:c r="J73" s="40" t="str">
        <x:v>https://arxiv.org/abs/2605.05414</x:v>
      </x:c>
      <x:c r="K73" s="60" t="n">
        <x:v>91</x:v>
      </x:c>
      <x:c r="L73" s="60" t="n">
        <x:v>88</x:v>
      </x:c>
      <x:c r="M73" s="60" t="n">
        <x:v>91</x:v>
      </x:c>
      <x:c r="N73" s="60" t="n">
        <x:v>86</x:v>
      </x:c>
      <x:c r="O73" s="60" t="n">
        <x:v>91</x:v>
      </x:c>
      <x:c r="P73" s="60" t="n">
        <x:v>84</x:v>
      </x:c>
      <x:c r="Q73" s="60" t="n">
        <x:v>14</x:v>
      </x:c>
      <x:c r="R73" s="59" t="n">
        <x:v>6</x:v>
      </x:c>
      <x:c r="S73" s="60" t="n">
        <x:v>89</x:v>
      </x:c>
      <x:c r="T73" s="60" t="n">
        <x:v>88.6</x:v>
      </x:c>
      <x:c r="U73" s="60" t="n">
        <x:v>88.8</x:v>
      </x:c>
      <x:c r="V73" s="60" t="n">
        <x:v>90.9</x:v>
      </x:c>
      <x:c r="W73" s="60" t="n">
        <x:v>87.9</x:v>
      </x:c>
      <x:c r="X73" s="60" t="n">
        <x:v>91</x:v>
      </x:c>
      <x:c r="Y73" s="60" t="n">
        <x:v>86</x:v>
      </x:c>
      <x:c r="Z73" s="60" t="n">
        <x:v>91</x:v>
      </x:c>
      <x:c r="AA73" s="60" t="n">
        <x:v>84</x:v>
      </x:c>
      <x:c r="AB73" s="60" t="n">
        <x:v>14</x:v>
      </x:c>
      <x:c r="AC73" s="60" t="n">
        <x:f>ROUND(((0.30*V73+0.20*W73+0.25*X73+0.15*Y73+0.10*AA73)+(0.30*Z73+0.20*X73+0.20*W73+0.15*AA73+0.15*(100-AB73)))/2,2)</x:f>
        <x:v>88.74</x:v>
      </x:c>
      <x:c r="AD73" s="60" t="n">
        <x:v>90.9</x:v>
      </x:c>
      <x:c r="AE73" s="60" t="n">
        <x:v>87.9</x:v>
      </x:c>
      <x:c r="AF73" s="60" t="n">
        <x:v>91</x:v>
      </x:c>
      <x:c r="AG73" s="60" t="n">
        <x:v>86.1</x:v>
      </x:c>
      <x:c r="AH73" s="60" t="n">
        <x:v>91</x:v>
      </x:c>
      <x:c r="AI73" s="60" t="n">
        <x:v>84</x:v>
      </x:c>
      <x:c r="AJ73" s="60" t="n">
        <x:v>14</x:v>
      </x:c>
      <x:c r="AK73" s="60" t="n">
        <x:f>ROUND(((0.30*AD73+0.20*AE73+0.25*AF73+0.15*AG73+0.10*AI73)+(0.30*AH73+0.20*AF73+0.20*AE73+0.15*AI73+0.15*(100-AJ73)))/2,2)</x:f>
        <x:v>88.75</x:v>
      </x:c>
      <x:c r="AL73" s="60" t="n">
        <x:v>90.9</x:v>
      </x:c>
      <x:c r="AM73" s="60" t="n">
        <x:v>87.9</x:v>
      </x:c>
      <x:c r="AN73" s="60" t="n">
        <x:v>91</x:v>
      </x:c>
      <x:c r="AO73" s="60" t="n">
        <x:v>86</x:v>
      </x:c>
      <x:c r="AP73" s="60" t="n">
        <x:v>91</x:v>
      </x:c>
      <x:c r="AQ73" s="60" t="n">
        <x:v>84</x:v>
      </x:c>
      <x:c r="AR73" s="60" t="n">
        <x:v>14</x:v>
      </x:c>
      <x:c r="AS73" s="60" t="n">
        <x:f>ROUND(((0.30*AL73+0.20*AM73+0.25*AN73+0.15*AO73+0.10*AQ73)+(0.30*AP73+0.20*AN73+0.20*AM73+0.15*AQ73+0.15*(100-AR73)))/2,2)</x:f>
        <x:v>88.74</x:v>
      </x:c>
      <x:c r="AT73" s="60" t="n">
        <x:f>ROUND(AVERAGE(V73,AD73,AL73),1)</x:f>
        <x:v>90.9</x:v>
      </x:c>
      <x:c r="AU73" s="60" t="n">
        <x:f>ROUND(AVERAGE(W73,AE73,AM73),1)</x:f>
        <x:v>87.9</x:v>
      </x:c>
      <x:c r="AV73" s="60" t="n">
        <x:f>ROUND(AVERAGE(X73,AF73,AN73),1)</x:f>
        <x:v>91</x:v>
      </x:c>
      <x:c r="AW73" s="60" t="n">
        <x:f>ROUND(AVERAGE(Y73,AG73,AO73),1)</x:f>
        <x:v>86</x:v>
      </x:c>
      <x:c r="AX73" s="60" t="n">
        <x:f>ROUND(AVERAGE(Z73,AH73,AP73),1)</x:f>
        <x:v>91</x:v>
      </x:c>
      <x:c r="AY73" s="60" t="n">
        <x:f>ROUND(AVERAGE(AA73,AI73,AQ73),1)</x:f>
        <x:v>84</x:v>
      </x:c>
      <x:c r="AZ73" s="60" t="n">
        <x:f>ROUND(AVERAGE(AB73,AJ73,AR73),1)</x:f>
        <x:v>14</x:v>
      </x:c>
      <x:c r="BA73" s="59" t="n">
        <x:v>6</x:v>
      </x:c>
      <x:c r="BB73" s="60" t="n">
        <x:f>ROUND(0.30*AT73+0.20*AU73+0.25*AV73+0.15*AW73+0.10*AY73,2)</x:f>
        <x:v>88.9</x:v>
      </x:c>
      <x:c r="BC73" s="60" t="n">
        <x:f>ROUND(0.30*AX73+0.20*AV73+0.20*AU73+0.15*AY73+0.15*(100-AZ73),2)</x:f>
        <x:v>88.58</x:v>
      </x:c>
      <x:c r="BD73" s="60" t="n">
        <x:f>ROUND(AVERAGE(BB73,BC73),2)</x:f>
        <x:v>88.74</x:v>
      </x:c>
      <x:c r="BE73" s="60" t="n">
        <x:f>ROUND(BD73-U73,2)</x:f>
        <x:v>-0.06</x:v>
      </x:c>
      <x:c r="BF73" s="60" t="n">
        <x:f>ROUND(STDEV.P(AC73,AK73,AS73),3)</x:f>
        <x:v>0.005</x:v>
      </x:c>
      <x:c r="BG73" s="59" t="str">
        <x:v>Top100</x:v>
      </x:c>
      <x:c r="BH73" s="59" t="str">
        <x:v>Top50三轮复核</x:v>
      </x:c>
      <x:c r="BI73" s="40" t="str">
        <x:v>三轮复核后与原表基本一致</x:v>
      </x:c>
    </x:row>
    <x:row r="74" ht="30" customHeight="1">
      <x:c r="A74" s="59" t="n">
        <x:v>73</x:v>
      </x:c>
      <x:c r="B74" s="59" t="n">
        <x:v>72</x:v>
      </x:c>
      <x:c r="C74" s="59" t="str">
        <x:v>2026-06</x:v>
      </x:c>
      <x:c r="D74" s="59" t="n">
        <x:v>41</x:v>
      </x:c>
      <x:c r="E74" s="59" t="str">
        <x:v>2606.10897</x:v>
      </x:c>
      <x:c r="F74" s="40" t="str">
        <x:v>A characterisation of infinity-harmonic maps in terms of 1-currents</x:v>
      </x:c>
      <x:c r="G74" s="40" t="str">
        <x:v>Roger Moser</x:v>
      </x:c>
      <x:c r="H74" s="40" t="str">
        <x:v>infinity-harmonic maps</x:v>
      </x:c>
      <x:c r="I74" s="59"/>
      <x:c r="J74" s="40" t="str">
        <x:v>https://arxiv.org/abs/2606.10897</x:v>
      </x:c>
      <x:c r="K74" s="60" t="n">
        <x:v>89</x:v>
      </x:c>
      <x:c r="L74" s="60" t="n">
        <x:v>90</x:v>
      </x:c>
      <x:c r="M74" s="60" t="n">
        <x:v>89</x:v>
      </x:c>
      <x:c r="N74" s="60" t="n">
        <x:v>87</x:v>
      </x:c>
      <x:c r="O74" s="60" t="n">
        <x:v>89</x:v>
      </x:c>
      <x:c r="P74" s="60" t="n">
        <x:v>87</x:v>
      </x:c>
      <x:c r="Q74" s="60" t="n">
        <x:v>12</x:v>
      </x:c>
      <x:c r="R74" s="59" t="n">
        <x:v>4</x:v>
      </x:c>
      <x:c r="S74" s="60" t="n">
        <x:v>88.7</x:v>
      </x:c>
      <x:c r="T74" s="60" t="n">
        <x:v>88.75</x:v>
      </x:c>
      <x:c r="U74" s="60" t="n">
        <x:v>88.725</x:v>
      </x:c>
      <x:c r="V74" s="60" t="n">
        <x:v>89</x:v>
      </x:c>
      <x:c r="W74" s="60" t="n">
        <x:v>90</x:v>
      </x:c>
      <x:c r="X74" s="60" t="n">
        <x:v>89</x:v>
      </x:c>
      <x:c r="Y74" s="60" t="n">
        <x:v>87</x:v>
      </x:c>
      <x:c r="Z74" s="60" t="n">
        <x:v>89</x:v>
      </x:c>
      <x:c r="AA74" s="60" t="n">
        <x:v>87</x:v>
      </x:c>
      <x:c r="AB74" s="60" t="n">
        <x:v>12</x:v>
      </x:c>
      <x:c r="AC74" s="60" t="n">
        <x:f>ROUND(((0.30*V74+0.20*W74+0.25*X74+0.15*Y74+0.10*AA74)+(0.30*Z74+0.20*X74+0.20*W74+0.15*AA74+0.15*(100-AB74)))/2,2)</x:f>
        <x:v>88.73</x:v>
      </x:c>
      <x:c r="AD74" s="60" t="n">
        <x:v>89</x:v>
      </x:c>
      <x:c r="AE74" s="60" t="n">
        <x:v>90</x:v>
      </x:c>
      <x:c r="AF74" s="60" t="n">
        <x:v>89</x:v>
      </x:c>
      <x:c r="AG74" s="60" t="n">
        <x:v>87</x:v>
      </x:c>
      <x:c r="AH74" s="60" t="n">
        <x:v>89</x:v>
      </x:c>
      <x:c r="AI74" s="60" t="n">
        <x:v>87</x:v>
      </x:c>
      <x:c r="AJ74" s="60" t="n">
        <x:v>12</x:v>
      </x:c>
      <x:c r="AK74" s="60" t="n">
        <x:f>ROUND(((0.30*AD74+0.20*AE74+0.25*AF74+0.15*AG74+0.10*AI74)+(0.30*AH74+0.20*AF74+0.20*AE74+0.15*AI74+0.15*(100-AJ74)))/2,2)</x:f>
        <x:v>88.73</x:v>
      </x:c>
      <x:c r="AL74" s="60" t="n">
        <x:v>89</x:v>
      </x:c>
      <x:c r="AM74" s="60" t="n">
        <x:v>90</x:v>
      </x:c>
      <x:c r="AN74" s="60" t="n">
        <x:v>89</x:v>
      </x:c>
      <x:c r="AO74" s="60" t="n">
        <x:v>87</x:v>
      </x:c>
      <x:c r="AP74" s="60" t="n">
        <x:v>89</x:v>
      </x:c>
      <x:c r="AQ74" s="60" t="n">
        <x:v>87</x:v>
      </x:c>
      <x:c r="AR74" s="60" t="n">
        <x:v>12</x:v>
      </x:c>
      <x:c r="AS74" s="60" t="n">
        <x:f>ROUND(((0.30*AL74+0.20*AM74+0.25*AN74+0.15*AO74+0.10*AQ74)+(0.30*AP74+0.20*AN74+0.20*AM74+0.15*AQ74+0.15*(100-AR74)))/2,2)</x:f>
        <x:v>88.73</x:v>
      </x:c>
      <x:c r="AT74" s="60" t="n">
        <x:f>ROUND(AVERAGE(V74,AD74,AL74),1)</x:f>
        <x:v>89</x:v>
      </x:c>
      <x:c r="AU74" s="60" t="n">
        <x:f>ROUND(AVERAGE(W74,AE74,AM74),1)</x:f>
        <x:v>90</x:v>
      </x:c>
      <x:c r="AV74" s="60" t="n">
        <x:f>ROUND(AVERAGE(X74,AF74,AN74),1)</x:f>
        <x:v>89</x:v>
      </x:c>
      <x:c r="AW74" s="60" t="n">
        <x:f>ROUND(AVERAGE(Y74,AG74,AO74),1)</x:f>
        <x:v>87</x:v>
      </x:c>
      <x:c r="AX74" s="60" t="n">
        <x:f>ROUND(AVERAGE(Z74,AH74,AP74),1)</x:f>
        <x:v>89</x:v>
      </x:c>
      <x:c r="AY74" s="60" t="n">
        <x:f>ROUND(AVERAGE(AA74,AI74,AQ74),1)</x:f>
        <x:v>87</x:v>
      </x:c>
      <x:c r="AZ74" s="60" t="n">
        <x:f>ROUND(AVERAGE(AB74,AJ74,AR74),1)</x:f>
        <x:v>12</x:v>
      </x:c>
      <x:c r="BA74" s="59" t="n">
        <x:v>4</x:v>
      </x:c>
      <x:c r="BB74" s="60" t="n">
        <x:f>ROUND(0.30*AT74+0.20*AU74+0.25*AV74+0.15*AW74+0.10*AY74,2)</x:f>
        <x:v>88.7</x:v>
      </x:c>
      <x:c r="BC74" s="60" t="n">
        <x:f>ROUND(0.30*AX74+0.20*AV74+0.20*AU74+0.15*AY74+0.15*(100-AZ74),2)</x:f>
        <x:v>88.75</x:v>
      </x:c>
      <x:c r="BD74" s="60" t="n">
        <x:f>ROUND(AVERAGE(BB74,BC74),2)</x:f>
        <x:v>88.73</x:v>
      </x:c>
      <x:c r="BE74" s="60" t="n">
        <x:f>ROUND(BD74-U74,2)</x:f>
        <x:v>0.01</x:v>
      </x:c>
      <x:c r="BF74" s="60" t="n">
        <x:f>ROUND(STDEV.P(AC74,AK74,AS74),3)</x:f>
        <x:v>0</x:v>
      </x:c>
      <x:c r="BG74" s="59" t="str">
        <x:v>Top100</x:v>
      </x:c>
      <x:c r="BH74" s="59" t="str">
        <x:v>Top50三轮复核</x:v>
      </x:c>
      <x:c r="BI74" s="40" t="str">
        <x:v>三轮复核后与原表基本一致</x:v>
      </x:c>
    </x:row>
    <x:row r="75" ht="30" customHeight="1">
      <x:c r="A75" s="59" t="n">
        <x:v>74</x:v>
      </x:c>
      <x:c r="B75" s="59" t="n">
        <x:v>76</x:v>
      </x:c>
      <x:c r="C75" s="59" t="str">
        <x:v>2026-06</x:v>
      </x:c>
      <x:c r="D75" s="59" t="n">
        <x:v>44</x:v>
      </x:c>
      <x:c r="E75" s="59" t="str">
        <x:v>2606.15612</x:v>
      </x:c>
      <x:c r="F75" s="40" t="str">
        <x:v>Trichotomy dynamics of a free boundary model for biological invasion</x:v>
      </x:c>
      <x:c r="G75" s="40" t="str">
        <x:v>Hongkai Cao; Yihong Du; Wenjie Ni; Xiaoyan Zhang</x:v>
      </x:c>
      <x:c r="H75" s="40" t="str">
        <x:v>free boundary dynamics</x:v>
      </x:c>
      <x:c r="I75" s="59"/>
      <x:c r="J75" s="40" t="str">
        <x:v>https://arxiv.org/abs/2606.15612</x:v>
      </x:c>
      <x:c r="K75" s="60" t="n">
        <x:v>89</x:v>
      </x:c>
      <x:c r="L75" s="60" t="n">
        <x:v>89</x:v>
      </x:c>
      <x:c r="M75" s="60" t="n">
        <x:v>90</x:v>
      </x:c>
      <x:c r="N75" s="60" t="n">
        <x:v>87</x:v>
      </x:c>
      <x:c r="O75" s="60" t="n">
        <x:v>90</x:v>
      </x:c>
      <x:c r="P75" s="60" t="n">
        <x:v>86</x:v>
      </x:c>
      <x:c r="Q75" s="60" t="n">
        <x:v>13</x:v>
      </x:c>
      <x:c r="R75" s="59" t="n">
        <x:v>4</x:v>
      </x:c>
      <x:c r="S75" s="60" t="n">
        <x:v>88.64999999999999</x:v>
      </x:c>
      <x:c r="T75" s="60" t="n">
        <x:v>88.75</x:v>
      </x:c>
      <x:c r="U75" s="60" t="n">
        <x:v>88.69999999999999</x:v>
      </x:c>
      <x:c r="V75" s="60" t="n">
        <x:v>89</x:v>
      </x:c>
      <x:c r="W75" s="60" t="n">
        <x:v>89</x:v>
      </x:c>
      <x:c r="X75" s="60" t="n">
        <x:v>90</x:v>
      </x:c>
      <x:c r="Y75" s="60" t="n">
        <x:v>87</x:v>
      </x:c>
      <x:c r="Z75" s="60" t="n">
        <x:v>90</x:v>
      </x:c>
      <x:c r="AA75" s="60" t="n">
        <x:v>86</x:v>
      </x:c>
      <x:c r="AB75" s="60" t="n">
        <x:v>13</x:v>
      </x:c>
      <x:c r="AC75" s="60" t="n">
        <x:f>ROUND(((0.30*V75+0.20*W75+0.25*X75+0.15*Y75+0.10*AA75)+(0.30*Z75+0.20*X75+0.20*W75+0.15*AA75+0.15*(100-AB75)))/2,2)</x:f>
        <x:v>88.7</x:v>
      </x:c>
      <x:c r="AD75" s="60" t="n">
        <x:v>89</x:v>
      </x:c>
      <x:c r="AE75" s="60" t="n">
        <x:v>89</x:v>
      </x:c>
      <x:c r="AF75" s="60" t="n">
        <x:v>90</x:v>
      </x:c>
      <x:c r="AG75" s="60" t="n">
        <x:v>87.1</x:v>
      </x:c>
      <x:c r="AH75" s="60" t="n">
        <x:v>90</x:v>
      </x:c>
      <x:c r="AI75" s="60" t="n">
        <x:v>86</x:v>
      </x:c>
      <x:c r="AJ75" s="60" t="n">
        <x:v>13</x:v>
      </x:c>
      <x:c r="AK75" s="60" t="n">
        <x:f>ROUND(((0.30*AD75+0.20*AE75+0.25*AF75+0.15*AG75+0.10*AI75)+(0.30*AH75+0.20*AF75+0.20*AE75+0.15*AI75+0.15*(100-AJ75)))/2,2)</x:f>
        <x:v>88.71</x:v>
      </x:c>
      <x:c r="AL75" s="60" t="n">
        <x:v>89</x:v>
      </x:c>
      <x:c r="AM75" s="60" t="n">
        <x:v>89</x:v>
      </x:c>
      <x:c r="AN75" s="60" t="n">
        <x:v>90</x:v>
      </x:c>
      <x:c r="AO75" s="60" t="n">
        <x:v>87</x:v>
      </x:c>
      <x:c r="AP75" s="60" t="n">
        <x:v>90</x:v>
      </x:c>
      <x:c r="AQ75" s="60" t="n">
        <x:v>86</x:v>
      </x:c>
      <x:c r="AR75" s="60" t="n">
        <x:v>13</x:v>
      </x:c>
      <x:c r="AS75" s="60" t="n">
        <x:f>ROUND(((0.30*AL75+0.20*AM75+0.25*AN75+0.15*AO75+0.10*AQ75)+(0.30*AP75+0.20*AN75+0.20*AM75+0.15*AQ75+0.15*(100-AR75)))/2,2)</x:f>
        <x:v>88.7</x:v>
      </x:c>
      <x:c r="AT75" s="60" t="n">
        <x:f>ROUND(AVERAGE(V75,AD75,AL75),1)</x:f>
        <x:v>89</x:v>
      </x:c>
      <x:c r="AU75" s="60" t="n">
        <x:f>ROUND(AVERAGE(W75,AE75,AM75),1)</x:f>
        <x:v>89</x:v>
      </x:c>
      <x:c r="AV75" s="60" t="n">
        <x:f>ROUND(AVERAGE(X75,AF75,AN75),1)</x:f>
        <x:v>90</x:v>
      </x:c>
      <x:c r="AW75" s="60" t="n">
        <x:f>ROUND(AVERAGE(Y75,AG75,AO75),1)</x:f>
        <x:v>87</x:v>
      </x:c>
      <x:c r="AX75" s="60" t="n">
        <x:f>ROUND(AVERAGE(Z75,AH75,AP75),1)</x:f>
        <x:v>90</x:v>
      </x:c>
      <x:c r="AY75" s="60" t="n">
        <x:f>ROUND(AVERAGE(AA75,AI75,AQ75),1)</x:f>
        <x:v>86</x:v>
      </x:c>
      <x:c r="AZ75" s="60" t="n">
        <x:f>ROUND(AVERAGE(AB75,AJ75,AR75),1)</x:f>
        <x:v>13</x:v>
      </x:c>
      <x:c r="BA75" s="59" t="n">
        <x:v>4</x:v>
      </x:c>
      <x:c r="BB75" s="60" t="n">
        <x:f>ROUND(0.30*AT75+0.20*AU75+0.25*AV75+0.15*AW75+0.10*AY75,2)</x:f>
        <x:v>88.65</x:v>
      </x:c>
      <x:c r="BC75" s="60" t="n">
        <x:f>ROUND(0.30*AX75+0.20*AV75+0.20*AU75+0.15*AY75+0.15*(100-AZ75),2)</x:f>
        <x:v>88.75</x:v>
      </x:c>
      <x:c r="BD75" s="60" t="n">
        <x:f>ROUND(AVERAGE(BB75,BC75),2)</x:f>
        <x:v>88.7</x:v>
      </x:c>
      <x:c r="BE75" s="60" t="n">
        <x:f>ROUND(BD75-U75,2)</x:f>
        <x:v>0</x:v>
      </x:c>
      <x:c r="BF75" s="60" t="n">
        <x:f>ROUND(STDEV.P(AC75,AK75,AS75),3)</x:f>
        <x:v>0.005</x:v>
      </x:c>
      <x:c r="BG75" s="59" t="str">
        <x:v>Top100</x:v>
      </x:c>
      <x:c r="BH75" s="59" t="str">
        <x:v>Top50三轮复核</x:v>
      </x:c>
      <x:c r="BI75" s="40" t="str">
        <x:v>三轮复核后与原表基本一致</x:v>
      </x:c>
    </x:row>
    <x:row r="76" ht="30" customHeight="1">
      <x:c r="A76" s="59" t="n">
        <x:v>75</x:v>
      </x:c>
      <x:c r="B76" s="59" t="n">
        <x:v>77</x:v>
      </x:c>
      <x:c r="C76" s="59" t="str">
        <x:v>2026-06</x:v>
      </x:c>
      <x:c r="D76" s="59" t="n">
        <x:v>44</x:v>
      </x:c>
      <x:c r="E76" s="59" t="str">
        <x:v>2606.07468</x:v>
      </x:c>
      <x:c r="F76" s="40" t="str">
        <x:v>Minimizing clusters with prescribed asymptotic geometry</x:v>
      </x:c>
      <x:c r="G76" s="40" t="str">
        <x:v>Robin Neumayer; Michael Novack; Anna Skorobogatova</x:v>
      </x:c>
      <x:c r="H76" s="40" t="str">
        <x:v>geometric variational</x:v>
      </x:c>
      <x:c r="I76" s="59" t="n">
        <x:v>30</x:v>
      </x:c>
      <x:c r="J76" s="40" t="str">
        <x:v>https://arxiv.org/abs/2606.07468</x:v>
      </x:c>
      <x:c r="K76" s="60" t="n">
        <x:v>89</x:v>
      </x:c>
      <x:c r="L76" s="60" t="n">
        <x:v>89</x:v>
      </x:c>
      <x:c r="M76" s="60" t="n">
        <x:v>90</x:v>
      </x:c>
      <x:c r="N76" s="60" t="n">
        <x:v>87</x:v>
      </x:c>
      <x:c r="O76" s="60" t="n">
        <x:v>90</x:v>
      </x:c>
      <x:c r="P76" s="60" t="n">
        <x:v>86</x:v>
      </x:c>
      <x:c r="Q76" s="60" t="n">
        <x:v>13</x:v>
      </x:c>
      <x:c r="R76" s="59" t="n">
        <x:v>4</x:v>
      </x:c>
      <x:c r="S76" s="60" t="n">
        <x:v>88.64999999999999</x:v>
      </x:c>
      <x:c r="T76" s="60" t="n">
        <x:v>88.75</x:v>
      </x:c>
      <x:c r="U76" s="60" t="n">
        <x:v>88.69999999999999</x:v>
      </x:c>
      <x:c r="V76" s="60" t="n">
        <x:v>89</x:v>
      </x:c>
      <x:c r="W76" s="60" t="n">
        <x:v>89</x:v>
      </x:c>
      <x:c r="X76" s="60" t="n">
        <x:v>90</x:v>
      </x:c>
      <x:c r="Y76" s="60" t="n">
        <x:v>87</x:v>
      </x:c>
      <x:c r="Z76" s="60" t="n">
        <x:v>90</x:v>
      </x:c>
      <x:c r="AA76" s="60" t="n">
        <x:v>86</x:v>
      </x:c>
      <x:c r="AB76" s="60" t="n">
        <x:v>13</x:v>
      </x:c>
      <x:c r="AC76" s="60" t="n">
        <x:f>ROUND(((0.30*V76+0.20*W76+0.25*X76+0.15*Y76+0.10*AA76)+(0.30*Z76+0.20*X76+0.20*W76+0.15*AA76+0.15*(100-AB76)))/2,2)</x:f>
        <x:v>88.7</x:v>
      </x:c>
      <x:c r="AD76" s="60" t="n">
        <x:v>89</x:v>
      </x:c>
      <x:c r="AE76" s="60" t="n">
        <x:v>89</x:v>
      </x:c>
      <x:c r="AF76" s="60" t="n">
        <x:v>90</x:v>
      </x:c>
      <x:c r="AG76" s="60" t="n">
        <x:v>87.1</x:v>
      </x:c>
      <x:c r="AH76" s="60" t="n">
        <x:v>90</x:v>
      </x:c>
      <x:c r="AI76" s="60" t="n">
        <x:v>86</x:v>
      </x:c>
      <x:c r="AJ76" s="60" t="n">
        <x:v>13</x:v>
      </x:c>
      <x:c r="AK76" s="60" t="n">
        <x:f>ROUND(((0.30*AD76+0.20*AE76+0.25*AF76+0.15*AG76+0.10*AI76)+(0.30*AH76+0.20*AF76+0.20*AE76+0.15*AI76+0.15*(100-AJ76)))/2,2)</x:f>
        <x:v>88.71</x:v>
      </x:c>
      <x:c r="AL76" s="60" t="n">
        <x:v>89</x:v>
      </x:c>
      <x:c r="AM76" s="60" t="n">
        <x:v>89</x:v>
      </x:c>
      <x:c r="AN76" s="60" t="n">
        <x:v>90</x:v>
      </x:c>
      <x:c r="AO76" s="60" t="n">
        <x:v>87</x:v>
      </x:c>
      <x:c r="AP76" s="60" t="n">
        <x:v>90</x:v>
      </x:c>
      <x:c r="AQ76" s="60" t="n">
        <x:v>86</x:v>
      </x:c>
      <x:c r="AR76" s="60" t="n">
        <x:v>13</x:v>
      </x:c>
      <x:c r="AS76" s="60" t="n">
        <x:f>ROUND(((0.30*AL76+0.20*AM76+0.25*AN76+0.15*AO76+0.10*AQ76)+(0.30*AP76+0.20*AN76+0.20*AM76+0.15*AQ76+0.15*(100-AR76)))/2,2)</x:f>
        <x:v>88.7</x:v>
      </x:c>
      <x:c r="AT76" s="60" t="n">
        <x:f>ROUND(AVERAGE(V76,AD76,AL76),1)</x:f>
        <x:v>89</x:v>
      </x:c>
      <x:c r="AU76" s="60" t="n">
        <x:f>ROUND(AVERAGE(W76,AE76,AM76),1)</x:f>
        <x:v>89</x:v>
      </x:c>
      <x:c r="AV76" s="60" t="n">
        <x:f>ROUND(AVERAGE(X76,AF76,AN76),1)</x:f>
        <x:v>90</x:v>
      </x:c>
      <x:c r="AW76" s="60" t="n">
        <x:f>ROUND(AVERAGE(Y76,AG76,AO76),1)</x:f>
        <x:v>87</x:v>
      </x:c>
      <x:c r="AX76" s="60" t="n">
        <x:f>ROUND(AVERAGE(Z76,AH76,AP76),1)</x:f>
        <x:v>90</x:v>
      </x:c>
      <x:c r="AY76" s="60" t="n">
        <x:f>ROUND(AVERAGE(AA76,AI76,AQ76),1)</x:f>
        <x:v>86</x:v>
      </x:c>
      <x:c r="AZ76" s="60" t="n">
        <x:f>ROUND(AVERAGE(AB76,AJ76,AR76),1)</x:f>
        <x:v>13</x:v>
      </x:c>
      <x:c r="BA76" s="59" t="n">
        <x:v>4</x:v>
      </x:c>
      <x:c r="BB76" s="60" t="n">
        <x:f>ROUND(0.30*AT76+0.20*AU76+0.25*AV76+0.15*AW76+0.10*AY76,2)</x:f>
        <x:v>88.65</x:v>
      </x:c>
      <x:c r="BC76" s="60" t="n">
        <x:f>ROUND(0.30*AX76+0.20*AV76+0.20*AU76+0.15*AY76+0.15*(100-AZ76),2)</x:f>
        <x:v>88.75</x:v>
      </x:c>
      <x:c r="BD76" s="60" t="n">
        <x:f>ROUND(AVERAGE(BB76,BC76),2)</x:f>
        <x:v>88.7</x:v>
      </x:c>
      <x:c r="BE76" s="60" t="n">
        <x:f>ROUND(BD76-U76,2)</x:f>
        <x:v>0</x:v>
      </x:c>
      <x:c r="BF76" s="60" t="n">
        <x:f>ROUND(STDEV.P(AC76,AK76,AS76),3)</x:f>
        <x:v>0.005</x:v>
      </x:c>
      <x:c r="BG76" s="59" t="str">
        <x:v>Top100</x:v>
      </x:c>
      <x:c r="BH76" s="59" t="str">
        <x:v>Top50三轮复核</x:v>
      </x:c>
      <x:c r="BI76" s="40" t="str">
        <x:v>三轮复核后与原表基本一致</x:v>
      </x:c>
    </x:row>
    <x:row r="77" ht="30" customHeight="1">
      <x:c r="A77" s="59" t="n">
        <x:v>76</x:v>
      </x:c>
      <x:c r="B77" s="59" t="n">
        <x:v>73</x:v>
      </x:c>
      <x:c r="C77" s="59" t="str">
        <x:v>2026-06</x:v>
      </x:c>
      <x:c r="D77" s="59" t="n">
        <x:v>42</x:v>
      </x:c>
      <x:c r="E77" s="59" t="str">
        <x:v>2606.15561</x:v>
      </x:c>
      <x:c r="F77" s="40" t="str">
        <x:v>Higher Holder regularity for degenerate fully nonlinear elliptic equations with Hamiltonian terms</x:v>
      </x:c>
      <x:c r="G77" s="40" t="str">
        <x:v>Wentao Huo; Xiaofeng Jin; Lingwei Ma; Zhenqiu Zhang</x:v>
      </x:c>
      <x:c r="H77" s="40" t="str">
        <x:v>elliptic regularity</x:v>
      </x:c>
      <x:c r="I77" s="59" t="n">
        <x:v>17</x:v>
      </x:c>
      <x:c r="J77" s="40" t="str">
        <x:v>https://arxiv.org/abs/2606.15561</x:v>
      </x:c>
      <x:c r="K77" s="60" t="n">
        <x:v>89</x:v>
      </x:c>
      <x:c r="L77" s="60" t="n">
        <x:v>88</x:v>
      </x:c>
      <x:c r="M77" s="60" t="n">
        <x:v>91</x:v>
      </x:c>
      <x:c r="N77" s="60" t="n">
        <x:v>87</x:v>
      </x:c>
      <x:c r="O77" s="60" t="n">
        <x:v>90</x:v>
      </x:c>
      <x:c r="P77" s="60" t="n">
        <x:v>86</x:v>
      </x:c>
      <x:c r="Q77" s="60" t="n">
        <x:v>13</x:v>
      </x:c>
      <x:c r="R77" s="59" t="n">
        <x:v>4</x:v>
      </x:c>
      <x:c r="S77" s="60" t="n">
        <x:v>88.69999999999999</x:v>
      </x:c>
      <x:c r="T77" s="60" t="n">
        <x:v>88.75</x:v>
      </x:c>
      <x:c r="U77" s="60" t="n">
        <x:v>88.725</x:v>
      </x:c>
      <x:c r="V77" s="60" t="n">
        <x:v>89</x:v>
      </x:c>
      <x:c r="W77" s="60" t="n">
        <x:v>88</x:v>
      </x:c>
      <x:c r="X77" s="60" t="n">
        <x:v>90.8</x:v>
      </x:c>
      <x:c r="Y77" s="60" t="n">
        <x:v>87</x:v>
      </x:c>
      <x:c r="Z77" s="60" t="n">
        <x:v>89.9</x:v>
      </x:c>
      <x:c r="AA77" s="60" t="n">
        <x:v>86</x:v>
      </x:c>
      <x:c r="AB77" s="60" t="n">
        <x:v>13</x:v>
      </x:c>
      <x:c r="AC77" s="60" t="n">
        <x:f>ROUND(((0.30*V77+0.20*W77+0.25*X77+0.15*Y77+0.10*AA77)+(0.30*Z77+0.20*X77+0.20*W77+0.15*AA77+0.15*(100-AB77)))/2,2)</x:f>
        <x:v>88.67</x:v>
      </x:c>
      <x:c r="AD77" s="60" t="n">
        <x:v>89</x:v>
      </x:c>
      <x:c r="AE77" s="60" t="n">
        <x:v>88</x:v>
      </x:c>
      <x:c r="AF77" s="60" t="n">
        <x:v>90.9</x:v>
      </x:c>
      <x:c r="AG77" s="60" t="n">
        <x:v>87.1</x:v>
      </x:c>
      <x:c r="AH77" s="60" t="n">
        <x:v>89.9</x:v>
      </x:c>
      <x:c r="AI77" s="60" t="n">
        <x:v>86</x:v>
      </x:c>
      <x:c r="AJ77" s="60" t="n">
        <x:v>13.4</x:v>
      </x:c>
      <x:c r="AK77" s="60" t="n">
        <x:f>ROUND(((0.30*AD77+0.20*AE77+0.25*AF77+0.15*AG77+0.10*AI77)+(0.30*AH77+0.20*AF77+0.20*AE77+0.15*AI77+0.15*(100-AJ77)))/2,2)</x:f>
        <x:v>88.67</x:v>
      </x:c>
      <x:c r="AL77" s="60" t="n">
        <x:v>89</x:v>
      </x:c>
      <x:c r="AM77" s="60" t="n">
        <x:v>88</x:v>
      </x:c>
      <x:c r="AN77" s="60" t="n">
        <x:v>90.8</x:v>
      </x:c>
      <x:c r="AO77" s="60" t="n">
        <x:v>87</x:v>
      </x:c>
      <x:c r="AP77" s="60" t="n">
        <x:v>89.9</x:v>
      </x:c>
      <x:c r="AQ77" s="60" t="n">
        <x:v>86</x:v>
      </x:c>
      <x:c r="AR77" s="60" t="n">
        <x:v>13.5</x:v>
      </x:c>
      <x:c r="AS77" s="60" t="n">
        <x:f>ROUND(((0.30*AL77+0.20*AM77+0.25*AN77+0.15*AO77+0.10*AQ77)+(0.30*AP77+0.20*AN77+0.20*AM77+0.15*AQ77+0.15*(100-AR77)))/2,2)</x:f>
        <x:v>88.63</x:v>
      </x:c>
      <x:c r="AT77" s="60" t="n">
        <x:f>ROUND(AVERAGE(V77,AD77,AL77),1)</x:f>
        <x:v>89</x:v>
      </x:c>
      <x:c r="AU77" s="60" t="n">
        <x:f>ROUND(AVERAGE(W77,AE77,AM77),1)</x:f>
        <x:v>88</x:v>
      </x:c>
      <x:c r="AV77" s="60" t="n">
        <x:f>ROUND(AVERAGE(X77,AF77,AN77),1)</x:f>
        <x:v>90.8</x:v>
      </x:c>
      <x:c r="AW77" s="60" t="n">
        <x:f>ROUND(AVERAGE(Y77,AG77,AO77),1)</x:f>
        <x:v>87</x:v>
      </x:c>
      <x:c r="AX77" s="60" t="n">
        <x:f>ROUND(AVERAGE(Z77,AH77,AP77),1)</x:f>
        <x:v>89.9</x:v>
      </x:c>
      <x:c r="AY77" s="60" t="n">
        <x:f>ROUND(AVERAGE(AA77,AI77,AQ77),1)</x:f>
        <x:v>86</x:v>
      </x:c>
      <x:c r="AZ77" s="60" t="n">
        <x:f>ROUND(AVERAGE(AB77,AJ77,AR77),1)</x:f>
        <x:v>13.3</x:v>
      </x:c>
      <x:c r="BA77" s="59" t="n">
        <x:v>4</x:v>
      </x:c>
      <x:c r="BB77" s="60" t="n">
        <x:f>ROUND(0.30*AT77+0.20*AU77+0.25*AV77+0.15*AW77+0.10*AY77,2)</x:f>
        <x:v>88.65</x:v>
      </x:c>
      <x:c r="BC77" s="60" t="n">
        <x:f>ROUND(0.30*AX77+0.20*AV77+0.20*AU77+0.15*AY77+0.15*(100-AZ77),2)</x:f>
        <x:v>88.64</x:v>
      </x:c>
      <x:c r="BD77" s="60" t="n">
        <x:f>ROUND(AVERAGE(BB77,BC77),2)</x:f>
        <x:v>88.65</x:v>
      </x:c>
      <x:c r="BE77" s="60" t="n">
        <x:f>ROUND(BD77-U77,2)</x:f>
        <x:v>-0.07</x:v>
      </x:c>
      <x:c r="BF77" s="60" t="n">
        <x:f>ROUND(STDEV.P(AC77,AK77,AS77),3)</x:f>
        <x:v>0.019</x:v>
      </x:c>
      <x:c r="BG77" s="59" t="str">
        <x:v>Top100</x:v>
      </x:c>
      <x:c r="BH77" s="59" t="str">
        <x:v>Top50三轮复核</x:v>
      </x:c>
      <x:c r="BI77" s="40" t="str">
        <x:v>短文且非框架性题材，技术残差轻微回调</x:v>
      </x:c>
    </x:row>
    <x:row r="78" ht="30" customHeight="1">
      <x:c r="A78" s="59" t="n">
        <x:v>77</x:v>
      </x:c>
      <x:c r="B78" s="59" t="n">
        <x:v>74</x:v>
      </x:c>
      <x:c r="C78" s="59" t="str">
        <x:v>2026-05</x:v>
      </x:c>
      <x:c r="D78" s="59" t="n">
        <x:v>32</x:v>
      </x:c>
      <x:c r="E78" s="59" t="str">
        <x:v>2605.10814</x:v>
      </x:c>
      <x:c r="F78" s="40" t="str">
        <x:v>Convergence of the Yang-Mills flow on ALE gravitational instantons</x:v>
      </x:c>
      <x:c r="G78" s="40" t="str">
        <x:v>Anuk Dayaprema; Alex Waldron</x:v>
      </x:c>
      <x:c r="H78" s="40" t="str">
        <x:v>Gauge theory / geometric flows</x:v>
      </x:c>
      <x:c r="I78" s="59" t="n">
        <x:v>24</x:v>
      </x:c>
      <x:c r="J78" s="40" t="str">
        <x:v>https://arxiv.org/abs/2605.10814</x:v>
      </x:c>
      <x:c r="K78" s="60" t="n">
        <x:v>90</x:v>
      </x:c>
      <x:c r="L78" s="60" t="n">
        <x:v>89</x:v>
      </x:c>
      <x:c r="M78" s="60" t="n">
        <x:v>90</x:v>
      </x:c>
      <x:c r="N78" s="60" t="n">
        <x:v>86</x:v>
      </x:c>
      <x:c r="O78" s="60" t="n">
        <x:v>90</x:v>
      </x:c>
      <x:c r="P78" s="60" t="n">
        <x:v>85</x:v>
      </x:c>
      <x:c r="Q78" s="60" t="n">
        <x:v>13</x:v>
      </x:c>
      <x:c r="R78" s="59" t="n">
        <x:v>5</x:v>
      </x:c>
      <x:c r="S78" s="60" t="n">
        <x:v>88.7</x:v>
      </x:c>
      <x:c r="T78" s="60" t="n">
        <x:v>88.6</x:v>
      </x:c>
      <x:c r="U78" s="60" t="n">
        <x:v>88.7</x:v>
      </x:c>
      <x:c r="V78" s="60" t="n">
        <x:v>90</x:v>
      </x:c>
      <x:c r="W78" s="60" t="n">
        <x:v>89</x:v>
      </x:c>
      <x:c r="X78" s="60" t="n">
        <x:v>90</x:v>
      </x:c>
      <x:c r="Y78" s="60" t="n">
        <x:v>86</x:v>
      </x:c>
      <x:c r="Z78" s="60" t="n">
        <x:v>90</x:v>
      </x:c>
      <x:c r="AA78" s="60" t="n">
        <x:v>85</x:v>
      </x:c>
      <x:c r="AB78" s="60" t="n">
        <x:v>13</x:v>
      </x:c>
      <x:c r="AC78" s="60" t="n">
        <x:f>ROUND(((0.30*V78+0.20*W78+0.25*X78+0.15*Y78+0.10*AA78)+(0.30*Z78+0.20*X78+0.20*W78+0.15*AA78+0.15*(100-AB78)))/2,2)</x:f>
        <x:v>88.65</x:v>
      </x:c>
      <x:c r="AD78" s="60" t="n">
        <x:v>90</x:v>
      </x:c>
      <x:c r="AE78" s="60" t="n">
        <x:v>89</x:v>
      </x:c>
      <x:c r="AF78" s="60" t="n">
        <x:v>90</x:v>
      </x:c>
      <x:c r="AG78" s="60" t="n">
        <x:v>86.1</x:v>
      </x:c>
      <x:c r="AH78" s="60" t="n">
        <x:v>90</x:v>
      </x:c>
      <x:c r="AI78" s="60" t="n">
        <x:v>85</x:v>
      </x:c>
      <x:c r="AJ78" s="60" t="n">
        <x:v>13.4</x:v>
      </x:c>
      <x:c r="AK78" s="60" t="n">
        <x:f>ROUND(((0.30*AD78+0.20*AE78+0.25*AF78+0.15*AG78+0.10*AI78)+(0.30*AH78+0.20*AF78+0.20*AE78+0.15*AI78+0.15*(100-AJ78)))/2,2)</x:f>
        <x:v>88.63</x:v>
      </x:c>
      <x:c r="AL78" s="60" t="n">
        <x:v>90</x:v>
      </x:c>
      <x:c r="AM78" s="60" t="n">
        <x:v>89</x:v>
      </x:c>
      <x:c r="AN78" s="60" t="n">
        <x:v>90</x:v>
      </x:c>
      <x:c r="AO78" s="60" t="n">
        <x:v>86</x:v>
      </x:c>
      <x:c r="AP78" s="60" t="n">
        <x:v>90</x:v>
      </x:c>
      <x:c r="AQ78" s="60" t="n">
        <x:v>85</x:v>
      </x:c>
      <x:c r="AR78" s="60" t="n">
        <x:v>13</x:v>
      </x:c>
      <x:c r="AS78" s="60" t="n">
        <x:f>ROUND(((0.30*AL78+0.20*AM78+0.25*AN78+0.15*AO78+0.10*AQ78)+(0.30*AP78+0.20*AN78+0.20*AM78+0.15*AQ78+0.15*(100-AR78)))/2,2)</x:f>
        <x:v>88.65</x:v>
      </x:c>
      <x:c r="AT78" s="60" t="n">
        <x:f>ROUND(AVERAGE(V78,AD78,AL78),1)</x:f>
        <x:v>90</x:v>
      </x:c>
      <x:c r="AU78" s="60" t="n">
        <x:f>ROUND(AVERAGE(W78,AE78,AM78),1)</x:f>
        <x:v>89</x:v>
      </x:c>
      <x:c r="AV78" s="60" t="n">
        <x:f>ROUND(AVERAGE(X78,AF78,AN78),1)</x:f>
        <x:v>90</x:v>
      </x:c>
      <x:c r="AW78" s="60" t="n">
        <x:f>ROUND(AVERAGE(Y78,AG78,AO78),1)</x:f>
        <x:v>86</x:v>
      </x:c>
      <x:c r="AX78" s="60" t="n">
        <x:f>ROUND(AVERAGE(Z78,AH78,AP78),1)</x:f>
        <x:v>90</x:v>
      </x:c>
      <x:c r="AY78" s="60" t="n">
        <x:f>ROUND(AVERAGE(AA78,AI78,AQ78),1)</x:f>
        <x:v>85</x:v>
      </x:c>
      <x:c r="AZ78" s="60" t="n">
        <x:f>ROUND(AVERAGE(AB78,AJ78,AR78),1)</x:f>
        <x:v>13.1</x:v>
      </x:c>
      <x:c r="BA78" s="59" t="n">
        <x:v>5</x:v>
      </x:c>
      <x:c r="BB78" s="60" t="n">
        <x:f>ROUND(0.30*AT78+0.20*AU78+0.25*AV78+0.15*AW78+0.10*AY78,2)</x:f>
        <x:v>88.7</x:v>
      </x:c>
      <x:c r="BC78" s="60" t="n">
        <x:f>ROUND(0.30*AX78+0.20*AV78+0.20*AU78+0.15*AY78+0.15*(100-AZ78),2)</x:f>
        <x:v>88.59</x:v>
      </x:c>
      <x:c r="BD78" s="60" t="n">
        <x:f>ROUND(AVERAGE(BB78,BC78),2)</x:f>
        <x:v>88.65</x:v>
      </x:c>
      <x:c r="BE78" s="60" t="n">
        <x:f>ROUND(BD78-U78,2)</x:f>
        <x:v>-0.05</x:v>
      </x:c>
      <x:c r="BF78" s="60" t="n">
        <x:f>ROUND(STDEV.P(AC78,AK78,AS78),3)</x:f>
        <x:v>0.009</x:v>
      </x:c>
      <x:c r="BG78" s="59" t="str">
        <x:v>Top100</x:v>
      </x:c>
      <x:c r="BH78" s="59" t="str">
        <x:v>Top50三轮复核</x:v>
      </x:c>
      <x:c r="BI78" s="40" t="str">
        <x:v>三轮复核后与原表基本一致</x:v>
      </x:c>
    </x:row>
    <x:row r="79" ht="30" customHeight="1">
      <x:c r="A79" s="59" t="n">
        <x:v>78</x:v>
      </x:c>
      <x:c r="B79" s="59" t="n">
        <x:v>79</x:v>
      </x:c>
      <x:c r="C79" s="59" t="str">
        <x:v>2026-06</x:v>
      </x:c>
      <x:c r="D79" s="59" t="n">
        <x:v>46</x:v>
      </x:c>
      <x:c r="E79" s="59" t="str">
        <x:v>2606.15644</x:v>
      </x:c>
      <x:c r="F79" s="40" t="str">
        <x:v>Minimizing and non-minimizing degree one W^{s,1/s}-harmonic maps between spheres</x:v>
      </x:c>
      <x:c r="G79" s="40" t="str">
        <x:v>Dorian Martino; Katarzyna Mazowiecka; Armin Schikorra</x:v>
      </x:c>
      <x:c r="H79" s="40" t="str">
        <x:v>fractional harmonic maps</x:v>
      </x:c>
      <x:c r="I79" s="59"/>
      <x:c r="J79" s="40" t="str">
        <x:v>https://arxiv.org/abs/2606.15644</x:v>
      </x:c>
      <x:c r="K79" s="60" t="n">
        <x:v>88</x:v>
      </x:c>
      <x:c r="L79" s="60" t="n">
        <x:v>89</x:v>
      </x:c>
      <x:c r="M79" s="60" t="n">
        <x:v>90</x:v>
      </x:c>
      <x:c r="N79" s="60" t="n">
        <x:v>87</x:v>
      </x:c>
      <x:c r="O79" s="60" t="n">
        <x:v>89</x:v>
      </x:c>
      <x:c r="P79" s="60" t="n">
        <x:v>87</x:v>
      </x:c>
      <x:c r="Q79" s="60" t="n">
        <x:v>12</x:v>
      </x:c>
      <x:c r="R79" s="59" t="n">
        <x:v>4</x:v>
      </x:c>
      <x:c r="S79" s="60" t="n">
        <x:v>88.45</x:v>
      </x:c>
      <x:c r="T79" s="60" t="n">
        <x:v>88.75</x:v>
      </x:c>
      <x:c r="U79" s="60" t="n">
        <x:v>88.6</x:v>
      </x:c>
      <x:c r="V79" s="60" t="n">
        <x:v>88</x:v>
      </x:c>
      <x:c r="W79" s="60" t="n">
        <x:v>89</x:v>
      </x:c>
      <x:c r="X79" s="60" t="n">
        <x:v>90</x:v>
      </x:c>
      <x:c r="Y79" s="60" t="n">
        <x:v>87</x:v>
      </x:c>
      <x:c r="Z79" s="60" t="n">
        <x:v>89</x:v>
      </x:c>
      <x:c r="AA79" s="60" t="n">
        <x:v>87</x:v>
      </x:c>
      <x:c r="AB79" s="60" t="n">
        <x:v>12</x:v>
      </x:c>
      <x:c r="AC79" s="60" t="n">
        <x:f>ROUND(((0.30*V79+0.20*W79+0.25*X79+0.15*Y79+0.10*AA79)+(0.30*Z79+0.20*X79+0.20*W79+0.15*AA79+0.15*(100-AB79)))/2,2)</x:f>
        <x:v>88.6</x:v>
      </x:c>
      <x:c r="AD79" s="60" t="n">
        <x:v>88</x:v>
      </x:c>
      <x:c r="AE79" s="60" t="n">
        <x:v>89</x:v>
      </x:c>
      <x:c r="AF79" s="60" t="n">
        <x:v>90</x:v>
      </x:c>
      <x:c r="AG79" s="60" t="n">
        <x:v>87</x:v>
      </x:c>
      <x:c r="AH79" s="60" t="n">
        <x:v>89</x:v>
      </x:c>
      <x:c r="AI79" s="60" t="n">
        <x:v>87</x:v>
      </x:c>
      <x:c r="AJ79" s="60" t="n">
        <x:v>12</x:v>
      </x:c>
      <x:c r="AK79" s="60" t="n">
        <x:f>ROUND(((0.30*AD79+0.20*AE79+0.25*AF79+0.15*AG79+0.10*AI79)+(0.30*AH79+0.20*AF79+0.20*AE79+0.15*AI79+0.15*(100-AJ79)))/2,2)</x:f>
        <x:v>88.6</x:v>
      </x:c>
      <x:c r="AL79" s="60" t="n">
        <x:v>88</x:v>
      </x:c>
      <x:c r="AM79" s="60" t="n">
        <x:v>89</x:v>
      </x:c>
      <x:c r="AN79" s="60" t="n">
        <x:v>90</x:v>
      </x:c>
      <x:c r="AO79" s="60" t="n">
        <x:v>87</x:v>
      </x:c>
      <x:c r="AP79" s="60" t="n">
        <x:v>89</x:v>
      </x:c>
      <x:c r="AQ79" s="60" t="n">
        <x:v>87</x:v>
      </x:c>
      <x:c r="AR79" s="60" t="n">
        <x:v>12</x:v>
      </x:c>
      <x:c r="AS79" s="60" t="n">
        <x:f>ROUND(((0.30*AL79+0.20*AM79+0.25*AN79+0.15*AO79+0.10*AQ79)+(0.30*AP79+0.20*AN79+0.20*AM79+0.15*AQ79+0.15*(100-AR79)))/2,2)</x:f>
        <x:v>88.6</x:v>
      </x:c>
      <x:c r="AT79" s="60" t="n">
        <x:f>ROUND(AVERAGE(V79,AD79,AL79),1)</x:f>
        <x:v>88</x:v>
      </x:c>
      <x:c r="AU79" s="60" t="n">
        <x:f>ROUND(AVERAGE(W79,AE79,AM79),1)</x:f>
        <x:v>89</x:v>
      </x:c>
      <x:c r="AV79" s="60" t="n">
        <x:f>ROUND(AVERAGE(X79,AF79,AN79),1)</x:f>
        <x:v>90</x:v>
      </x:c>
      <x:c r="AW79" s="60" t="n">
        <x:f>ROUND(AVERAGE(Y79,AG79,AO79),1)</x:f>
        <x:v>87</x:v>
      </x:c>
      <x:c r="AX79" s="60" t="n">
        <x:f>ROUND(AVERAGE(Z79,AH79,AP79),1)</x:f>
        <x:v>89</x:v>
      </x:c>
      <x:c r="AY79" s="60" t="n">
        <x:f>ROUND(AVERAGE(AA79,AI79,AQ79),1)</x:f>
        <x:v>87</x:v>
      </x:c>
      <x:c r="AZ79" s="60" t="n">
        <x:f>ROUND(AVERAGE(AB79,AJ79,AR79),1)</x:f>
        <x:v>12</x:v>
      </x:c>
      <x:c r="BA79" s="59" t="n">
        <x:v>4</x:v>
      </x:c>
      <x:c r="BB79" s="60" t="n">
        <x:f>ROUND(0.30*AT79+0.20*AU79+0.25*AV79+0.15*AW79+0.10*AY79,2)</x:f>
        <x:v>88.45</x:v>
      </x:c>
      <x:c r="BC79" s="60" t="n">
        <x:f>ROUND(0.30*AX79+0.20*AV79+0.20*AU79+0.15*AY79+0.15*(100-AZ79),2)</x:f>
        <x:v>88.75</x:v>
      </x:c>
      <x:c r="BD79" s="60" t="n">
        <x:f>ROUND(AVERAGE(BB79,BC79),2)</x:f>
        <x:v>88.6</x:v>
      </x:c>
      <x:c r="BE79" s="60" t="n">
        <x:f>ROUND(BD79-U79,2)</x:f>
        <x:v>0</x:v>
      </x:c>
      <x:c r="BF79" s="60" t="n">
        <x:f>ROUND(STDEV.P(AC79,AK79,AS79),3)</x:f>
        <x:v>0</x:v>
      </x:c>
      <x:c r="BG79" s="59" t="str">
        <x:v>Top100</x:v>
      </x:c>
      <x:c r="BH79" s="59" t="str">
        <x:v>Top50三轮复核</x:v>
      </x:c>
      <x:c r="BI79" s="40" t="str">
        <x:v>三轮复核后与原表基本一致</x:v>
      </x:c>
    </x:row>
    <x:row r="80" ht="30" customHeight="1">
      <x:c r="A80" s="59" t="n">
        <x:v>79</x:v>
      </x:c>
      <x:c r="B80" s="59" t="n">
        <x:v>81</x:v>
      </x:c>
      <x:c r="C80" s="59" t="str">
        <x:v>2026-05</x:v>
      </x:c>
      <x:c r="D80" s="59" t="n">
        <x:v>34</x:v>
      </x:c>
      <x:c r="E80" s="59" t="str">
        <x:v>2605.08700</x:v>
      </x:c>
      <x:c r="F80" s="40" t="str">
        <x:v>The Ekeland-Nirenberg Variational Problem: A Sharp Positivity Threshold and Extensions</x:v>
      </x:c>
      <x:c r="G80" s="40" t="str">
        <x:v>Qi Guo; Xueping Huang; Yi Huang</x:v>
      </x:c>
      <x:c r="H80" s="40" t="str">
        <x:v>Geometric variational PDE</x:v>
      </x:c>
      <x:c r="I80" s="59"/>
      <x:c r="J80" s="40" t="str">
        <x:v>https://arxiv.org/abs/2605.08700</x:v>
      </x:c>
      <x:c r="K80" s="60" t="n">
        <x:v>90</x:v>
      </x:c>
      <x:c r="L80" s="60" t="n">
        <x:v>89</x:v>
      </x:c>
      <x:c r="M80" s="60" t="n">
        <x:v>90</x:v>
      </x:c>
      <x:c r="N80" s="60" t="n">
        <x:v>86</x:v>
      </x:c>
      <x:c r="O80" s="60" t="n">
        <x:v>90</x:v>
      </x:c>
      <x:c r="P80" s="60" t="n">
        <x:v>84</x:v>
      </x:c>
      <x:c r="Q80" s="60" t="n">
        <x:v>13</x:v>
      </x:c>
      <x:c r="R80" s="59" t="n">
        <x:v>5</x:v>
      </x:c>
      <x:c r="S80" s="60" t="n">
        <x:v>88.6</x:v>
      </x:c>
      <x:c r="T80" s="60" t="n">
        <x:v>88.4</x:v>
      </x:c>
      <x:c r="U80" s="60" t="n">
        <x:v>88.5</x:v>
      </x:c>
      <x:c r="V80" s="60" t="n">
        <x:v>90</x:v>
      </x:c>
      <x:c r="W80" s="60" t="n">
        <x:v>89.3</x:v>
      </x:c>
      <x:c r="X80" s="60" t="n">
        <x:v>90</x:v>
      </x:c>
      <x:c r="Y80" s="60" t="n">
        <x:v>86.3</x:v>
      </x:c>
      <x:c r="Z80" s="60" t="n">
        <x:v>90.1</x:v>
      </x:c>
      <x:c r="AA80" s="60" t="n">
        <x:v>84</x:v>
      </x:c>
      <x:c r="AB80" s="60" t="n">
        <x:v>13</x:v>
      </x:c>
      <x:c r="AC80" s="60" t="n">
        <x:f>ROUND(((0.30*V80+0.20*W80+0.25*X80+0.15*Y80+0.10*AA80)+(0.30*Z80+0.20*X80+0.20*W80+0.15*AA80+0.15*(100-AB80)))/2,2)</x:f>
        <x:v>88.62</x:v>
      </x:c>
      <x:c r="AD80" s="60" t="n">
        <x:v>90</x:v>
      </x:c>
      <x:c r="AE80" s="60" t="n">
        <x:v>89.2</x:v>
      </x:c>
      <x:c r="AF80" s="60" t="n">
        <x:v>90</x:v>
      </x:c>
      <x:c r="AG80" s="60" t="n">
        <x:v>86.3</x:v>
      </x:c>
      <x:c r="AH80" s="60" t="n">
        <x:v>90.1</x:v>
      </x:c>
      <x:c r="AI80" s="60" t="n">
        <x:v>84</x:v>
      </x:c>
      <x:c r="AJ80" s="60" t="n">
        <x:v>13</x:v>
      </x:c>
      <x:c r="AK80" s="60" t="n">
        <x:f>ROUND(((0.30*AD80+0.20*AE80+0.25*AF80+0.15*AG80+0.10*AI80)+(0.30*AH80+0.20*AF80+0.20*AE80+0.15*AI80+0.15*(100-AJ80)))/2,2)</x:f>
        <x:v>88.6</x:v>
      </x:c>
      <x:c r="AL80" s="60" t="n">
        <x:v>90</x:v>
      </x:c>
      <x:c r="AM80" s="60" t="n">
        <x:v>89.2</x:v>
      </x:c>
      <x:c r="AN80" s="60" t="n">
        <x:v>90</x:v>
      </x:c>
      <x:c r="AO80" s="60" t="n">
        <x:v>86.3</x:v>
      </x:c>
      <x:c r="AP80" s="60" t="n">
        <x:v>90.1</x:v>
      </x:c>
      <x:c r="AQ80" s="60" t="n">
        <x:v>84</x:v>
      </x:c>
      <x:c r="AR80" s="60" t="n">
        <x:v>13</x:v>
      </x:c>
      <x:c r="AS80" s="60" t="n">
        <x:f>ROUND(((0.30*AL80+0.20*AM80+0.25*AN80+0.15*AO80+0.10*AQ80)+(0.30*AP80+0.20*AN80+0.20*AM80+0.15*AQ80+0.15*(100-AR80)))/2,2)</x:f>
        <x:v>88.6</x:v>
      </x:c>
      <x:c r="AT80" s="60" t="n">
        <x:f>ROUND(AVERAGE(V80,AD80,AL80),1)</x:f>
        <x:v>90</x:v>
      </x:c>
      <x:c r="AU80" s="60" t="n">
        <x:f>ROUND(AVERAGE(W80,AE80,AM80),1)</x:f>
        <x:v>89.2</x:v>
      </x:c>
      <x:c r="AV80" s="60" t="n">
        <x:f>ROUND(AVERAGE(X80,AF80,AN80),1)</x:f>
        <x:v>90</x:v>
      </x:c>
      <x:c r="AW80" s="60" t="n">
        <x:f>ROUND(AVERAGE(Y80,AG80,AO80),1)</x:f>
        <x:v>86.3</x:v>
      </x:c>
      <x:c r="AX80" s="60" t="n">
        <x:f>ROUND(AVERAGE(Z80,AH80,AP80),1)</x:f>
        <x:v>90.1</x:v>
      </x:c>
      <x:c r="AY80" s="60" t="n">
        <x:f>ROUND(AVERAGE(AA80,AI80,AQ80),1)</x:f>
        <x:v>84</x:v>
      </x:c>
      <x:c r="AZ80" s="60" t="n">
        <x:f>ROUND(AVERAGE(AB80,AJ80,AR80),1)</x:f>
        <x:v>13</x:v>
      </x:c>
      <x:c r="BA80" s="59" t="n">
        <x:v>5</x:v>
      </x:c>
      <x:c r="BB80" s="60" t="n">
        <x:f>ROUND(0.30*AT80+0.20*AU80+0.25*AV80+0.15*AW80+0.10*AY80,2)</x:f>
        <x:v>88.69</x:v>
      </x:c>
      <x:c r="BC80" s="60" t="n">
        <x:f>ROUND(0.30*AX80+0.20*AV80+0.20*AU80+0.15*AY80+0.15*(100-AZ80),2)</x:f>
        <x:v>88.52</x:v>
      </x:c>
      <x:c r="BD80" s="60" t="n">
        <x:f>ROUND(AVERAGE(BB80,BC80),2)</x:f>
        <x:v>88.6</x:v>
      </x:c>
      <x:c r="BE80" s="60" t="n">
        <x:f>ROUND(BD80-U80,2)</x:f>
        <x:v>0.1</x:v>
      </x:c>
      <x:c r="BF80" s="60" t="n">
        <x:f>ROUND(STDEV.P(AC80,AK80,AS80),3)</x:f>
        <x:v>0.009</x:v>
      </x:c>
      <x:c r="BG80" s="59" t="str">
        <x:v>Top100</x:v>
      </x:c>
      <x:c r="BH80" s="59" t="str">
        <x:v>Top50三轮复核</x:v>
      </x:c>
      <x:c r="BI80" s="40" t="str">
        <x:v>Ekeland--Nirenberg sharp threshold 稳定保留在May Top50。</x:v>
      </x:c>
    </x:row>
    <x:row r="81" ht="30" customHeight="1">
      <x:c r="A81" s="59" t="n">
        <x:v>80</x:v>
      </x:c>
      <x:c r="B81" s="59" t="n">
        <x:v>84</x:v>
      </x:c>
      <x:c r="C81" s="59" t="str">
        <x:v>2026-06</x:v>
      </x:c>
      <x:c r="D81" s="59" t="n">
        <x:v>48</x:v>
      </x:c>
      <x:c r="E81" s="59" t="str">
        <x:v>2606.03716</x:v>
      </x:c>
      <x:c r="F81" s="40" t="str">
        <x:v>Homogenization of compressible Navier-Stokes equations under a hard sphere pressure law</x:v>
      </x:c>
      <x:c r="G81" s="40" t="str">
        <x:v>Nilasis Chaudhuri; Florian Oschmann</x:v>
      </x:c>
      <x:c r="H81" s="40" t="str">
        <x:v>fluid homogenization</x:v>
      </x:c>
      <x:c r="I81" s="59"/>
      <x:c r="J81" s="40" t="str">
        <x:v>https://arxiv.org/abs/2606.03716</x:v>
      </x:c>
      <x:c r="K81" s="60" t="n">
        <x:v>89</x:v>
      </x:c>
      <x:c r="L81" s="60" t="n">
        <x:v>88</x:v>
      </x:c>
      <x:c r="M81" s="60" t="n">
        <x:v>90</x:v>
      </x:c>
      <x:c r="N81" s="60" t="n">
        <x:v>87</x:v>
      </x:c>
      <x:c r="O81" s="60" t="n">
        <x:v>90</x:v>
      </x:c>
      <x:c r="P81" s="60" t="n">
        <x:v>86</x:v>
      </x:c>
      <x:c r="Q81" s="60" t="n">
        <x:v>13</x:v>
      </x:c>
      <x:c r="R81" s="59" t="n">
        <x:v>4</x:v>
      </x:c>
      <x:c r="S81" s="60" t="n">
        <x:v>88.44999999999999</x:v>
      </x:c>
      <x:c r="T81" s="60" t="n">
        <x:v>88.55</x:v>
      </x:c>
      <x:c r="U81" s="60" t="n">
        <x:v>88.5</x:v>
      </x:c>
      <x:c r="V81" s="60" t="n">
        <x:v>89.1</x:v>
      </x:c>
      <x:c r="W81" s="60" t="n">
        <x:v>88.2</x:v>
      </x:c>
      <x:c r="X81" s="60" t="n">
        <x:v>90.1</x:v>
      </x:c>
      <x:c r="Y81" s="60" t="n">
        <x:v>87.2</x:v>
      </x:c>
      <x:c r="Z81" s="60" t="n">
        <x:v>90.2</x:v>
      </x:c>
      <x:c r="AA81" s="60" t="n">
        <x:v>86</x:v>
      </x:c>
      <x:c r="AB81" s="60" t="n">
        <x:v>13</x:v>
      </x:c>
      <x:c r="AC81" s="60" t="n">
        <x:f>ROUND(((0.30*V81+0.20*W81+0.25*X81+0.15*Y81+0.10*AA81)+(0.30*Z81+0.20*X81+0.20*W81+0.15*AA81+0.15*(100-AB81)))/2,2)</x:f>
        <x:v>88.62</x:v>
      </x:c>
      <x:c r="AD81" s="60" t="n">
        <x:v>89.1</x:v>
      </x:c>
      <x:c r="AE81" s="60" t="n">
        <x:v>88.1</x:v>
      </x:c>
      <x:c r="AF81" s="60" t="n">
        <x:v>90.1</x:v>
      </x:c>
      <x:c r="AG81" s="60" t="n">
        <x:v>87.2</x:v>
      </x:c>
      <x:c r="AH81" s="60" t="n">
        <x:v>90.2</x:v>
      </x:c>
      <x:c r="AI81" s="60" t="n">
        <x:v>86</x:v>
      </x:c>
      <x:c r="AJ81" s="60" t="n">
        <x:v>13</x:v>
      </x:c>
      <x:c r="AK81" s="60" t="n">
        <x:f>ROUND(((0.30*AD81+0.20*AE81+0.25*AF81+0.15*AG81+0.10*AI81)+(0.30*AH81+0.20*AF81+0.20*AE81+0.15*AI81+0.15*(100-AJ81)))/2,2)</x:f>
        <x:v>88.6</x:v>
      </x:c>
      <x:c r="AL81" s="60" t="n">
        <x:v>89.1</x:v>
      </x:c>
      <x:c r="AM81" s="60" t="n">
        <x:v>88.1</x:v>
      </x:c>
      <x:c r="AN81" s="60" t="n">
        <x:v>90.1</x:v>
      </x:c>
      <x:c r="AO81" s="60" t="n">
        <x:v>87.2</x:v>
      </x:c>
      <x:c r="AP81" s="60" t="n">
        <x:v>90.2</x:v>
      </x:c>
      <x:c r="AQ81" s="60" t="n">
        <x:v>86</x:v>
      </x:c>
      <x:c r="AR81" s="60" t="n">
        <x:v>13</x:v>
      </x:c>
      <x:c r="AS81" s="60" t="n">
        <x:f>ROUND(((0.30*AL81+0.20*AM81+0.25*AN81+0.15*AO81+0.10*AQ81)+(0.30*AP81+0.20*AN81+0.20*AM81+0.15*AQ81+0.15*(100-AR81)))/2,2)</x:f>
        <x:v>88.6</x:v>
      </x:c>
      <x:c r="AT81" s="60" t="n">
        <x:f>ROUND(AVERAGE(V81,AD81,AL81),1)</x:f>
        <x:v>89.1</x:v>
      </x:c>
      <x:c r="AU81" s="60" t="n">
        <x:f>ROUND(AVERAGE(W81,AE81,AM81),1)</x:f>
        <x:v>88.1</x:v>
      </x:c>
      <x:c r="AV81" s="60" t="n">
        <x:f>ROUND(AVERAGE(X81,AF81,AN81),1)</x:f>
        <x:v>90.1</x:v>
      </x:c>
      <x:c r="AW81" s="60" t="n">
        <x:f>ROUND(AVERAGE(Y81,AG81,AO81),1)</x:f>
        <x:v>87.2</x:v>
      </x:c>
      <x:c r="AX81" s="60" t="n">
        <x:f>ROUND(AVERAGE(Z81,AH81,AP81),1)</x:f>
        <x:v>90.2</x:v>
      </x:c>
      <x:c r="AY81" s="60" t="n">
        <x:f>ROUND(AVERAGE(AA81,AI81,AQ81),1)</x:f>
        <x:v>86</x:v>
      </x:c>
      <x:c r="AZ81" s="60" t="n">
        <x:f>ROUND(AVERAGE(AB81,AJ81,AR81),1)</x:f>
        <x:v>13</x:v>
      </x:c>
      <x:c r="BA81" s="59" t="n">
        <x:v>4</x:v>
      </x:c>
      <x:c r="BB81" s="60" t="n">
        <x:f>ROUND(0.30*AT81+0.20*AU81+0.25*AV81+0.15*AW81+0.10*AY81,2)</x:f>
        <x:v>88.56</x:v>
      </x:c>
      <x:c r="BC81" s="60" t="n">
        <x:f>ROUND(0.30*AX81+0.20*AV81+0.20*AU81+0.15*AY81+0.15*(100-AZ81),2)</x:f>
        <x:v>88.65</x:v>
      </x:c>
      <x:c r="BD81" s="60" t="n">
        <x:f>ROUND(AVERAGE(BB81,BC81),2)</x:f>
        <x:v>88.61</x:v>
      </x:c>
      <x:c r="BE81" s="60" t="n">
        <x:f>ROUND(BD81-U81,2)</x:f>
        <x:v>0.11</x:v>
      </x:c>
      <x:c r="BF81" s="60" t="n">
        <x:f>ROUND(STDEV.P(AC81,AK81,AS81),3)</x:f>
        <x:v>0.009</x:v>
      </x:c>
      <x:c r="BG81" s="59" t="str">
        <x:v>Top100</x:v>
      </x:c>
      <x:c r="BH81" s="59" t="str">
        <x:v>Top50三轮复核</x:v>
      </x:c>
      <x:c r="BI81" s="40" t="str">
        <x:v>三轮复核后与原表基本一致</x:v>
      </x:c>
    </x:row>
    <x:row r="82" ht="30" customHeight="1">
      <x:c r="A82" s="59" t="n">
        <x:v>81</x:v>
      </x:c>
      <x:c r="B82" s="59" t="n">
        <x:v>78</x:v>
      </x:c>
      <x:c r="C82" s="59" t="str">
        <x:v>2026-05</x:v>
      </x:c>
      <x:c r="D82" s="59" t="n">
        <x:v>33</x:v>
      </x:c>
      <x:c r="E82" s="59" t="str">
        <x:v>2605.25327</x:v>
      </x:c>
      <x:c r="F82" s="40" t="str">
        <x:v>Soliton resolution conjecture for the Benjamin-Ono equation: Explicit L-infinity asymptotic error formula</x:v>
      </x:c>
      <x:c r="G82" s="40" t="str">
        <x:v>Hong-Yu Pan; Shou-Fu Tian</x:v>
      </x:c>
      <x:c r="H82" s="40" t="str">
        <x:v>Dispersive PDE / soliton resolution</x:v>
      </x:c>
      <x:c r="I82" s="59" t="n">
        <x:v>26</x:v>
      </x:c>
      <x:c r="J82" s="40" t="str">
        <x:v>https://arxiv.org/abs/2605.25327</x:v>
      </x:c>
      <x:c r="K82" s="60" t="n">
        <x:v>91</x:v>
      </x:c>
      <x:c r="L82" s="60" t="n">
        <x:v>89</x:v>
      </x:c>
      <x:c r="M82" s="60" t="n">
        <x:v>90</x:v>
      </x:c>
      <x:c r="N82" s="60" t="n">
        <x:v>86</x:v>
      </x:c>
      <x:c r="O82" s="60" t="n">
        <x:v>90</x:v>
      </x:c>
      <x:c r="P82" s="60" t="n">
        <x:v>84</x:v>
      </x:c>
      <x:c r="Q82" s="60" t="n">
        <x:v>14</x:v>
      </x:c>
      <x:c r="R82" s="59" t="n">
        <x:v>6</x:v>
      </x:c>
      <x:c r="S82" s="60" t="n">
        <x:v>88.9</x:v>
      </x:c>
      <x:c r="T82" s="60" t="n">
        <x:v>88.3</x:v>
      </x:c>
      <x:c r="U82" s="60" t="n">
        <x:v>88.6</x:v>
      </x:c>
      <x:c r="V82" s="60" t="n">
        <x:v>90.9</x:v>
      </x:c>
      <x:c r="W82" s="60" t="n">
        <x:v>89</x:v>
      </x:c>
      <x:c r="X82" s="60" t="n">
        <x:v>90</x:v>
      </x:c>
      <x:c r="Y82" s="60" t="n">
        <x:v>85.8</x:v>
      </x:c>
      <x:c r="Z82" s="60" t="n">
        <x:v>90</x:v>
      </x:c>
      <x:c r="AA82" s="60" t="n">
        <x:v>84</x:v>
      </x:c>
      <x:c r="AB82" s="60" t="n">
        <x:v>14</x:v>
      </x:c>
      <x:c r="AC82" s="60" t="n">
        <x:f>ROUND(((0.30*V82+0.20*W82+0.25*X82+0.15*Y82+0.10*AA82)+(0.30*Z82+0.20*X82+0.20*W82+0.15*AA82+0.15*(100-AB82)))/2,2)</x:f>
        <x:v>88.57</x:v>
      </x:c>
      <x:c r="AD82" s="60" t="n">
        <x:v>90.9</x:v>
      </x:c>
      <x:c r="AE82" s="60" t="n">
        <x:v>89</x:v>
      </x:c>
      <x:c r="AF82" s="60" t="n">
        <x:v>90</x:v>
      </x:c>
      <x:c r="AG82" s="60" t="n">
        <x:v>85.9</x:v>
      </x:c>
      <x:c r="AH82" s="60" t="n">
        <x:v>90</x:v>
      </x:c>
      <x:c r="AI82" s="60" t="n">
        <x:v>84</x:v>
      </x:c>
      <x:c r="AJ82" s="60" t="n">
        <x:v>14</x:v>
      </x:c>
      <x:c r="AK82" s="60" t="n">
        <x:f>ROUND(((0.30*AD82+0.20*AE82+0.25*AF82+0.15*AG82+0.10*AI82)+(0.30*AH82+0.20*AF82+0.20*AE82+0.15*AI82+0.15*(100-AJ82)))/2,2)</x:f>
        <x:v>88.58</x:v>
      </x:c>
      <x:c r="AL82" s="60" t="n">
        <x:v>90.9</x:v>
      </x:c>
      <x:c r="AM82" s="60" t="n">
        <x:v>89</x:v>
      </x:c>
      <x:c r="AN82" s="60" t="n">
        <x:v>90</x:v>
      </x:c>
      <x:c r="AO82" s="60" t="n">
        <x:v>85.8</x:v>
      </x:c>
      <x:c r="AP82" s="60" t="n">
        <x:v>90</x:v>
      </x:c>
      <x:c r="AQ82" s="60" t="n">
        <x:v>84</x:v>
      </x:c>
      <x:c r="AR82" s="60" t="n">
        <x:v>14</x:v>
      </x:c>
      <x:c r="AS82" s="60" t="n">
        <x:f>ROUND(((0.30*AL82+0.20*AM82+0.25*AN82+0.15*AO82+0.10*AQ82)+(0.30*AP82+0.20*AN82+0.20*AM82+0.15*AQ82+0.15*(100-AR82)))/2,2)</x:f>
        <x:v>88.57</x:v>
      </x:c>
      <x:c r="AT82" s="60" t="n">
        <x:f>ROUND(AVERAGE(V82,AD82,AL82),1)</x:f>
        <x:v>90.9</x:v>
      </x:c>
      <x:c r="AU82" s="60" t="n">
        <x:f>ROUND(AVERAGE(W82,AE82,AM82),1)</x:f>
        <x:v>89</x:v>
      </x:c>
      <x:c r="AV82" s="60" t="n">
        <x:f>ROUND(AVERAGE(X82,AF82,AN82),1)</x:f>
        <x:v>90</x:v>
      </x:c>
      <x:c r="AW82" s="60" t="n">
        <x:f>ROUND(AVERAGE(Y82,AG82,AO82),1)</x:f>
        <x:v>85.8</x:v>
      </x:c>
      <x:c r="AX82" s="60" t="n">
        <x:f>ROUND(AVERAGE(Z82,AH82,AP82),1)</x:f>
        <x:v>90</x:v>
      </x:c>
      <x:c r="AY82" s="60" t="n">
        <x:f>ROUND(AVERAGE(AA82,AI82,AQ82),1)</x:f>
        <x:v>84</x:v>
      </x:c>
      <x:c r="AZ82" s="60" t="n">
        <x:f>ROUND(AVERAGE(AB82,AJ82,AR82),1)</x:f>
        <x:v>14</x:v>
      </x:c>
      <x:c r="BA82" s="59" t="n">
        <x:v>6</x:v>
      </x:c>
      <x:c r="BB82" s="60" t="n">
        <x:f>ROUND(0.30*AT82+0.20*AU82+0.25*AV82+0.15*AW82+0.10*AY82,2)</x:f>
        <x:v>88.84</x:v>
      </x:c>
      <x:c r="BC82" s="60" t="n">
        <x:f>ROUND(0.30*AX82+0.20*AV82+0.20*AU82+0.15*AY82+0.15*(100-AZ82),2)</x:f>
        <x:v>88.3</x:v>
      </x:c>
      <x:c r="BD82" s="60" t="n">
        <x:f>ROUND(AVERAGE(BB82,BC82),2)</x:f>
        <x:v>88.57</x:v>
      </x:c>
      <x:c r="BE82" s="60" t="n">
        <x:f>ROUND(BD82-U82,2)</x:f>
        <x:v>-0.03</x:v>
      </x:c>
      <x:c r="BF82" s="60" t="n">
        <x:f>ROUND(STDEV.P(AC82,AK82,AS82),3)</x:f>
        <x:v>0.005</x:v>
      </x:c>
      <x:c r="BG82" s="59" t="str">
        <x:v>Top100</x:v>
      </x:c>
      <x:c r="BH82" s="59" t="str">
        <x:v>Top50三轮复核</x:v>
      </x:c>
      <x:c r="BI82" s="40" t="str">
        <x:v>范围偏专门，广度轻微回调</x:v>
      </x:c>
    </x:row>
    <x:row r="83" ht="30" customHeight="1">
      <x:c r="A83" s="59" t="n">
        <x:v>82</x:v>
      </x:c>
      <x:c r="B83" s="59" t="n">
        <x:v>85</x:v>
      </x:c>
      <x:c r="C83" s="59" t="str">
        <x:v>2026-06</x:v>
      </x:c>
      <x:c r="D83" s="59" t="n">
        <x:v>50</x:v>
      </x:c>
      <x:c r="E83" s="59" t="str">
        <x:v>2606.09280</x:v>
      </x:c>
      <x:c r="F83" s="40" t="str">
        <x:v>The effect of geometric focusing on dispersive estimates for Schrodinger and wave equations</x:v>
      </x:c>
      <x:c r="G83" s="40" t="str">
        <x:v>Qiuye Jia; Junyong Zhang</x:v>
      </x:c>
      <x:c r="H83" s="40" t="str">
        <x:v>geometric dispersive estimates</x:v>
      </x:c>
      <x:c r="I83" s="59"/>
      <x:c r="J83" s="40" t="str">
        <x:v>https://arxiv.org/abs/2606.09280</x:v>
      </x:c>
      <x:c r="K83" s="60" t="n">
        <x:v>89</x:v>
      </x:c>
      <x:c r="L83" s="60" t="n">
        <x:v>89</x:v>
      </x:c>
      <x:c r="M83" s="60" t="n">
        <x:v>90</x:v>
      </x:c>
      <x:c r="N83" s="60" t="n">
        <x:v>86</x:v>
      </x:c>
      <x:c r="O83" s="60" t="n">
        <x:v>90</x:v>
      </x:c>
      <x:c r="P83" s="60" t="n">
        <x:v>85</x:v>
      </x:c>
      <x:c r="Q83" s="60" t="n">
        <x:v>13</x:v>
      </x:c>
      <x:c r="R83" s="59" t="n">
        <x:v>4</x:v>
      </x:c>
      <x:c r="S83" s="60" t="n">
        <x:v>88.4</x:v>
      </x:c>
      <x:c r="T83" s="60" t="n">
        <x:v>88.6</x:v>
      </x:c>
      <x:c r="U83" s="60" t="n">
        <x:v>88.5</x:v>
      </x:c>
      <x:c r="V83" s="60" t="n">
        <x:v>89.1</x:v>
      </x:c>
      <x:c r="W83" s="60" t="n">
        <x:v>89</x:v>
      </x:c>
      <x:c r="X83" s="60" t="n">
        <x:v>90.1</x:v>
      </x:c>
      <x:c r="Y83" s="60" t="n">
        <x:v>86</x:v>
      </x:c>
      <x:c r="Z83" s="60" t="n">
        <x:v>90.1</x:v>
      </x:c>
      <x:c r="AA83" s="60" t="n">
        <x:v>85</x:v>
      </x:c>
      <x:c r="AB83" s="60" t="n">
        <x:v>13</x:v>
      </x:c>
      <x:c r="AC83" s="60" t="n">
        <x:f>ROUND(((0.30*V83+0.20*W83+0.25*X83+0.15*Y83+0.10*AA83)+(0.30*Z83+0.20*X83+0.20*W83+0.15*AA83+0.15*(100-AB83)))/2,2)</x:f>
        <x:v>88.55</x:v>
      </x:c>
      <x:c r="AD83" s="60" t="n">
        <x:v>89.1</x:v>
      </x:c>
      <x:c r="AE83" s="60" t="n">
        <x:v>89</x:v>
      </x:c>
      <x:c r="AF83" s="60" t="n">
        <x:v>90.1</x:v>
      </x:c>
      <x:c r="AG83" s="60" t="n">
        <x:v>86.1</x:v>
      </x:c>
      <x:c r="AH83" s="60" t="n">
        <x:v>90.1</x:v>
      </x:c>
      <x:c r="AI83" s="60" t="n">
        <x:v>85</x:v>
      </x:c>
      <x:c r="AJ83" s="60" t="n">
        <x:v>13</x:v>
      </x:c>
      <x:c r="AK83" s="60" t="n">
        <x:f>ROUND(((0.30*AD83+0.20*AE83+0.25*AF83+0.15*AG83+0.10*AI83)+(0.30*AH83+0.20*AF83+0.20*AE83+0.15*AI83+0.15*(100-AJ83)))/2,2)</x:f>
        <x:v>88.56</x:v>
      </x:c>
      <x:c r="AL83" s="60" t="n">
        <x:v>89.1</x:v>
      </x:c>
      <x:c r="AM83" s="60" t="n">
        <x:v>89</x:v>
      </x:c>
      <x:c r="AN83" s="60" t="n">
        <x:v>90.1</x:v>
      </x:c>
      <x:c r="AO83" s="60" t="n">
        <x:v>86</x:v>
      </x:c>
      <x:c r="AP83" s="60" t="n">
        <x:v>90.1</x:v>
      </x:c>
      <x:c r="AQ83" s="60" t="n">
        <x:v>85</x:v>
      </x:c>
      <x:c r="AR83" s="60" t="n">
        <x:v>13</x:v>
      </x:c>
      <x:c r="AS83" s="60" t="n">
        <x:f>ROUND(((0.30*AL83+0.20*AM83+0.25*AN83+0.15*AO83+0.10*AQ83)+(0.30*AP83+0.20*AN83+0.20*AM83+0.15*AQ83+0.15*(100-AR83)))/2,2)</x:f>
        <x:v>88.55</x:v>
      </x:c>
      <x:c r="AT83" s="60" t="n">
        <x:f>ROUND(AVERAGE(V83,AD83,AL83),1)</x:f>
        <x:v>89.1</x:v>
      </x:c>
      <x:c r="AU83" s="60" t="n">
        <x:f>ROUND(AVERAGE(W83,AE83,AM83),1)</x:f>
        <x:v>89</x:v>
      </x:c>
      <x:c r="AV83" s="60" t="n">
        <x:f>ROUND(AVERAGE(X83,AF83,AN83),1)</x:f>
        <x:v>90.1</x:v>
      </x:c>
      <x:c r="AW83" s="60" t="n">
        <x:f>ROUND(AVERAGE(Y83,AG83,AO83),1)</x:f>
        <x:v>86</x:v>
      </x:c>
      <x:c r="AX83" s="60" t="n">
        <x:f>ROUND(AVERAGE(Z83,AH83,AP83),1)</x:f>
        <x:v>90.1</x:v>
      </x:c>
      <x:c r="AY83" s="60" t="n">
        <x:f>ROUND(AVERAGE(AA83,AI83,AQ83),1)</x:f>
        <x:v>85</x:v>
      </x:c>
      <x:c r="AZ83" s="60" t="n">
        <x:f>ROUND(AVERAGE(AB83,AJ83,AR83),1)</x:f>
        <x:v>13</x:v>
      </x:c>
      <x:c r="BA83" s="59" t="n">
        <x:v>4</x:v>
      </x:c>
      <x:c r="BB83" s="60" t="n">
        <x:f>ROUND(0.30*AT83+0.20*AU83+0.25*AV83+0.15*AW83+0.10*AY83,2)</x:f>
        <x:v>88.46</x:v>
      </x:c>
      <x:c r="BC83" s="60" t="n">
        <x:f>ROUND(0.30*AX83+0.20*AV83+0.20*AU83+0.15*AY83+0.15*(100-AZ83),2)</x:f>
        <x:v>88.65</x:v>
      </x:c>
      <x:c r="BD83" s="60" t="n">
        <x:f>ROUND(AVERAGE(BB83,BC83),2)</x:f>
        <x:v>88.56</x:v>
      </x:c>
      <x:c r="BE83" s="60" t="n">
        <x:f>ROUND(BD83-U83,2)</x:f>
        <x:v>0.06</x:v>
      </x:c>
      <x:c r="BF83" s="60" t="n">
        <x:f>ROUND(STDEV.P(AC83,AK83,AS83),3)</x:f>
        <x:v>0.005</x:v>
      </x:c>
      <x:c r="BG83" s="59" t="str">
        <x:v>Top100</x:v>
      </x:c>
      <x:c r="BH83" s="59" t="str">
        <x:v>Top50三轮复核</x:v>
      </x:c>
      <x:c r="BI83" s="40" t="str">
        <x:v>三轮复核后与原表基本一致</x:v>
      </x:c>
    </x:row>
    <x:row r="84" ht="30" customHeight="1">
      <x:c r="A84" s="59" t="n">
        <x:v>83</x:v>
      </x:c>
      <x:c r="B84" s="59" t="n">
        <x:v>82</x:v>
      </x:c>
      <x:c r="C84" s="59" t="str">
        <x:v>2026-05</x:v>
      </x:c>
      <x:c r="D84" s="59" t="n">
        <x:v>34</x:v>
      </x:c>
      <x:c r="E84" s="59" t="str">
        <x:v>2605.03734</x:v>
      </x:c>
      <x:c r="F84" s="40" t="str">
        <x:v>The stochastic tamed 3D Navier-Stokes equations in R^3</x:v>
      </x:c>
      <x:c r="G84" s="40" t="str">
        <x:v>Govind Chandra Podder; Gautam Kumar</x:v>
      </x:c>
      <x:c r="H84" s="40" t="str">
        <x:v>Stochastic Navier-Stokes</x:v>
      </x:c>
      <x:c r="I84" s="59" t="n">
        <x:v>109</x:v>
      </x:c>
      <x:c r="J84" s="40" t="str">
        <x:v>https://arxiv.org/abs/2605.03734</x:v>
      </x:c>
      <x:c r="K84" s="60" t="n">
        <x:v>90</x:v>
      </x:c>
      <x:c r="L84" s="60" t="n">
        <x:v>87</x:v>
      </x:c>
      <x:c r="M84" s="60" t="n">
        <x:v>92</x:v>
      </x:c>
      <x:c r="N84" s="60" t="n">
        <x:v>85</x:v>
      </x:c>
      <x:c r="O84" s="60" t="n">
        <x:v>92</x:v>
      </x:c>
      <x:c r="P84" s="60" t="n">
        <x:v>83</x:v>
      </x:c>
      <x:c r="Q84" s="60" t="n">
        <x:v>16</x:v>
      </x:c>
      <x:c r="R84" s="59" t="n">
        <x:v>6</x:v>
      </x:c>
      <x:c r="S84" s="60" t="n">
        <x:v>88.5</x:v>
      </x:c>
      <x:c r="T84" s="60" t="n">
        <x:v>88.5</x:v>
      </x:c>
      <x:c r="U84" s="60" t="n">
        <x:v>88.5</x:v>
      </x:c>
      <x:c r="V84" s="60" t="n">
        <x:v>90.1</x:v>
      </x:c>
      <x:c r="W84" s="60" t="n">
        <x:v>87</x:v>
      </x:c>
      <x:c r="X84" s="60" t="n">
        <x:v>92.3</x:v>
      </x:c>
      <x:c r="Y84" s="60" t="n">
        <x:v>85</x:v>
      </x:c>
      <x:c r="Z84" s="60" t="n">
        <x:v>92.2</x:v>
      </x:c>
      <x:c r="AA84" s="60" t="n">
        <x:v>83</x:v>
      </x:c>
      <x:c r="AB84" s="60" t="n">
        <x:v>16</x:v>
      </x:c>
      <x:c r="AC84" s="60" t="n">
        <x:f>ROUND(((0.30*V84+0.20*W84+0.25*X84+0.15*Y84+0.10*AA84)+(0.30*Z84+0.20*X84+0.20*W84+0.15*AA84+0.15*(100-AB84)))/2,2)</x:f>
        <x:v>88.56</x:v>
      </x:c>
      <x:c r="AD84" s="60" t="n">
        <x:v>90.1</x:v>
      </x:c>
      <x:c r="AE84" s="60" t="n">
        <x:v>87</x:v>
      </x:c>
      <x:c r="AF84" s="60" t="n">
        <x:v>92.2</x:v>
      </x:c>
      <x:c r="AG84" s="60" t="n">
        <x:v>85.1</x:v>
      </x:c>
      <x:c r="AH84" s="60" t="n">
        <x:v>92.1</x:v>
      </x:c>
      <x:c r="AI84" s="60" t="n">
        <x:v>83</x:v>
      </x:c>
      <x:c r="AJ84" s="60" t="n">
        <x:v>16</x:v>
      </x:c>
      <x:c r="AK84" s="60" t="n">
        <x:f>ROUND(((0.30*AD84+0.20*AE84+0.25*AF84+0.15*AG84+0.10*AI84)+(0.30*AH84+0.20*AF84+0.20*AE84+0.15*AI84+0.15*(100-AJ84)))/2,2)</x:f>
        <x:v>88.53</x:v>
      </x:c>
      <x:c r="AL84" s="60" t="n">
        <x:v>90.1</x:v>
      </x:c>
      <x:c r="AM84" s="60" t="n">
        <x:v>87</x:v>
      </x:c>
      <x:c r="AN84" s="60" t="n">
        <x:v>92.2</x:v>
      </x:c>
      <x:c r="AO84" s="60" t="n">
        <x:v>85</x:v>
      </x:c>
      <x:c r="AP84" s="60" t="n">
        <x:v>92.2</x:v>
      </x:c>
      <x:c r="AQ84" s="60" t="n">
        <x:v>83</x:v>
      </x:c>
      <x:c r="AR84" s="60" t="n">
        <x:v>16</x:v>
      </x:c>
      <x:c r="AS84" s="60" t="n">
        <x:f>ROUND(((0.30*AL84+0.20*AM84+0.25*AN84+0.15*AO84+0.10*AQ84)+(0.30*AP84+0.20*AN84+0.20*AM84+0.15*AQ84+0.15*(100-AR84)))/2,2)</x:f>
        <x:v>88.54</x:v>
      </x:c>
      <x:c r="AT84" s="60" t="n">
        <x:f>ROUND(AVERAGE(V84,AD84,AL84),1)</x:f>
        <x:v>90.1</x:v>
      </x:c>
      <x:c r="AU84" s="60" t="n">
        <x:f>ROUND(AVERAGE(W84,AE84,AM84),1)</x:f>
        <x:v>87</x:v>
      </x:c>
      <x:c r="AV84" s="60" t="n">
        <x:f>ROUND(AVERAGE(X84,AF84,AN84),1)</x:f>
        <x:v>92.2</x:v>
      </x:c>
      <x:c r="AW84" s="60" t="n">
        <x:f>ROUND(AVERAGE(Y84,AG84,AO84),1)</x:f>
        <x:v>85</x:v>
      </x:c>
      <x:c r="AX84" s="60" t="n">
        <x:f>ROUND(AVERAGE(Z84,AH84,AP84),1)</x:f>
        <x:v>92.2</x:v>
      </x:c>
      <x:c r="AY84" s="60" t="n">
        <x:f>ROUND(AVERAGE(AA84,AI84,AQ84),1)</x:f>
        <x:v>83</x:v>
      </x:c>
      <x:c r="AZ84" s="60" t="n">
        <x:f>ROUND(AVERAGE(AB84,AJ84,AR84),1)</x:f>
        <x:v>16</x:v>
      </x:c>
      <x:c r="BA84" s="59" t="n">
        <x:v>6</x:v>
      </x:c>
      <x:c r="BB84" s="60" t="n">
        <x:f>ROUND(0.30*AT84+0.20*AU84+0.25*AV84+0.15*AW84+0.10*AY84,2)</x:f>
        <x:v>88.53</x:v>
      </x:c>
      <x:c r="BC84" s="60" t="n">
        <x:f>ROUND(0.30*AX84+0.20*AV84+0.20*AU84+0.15*AY84+0.15*(100-AZ84),2)</x:f>
        <x:v>88.55</x:v>
      </x:c>
      <x:c r="BD84" s="60" t="n">
        <x:f>ROUND(AVERAGE(BB84,BC84),2)</x:f>
        <x:v>88.54</x:v>
      </x:c>
      <x:c r="BE84" s="60" t="n">
        <x:f>ROUND(BD84-U84,2)</x:f>
        <x:v>0.04</x:v>
      </x:c>
      <x:c r="BF84" s="60" t="n">
        <x:f>ROUND(STDEV.P(AC84,AK84,AS84),3)</x:f>
        <x:v>0.012</x:v>
      </x:c>
      <x:c r="BG84" s="59" t="str">
        <x:v>Top100</x:v>
      </x:c>
      <x:c r="BH84" s="59" t="str">
        <x:v>Top50三轮复核</x:v>
      </x:c>
      <x:c r="BI84" s="40" t="str">
        <x:v>三轮复核后与原表基本一致</x:v>
      </x:c>
    </x:row>
    <x:row r="85" ht="30" customHeight="1">
      <x:c r="A85" s="59" t="n">
        <x:v>84</x:v>
      </x:c>
      <x:c r="B85" s="59" t="n">
        <x:v>80</x:v>
      </x:c>
      <x:c r="C85" s="59" t="str">
        <x:v>2026-06</x:v>
      </x:c>
      <x:c r="D85" s="59" t="n">
        <x:v>47</x:v>
      </x:c>
      <x:c r="E85" s="59" t="str">
        <x:v>2606.29382</x:v>
      </x:c>
      <x:c r="F85" s="40" t="str">
        <x:v>The distance between homotopy classes of Sobolev maps on spheres</x:v>
      </x:c>
      <x:c r="G85" s="40" t="str">
        <x:v>Rupert L. Frank; Paata Ivanisvili</x:v>
      </x:c>
      <x:c r="H85" s="40" t="str">
        <x:v>Sobolev maps</x:v>
      </x:c>
      <x:c r="I85" s="59"/>
      <x:c r="J85" s="40" t="str">
        <x:v>https://arxiv.org/abs/2606.29382</x:v>
      </x:c>
      <x:c r="K85" s="60" t="n">
        <x:v>89</x:v>
      </x:c>
      <x:c r="L85" s="60" t="n">
        <x:v>89</x:v>
      </x:c>
      <x:c r="M85" s="60" t="n">
        <x:v>89</x:v>
      </x:c>
      <x:c r="N85" s="60" t="n">
        <x:v>87</x:v>
      </x:c>
      <x:c r="O85" s="60" t="n">
        <x:v>89</x:v>
      </x:c>
      <x:c r="P85" s="60" t="n">
        <x:v>87</x:v>
      </x:c>
      <x:c r="Q85" s="60" t="n">
        <x:v>12</x:v>
      </x:c>
      <x:c r="R85" s="59" t="n">
        <x:v>4</x:v>
      </x:c>
      <x:c r="S85" s="60" t="n">
        <x:v>88.5</x:v>
      </x:c>
      <x:c r="T85" s="60" t="n">
        <x:v>88.55</x:v>
      </x:c>
      <x:c r="U85" s="60" t="n">
        <x:v>88.525</x:v>
      </x:c>
      <x:c r="V85" s="60" t="n">
        <x:v>89</x:v>
      </x:c>
      <x:c r="W85" s="60" t="n">
        <x:v>89</x:v>
      </x:c>
      <x:c r="X85" s="60" t="n">
        <x:v>89</x:v>
      </x:c>
      <x:c r="Y85" s="60" t="n">
        <x:v>87</x:v>
      </x:c>
      <x:c r="Z85" s="60" t="n">
        <x:v>89</x:v>
      </x:c>
      <x:c r="AA85" s="60" t="n">
        <x:v>87</x:v>
      </x:c>
      <x:c r="AB85" s="60" t="n">
        <x:v>12</x:v>
      </x:c>
      <x:c r="AC85" s="60" t="n">
        <x:f>ROUND(((0.30*V85+0.20*W85+0.25*X85+0.15*Y85+0.10*AA85)+(0.30*Z85+0.20*X85+0.20*W85+0.15*AA85+0.15*(100-AB85)))/2,2)</x:f>
        <x:v>88.53</x:v>
      </x:c>
      <x:c r="AD85" s="60" t="n">
        <x:v>89</x:v>
      </x:c>
      <x:c r="AE85" s="60" t="n">
        <x:v>89</x:v>
      </x:c>
      <x:c r="AF85" s="60" t="n">
        <x:v>89</x:v>
      </x:c>
      <x:c r="AG85" s="60" t="n">
        <x:v>87</x:v>
      </x:c>
      <x:c r="AH85" s="60" t="n">
        <x:v>89</x:v>
      </x:c>
      <x:c r="AI85" s="60" t="n">
        <x:v>87</x:v>
      </x:c>
      <x:c r="AJ85" s="60" t="n">
        <x:v>12</x:v>
      </x:c>
      <x:c r="AK85" s="60" t="n">
        <x:f>ROUND(((0.30*AD85+0.20*AE85+0.25*AF85+0.15*AG85+0.10*AI85)+(0.30*AH85+0.20*AF85+0.20*AE85+0.15*AI85+0.15*(100-AJ85)))/2,2)</x:f>
        <x:v>88.53</x:v>
      </x:c>
      <x:c r="AL85" s="60" t="n">
        <x:v>89</x:v>
      </x:c>
      <x:c r="AM85" s="60" t="n">
        <x:v>89</x:v>
      </x:c>
      <x:c r="AN85" s="60" t="n">
        <x:v>89</x:v>
      </x:c>
      <x:c r="AO85" s="60" t="n">
        <x:v>87</x:v>
      </x:c>
      <x:c r="AP85" s="60" t="n">
        <x:v>89</x:v>
      </x:c>
      <x:c r="AQ85" s="60" t="n">
        <x:v>87</x:v>
      </x:c>
      <x:c r="AR85" s="60" t="n">
        <x:v>12</x:v>
      </x:c>
      <x:c r="AS85" s="60" t="n">
        <x:f>ROUND(((0.30*AL85+0.20*AM85+0.25*AN85+0.15*AO85+0.10*AQ85)+(0.30*AP85+0.20*AN85+0.20*AM85+0.15*AQ85+0.15*(100-AR85)))/2,2)</x:f>
        <x:v>88.53</x:v>
      </x:c>
      <x:c r="AT85" s="60" t="n">
        <x:f>ROUND(AVERAGE(V85,AD85,AL85),1)</x:f>
        <x:v>89</x:v>
      </x:c>
      <x:c r="AU85" s="60" t="n">
        <x:f>ROUND(AVERAGE(W85,AE85,AM85),1)</x:f>
        <x:v>89</x:v>
      </x:c>
      <x:c r="AV85" s="60" t="n">
        <x:f>ROUND(AVERAGE(X85,AF85,AN85),1)</x:f>
        <x:v>89</x:v>
      </x:c>
      <x:c r="AW85" s="60" t="n">
        <x:f>ROUND(AVERAGE(Y85,AG85,AO85),1)</x:f>
        <x:v>87</x:v>
      </x:c>
      <x:c r="AX85" s="60" t="n">
        <x:f>ROUND(AVERAGE(Z85,AH85,AP85),1)</x:f>
        <x:v>89</x:v>
      </x:c>
      <x:c r="AY85" s="60" t="n">
        <x:f>ROUND(AVERAGE(AA85,AI85,AQ85),1)</x:f>
        <x:v>87</x:v>
      </x:c>
      <x:c r="AZ85" s="60" t="n">
        <x:f>ROUND(AVERAGE(AB85,AJ85,AR85),1)</x:f>
        <x:v>12</x:v>
      </x:c>
      <x:c r="BA85" s="59" t="n">
        <x:v>4</x:v>
      </x:c>
      <x:c r="BB85" s="60" t="n">
        <x:f>ROUND(0.30*AT85+0.20*AU85+0.25*AV85+0.15*AW85+0.10*AY85,2)</x:f>
        <x:v>88.5</x:v>
      </x:c>
      <x:c r="BC85" s="60" t="n">
        <x:f>ROUND(0.30*AX85+0.20*AV85+0.20*AU85+0.15*AY85+0.15*(100-AZ85),2)</x:f>
        <x:v>88.55</x:v>
      </x:c>
      <x:c r="BD85" s="60" t="n">
        <x:f>ROUND(AVERAGE(BB85,BC85),2)</x:f>
        <x:v>88.53</x:v>
      </x:c>
      <x:c r="BE85" s="60" t="n">
        <x:f>ROUND(BD85-U85,2)</x:f>
        <x:v>0</x:v>
      </x:c>
      <x:c r="BF85" s="60" t="n">
        <x:f>ROUND(STDEV.P(AC85,AK85,AS85),3)</x:f>
        <x:v>0</x:v>
      </x:c>
      <x:c r="BG85" s="59" t="str">
        <x:v>Top100</x:v>
      </x:c>
      <x:c r="BH85" s="59" t="str">
        <x:v>Top50三轮复核</x:v>
      </x:c>
      <x:c r="BI85" s="40" t="str">
        <x:v>三轮复核后与原表基本一致</x:v>
      </x:c>
    </x:row>
    <x:row r="86" ht="30" customHeight="1">
      <x:c r="A86" s="59" t="n">
        <x:v>85</x:v>
      </x:c>
      <x:c r="B86" s="59" t="n">
        <x:v>83</x:v>
      </x:c>
      <x:c r="C86" s="59" t="str">
        <x:v>2026-06</x:v>
      </x:c>
      <x:c r="D86" s="59" t="n">
        <x:v>48</x:v>
      </x:c>
      <x:c r="E86" s="59" t="str">
        <x:v>2606.12825</x:v>
      </x:c>
      <x:c r="F86" s="40" t="str">
        <x:v>Optimal minimax formula for bounds on ensemble averages of statistically stationary three-dimensional Navier-Stokes flows</x:v>
      </x:c>
      <x:c r="G86" s="40" t="str">
        <x:v>Anne Bronzi; Cecilia F. Mondaini; Ricardo M. S. Rosa</x:v>
      </x:c>
      <x:c r="H86" s="40" t="str">
        <x:v>Navier-Stokes/statistical solutions</x:v>
      </x:c>
      <x:c r="I86" s="59"/>
      <x:c r="J86" s="40" t="str">
        <x:v>https://arxiv.org/abs/2606.12825</x:v>
      </x:c>
      <x:c r="K86" s="60" t="n">
        <x:v>89</x:v>
      </x:c>
      <x:c r="L86" s="60" t="n">
        <x:v>88</x:v>
      </x:c>
      <x:c r="M86" s="60" t="n">
        <x:v>90</x:v>
      </x:c>
      <x:c r="N86" s="60" t="n">
        <x:v>87</x:v>
      </x:c>
      <x:c r="O86" s="60" t="n">
        <x:v>90</x:v>
      </x:c>
      <x:c r="P86" s="60" t="n">
        <x:v>86</x:v>
      </x:c>
      <x:c r="Q86" s="60" t="n">
        <x:v>13</x:v>
      </x:c>
      <x:c r="R86" s="59" t="n">
        <x:v>4</x:v>
      </x:c>
      <x:c r="S86" s="60" t="n">
        <x:v>88.44999999999999</x:v>
      </x:c>
      <x:c r="T86" s="60" t="n">
        <x:v>88.55</x:v>
      </x:c>
      <x:c r="U86" s="60" t="n">
        <x:v>88.5</x:v>
      </x:c>
      <x:c r="V86" s="60" t="n">
        <x:v>89</x:v>
      </x:c>
      <x:c r="W86" s="60" t="n">
        <x:v>88</x:v>
      </x:c>
      <x:c r="X86" s="60" t="n">
        <x:v>90.1</x:v>
      </x:c>
      <x:c r="Y86" s="60" t="n">
        <x:v>86.8</x:v>
      </x:c>
      <x:c r="Z86" s="60" t="n">
        <x:v>90.1</x:v>
      </x:c>
      <x:c r="AA86" s="60" t="n">
        <x:v>86</x:v>
      </x:c>
      <x:c r="AB86" s="60" t="n">
        <x:v>13</x:v>
      </x:c>
      <x:c r="AC86" s="60" t="n">
        <x:f>ROUND(((0.30*V86+0.20*W86+0.25*X86+0.15*Y86+0.10*AA86)+(0.30*Z86+0.20*X86+0.20*W86+0.15*AA86+0.15*(100-AB86)))/2,2)</x:f>
        <x:v>88.52</x:v>
      </x:c>
      <x:c r="AD86" s="60" t="n">
        <x:v>89</x:v>
      </x:c>
      <x:c r="AE86" s="60" t="n">
        <x:v>88</x:v>
      </x:c>
      <x:c r="AF86" s="60" t="n">
        <x:v>90.1</x:v>
      </x:c>
      <x:c r="AG86" s="60" t="n">
        <x:v>86.9</x:v>
      </x:c>
      <x:c r="AH86" s="60" t="n">
        <x:v>90.1</x:v>
      </x:c>
      <x:c r="AI86" s="60" t="n">
        <x:v>86</x:v>
      </x:c>
      <x:c r="AJ86" s="60" t="n">
        <x:v>13</x:v>
      </x:c>
      <x:c r="AK86" s="60" t="n">
        <x:f>ROUND(((0.30*AD86+0.20*AE86+0.25*AF86+0.15*AG86+0.10*AI86)+(0.30*AH86+0.20*AF86+0.20*AE86+0.15*AI86+0.15*(100-AJ86)))/2,2)</x:f>
        <x:v>88.53</x:v>
      </x:c>
      <x:c r="AL86" s="60" t="n">
        <x:v>89</x:v>
      </x:c>
      <x:c r="AM86" s="60" t="n">
        <x:v>88</x:v>
      </x:c>
      <x:c r="AN86" s="60" t="n">
        <x:v>90.1</x:v>
      </x:c>
      <x:c r="AO86" s="60" t="n">
        <x:v>86.8</x:v>
      </x:c>
      <x:c r="AP86" s="60" t="n">
        <x:v>90.1</x:v>
      </x:c>
      <x:c r="AQ86" s="60" t="n">
        <x:v>86</x:v>
      </x:c>
      <x:c r="AR86" s="60" t="n">
        <x:v>13</x:v>
      </x:c>
      <x:c r="AS86" s="60" t="n">
        <x:f>ROUND(((0.30*AL86+0.20*AM86+0.25*AN86+0.15*AO86+0.10*AQ86)+(0.30*AP86+0.20*AN86+0.20*AM86+0.15*AQ86+0.15*(100-AR86)))/2,2)</x:f>
        <x:v>88.52</x:v>
      </x:c>
      <x:c r="AT86" s="60" t="n">
        <x:f>ROUND(AVERAGE(V86,AD86,AL86),1)</x:f>
        <x:v>89</x:v>
      </x:c>
      <x:c r="AU86" s="60" t="n">
        <x:f>ROUND(AVERAGE(W86,AE86,AM86),1)</x:f>
        <x:v>88</x:v>
      </x:c>
      <x:c r="AV86" s="60" t="n">
        <x:f>ROUND(AVERAGE(X86,AF86,AN86),1)</x:f>
        <x:v>90.1</x:v>
      </x:c>
      <x:c r="AW86" s="60" t="n">
        <x:f>ROUND(AVERAGE(Y86,AG86,AO86),1)</x:f>
        <x:v>86.8</x:v>
      </x:c>
      <x:c r="AX86" s="60" t="n">
        <x:f>ROUND(AVERAGE(Z86,AH86,AP86),1)</x:f>
        <x:v>90.1</x:v>
      </x:c>
      <x:c r="AY86" s="60" t="n">
        <x:f>ROUND(AVERAGE(AA86,AI86,AQ86),1)</x:f>
        <x:v>86</x:v>
      </x:c>
      <x:c r="AZ86" s="60" t="n">
        <x:f>ROUND(AVERAGE(AB86,AJ86,AR86),1)</x:f>
        <x:v>13</x:v>
      </x:c>
      <x:c r="BA86" s="59" t="n">
        <x:v>4</x:v>
      </x:c>
      <x:c r="BB86" s="60" t="n">
        <x:f>ROUND(0.30*AT86+0.20*AU86+0.25*AV86+0.15*AW86+0.10*AY86,2)</x:f>
        <x:v>88.44</x:v>
      </x:c>
      <x:c r="BC86" s="60" t="n">
        <x:f>ROUND(0.30*AX86+0.20*AV86+0.20*AU86+0.15*AY86+0.15*(100-AZ86),2)</x:f>
        <x:v>88.6</x:v>
      </x:c>
      <x:c r="BD86" s="60" t="n">
        <x:f>ROUND(AVERAGE(BB86,BC86),2)</x:f>
        <x:v>88.52</x:v>
      </x:c>
      <x:c r="BE86" s="60" t="n">
        <x:f>ROUND(BD86-U86,2)</x:f>
        <x:v>0.02</x:v>
      </x:c>
      <x:c r="BF86" s="60" t="n">
        <x:f>ROUND(STDEV.P(AC86,AK86,AS86),3)</x:f>
        <x:v>0.005</x:v>
      </x:c>
      <x:c r="BG86" s="59" t="str">
        <x:v>Top100</x:v>
      </x:c>
      <x:c r="BH86" s="59" t="str">
        <x:v>Top50三轮复核</x:v>
      </x:c>
      <x:c r="BI86" s="40" t="str">
        <x:v>范围偏专门，广度轻微回调</x:v>
      </x:c>
    </x:row>
    <x:row r="87" ht="30" customHeight="1">
      <x:c r="A87" s="59" t="n">
        <x:v>86</x:v>
      </x:c>
      <x:c r="B87" s="59" t="n">
        <x:v>86</x:v>
      </x:c>
      <x:c r="C87" s="59" t="str">
        <x:v>2026-05</x:v>
      </x:c>
      <x:c r="D87" s="59" t="n">
        <x:v>36</x:v>
      </x:c>
      <x:c r="E87" s="59" t="str">
        <x:v>2605.00407</x:v>
      </x:c>
      <x:c r="F87" s="40" t="str">
        <x:v>Gradient blowup of smooth vacuum solutions to 1D compressible Euler equations</x:v>
      </x:c>
      <x:c r="G87" s="40" t="str">
        <x:v>Juhi Jang; Jiaqi Liu; Nader Masmoudi</x:v>
      </x:c>
      <x:c r="H87" s="40" t="str">
        <x:v>Compressible Euler / blow-up</x:v>
      </x:c>
      <x:c r="I87" s="59"/>
      <x:c r="J87" s="40" t="str">
        <x:v>https://arxiv.org/abs/2605.00407</x:v>
      </x:c>
      <x:c r="K87" s="60" t="n">
        <x:v>90</x:v>
      </x:c>
      <x:c r="L87" s="60" t="n">
        <x:v>88</x:v>
      </x:c>
      <x:c r="M87" s="60" t="n">
        <x:v>90</x:v>
      </x:c>
      <x:c r="N87" s="60" t="n">
        <x:v>85</x:v>
      </x:c>
      <x:c r="O87" s="60" t="n">
        <x:v>90</x:v>
      </x:c>
      <x:c r="P87" s="60" t="n">
        <x:v>85</x:v>
      </x:c>
      <x:c r="Q87" s="60" t="n">
        <x:v>14</x:v>
      </x:c>
      <x:c r="R87" s="59" t="n">
        <x:v>6</x:v>
      </x:c>
      <x:c r="S87" s="60" t="n">
        <x:v>88.4</x:v>
      </x:c>
      <x:c r="T87" s="60" t="n">
        <x:v>88.3</x:v>
      </x:c>
      <x:c r="U87" s="60" t="n">
        <x:v>88.4</x:v>
      </x:c>
      <x:c r="V87" s="60" t="n">
        <x:v>90.1</x:v>
      </x:c>
      <x:c r="W87" s="60" t="n">
        <x:v>88</x:v>
      </x:c>
      <x:c r="X87" s="60" t="n">
        <x:v>90.1</x:v>
      </x:c>
      <x:c r="Y87" s="60" t="n">
        <x:v>85</x:v>
      </x:c>
      <x:c r="Z87" s="60" t="n">
        <x:v>90.1</x:v>
      </x:c>
      <x:c r="AA87" s="60" t="n">
        <x:v>85</x:v>
      </x:c>
      <x:c r="AB87" s="60" t="n">
        <x:v>14</x:v>
      </x:c>
      <x:c r="AC87" s="60" t="n">
        <x:f>ROUND(((0.30*V87+0.20*W87+0.25*X87+0.15*Y87+0.10*AA87)+(0.30*Z87+0.20*X87+0.20*W87+0.15*AA87+0.15*(100-AB87)))/2,2)</x:f>
        <x:v>88.35</x:v>
      </x:c>
      <x:c r="AD87" s="60" t="n">
        <x:v>90.1</x:v>
      </x:c>
      <x:c r="AE87" s="60" t="n">
        <x:v>88</x:v>
      </x:c>
      <x:c r="AF87" s="60" t="n">
        <x:v>90.1</x:v>
      </x:c>
      <x:c r="AG87" s="60" t="n">
        <x:v>85.1</x:v>
      </x:c>
      <x:c r="AH87" s="60" t="n">
        <x:v>90.1</x:v>
      </x:c>
      <x:c r="AI87" s="60" t="n">
        <x:v>85</x:v>
      </x:c>
      <x:c r="AJ87" s="60" t="n">
        <x:v>14</x:v>
      </x:c>
      <x:c r="AK87" s="60" t="n">
        <x:f>ROUND(((0.30*AD87+0.20*AE87+0.25*AF87+0.15*AG87+0.10*AI87)+(0.30*AH87+0.20*AF87+0.20*AE87+0.15*AI87+0.15*(100-AJ87)))/2,2)</x:f>
        <x:v>88.36</x:v>
      </x:c>
      <x:c r="AL87" s="60" t="n">
        <x:v>90.1</x:v>
      </x:c>
      <x:c r="AM87" s="60" t="n">
        <x:v>88</x:v>
      </x:c>
      <x:c r="AN87" s="60" t="n">
        <x:v>90.1</x:v>
      </x:c>
      <x:c r="AO87" s="60" t="n">
        <x:v>85</x:v>
      </x:c>
      <x:c r="AP87" s="60" t="n">
        <x:v>90.1</x:v>
      </x:c>
      <x:c r="AQ87" s="60" t="n">
        <x:v>85</x:v>
      </x:c>
      <x:c r="AR87" s="60" t="n">
        <x:v>14</x:v>
      </x:c>
      <x:c r="AS87" s="60" t="n">
        <x:f>ROUND(((0.30*AL87+0.20*AM87+0.25*AN87+0.15*AO87+0.10*AQ87)+(0.30*AP87+0.20*AN87+0.20*AM87+0.15*AQ87+0.15*(100-AR87)))/2,2)</x:f>
        <x:v>88.35</x:v>
      </x:c>
      <x:c r="AT87" s="60" t="n">
        <x:f>ROUND(AVERAGE(V87,AD87,AL87),1)</x:f>
        <x:v>90.1</x:v>
      </x:c>
      <x:c r="AU87" s="60" t="n">
        <x:f>ROUND(AVERAGE(W87,AE87,AM87),1)</x:f>
        <x:v>88</x:v>
      </x:c>
      <x:c r="AV87" s="60" t="n">
        <x:f>ROUND(AVERAGE(X87,AF87,AN87),1)</x:f>
        <x:v>90.1</x:v>
      </x:c>
      <x:c r="AW87" s="60" t="n">
        <x:f>ROUND(AVERAGE(Y87,AG87,AO87),1)</x:f>
        <x:v>85</x:v>
      </x:c>
      <x:c r="AX87" s="60" t="n">
        <x:f>ROUND(AVERAGE(Z87,AH87,AP87),1)</x:f>
        <x:v>90.1</x:v>
      </x:c>
      <x:c r="AY87" s="60" t="n">
        <x:f>ROUND(AVERAGE(AA87,AI87,AQ87),1)</x:f>
        <x:v>85</x:v>
      </x:c>
      <x:c r="AZ87" s="60" t="n">
        <x:f>ROUND(AVERAGE(AB87,AJ87,AR87),1)</x:f>
        <x:v>14</x:v>
      </x:c>
      <x:c r="BA87" s="59" t="n">
        <x:v>6</x:v>
      </x:c>
      <x:c r="BB87" s="60" t="n">
        <x:f>ROUND(0.30*AT87+0.20*AU87+0.25*AV87+0.15*AW87+0.10*AY87,2)</x:f>
        <x:v>88.41</x:v>
      </x:c>
      <x:c r="BC87" s="60" t="n">
        <x:f>ROUND(0.30*AX87+0.20*AV87+0.20*AU87+0.15*AY87+0.15*(100-AZ87),2)</x:f>
        <x:v>88.3</x:v>
      </x:c>
      <x:c r="BD87" s="60" t="n">
        <x:f>ROUND(AVERAGE(BB87,BC87),2)</x:f>
        <x:v>88.35</x:v>
      </x:c>
      <x:c r="BE87" s="60" t="n">
        <x:f>ROUND(BD87-U87,2)</x:f>
        <x:v>-0.05</x:v>
      </x:c>
      <x:c r="BF87" s="60" t="n">
        <x:f>ROUND(STDEV.P(AC87,AK87,AS87),3)</x:f>
        <x:v>0.005</x:v>
      </x:c>
      <x:c r="BG87" s="59" t="str">
        <x:v>Top100</x:v>
      </x:c>
      <x:c r="BH87" s="59" t="str">
        <x:v>Top50三轮复核</x:v>
      </x:c>
      <x:c r="BI87" s="40" t="str">
        <x:v>三轮复核后与原表基本一致</x:v>
      </x:c>
    </x:row>
    <x:row r="88" ht="30" customHeight="1">
      <x:c r="A88" s="59" t="n">
        <x:v>87</x:v>
      </x:c>
      <x:c r="B88" s="59" t="n">
        <x:v>87</x:v>
      </x:c>
      <x:c r="C88" s="59" t="str">
        <x:v>2026-05</x:v>
      </x:c>
      <x:c r="D88" s="59" t="n">
        <x:v>37</x:v>
      </x:c>
      <x:c r="E88" s="59" t="str">
        <x:v>2605.21193</x:v>
      </x:c>
      <x:c r="F88" s="40" t="str">
        <x:v>Sharp Gaussian Isoperimetry along a Ricci Flow</x:v>
      </x:c>
      <x:c r="G88" s="40" t="str">
        <x:v>Robert Koirala</x:v>
      </x:c>
      <x:c r="H88" s="40" t="str">
        <x:v>Ricci flow / functional inequalities</x:v>
      </x:c>
      <x:c r="I88" s="59" t="n">
        <x:v>25</x:v>
      </x:c>
      <x:c r="J88" s="40" t="str">
        <x:v>https://arxiv.org/abs/2605.21193</x:v>
      </x:c>
      <x:c r="K88" s="60" t="n">
        <x:v>89</x:v>
      </x:c>
      <x:c r="L88" s="60" t="n">
        <x:v>89</x:v>
      </x:c>
      <x:c r="M88" s="60" t="n">
        <x:v>89</x:v>
      </x:c>
      <x:c r="N88" s="60" t="n">
        <x:v>86</x:v>
      </x:c>
      <x:c r="O88" s="60" t="n">
        <x:v>89</x:v>
      </x:c>
      <x:c r="P88" s="60" t="n">
        <x:v>84</x:v>
      </x:c>
      <x:c r="Q88" s="60" t="n">
        <x:v>12</x:v>
      </x:c>
      <x:c r="R88" s="59" t="n">
        <x:v>5</x:v>
      </x:c>
      <x:c r="S88" s="60" t="n">
        <x:v>88.1</x:v>
      </x:c>
      <x:c r="T88" s="60" t="n">
        <x:v>88.1</x:v>
      </x:c>
      <x:c r="U88" s="60" t="n">
        <x:v>88.1</x:v>
      </x:c>
      <x:c r="V88" s="60" t="n">
        <x:v>89</x:v>
      </x:c>
      <x:c r="W88" s="60" t="n">
        <x:v>89.2</x:v>
      </x:c>
      <x:c r="X88" s="60" t="n">
        <x:v>89</x:v>
      </x:c>
      <x:c r="Y88" s="60" t="n">
        <x:v>86.2</x:v>
      </x:c>
      <x:c r="Z88" s="60" t="n">
        <x:v>89.1</x:v>
      </x:c>
      <x:c r="AA88" s="60" t="n">
        <x:v>84</x:v>
      </x:c>
      <x:c r="AB88" s="60" t="n">
        <x:v>12</x:v>
      </x:c>
      <x:c r="AC88" s="60" t="n">
        <x:f>ROUND(((0.30*V88+0.20*W88+0.25*X88+0.15*Y88+0.10*AA88)+(0.30*Z88+0.20*X88+0.20*W88+0.15*AA88+0.15*(100-AB88)))/2,2)</x:f>
        <x:v>88.15</x:v>
      </x:c>
      <x:c r="AD88" s="60" t="n">
        <x:v>89</x:v>
      </x:c>
      <x:c r="AE88" s="60" t="n">
        <x:v>89.1</x:v>
      </x:c>
      <x:c r="AF88" s="60" t="n">
        <x:v>89</x:v>
      </x:c>
      <x:c r="AG88" s="60" t="n">
        <x:v>86.2</x:v>
      </x:c>
      <x:c r="AH88" s="60" t="n">
        <x:v>89.1</x:v>
      </x:c>
      <x:c r="AI88" s="60" t="n">
        <x:v>84</x:v>
      </x:c>
      <x:c r="AJ88" s="60" t="n">
        <x:v>12.4</x:v>
      </x:c>
      <x:c r="AK88" s="60" t="n">
        <x:f>ROUND(((0.30*AD88+0.20*AE88+0.25*AF88+0.15*AG88+0.10*AI88)+(0.30*AH88+0.20*AF88+0.20*AE88+0.15*AI88+0.15*(100-AJ88)))/2,2)</x:f>
        <x:v>88.1</x:v>
      </x:c>
      <x:c r="AL88" s="60" t="n">
        <x:v>89</x:v>
      </x:c>
      <x:c r="AM88" s="60" t="n">
        <x:v>89.1</x:v>
      </x:c>
      <x:c r="AN88" s="60" t="n">
        <x:v>89</x:v>
      </x:c>
      <x:c r="AO88" s="60" t="n">
        <x:v>86.2</x:v>
      </x:c>
      <x:c r="AP88" s="60" t="n">
        <x:v>89.1</x:v>
      </x:c>
      <x:c r="AQ88" s="60" t="n">
        <x:v>84</x:v>
      </x:c>
      <x:c r="AR88" s="60" t="n">
        <x:v>12</x:v>
      </x:c>
      <x:c r="AS88" s="60" t="n">
        <x:f>ROUND(((0.30*AL88+0.20*AM88+0.25*AN88+0.15*AO88+0.10*AQ88)+(0.30*AP88+0.20*AN88+0.20*AM88+0.15*AQ88+0.15*(100-AR88)))/2,2)</x:f>
        <x:v>88.13</x:v>
      </x:c>
      <x:c r="AT88" s="60" t="n">
        <x:f>ROUND(AVERAGE(V88,AD88,AL88),1)</x:f>
        <x:v>89</x:v>
      </x:c>
      <x:c r="AU88" s="60" t="n">
        <x:f>ROUND(AVERAGE(W88,AE88,AM88),1)</x:f>
        <x:v>89.1</x:v>
      </x:c>
      <x:c r="AV88" s="60" t="n">
        <x:f>ROUND(AVERAGE(X88,AF88,AN88),1)</x:f>
        <x:v>89</x:v>
      </x:c>
      <x:c r="AW88" s="60" t="n">
        <x:f>ROUND(AVERAGE(Y88,AG88,AO88),1)</x:f>
        <x:v>86.2</x:v>
      </x:c>
      <x:c r="AX88" s="60" t="n">
        <x:f>ROUND(AVERAGE(Z88,AH88,AP88),1)</x:f>
        <x:v>89.1</x:v>
      </x:c>
      <x:c r="AY88" s="60" t="n">
        <x:f>ROUND(AVERAGE(AA88,AI88,AQ88),1)</x:f>
        <x:v>84</x:v>
      </x:c>
      <x:c r="AZ88" s="60" t="n">
        <x:f>ROUND(AVERAGE(AB88,AJ88,AR88),1)</x:f>
        <x:v>12.1</x:v>
      </x:c>
      <x:c r="BA88" s="59" t="n">
        <x:v>5</x:v>
      </x:c>
      <x:c r="BB88" s="60" t="n">
        <x:f>ROUND(0.30*AT88+0.20*AU88+0.25*AV88+0.15*AW88+0.10*AY88,2)</x:f>
        <x:v>88.1</x:v>
      </x:c>
      <x:c r="BC88" s="60" t="n">
        <x:f>ROUND(0.30*AX88+0.20*AV88+0.20*AU88+0.15*AY88+0.15*(100-AZ88),2)</x:f>
        <x:v>88.14</x:v>
      </x:c>
      <x:c r="BD88" s="60" t="n">
        <x:f>ROUND(AVERAGE(BB88,BC88),2)</x:f>
        <x:v>88.12</x:v>
      </x:c>
      <x:c r="BE88" s="60" t="n">
        <x:f>ROUND(BD88-U88,2)</x:f>
        <x:v>0.02</x:v>
      </x:c>
      <x:c r="BF88" s="60" t="n">
        <x:f>ROUND(STDEV.P(AC88,AK88,AS88),3)</x:f>
        <x:v>0.021</x:v>
      </x:c>
      <x:c r="BG88" s="59" t="str">
        <x:v>Top100</x:v>
      </x:c>
      <x:c r="BH88" s="59" t="str">
        <x:v>Top50三轮复核</x:v>
      </x:c>
      <x:c r="BI88" s="40" t="str">
        <x:v>三轮复核后与原表基本一致</x:v>
      </x:c>
    </x:row>
    <x:row r="89" ht="30" customHeight="1">
      <x:c r="A89" s="59" t="n">
        <x:v>88</x:v>
      </x:c>
      <x:c r="B89" s="59" t="n">
        <x:v>90</x:v>
      </x:c>
      <x:c r="C89" s="59" t="str">
        <x:v>2026-05</x:v>
      </x:c>
      <x:c r="D89" s="59" t="n">
        <x:v>38</x:v>
      </x:c>
      <x:c r="E89" s="59" t="str">
        <x:v>2605.01547</x:v>
      </x:c>
      <x:c r="F89" s="40" t="str">
        <x:v>Rigidity for the Polya-Szego inequality under circular rearrangement</x:v>
      </x:c>
      <x:c r="G89" s="40" t="str">
        <x:v>F. Cagnetti; G. Domazakis; M. Perugini; F. Seuffert</x:v>
      </x:c>
      <x:c r="H89" s="40" t="str">
        <x:v>Rearrangement / rigidity</x:v>
      </x:c>
      <x:c r="I89" s="59"/>
      <x:c r="J89" s="40" t="str">
        <x:v>https://arxiv.org/abs/2605.01547</x:v>
      </x:c>
      <x:c r="K89" s="60" t="n">
        <x:v>89</x:v>
      </x:c>
      <x:c r="L89" s="60" t="n">
        <x:v>88</x:v>
      </x:c>
      <x:c r="M89" s="60" t="n">
        <x:v>89</x:v>
      </x:c>
      <x:c r="N89" s="60" t="n">
        <x:v>85</x:v>
      </x:c>
      <x:c r="O89" s="60" t="n">
        <x:v>89</x:v>
      </x:c>
      <x:c r="P89" s="60" t="n">
        <x:v>86</x:v>
      </x:c>
      <x:c r="Q89" s="60" t="n">
        <x:v>14</x:v>
      </x:c>
      <x:c r="R89" s="59" t="n">
        <x:v>6</x:v>
      </x:c>
      <x:c r="S89" s="60" t="n">
        <x:v>87.9</x:v>
      </x:c>
      <x:c r="T89" s="60" t="n">
        <x:v>87.9</x:v>
      </x:c>
      <x:c r="U89" s="60" t="n">
        <x:v>87.9</x:v>
      </x:c>
      <x:c r="V89" s="60" t="n">
        <x:v>89</x:v>
      </x:c>
      <x:c r="W89" s="60" t="n">
        <x:v>88.2</x:v>
      </x:c>
      <x:c r="X89" s="60" t="n">
        <x:v>89</x:v>
      </x:c>
      <x:c r="Y89" s="60" t="n">
        <x:v>85.2</x:v>
      </x:c>
      <x:c r="Z89" s="60" t="n">
        <x:v>89.1</x:v>
      </x:c>
      <x:c r="AA89" s="60" t="n">
        <x:v>86</x:v>
      </x:c>
      <x:c r="AB89" s="60" t="n">
        <x:v>14</x:v>
      </x:c>
      <x:c r="AC89" s="60" t="n">
        <x:f>ROUND(((0.30*V89+0.20*W89+0.25*X89+0.15*Y89+0.10*AA89)+(0.30*Z89+0.20*X89+0.20*W89+0.15*AA89+0.15*(100-AB89)))/2,2)</x:f>
        <x:v>87.97</x:v>
      </x:c>
      <x:c r="AD89" s="60" t="n">
        <x:v>89</x:v>
      </x:c>
      <x:c r="AE89" s="60" t="n">
        <x:v>88.1</x:v>
      </x:c>
      <x:c r="AF89" s="60" t="n">
        <x:v>89</x:v>
      </x:c>
      <x:c r="AG89" s="60" t="n">
        <x:v>85.2</x:v>
      </x:c>
      <x:c r="AH89" s="60" t="n">
        <x:v>89.1</x:v>
      </x:c>
      <x:c r="AI89" s="60" t="n">
        <x:v>86</x:v>
      </x:c>
      <x:c r="AJ89" s="60" t="n">
        <x:v>14</x:v>
      </x:c>
      <x:c r="AK89" s="60" t="n">
        <x:f>ROUND(((0.30*AD89+0.20*AE89+0.25*AF89+0.15*AG89+0.10*AI89)+(0.30*AH89+0.20*AF89+0.20*AE89+0.15*AI89+0.15*(100-AJ89)))/2,2)</x:f>
        <x:v>87.95</x:v>
      </x:c>
      <x:c r="AL89" s="60" t="n">
        <x:v>89</x:v>
      </x:c>
      <x:c r="AM89" s="60" t="n">
        <x:v>88.1</x:v>
      </x:c>
      <x:c r="AN89" s="60" t="n">
        <x:v>89</x:v>
      </x:c>
      <x:c r="AO89" s="60" t="n">
        <x:v>85.2</x:v>
      </x:c>
      <x:c r="AP89" s="60" t="n">
        <x:v>89.1</x:v>
      </x:c>
      <x:c r="AQ89" s="60" t="n">
        <x:v>86</x:v>
      </x:c>
      <x:c r="AR89" s="60" t="n">
        <x:v>14</x:v>
      </x:c>
      <x:c r="AS89" s="60" t="n">
        <x:f>ROUND(((0.30*AL89+0.20*AM89+0.25*AN89+0.15*AO89+0.10*AQ89)+(0.30*AP89+0.20*AN89+0.20*AM89+0.15*AQ89+0.15*(100-AR89)))/2,2)</x:f>
        <x:v>87.95</x:v>
      </x:c>
      <x:c r="AT89" s="60" t="n">
        <x:f>ROUND(AVERAGE(V89,AD89,AL89),1)</x:f>
        <x:v>89</x:v>
      </x:c>
      <x:c r="AU89" s="60" t="n">
        <x:f>ROUND(AVERAGE(W89,AE89,AM89),1)</x:f>
        <x:v>88.1</x:v>
      </x:c>
      <x:c r="AV89" s="60" t="n">
        <x:f>ROUND(AVERAGE(X89,AF89,AN89),1)</x:f>
        <x:v>89</x:v>
      </x:c>
      <x:c r="AW89" s="60" t="n">
        <x:f>ROUND(AVERAGE(Y89,AG89,AO89),1)</x:f>
        <x:v>85.2</x:v>
      </x:c>
      <x:c r="AX89" s="60" t="n">
        <x:f>ROUND(AVERAGE(Z89,AH89,AP89),1)</x:f>
        <x:v>89.1</x:v>
      </x:c>
      <x:c r="AY89" s="60" t="n">
        <x:f>ROUND(AVERAGE(AA89,AI89,AQ89),1)</x:f>
        <x:v>86</x:v>
      </x:c>
      <x:c r="AZ89" s="60" t="n">
        <x:f>ROUND(AVERAGE(AB89,AJ89,AR89),1)</x:f>
        <x:v>14</x:v>
      </x:c>
      <x:c r="BA89" s="59" t="n">
        <x:v>6</x:v>
      </x:c>
      <x:c r="BB89" s="60" t="n">
        <x:f>ROUND(0.30*AT89+0.20*AU89+0.25*AV89+0.15*AW89+0.10*AY89,2)</x:f>
        <x:v>87.95</x:v>
      </x:c>
      <x:c r="BC89" s="60" t="n">
        <x:f>ROUND(0.30*AX89+0.20*AV89+0.20*AU89+0.15*AY89+0.15*(100-AZ89),2)</x:f>
        <x:v>87.95</x:v>
      </x:c>
      <x:c r="BD89" s="60" t="n">
        <x:f>ROUND(AVERAGE(BB89,BC89),2)</x:f>
        <x:v>87.95</x:v>
      </x:c>
      <x:c r="BE89" s="60" t="n">
        <x:f>ROUND(BD89-U89,2)</x:f>
        <x:v>0.05</x:v>
      </x:c>
      <x:c r="BF89" s="60" t="n">
        <x:f>ROUND(STDEV.P(AC89,AK89,AS89),3)</x:f>
        <x:v>0.009</x:v>
      </x:c>
      <x:c r="BG89" s="59" t="str">
        <x:v>Top100</x:v>
      </x:c>
      <x:c r="BH89" s="59" t="str">
        <x:v>Top50三轮复核</x:v>
      </x:c>
      <x:c r="BI89" s="40" t="str">
        <x:v>三轮复核后与原表基本一致</x:v>
      </x:c>
    </x:row>
    <x:row r="90" ht="30" customHeight="1">
      <x:c r="A90" s="59" t="n">
        <x:v>89</x:v>
      </x:c>
      <x:c r="B90" s="59" t="n">
        <x:v>88</x:v>
      </x:c>
      <x:c r="C90" s="59" t="str">
        <x:v>2026-05</x:v>
      </x:c>
      <x:c r="D90" s="59" t="n">
        <x:v>38</x:v>
      </x:c>
      <x:c r="E90" s="59" t="str">
        <x:v>2605.28979</x:v>
      </x:c>
      <x:c r="F90" s="40" t="str">
        <x:v>Singular mean-field limits for fluctuations around equilibrium</x:v>
      </x:c>
      <x:c r="G90" s="40" t="str">
        <x:v>Mitia Duerinckx; Pierre-Emmanuel Jabin</x:v>
      </x:c>
      <x:c r="H90" s="40" t="str">
        <x:v>Mean-field fluctuations</x:v>
      </x:c>
      <x:c r="I90" s="59" t="n">
        <x:v>14</x:v>
      </x:c>
      <x:c r="J90" s="40" t="str">
        <x:v>https://arxiv.org/abs/2605.28979</x:v>
      </x:c>
      <x:c r="K90" s="60" t="n">
        <x:v>88</x:v>
      </x:c>
      <x:c r="L90" s="60" t="n">
        <x:v>89</x:v>
      </x:c>
      <x:c r="M90" s="60" t="n">
        <x:v>88</x:v>
      </x:c>
      <x:c r="N90" s="60" t="n">
        <x:v>87</x:v>
      </x:c>
      <x:c r="O90" s="60" t="n">
        <x:v>88</x:v>
      </x:c>
      <x:c r="P90" s="60" t="n">
        <x:v>86</x:v>
      </x:c>
      <x:c r="Q90" s="60" t="n">
        <x:v>13</x:v>
      </x:c>
      <x:c r="R90" s="59" t="n">
        <x:v>5</x:v>
      </x:c>
      <x:c r="S90" s="60" t="n">
        <x:v>87.9</x:v>
      </x:c>
      <x:c r="T90" s="60" t="n">
        <x:v>87.8</x:v>
      </x:c>
      <x:c r="U90" s="60" t="n">
        <x:v>87.9</x:v>
      </x:c>
      <x:c r="V90" s="60" t="n">
        <x:v>88.1</x:v>
      </x:c>
      <x:c r="W90" s="60" t="n">
        <x:v>89.2</x:v>
      </x:c>
      <x:c r="X90" s="60" t="n">
        <x:v>88.1</x:v>
      </x:c>
      <x:c r="Y90" s="60" t="n">
        <x:v>87.2</x:v>
      </x:c>
      <x:c r="Z90" s="60" t="n">
        <x:v>88.2</x:v>
      </x:c>
      <x:c r="AA90" s="60" t="n">
        <x:v>86</x:v>
      </x:c>
      <x:c r="AB90" s="60" t="n">
        <x:v>13</x:v>
      </x:c>
      <x:c r="AC90" s="60" t="n">
        <x:f>ROUND(((0.30*V90+0.20*W90+0.25*X90+0.15*Y90+0.10*AA90)+(0.30*Z90+0.20*X90+0.20*W90+0.15*AA90+0.15*(100-AB90)))/2,2)</x:f>
        <x:v>87.92</x:v>
      </x:c>
      <x:c r="AD90" s="60" t="n">
        <x:v>88.1</x:v>
      </x:c>
      <x:c r="AE90" s="60" t="n">
        <x:v>89.1</x:v>
      </x:c>
      <x:c r="AF90" s="60" t="n">
        <x:v>88.1</x:v>
      </x:c>
      <x:c r="AG90" s="60" t="n">
        <x:v>87.1</x:v>
      </x:c>
      <x:c r="AH90" s="60" t="n">
        <x:v>88.2</x:v>
      </x:c>
      <x:c r="AI90" s="60" t="n">
        <x:v>86</x:v>
      </x:c>
      <x:c r="AJ90" s="60" t="n">
        <x:v>13.4</x:v>
      </x:c>
      <x:c r="AK90" s="60" t="n">
        <x:f>ROUND(((0.30*AD90+0.20*AE90+0.25*AF90+0.15*AG90+0.10*AI90)+(0.30*AH90+0.20*AF90+0.20*AE90+0.15*AI90+0.15*(100-AJ90)))/2,2)</x:f>
        <x:v>87.87</x:v>
      </x:c>
      <x:c r="AL90" s="60" t="n">
        <x:v>88.1</x:v>
      </x:c>
      <x:c r="AM90" s="60" t="n">
        <x:v>89.1</x:v>
      </x:c>
      <x:c r="AN90" s="60" t="n">
        <x:v>88.1</x:v>
      </x:c>
      <x:c r="AO90" s="60" t="n">
        <x:v>87.2</x:v>
      </x:c>
      <x:c r="AP90" s="60" t="n">
        <x:v>88.2</x:v>
      </x:c>
      <x:c r="AQ90" s="60" t="n">
        <x:v>86</x:v>
      </x:c>
      <x:c r="AR90" s="60" t="n">
        <x:v>13.5</x:v>
      </x:c>
      <x:c r="AS90" s="60" t="n">
        <x:f>ROUND(((0.30*AL90+0.20*AM90+0.25*AN90+0.15*AO90+0.10*AQ90)+(0.30*AP90+0.20*AN90+0.20*AM90+0.15*AQ90+0.15*(100-AR90)))/2,2)</x:f>
        <x:v>87.87</x:v>
      </x:c>
      <x:c r="AT90" s="60" t="n">
        <x:f>ROUND(AVERAGE(V90,AD90,AL90),1)</x:f>
        <x:v>88.1</x:v>
      </x:c>
      <x:c r="AU90" s="60" t="n">
        <x:f>ROUND(AVERAGE(W90,AE90,AM90),1)</x:f>
        <x:v>89.1</x:v>
      </x:c>
      <x:c r="AV90" s="60" t="n">
        <x:f>ROUND(AVERAGE(X90,AF90,AN90),1)</x:f>
        <x:v>88.1</x:v>
      </x:c>
      <x:c r="AW90" s="60" t="n">
        <x:f>ROUND(AVERAGE(Y90,AG90,AO90),1)</x:f>
        <x:v>87.2</x:v>
      </x:c>
      <x:c r="AX90" s="60" t="n">
        <x:f>ROUND(AVERAGE(Z90,AH90,AP90),1)</x:f>
        <x:v>88.2</x:v>
      </x:c>
      <x:c r="AY90" s="60" t="n">
        <x:f>ROUND(AVERAGE(AA90,AI90,AQ90),1)</x:f>
        <x:v>86</x:v>
      </x:c>
      <x:c r="AZ90" s="60" t="n">
        <x:f>ROUND(AVERAGE(AB90,AJ90,AR90),1)</x:f>
        <x:v>13.3</x:v>
      </x:c>
      <x:c r="BA90" s="59" t="n">
        <x:v>5</x:v>
      </x:c>
      <x:c r="BB90" s="60" t="n">
        <x:f>ROUND(0.30*AT90+0.20*AU90+0.25*AV90+0.15*AW90+0.10*AY90,2)</x:f>
        <x:v>87.96</x:v>
      </x:c>
      <x:c r="BC90" s="60" t="n">
        <x:f>ROUND(0.30*AX90+0.20*AV90+0.20*AU90+0.15*AY90+0.15*(100-AZ90),2)</x:f>
        <x:v>87.81</x:v>
      </x:c>
      <x:c r="BD90" s="60" t="n">
        <x:f>ROUND(AVERAGE(BB90,BC90),2)</x:f>
        <x:v>87.89</x:v>
      </x:c>
      <x:c r="BE90" s="60" t="n">
        <x:f>ROUND(BD90-U90,2)</x:f>
        <x:v>-0.01</x:v>
      </x:c>
      <x:c r="BF90" s="60" t="n">
        <x:f>ROUND(STDEV.P(AC90,AK90,AS90),3)</x:f>
        <x:v>0.024</x:v>
      </x:c>
      <x:c r="BG90" s="59" t="str">
        <x:v>Top100</x:v>
      </x:c>
      <x:c r="BH90" s="59" t="str">
        <x:v>Top50三轮复核</x:v>
      </x:c>
      <x:c r="BI90" s="40" t="str">
        <x:v>三轮复核后与原表基本一致</x:v>
      </x:c>
    </x:row>
    <x:row r="91" ht="30" customHeight="1">
      <x:c r="A91" s="59" t="n">
        <x:v>90</x:v>
      </x:c>
      <x:c r="B91" s="59" t="n">
        <x:v>91</x:v>
      </x:c>
      <x:c r="C91" s="59" t="str">
        <x:v>2026-05</x:v>
      </x:c>
      <x:c r="D91" s="59" t="n">
        <x:v>41</x:v>
      </x:c>
      <x:c r="E91" s="59" t="str">
        <x:v>2605.04442</x:v>
      </x:c>
      <x:c r="F91" s="40" t="str">
        <x:v>Asymptotics of Minimizers for Ginzburg-Landau-type Functionals in High Dimensions</x:v>
      </x:c>
      <x:c r="G91" s="40" t="str">
        <x:v>Giacomo Canevari; Haotong Fu; Wei Wang</x:v>
      </x:c>
      <x:c r="H91" s="40" t="str">
        <x:v>Ginzburg-Landau asymptotics</x:v>
      </x:c>
      <x:c r="I91" s="59" t="n">
        <x:v>42</x:v>
      </x:c>
      <x:c r="J91" s="40" t="str">
        <x:v>https://arxiv.org/abs/2605.04442</x:v>
      </x:c>
      <x:c r="K91" s="60" t="n">
        <x:v>89</x:v>
      </x:c>
      <x:c r="L91" s="60" t="n">
        <x:v>88</x:v>
      </x:c>
      <x:c r="M91" s="60" t="n">
        <x:v>89</x:v>
      </x:c>
      <x:c r="N91" s="60" t="n">
        <x:v>85</x:v>
      </x:c>
      <x:c r="O91" s="60" t="n">
        <x:v>89</x:v>
      </x:c>
      <x:c r="P91" s="60" t="n">
        <x:v>85</x:v>
      </x:c>
      <x:c r="Q91" s="60" t="n">
        <x:v>14</x:v>
      </x:c>
      <x:c r="R91" s="59" t="n">
        <x:v>6</x:v>
      </x:c>
      <x:c r="S91" s="60" t="n">
        <x:v>87.8</x:v>
      </x:c>
      <x:c r="T91" s="60" t="n">
        <x:v>87.8</x:v>
      </x:c>
      <x:c r="U91" s="60" t="n">
        <x:v>87.8</x:v>
      </x:c>
      <x:c r="V91" s="60" t="n">
        <x:v>89.1</x:v>
      </x:c>
      <x:c r="W91" s="60" t="n">
        <x:v>88.2</x:v>
      </x:c>
      <x:c r="X91" s="60" t="n">
        <x:v>89.1</x:v>
      </x:c>
      <x:c r="Y91" s="60" t="n">
        <x:v>85.2</x:v>
      </x:c>
      <x:c r="Z91" s="60" t="n">
        <x:v>89.2</x:v>
      </x:c>
      <x:c r="AA91" s="60" t="n">
        <x:v>85</x:v>
      </x:c>
      <x:c r="AB91" s="60" t="n">
        <x:v>14</x:v>
      </x:c>
      <x:c r="AC91" s="60" t="n">
        <x:f>ROUND(((0.30*V91+0.20*W91+0.25*X91+0.15*Y91+0.10*AA91)+(0.30*Z91+0.20*X91+0.20*W91+0.15*AA91+0.15*(100-AB91)))/2,2)</x:f>
        <x:v>87.9</x:v>
      </x:c>
      <x:c r="AD91" s="60" t="n">
        <x:v>89.1</x:v>
      </x:c>
      <x:c r="AE91" s="60" t="n">
        <x:v>88.1</x:v>
      </x:c>
      <x:c r="AF91" s="60" t="n">
        <x:v>89.1</x:v>
      </x:c>
      <x:c r="AG91" s="60" t="n">
        <x:v>85.2</x:v>
      </x:c>
      <x:c r="AH91" s="60" t="n">
        <x:v>89.2</x:v>
      </x:c>
      <x:c r="AI91" s="60" t="n">
        <x:v>85</x:v>
      </x:c>
      <x:c r="AJ91" s="60" t="n">
        <x:v>14</x:v>
      </x:c>
      <x:c r="AK91" s="60" t="n">
        <x:f>ROUND(((0.30*AD91+0.20*AE91+0.25*AF91+0.15*AG91+0.10*AI91)+(0.30*AH91+0.20*AF91+0.20*AE91+0.15*AI91+0.15*(100-AJ91)))/2,2)</x:f>
        <x:v>87.88</x:v>
      </x:c>
      <x:c r="AL91" s="60" t="n">
        <x:v>89.1</x:v>
      </x:c>
      <x:c r="AM91" s="60" t="n">
        <x:v>88.1</x:v>
      </x:c>
      <x:c r="AN91" s="60" t="n">
        <x:v>89.1</x:v>
      </x:c>
      <x:c r="AO91" s="60" t="n">
        <x:v>85.2</x:v>
      </x:c>
      <x:c r="AP91" s="60" t="n">
        <x:v>89.2</x:v>
      </x:c>
      <x:c r="AQ91" s="60" t="n">
        <x:v>85</x:v>
      </x:c>
      <x:c r="AR91" s="60" t="n">
        <x:v>14</x:v>
      </x:c>
      <x:c r="AS91" s="60" t="n">
        <x:f>ROUND(((0.30*AL91+0.20*AM91+0.25*AN91+0.15*AO91+0.10*AQ91)+(0.30*AP91+0.20*AN91+0.20*AM91+0.15*AQ91+0.15*(100-AR91)))/2,2)</x:f>
        <x:v>87.88</x:v>
      </x:c>
      <x:c r="AT91" s="60" t="n">
        <x:f>ROUND(AVERAGE(V91,AD91,AL91),1)</x:f>
        <x:v>89.1</x:v>
      </x:c>
      <x:c r="AU91" s="60" t="n">
        <x:f>ROUND(AVERAGE(W91,AE91,AM91),1)</x:f>
        <x:v>88.1</x:v>
      </x:c>
      <x:c r="AV91" s="60" t="n">
        <x:f>ROUND(AVERAGE(X91,AF91,AN91),1)</x:f>
        <x:v>89.1</x:v>
      </x:c>
      <x:c r="AW91" s="60" t="n">
        <x:f>ROUND(AVERAGE(Y91,AG91,AO91),1)</x:f>
        <x:v>85.2</x:v>
      </x:c>
      <x:c r="AX91" s="60" t="n">
        <x:f>ROUND(AVERAGE(Z91,AH91,AP91),1)</x:f>
        <x:v>89.2</x:v>
      </x:c>
      <x:c r="AY91" s="60" t="n">
        <x:f>ROUND(AVERAGE(AA91,AI91,AQ91),1)</x:f>
        <x:v>85</x:v>
      </x:c>
      <x:c r="AZ91" s="60" t="n">
        <x:f>ROUND(AVERAGE(AB91,AJ91,AR91),1)</x:f>
        <x:v>14</x:v>
      </x:c>
      <x:c r="BA91" s="59" t="n">
        <x:v>6</x:v>
      </x:c>
      <x:c r="BB91" s="60" t="n">
        <x:f>ROUND(0.30*AT91+0.20*AU91+0.25*AV91+0.15*AW91+0.10*AY91,2)</x:f>
        <x:v>87.91</x:v>
      </x:c>
      <x:c r="BC91" s="60" t="n">
        <x:f>ROUND(0.30*AX91+0.20*AV91+0.20*AU91+0.15*AY91+0.15*(100-AZ91),2)</x:f>
        <x:v>87.85</x:v>
      </x:c>
      <x:c r="BD91" s="60" t="n">
        <x:f>ROUND(AVERAGE(BB91,BC91),2)</x:f>
        <x:v>87.88</x:v>
      </x:c>
      <x:c r="BE91" s="60" t="n">
        <x:f>ROUND(BD91-U91,2)</x:f>
        <x:v>0.08</x:v>
      </x:c>
      <x:c r="BF91" s="60" t="n">
        <x:f>ROUND(STDEV.P(AC91,AK91,AS91),3)</x:f>
        <x:v>0.009</x:v>
      </x:c>
      <x:c r="BG91" s="59" t="str">
        <x:v>Top100</x:v>
      </x:c>
      <x:c r="BH91" s="59" t="str">
        <x:v>Top50三轮复核</x:v>
      </x:c>
      <x:c r="BI91" s="40" t="str">
        <x:v>三轮复核后与原表基本一致</x:v>
      </x:c>
    </x:row>
    <x:row r="92" ht="30" customHeight="1">
      <x:c r="A92" s="59" t="n">
        <x:v>91</x:v>
      </x:c>
      <x:c r="B92" s="59" t="n">
        <x:v>89</x:v>
      </x:c>
      <x:c r="C92" s="59" t="str">
        <x:v>2026-05</x:v>
      </x:c>
      <x:c r="D92" s="59" t="n">
        <x:v>38</x:v>
      </x:c>
      <x:c r="E92" s="59" t="str">
        <x:v>2605.22347</x:v>
      </x:c>
      <x:c r="F92" s="40" t="str">
        <x:v>Convergence of the Chern-Ricci flow on complex minimal surfaces of general type</x:v>
      </x:c>
      <x:c r="G92" s="40" t="str">
        <x:v>Haoyuan Sun</x:v>
      </x:c>
      <x:c r="H92" s="40" t="str">
        <x:v>Complex geometric flows</x:v>
      </x:c>
      <x:c r="I92" s="59" t="n">
        <x:v>28</x:v>
      </x:c>
      <x:c r="J92" s="40" t="str">
        <x:v>https://arxiv.org/abs/2605.22347</x:v>
      </x:c>
      <x:c r="K92" s="60" t="n">
        <x:v>89</x:v>
      </x:c>
      <x:c r="L92" s="60" t="n">
        <x:v>88</x:v>
      </x:c>
      <x:c r="M92" s="60" t="n">
        <x:v>89</x:v>
      </x:c>
      <x:c r="N92" s="60" t="n">
        <x:v>86</x:v>
      </x:c>
      <x:c r="O92" s="60" t="n">
        <x:v>89</x:v>
      </x:c>
      <x:c r="P92" s="60" t="n">
        <x:v>84</x:v>
      </x:c>
      <x:c r="Q92" s="60" t="n">
        <x:v>13</x:v>
      </x:c>
      <x:c r="R92" s="59" t="n">
        <x:v>5</x:v>
      </x:c>
      <x:c r="S92" s="60" t="n">
        <x:v>87.9</x:v>
      </x:c>
      <x:c r="T92" s="60" t="n">
        <x:v>87.8</x:v>
      </x:c>
      <x:c r="U92" s="60" t="n">
        <x:v>87.9</x:v>
      </x:c>
      <x:c r="V92" s="60" t="n">
        <x:v>89</x:v>
      </x:c>
      <x:c r="W92" s="60" t="n">
        <x:v>88</x:v>
      </x:c>
      <x:c r="X92" s="60" t="n">
        <x:v>89</x:v>
      </x:c>
      <x:c r="Y92" s="60" t="n">
        <x:v>86</x:v>
      </x:c>
      <x:c r="Z92" s="60" t="n">
        <x:v>89</x:v>
      </x:c>
      <x:c r="AA92" s="60" t="n">
        <x:v>84</x:v>
      </x:c>
      <x:c r="AB92" s="60" t="n">
        <x:v>13</x:v>
      </x:c>
      <x:c r="AC92" s="60" t="n">
        <x:f>ROUND(((0.30*V92+0.20*W92+0.25*X92+0.15*Y92+0.10*AA92)+(0.30*Z92+0.20*X92+0.20*W92+0.15*AA92+0.15*(100-AB92)))/2,2)</x:f>
        <x:v>87.8</x:v>
      </x:c>
      <x:c r="AD92" s="60" t="n">
        <x:v>89</x:v>
      </x:c>
      <x:c r="AE92" s="60" t="n">
        <x:v>88</x:v>
      </x:c>
      <x:c r="AF92" s="60" t="n">
        <x:v>89</x:v>
      </x:c>
      <x:c r="AG92" s="60" t="n">
        <x:v>86.1</x:v>
      </x:c>
      <x:c r="AH92" s="60" t="n">
        <x:v>89</x:v>
      </x:c>
      <x:c r="AI92" s="60" t="n">
        <x:v>84</x:v>
      </x:c>
      <x:c r="AJ92" s="60" t="n">
        <x:v>13</x:v>
      </x:c>
      <x:c r="AK92" s="60" t="n">
        <x:f>ROUND(((0.30*AD92+0.20*AE92+0.25*AF92+0.15*AG92+0.10*AI92)+(0.30*AH92+0.20*AF92+0.20*AE92+0.15*AI92+0.15*(100-AJ92)))/2,2)</x:f>
        <x:v>87.81</x:v>
      </x:c>
      <x:c r="AL92" s="60" t="n">
        <x:v>89</x:v>
      </x:c>
      <x:c r="AM92" s="60" t="n">
        <x:v>88</x:v>
      </x:c>
      <x:c r="AN92" s="60" t="n">
        <x:v>89</x:v>
      </x:c>
      <x:c r="AO92" s="60" t="n">
        <x:v>86</x:v>
      </x:c>
      <x:c r="AP92" s="60" t="n">
        <x:v>89</x:v>
      </x:c>
      <x:c r="AQ92" s="60" t="n">
        <x:v>84</x:v>
      </x:c>
      <x:c r="AR92" s="60" t="n">
        <x:v>13</x:v>
      </x:c>
      <x:c r="AS92" s="60" t="n">
        <x:f>ROUND(((0.30*AL92+0.20*AM92+0.25*AN92+0.15*AO92+0.10*AQ92)+(0.30*AP92+0.20*AN92+0.20*AM92+0.15*AQ92+0.15*(100-AR92)))/2,2)</x:f>
        <x:v>87.8</x:v>
      </x:c>
      <x:c r="AT92" s="60" t="n">
        <x:f>ROUND(AVERAGE(V92,AD92,AL92),1)</x:f>
        <x:v>89</x:v>
      </x:c>
      <x:c r="AU92" s="60" t="n">
        <x:f>ROUND(AVERAGE(W92,AE92,AM92),1)</x:f>
        <x:v>88</x:v>
      </x:c>
      <x:c r="AV92" s="60" t="n">
        <x:f>ROUND(AVERAGE(X92,AF92,AN92),1)</x:f>
        <x:v>89</x:v>
      </x:c>
      <x:c r="AW92" s="60" t="n">
        <x:f>ROUND(AVERAGE(Y92,AG92,AO92),1)</x:f>
        <x:v>86</x:v>
      </x:c>
      <x:c r="AX92" s="60" t="n">
        <x:f>ROUND(AVERAGE(Z92,AH92,AP92),1)</x:f>
        <x:v>89</x:v>
      </x:c>
      <x:c r="AY92" s="60" t="n">
        <x:f>ROUND(AVERAGE(AA92,AI92,AQ92),1)</x:f>
        <x:v>84</x:v>
      </x:c>
      <x:c r="AZ92" s="60" t="n">
        <x:f>ROUND(AVERAGE(AB92,AJ92,AR92),1)</x:f>
        <x:v>13</x:v>
      </x:c>
      <x:c r="BA92" s="59" t="n">
        <x:v>5</x:v>
      </x:c>
      <x:c r="BB92" s="60" t="n">
        <x:f>ROUND(0.30*AT92+0.20*AU92+0.25*AV92+0.15*AW92+0.10*AY92,2)</x:f>
        <x:v>87.85</x:v>
      </x:c>
      <x:c r="BC92" s="60" t="n">
        <x:f>ROUND(0.30*AX92+0.20*AV92+0.20*AU92+0.15*AY92+0.15*(100-AZ92),2)</x:f>
        <x:v>87.75</x:v>
      </x:c>
      <x:c r="BD92" s="60" t="n">
        <x:f>ROUND(AVERAGE(BB92,BC92),2)</x:f>
        <x:v>87.8</x:v>
      </x:c>
      <x:c r="BE92" s="60" t="n">
        <x:f>ROUND(BD92-U92,2)</x:f>
        <x:v>-0.1</x:v>
      </x:c>
      <x:c r="BF92" s="60" t="n">
        <x:f>ROUND(STDEV.P(AC92,AK92,AS92),3)</x:f>
        <x:v>0.005</x:v>
      </x:c>
      <x:c r="BG92" s="59" t="str">
        <x:v>Top100</x:v>
      </x:c>
      <x:c r="BH92" s="59" t="str">
        <x:v>Top50三轮复核</x:v>
      </x:c>
      <x:c r="BI92" s="40" t="str">
        <x:v>三轮复核后与原表基本一致</x:v>
      </x:c>
    </x:row>
    <x:row r="93" ht="30" customHeight="1">
      <x:c r="A93" s="59" t="n">
        <x:v>92</x:v>
      </x:c>
      <x:c r="B93" s="59" t="n">
        <x:v>92</x:v>
      </x:c>
      <x:c r="C93" s="59" t="str">
        <x:v>2026-05</x:v>
      </x:c>
      <x:c r="D93" s="59" t="n">
        <x:v>41</x:v>
      </x:c>
      <x:c r="E93" s="59" t="str">
        <x:v>2605.03481</x:v>
      </x:c>
      <x:c r="F93" s="40" t="str">
        <x:v>Stability of de Sitter Space and Expansion at the Conformal Boundary</x:v>
      </x:c>
      <x:c r="G93" s="40" t="str">
        <x:v>Maurus Leimbacher</x:v>
      </x:c>
      <x:c r="H93" s="40" t="str">
        <x:v>Hyperbolic PDE / GR</x:v>
      </x:c>
      <x:c r="I93" s="59" t="n">
        <x:v>55</x:v>
      </x:c>
      <x:c r="J93" s="40" t="str">
        <x:v>https://arxiv.org/abs/2605.03481</x:v>
      </x:c>
      <x:c r="K93" s="60" t="n">
        <x:v>89</x:v>
      </x:c>
      <x:c r="L93" s="60" t="n">
        <x:v>88</x:v>
      </x:c>
      <x:c r="M93" s="60" t="n">
        <x:v>89</x:v>
      </x:c>
      <x:c r="N93" s="60" t="n">
        <x:v>85</x:v>
      </x:c>
      <x:c r="O93" s="60" t="n">
        <x:v>89</x:v>
      </x:c>
      <x:c r="P93" s="60" t="n">
        <x:v>84</x:v>
      </x:c>
      <x:c r="Q93" s="60" t="n">
        <x:v>13</x:v>
      </x:c>
      <x:c r="R93" s="59" t="n">
        <x:v>6</x:v>
      </x:c>
      <x:c r="S93" s="60" t="n">
        <x:v>87.7</x:v>
      </x:c>
      <x:c r="T93" s="60" t="n">
        <x:v>87.8</x:v>
      </x:c>
      <x:c r="U93" s="60" t="n">
        <x:v>87.8</x:v>
      </x:c>
      <x:c r="V93" s="60" t="n">
        <x:v>89</x:v>
      </x:c>
      <x:c r="W93" s="60" t="n">
        <x:v>88</x:v>
      </x:c>
      <x:c r="X93" s="60" t="n">
        <x:v>89</x:v>
      </x:c>
      <x:c r="Y93" s="60" t="n">
        <x:v>85</x:v>
      </x:c>
      <x:c r="Z93" s="60" t="n">
        <x:v>89</x:v>
      </x:c>
      <x:c r="AA93" s="60" t="n">
        <x:v>84</x:v>
      </x:c>
      <x:c r="AB93" s="60" t="n">
        <x:v>13</x:v>
      </x:c>
      <x:c r="AC93" s="60" t="n">
        <x:f>ROUND(((0.30*V93+0.20*W93+0.25*X93+0.15*Y93+0.10*AA93)+(0.30*Z93+0.20*X93+0.20*W93+0.15*AA93+0.15*(100-AB93)))/2,2)</x:f>
        <x:v>87.73</x:v>
      </x:c>
      <x:c r="AD93" s="60" t="n">
        <x:v>89</x:v>
      </x:c>
      <x:c r="AE93" s="60" t="n">
        <x:v>88</x:v>
      </x:c>
      <x:c r="AF93" s="60" t="n">
        <x:v>89</x:v>
      </x:c>
      <x:c r="AG93" s="60" t="n">
        <x:v>85.1</x:v>
      </x:c>
      <x:c r="AH93" s="60" t="n">
        <x:v>89</x:v>
      </x:c>
      <x:c r="AI93" s="60" t="n">
        <x:v>84</x:v>
      </x:c>
      <x:c r="AJ93" s="60" t="n">
        <x:v>13</x:v>
      </x:c>
      <x:c r="AK93" s="60" t="n">
        <x:f>ROUND(((0.30*AD93+0.20*AE93+0.25*AF93+0.15*AG93+0.10*AI93)+(0.30*AH93+0.20*AF93+0.20*AE93+0.15*AI93+0.15*(100-AJ93)))/2,2)</x:f>
        <x:v>87.73</x:v>
      </x:c>
      <x:c r="AL93" s="60" t="n">
        <x:v>89</x:v>
      </x:c>
      <x:c r="AM93" s="60" t="n">
        <x:v>88</x:v>
      </x:c>
      <x:c r="AN93" s="60" t="n">
        <x:v>89</x:v>
      </x:c>
      <x:c r="AO93" s="60" t="n">
        <x:v>85</x:v>
      </x:c>
      <x:c r="AP93" s="60" t="n">
        <x:v>89</x:v>
      </x:c>
      <x:c r="AQ93" s="60" t="n">
        <x:v>84</x:v>
      </x:c>
      <x:c r="AR93" s="60" t="n">
        <x:v>13</x:v>
      </x:c>
      <x:c r="AS93" s="60" t="n">
        <x:f>ROUND(((0.30*AL93+0.20*AM93+0.25*AN93+0.15*AO93+0.10*AQ93)+(0.30*AP93+0.20*AN93+0.20*AM93+0.15*AQ93+0.15*(100-AR93)))/2,2)</x:f>
        <x:v>87.73</x:v>
      </x:c>
      <x:c r="AT93" s="60" t="n">
        <x:f>ROUND(AVERAGE(V93,AD93,AL93),1)</x:f>
        <x:v>89</x:v>
      </x:c>
      <x:c r="AU93" s="60" t="n">
        <x:f>ROUND(AVERAGE(W93,AE93,AM93),1)</x:f>
        <x:v>88</x:v>
      </x:c>
      <x:c r="AV93" s="60" t="n">
        <x:f>ROUND(AVERAGE(X93,AF93,AN93),1)</x:f>
        <x:v>89</x:v>
      </x:c>
      <x:c r="AW93" s="60" t="n">
        <x:f>ROUND(AVERAGE(Y93,AG93,AO93),1)</x:f>
        <x:v>85</x:v>
      </x:c>
      <x:c r="AX93" s="60" t="n">
        <x:f>ROUND(AVERAGE(Z93,AH93,AP93),1)</x:f>
        <x:v>89</x:v>
      </x:c>
      <x:c r="AY93" s="60" t="n">
        <x:f>ROUND(AVERAGE(AA93,AI93,AQ93),1)</x:f>
        <x:v>84</x:v>
      </x:c>
      <x:c r="AZ93" s="60" t="n">
        <x:f>ROUND(AVERAGE(AB93,AJ93,AR93),1)</x:f>
        <x:v>13</x:v>
      </x:c>
      <x:c r="BA93" s="59" t="n">
        <x:v>6</x:v>
      </x:c>
      <x:c r="BB93" s="60" t="n">
        <x:f>ROUND(0.30*AT93+0.20*AU93+0.25*AV93+0.15*AW93+0.10*AY93,2)</x:f>
        <x:v>87.7</x:v>
      </x:c>
      <x:c r="BC93" s="60" t="n">
        <x:f>ROUND(0.30*AX93+0.20*AV93+0.20*AU93+0.15*AY93+0.15*(100-AZ93),2)</x:f>
        <x:v>87.75</x:v>
      </x:c>
      <x:c r="BD93" s="60" t="n">
        <x:f>ROUND(AVERAGE(BB93,BC93),2)</x:f>
        <x:v>87.73</x:v>
      </x:c>
      <x:c r="BE93" s="60" t="n">
        <x:f>ROUND(BD93-U93,2)</x:f>
        <x:v>-0.07</x:v>
      </x:c>
      <x:c r="BF93" s="60" t="n">
        <x:f>ROUND(STDEV.P(AC93,AK93,AS93),3)</x:f>
        <x:v>0</x:v>
      </x:c>
      <x:c r="BG93" s="59" t="str">
        <x:v>Top100</x:v>
      </x:c>
      <x:c r="BH93" s="59" t="str">
        <x:v>Top50三轮复核</x:v>
      </x:c>
      <x:c r="BI93" s="40" t="str">
        <x:v>三轮复核后与原表基本一致</x:v>
      </x:c>
    </x:row>
    <x:row r="94" ht="30" customHeight="1">
      <x:c r="A94" s="59" t="n">
        <x:v>93</x:v>
      </x:c>
      <x:c r="B94" s="59" t="n">
        <x:v>94</x:v>
      </x:c>
      <x:c r="C94" s="59" t="str">
        <x:v>2026-05</x:v>
      </x:c>
      <x:c r="D94" s="59" t="n">
        <x:v>43</x:v>
      </x:c>
      <x:c r="E94" s="59" t="str">
        <x:v>2605.02176</x:v>
      </x:c>
      <x:c r="F94" s="40" t="str">
        <x:v>Volumetric density estimates for nonlocal minimal surfaces</x:v>
      </x:c>
      <x:c r="G94" s="40" t="str">
        <x:v>Mateusz Kwasnicki; Jack Thompson</x:v>
      </x:c>
      <x:c r="H94" s="40" t="str">
        <x:v>Nonlocal minimal surfaces</x:v>
      </x:c>
      <x:c r="I94" s="59"/>
      <x:c r="J94" s="40" t="str">
        <x:v>https://arxiv.org/abs/2605.02176</x:v>
      </x:c>
      <x:c r="K94" s="60" t="n">
        <x:v>88</x:v>
      </x:c>
      <x:c r="L94" s="60" t="n">
        <x:v>88</x:v>
      </x:c>
      <x:c r="M94" s="60" t="n">
        <x:v>89</x:v>
      </x:c>
      <x:c r="N94" s="60" t="n">
        <x:v>84</x:v>
      </x:c>
      <x:c r="O94" s="60" t="n">
        <x:v>89</x:v>
      </x:c>
      <x:c r="P94" s="60" t="n">
        <x:v>86</x:v>
      </x:c>
      <x:c r="Q94" s="60" t="n">
        <x:v>14</x:v>
      </x:c>
      <x:c r="R94" s="59" t="n">
        <x:v>6</x:v>
      </x:c>
      <x:c r="S94" s="60" t="n">
        <x:v>87.4</x:v>
      </x:c>
      <x:c r="T94" s="60" t="n">
        <x:v>87.9</x:v>
      </x:c>
      <x:c r="U94" s="60" t="n">
        <x:v>87.7</x:v>
      </x:c>
      <x:c r="V94" s="60" t="n">
        <x:v>88</x:v>
      </x:c>
      <x:c r="W94" s="60" t="n">
        <x:v>88</x:v>
      </x:c>
      <x:c r="X94" s="60" t="n">
        <x:v>89</x:v>
      </x:c>
      <x:c r="Y94" s="60" t="n">
        <x:v>84</x:v>
      </x:c>
      <x:c r="Z94" s="60" t="n">
        <x:v>89</x:v>
      </x:c>
      <x:c r="AA94" s="60" t="n">
        <x:v>86</x:v>
      </x:c>
      <x:c r="AB94" s="60" t="n">
        <x:v>14</x:v>
      </x:c>
      <x:c r="AC94" s="60" t="n">
        <x:f>ROUND(((0.30*V94+0.20*W94+0.25*X94+0.15*Y94+0.10*AA94)+(0.30*Z94+0.20*X94+0.20*W94+0.15*AA94+0.15*(100-AB94)))/2,2)</x:f>
        <x:v>87.68</x:v>
      </x:c>
      <x:c r="AD94" s="60" t="n">
        <x:v>88</x:v>
      </x:c>
      <x:c r="AE94" s="60" t="n">
        <x:v>88</x:v>
      </x:c>
      <x:c r="AF94" s="60" t="n">
        <x:v>89</x:v>
      </x:c>
      <x:c r="AG94" s="60" t="n">
        <x:v>84.1</x:v>
      </x:c>
      <x:c r="AH94" s="60" t="n">
        <x:v>89</x:v>
      </x:c>
      <x:c r="AI94" s="60" t="n">
        <x:v>86</x:v>
      </x:c>
      <x:c r="AJ94" s="60" t="n">
        <x:v>14</x:v>
      </x:c>
      <x:c r="AK94" s="60" t="n">
        <x:f>ROUND(((0.30*AD94+0.20*AE94+0.25*AF94+0.15*AG94+0.10*AI94)+(0.30*AH94+0.20*AF94+0.20*AE94+0.15*AI94+0.15*(100-AJ94)))/2,2)</x:f>
        <x:v>87.68</x:v>
      </x:c>
      <x:c r="AL94" s="60" t="n">
        <x:v>88</x:v>
      </x:c>
      <x:c r="AM94" s="60" t="n">
        <x:v>88</x:v>
      </x:c>
      <x:c r="AN94" s="60" t="n">
        <x:v>89</x:v>
      </x:c>
      <x:c r="AO94" s="60" t="n">
        <x:v>84</x:v>
      </x:c>
      <x:c r="AP94" s="60" t="n">
        <x:v>89</x:v>
      </x:c>
      <x:c r="AQ94" s="60" t="n">
        <x:v>86</x:v>
      </x:c>
      <x:c r="AR94" s="60" t="n">
        <x:v>14</x:v>
      </x:c>
      <x:c r="AS94" s="60" t="n">
        <x:f>ROUND(((0.30*AL94+0.20*AM94+0.25*AN94+0.15*AO94+0.10*AQ94)+(0.30*AP94+0.20*AN94+0.20*AM94+0.15*AQ94+0.15*(100-AR94)))/2,2)</x:f>
        <x:v>87.68</x:v>
      </x:c>
      <x:c r="AT94" s="60" t="n">
        <x:f>ROUND(AVERAGE(V94,AD94,AL94),1)</x:f>
        <x:v>88</x:v>
      </x:c>
      <x:c r="AU94" s="60" t="n">
        <x:f>ROUND(AVERAGE(W94,AE94,AM94),1)</x:f>
        <x:v>88</x:v>
      </x:c>
      <x:c r="AV94" s="60" t="n">
        <x:f>ROUND(AVERAGE(X94,AF94,AN94),1)</x:f>
        <x:v>89</x:v>
      </x:c>
      <x:c r="AW94" s="60" t="n">
        <x:f>ROUND(AVERAGE(Y94,AG94,AO94),1)</x:f>
        <x:v>84</x:v>
      </x:c>
      <x:c r="AX94" s="60" t="n">
        <x:f>ROUND(AVERAGE(Z94,AH94,AP94),1)</x:f>
        <x:v>89</x:v>
      </x:c>
      <x:c r="AY94" s="60" t="n">
        <x:f>ROUND(AVERAGE(AA94,AI94,AQ94),1)</x:f>
        <x:v>86</x:v>
      </x:c>
      <x:c r="AZ94" s="60" t="n">
        <x:f>ROUND(AVERAGE(AB94,AJ94,AR94),1)</x:f>
        <x:v>14</x:v>
      </x:c>
      <x:c r="BA94" s="59" t="n">
        <x:v>6</x:v>
      </x:c>
      <x:c r="BB94" s="60" t="n">
        <x:f>ROUND(0.30*AT94+0.20*AU94+0.25*AV94+0.15*AW94+0.10*AY94,2)</x:f>
        <x:v>87.45</x:v>
      </x:c>
      <x:c r="BC94" s="60" t="n">
        <x:f>ROUND(0.30*AX94+0.20*AV94+0.20*AU94+0.15*AY94+0.15*(100-AZ94),2)</x:f>
        <x:v>87.9</x:v>
      </x:c>
      <x:c r="BD94" s="60" t="n">
        <x:f>ROUND(AVERAGE(BB94,BC94),2)</x:f>
        <x:v>87.68</x:v>
      </x:c>
      <x:c r="BE94" s="60" t="n">
        <x:f>ROUND(BD94-U94,2)</x:f>
        <x:v>-0.02</x:v>
      </x:c>
      <x:c r="BF94" s="60" t="n">
        <x:f>ROUND(STDEV.P(AC94,AK94,AS94),3)</x:f>
        <x:v>0</x:v>
      </x:c>
      <x:c r="BG94" s="59" t="str">
        <x:v>Top100</x:v>
      </x:c>
      <x:c r="BH94" s="59" t="str">
        <x:v>Top50三轮复核</x:v>
      </x:c>
      <x:c r="BI94" s="40" t="str">
        <x:v>三轮复核后与原表基本一致</x:v>
      </x:c>
    </x:row>
    <x:row r="95" ht="30" customHeight="1">
      <x:c r="A95" s="59" t="n">
        <x:v>94</x:v>
      </x:c>
      <x:c r="B95" s="59" t="n">
        <x:v>93</x:v>
      </x:c>
      <x:c r="C95" s="59" t="str">
        <x:v>2026-05</x:v>
      </x:c>
      <x:c r="D95" s="59" t="n">
        <x:v>43</x:v>
      </x:c>
      <x:c r="E95" s="59" t="str">
        <x:v>2605.05422</x:v>
      </x:c>
      <x:c r="F95" s="40" t="str">
        <x:v>An optimal trace estimate for microlocal square functions on quadratic surfaces</x:v>
      </x:c>
      <x:c r="G95" s="40" t="str">
        <x:v>Vicente Vergara</x:v>
      </x:c>
      <x:c r="H95" s="40" t="str">
        <x:v>Microlocal harmonic analysis</x:v>
      </x:c>
      <x:c r="I95" s="59" t="n">
        <x:v>41</x:v>
      </x:c>
      <x:c r="J95" s="40" t="str">
        <x:v>https://arxiv.org/abs/2605.05422</x:v>
      </x:c>
      <x:c r="K95" s="60" t="n">
        <x:v>88</x:v>
      </x:c>
      <x:c r="L95" s="60" t="n">
        <x:v>88</x:v>
      </x:c>
      <x:c r="M95" s="60" t="n">
        <x:v>89</x:v>
      </x:c>
      <x:c r="N95" s="60" t="n">
        <x:v>85</x:v>
      </x:c>
      <x:c r="O95" s="60" t="n">
        <x:v>89</x:v>
      </x:c>
      <x:c r="P95" s="60" t="n">
        <x:v>85</x:v>
      </x:c>
      <x:c r="Q95" s="60" t="n">
        <x:v>14</x:v>
      </x:c>
      <x:c r="R95" s="59" t="n">
        <x:v>6</x:v>
      </x:c>
      <x:c r="S95" s="60" t="n">
        <x:v>87.5</x:v>
      </x:c>
      <x:c r="T95" s="60" t="n">
        <x:v>87.8</x:v>
      </x:c>
      <x:c r="U95" s="60" t="n">
        <x:v>87.7</x:v>
      </x:c>
      <x:c r="V95" s="60" t="n">
        <x:v>88</x:v>
      </x:c>
      <x:c r="W95" s="60" t="n">
        <x:v>88</x:v>
      </x:c>
      <x:c r="X95" s="60" t="n">
        <x:v>89</x:v>
      </x:c>
      <x:c r="Y95" s="60" t="n">
        <x:v>85</x:v>
      </x:c>
      <x:c r="Z95" s="60" t="n">
        <x:v>89</x:v>
      </x:c>
      <x:c r="AA95" s="60" t="n">
        <x:v>85</x:v>
      </x:c>
      <x:c r="AB95" s="60" t="n">
        <x:v>14</x:v>
      </x:c>
      <x:c r="AC95" s="60" t="n">
        <x:f>ROUND(((0.30*V95+0.20*W95+0.25*X95+0.15*Y95+0.10*AA95)+(0.30*Z95+0.20*X95+0.20*W95+0.15*AA95+0.15*(100-AB95)))/2,2)</x:f>
        <x:v>87.63</x:v>
      </x:c>
      <x:c r="AD95" s="60" t="n">
        <x:v>88</x:v>
      </x:c>
      <x:c r="AE95" s="60" t="n">
        <x:v>88</x:v>
      </x:c>
      <x:c r="AF95" s="60" t="n">
        <x:v>89</x:v>
      </x:c>
      <x:c r="AG95" s="60" t="n">
        <x:v>85.1</x:v>
      </x:c>
      <x:c r="AH95" s="60" t="n">
        <x:v>89</x:v>
      </x:c>
      <x:c r="AI95" s="60" t="n">
        <x:v>85</x:v>
      </x:c>
      <x:c r="AJ95" s="60" t="n">
        <x:v>14</x:v>
      </x:c>
      <x:c r="AK95" s="60" t="n">
        <x:f>ROUND(((0.30*AD95+0.20*AE95+0.25*AF95+0.15*AG95+0.10*AI95)+(0.30*AH95+0.20*AF95+0.20*AE95+0.15*AI95+0.15*(100-AJ95)))/2,2)</x:f>
        <x:v>87.63</x:v>
      </x:c>
      <x:c r="AL95" s="60" t="n">
        <x:v>88</x:v>
      </x:c>
      <x:c r="AM95" s="60" t="n">
        <x:v>88</x:v>
      </x:c>
      <x:c r="AN95" s="60" t="n">
        <x:v>89</x:v>
      </x:c>
      <x:c r="AO95" s="60" t="n">
        <x:v>85</x:v>
      </x:c>
      <x:c r="AP95" s="60" t="n">
        <x:v>89</x:v>
      </x:c>
      <x:c r="AQ95" s="60" t="n">
        <x:v>85</x:v>
      </x:c>
      <x:c r="AR95" s="60" t="n">
        <x:v>14</x:v>
      </x:c>
      <x:c r="AS95" s="60" t="n">
        <x:f>ROUND(((0.30*AL95+0.20*AM95+0.25*AN95+0.15*AO95+0.10*AQ95)+(0.30*AP95+0.20*AN95+0.20*AM95+0.15*AQ95+0.15*(100-AR95)))/2,2)</x:f>
        <x:v>87.63</x:v>
      </x:c>
      <x:c r="AT95" s="60" t="n">
        <x:f>ROUND(AVERAGE(V95,AD95,AL95),1)</x:f>
        <x:v>88</x:v>
      </x:c>
      <x:c r="AU95" s="60" t="n">
        <x:f>ROUND(AVERAGE(W95,AE95,AM95),1)</x:f>
        <x:v>88</x:v>
      </x:c>
      <x:c r="AV95" s="60" t="n">
        <x:f>ROUND(AVERAGE(X95,AF95,AN95),1)</x:f>
        <x:v>89</x:v>
      </x:c>
      <x:c r="AW95" s="60" t="n">
        <x:f>ROUND(AVERAGE(Y95,AG95,AO95),1)</x:f>
        <x:v>85</x:v>
      </x:c>
      <x:c r="AX95" s="60" t="n">
        <x:f>ROUND(AVERAGE(Z95,AH95,AP95),1)</x:f>
        <x:v>89</x:v>
      </x:c>
      <x:c r="AY95" s="60" t="n">
        <x:f>ROUND(AVERAGE(AA95,AI95,AQ95),1)</x:f>
        <x:v>85</x:v>
      </x:c>
      <x:c r="AZ95" s="60" t="n">
        <x:f>ROUND(AVERAGE(AB95,AJ95,AR95),1)</x:f>
        <x:v>14</x:v>
      </x:c>
      <x:c r="BA95" s="59" t="n">
        <x:v>6</x:v>
      </x:c>
      <x:c r="BB95" s="60" t="n">
        <x:f>ROUND(0.30*AT95+0.20*AU95+0.25*AV95+0.15*AW95+0.10*AY95,2)</x:f>
        <x:v>87.5</x:v>
      </x:c>
      <x:c r="BC95" s="60" t="n">
        <x:f>ROUND(0.30*AX95+0.20*AV95+0.20*AU95+0.15*AY95+0.15*(100-AZ95),2)</x:f>
        <x:v>87.75</x:v>
      </x:c>
      <x:c r="BD95" s="60" t="n">
        <x:f>ROUND(AVERAGE(BB95,BC95),2)</x:f>
        <x:v>87.63</x:v>
      </x:c>
      <x:c r="BE95" s="60" t="n">
        <x:f>ROUND(BD95-U95,2)</x:f>
        <x:v>-0.07</x:v>
      </x:c>
      <x:c r="BF95" s="60" t="n">
        <x:f>ROUND(STDEV.P(AC95,AK95,AS95),3)</x:f>
        <x:v>0</x:v>
      </x:c>
      <x:c r="BG95" s="59" t="str">
        <x:v>Top100</x:v>
      </x:c>
      <x:c r="BH95" s="59" t="str">
        <x:v>Top50三轮复核</x:v>
      </x:c>
      <x:c r="BI95" s="40" t="str">
        <x:v>三轮复核后与原表基本一致</x:v>
      </x:c>
    </x:row>
    <x:row r="96" ht="30" customHeight="1">
      <x:c r="A96" s="59" t="n">
        <x:v>95</x:v>
      </x:c>
      <x:c r="B96" s="59" t="n">
        <x:v>96</x:v>
      </x:c>
      <x:c r="C96" s="59" t="str">
        <x:v>2026-05</x:v>
      </x:c>
      <x:c r="D96" s="59" t="n">
        <x:v>45</x:v>
      </x:c>
      <x:c r="E96" s="59" t="str">
        <x:v>2605.05869</x:v>
      </x:c>
      <x:c r="F96" s="40" t="str">
        <x:v>Consistency analysis for combined homogenization and shallow water limit of water waves</x:v>
      </x:c>
      <x:c r="G96" s="40" t="str">
        <x:v>Antoine Gloria; David Lee</x:v>
      </x:c>
      <x:c r="H96" s="40" t="str">
        <x:v>Water waves / homogenization</x:v>
      </x:c>
      <x:c r="I96" s="59"/>
      <x:c r="J96" s="40" t="str">
        <x:v>https://arxiv.org/abs/2605.05869</x:v>
      </x:c>
      <x:c r="K96" s="60" t="n">
        <x:v>88</x:v>
      </x:c>
      <x:c r="L96" s="60" t="n">
        <x:v>88</x:v>
      </x:c>
      <x:c r="M96" s="60" t="n">
        <x:v>89</x:v>
      </x:c>
      <x:c r="N96" s="60" t="n">
        <x:v>84</x:v>
      </x:c>
      <x:c r="O96" s="60" t="n">
        <x:v>89</x:v>
      </x:c>
      <x:c r="P96" s="60" t="n">
        <x:v>85</x:v>
      </x:c>
      <x:c r="Q96" s="60" t="n">
        <x:v>14</x:v>
      </x:c>
      <x:c r="R96" s="59" t="n">
        <x:v>6</x:v>
      </x:c>
      <x:c r="S96" s="60" t="n">
        <x:v>87.4</x:v>
      </x:c>
      <x:c r="T96" s="60" t="n">
        <x:v>87.8</x:v>
      </x:c>
      <x:c r="U96" s="60" t="n">
        <x:v>87.6</x:v>
      </x:c>
      <x:c r="V96" s="60" t="n">
        <x:v>88</x:v>
      </x:c>
      <x:c r="W96" s="60" t="n">
        <x:v>88.2</x:v>
      </x:c>
      <x:c r="X96" s="60" t="n">
        <x:v>89</x:v>
      </x:c>
      <x:c r="Y96" s="60" t="n">
        <x:v>84.2</x:v>
      </x:c>
      <x:c r="Z96" s="60" t="n">
        <x:v>89.1</x:v>
      </x:c>
      <x:c r="AA96" s="60" t="n">
        <x:v>85</x:v>
      </x:c>
      <x:c r="AB96" s="60" t="n">
        <x:v>14</x:v>
      </x:c>
      <x:c r="AC96" s="60" t="n">
        <x:f>ROUND(((0.30*V96+0.20*W96+0.25*X96+0.15*Y96+0.10*AA96)+(0.30*Z96+0.20*X96+0.20*W96+0.15*AA96+0.15*(100-AB96)))/2,2)</x:f>
        <x:v>87.62</x:v>
      </x:c>
      <x:c r="AD96" s="60" t="n">
        <x:v>88</x:v>
      </x:c>
      <x:c r="AE96" s="60" t="n">
        <x:v>88.1</x:v>
      </x:c>
      <x:c r="AF96" s="60" t="n">
        <x:v>89</x:v>
      </x:c>
      <x:c r="AG96" s="60" t="n">
        <x:v>84.2</x:v>
      </x:c>
      <x:c r="AH96" s="60" t="n">
        <x:v>89.1</x:v>
      </x:c>
      <x:c r="AI96" s="60" t="n">
        <x:v>85</x:v>
      </x:c>
      <x:c r="AJ96" s="60" t="n">
        <x:v>14</x:v>
      </x:c>
      <x:c r="AK96" s="60" t="n">
        <x:f>ROUND(((0.30*AD96+0.20*AE96+0.25*AF96+0.15*AG96+0.10*AI96)+(0.30*AH96+0.20*AF96+0.20*AE96+0.15*AI96+0.15*(100-AJ96)))/2,2)</x:f>
        <x:v>87.6</x:v>
      </x:c>
      <x:c r="AL96" s="60" t="n">
        <x:v>88</x:v>
      </x:c>
      <x:c r="AM96" s="60" t="n">
        <x:v>88.1</x:v>
      </x:c>
      <x:c r="AN96" s="60" t="n">
        <x:v>89</x:v>
      </x:c>
      <x:c r="AO96" s="60" t="n">
        <x:v>84.2</x:v>
      </x:c>
      <x:c r="AP96" s="60" t="n">
        <x:v>89.1</x:v>
      </x:c>
      <x:c r="AQ96" s="60" t="n">
        <x:v>85</x:v>
      </x:c>
      <x:c r="AR96" s="60" t="n">
        <x:v>14</x:v>
      </x:c>
      <x:c r="AS96" s="60" t="n">
        <x:f>ROUND(((0.30*AL96+0.20*AM96+0.25*AN96+0.15*AO96+0.10*AQ96)+(0.30*AP96+0.20*AN96+0.20*AM96+0.15*AQ96+0.15*(100-AR96)))/2,2)</x:f>
        <x:v>87.6</x:v>
      </x:c>
      <x:c r="AT96" s="60" t="n">
        <x:f>ROUND(AVERAGE(V96,AD96,AL96),1)</x:f>
        <x:v>88</x:v>
      </x:c>
      <x:c r="AU96" s="60" t="n">
        <x:f>ROUND(AVERAGE(W96,AE96,AM96),1)</x:f>
        <x:v>88.1</x:v>
      </x:c>
      <x:c r="AV96" s="60" t="n">
        <x:f>ROUND(AVERAGE(X96,AF96,AN96),1)</x:f>
        <x:v>89</x:v>
      </x:c>
      <x:c r="AW96" s="60" t="n">
        <x:f>ROUND(AVERAGE(Y96,AG96,AO96),1)</x:f>
        <x:v>84.2</x:v>
      </x:c>
      <x:c r="AX96" s="60" t="n">
        <x:f>ROUND(AVERAGE(Z96,AH96,AP96),1)</x:f>
        <x:v>89.1</x:v>
      </x:c>
      <x:c r="AY96" s="60" t="n">
        <x:f>ROUND(AVERAGE(AA96,AI96,AQ96),1)</x:f>
        <x:v>85</x:v>
      </x:c>
      <x:c r="AZ96" s="60" t="n">
        <x:f>ROUND(AVERAGE(AB96,AJ96,AR96),1)</x:f>
        <x:v>14</x:v>
      </x:c>
      <x:c r="BA96" s="59" t="n">
        <x:v>6</x:v>
      </x:c>
      <x:c r="BB96" s="60" t="n">
        <x:f>ROUND(0.30*AT96+0.20*AU96+0.25*AV96+0.15*AW96+0.10*AY96,2)</x:f>
        <x:v>87.4</x:v>
      </x:c>
      <x:c r="BC96" s="60" t="n">
        <x:f>ROUND(0.30*AX96+0.20*AV96+0.20*AU96+0.15*AY96+0.15*(100-AZ96),2)</x:f>
        <x:v>87.8</x:v>
      </x:c>
      <x:c r="BD96" s="60" t="n">
        <x:f>ROUND(AVERAGE(BB96,BC96),2)</x:f>
        <x:v>87.6</x:v>
      </x:c>
      <x:c r="BE96" s="60" t="n">
        <x:f>ROUND(BD96-U96,2)</x:f>
        <x:v>0</x:v>
      </x:c>
      <x:c r="BF96" s="60" t="n">
        <x:f>ROUND(STDEV.P(AC96,AK96,AS96),3)</x:f>
        <x:v>0.009</x:v>
      </x:c>
      <x:c r="BG96" s="59" t="str">
        <x:v>Top100</x:v>
      </x:c>
      <x:c r="BH96" s="59" t="str">
        <x:v>Top50三轮复核</x:v>
      </x:c>
      <x:c r="BI96" s="40" t="str">
        <x:v>三轮复核后与原表基本一致</x:v>
      </x:c>
    </x:row>
    <x:row r="97" ht="30" customHeight="1">
      <x:c r="A97" s="59" t="n">
        <x:v>96</x:v>
      </x:c>
      <x:c r="B97" s="59" t="n">
        <x:v>95</x:v>
      </x:c>
      <x:c r="C97" s="59" t="str">
        <x:v>2026-05</x:v>
      </x:c>
      <x:c r="D97" s="59" t="n">
        <x:v>45</x:v>
      </x:c>
      <x:c r="E97" s="59" t="str">
        <x:v>2605.06128</x:v>
      </x:c>
      <x:c r="F97" s="40" t="str">
        <x:v>Uniform small energy regularity for fractional geometric problems</x:v>
      </x:c>
      <x:c r="G97" s="40" t="str">
        <x:v>Marco Badran; Giacomo Cozzi</x:v>
      </x:c>
      <x:c r="H97" s="40" t="str">
        <x:v>Fractional geometric PDE</x:v>
      </x:c>
      <x:c r="I97" s="59" t="n">
        <x:v>21</x:v>
      </x:c>
      <x:c r="J97" s="40" t="str">
        <x:v>https://arxiv.org/abs/2605.06128</x:v>
      </x:c>
      <x:c r="K97" s="60" t="n">
        <x:v>88</x:v>
      </x:c>
      <x:c r="L97" s="60" t="n">
        <x:v>88</x:v>
      </x:c>
      <x:c r="M97" s="60" t="n">
        <x:v>89</x:v>
      </x:c>
      <x:c r="N97" s="60" t="n">
        <x:v>84</x:v>
      </x:c>
      <x:c r="O97" s="60" t="n">
        <x:v>89</x:v>
      </x:c>
      <x:c r="P97" s="60" t="n">
        <x:v>85</x:v>
      </x:c>
      <x:c r="Q97" s="60" t="n">
        <x:v>14</x:v>
      </x:c>
      <x:c r="R97" s="59" t="n">
        <x:v>6</x:v>
      </x:c>
      <x:c r="S97" s="60" t="n">
        <x:v>87.4</x:v>
      </x:c>
      <x:c r="T97" s="60" t="n">
        <x:v>87.8</x:v>
      </x:c>
      <x:c r="U97" s="60" t="n">
        <x:v>87.6</x:v>
      </x:c>
      <x:c r="V97" s="60" t="n">
        <x:v>88</x:v>
      </x:c>
      <x:c r="W97" s="60" t="n">
        <x:v>88</x:v>
      </x:c>
      <x:c r="X97" s="60" t="n">
        <x:v>89</x:v>
      </x:c>
      <x:c r="Y97" s="60" t="n">
        <x:v>84</x:v>
      </x:c>
      <x:c r="Z97" s="60" t="n">
        <x:v>89</x:v>
      </x:c>
      <x:c r="AA97" s="60" t="n">
        <x:v>85</x:v>
      </x:c>
      <x:c r="AB97" s="60" t="n">
        <x:v>14</x:v>
      </x:c>
      <x:c r="AC97" s="60" t="n">
        <x:f>ROUND(((0.30*V97+0.20*W97+0.25*X97+0.15*Y97+0.10*AA97)+(0.30*Z97+0.20*X97+0.20*W97+0.15*AA97+0.15*(100-AB97)))/2,2)</x:f>
        <x:v>87.55</x:v>
      </x:c>
      <x:c r="AD97" s="60" t="n">
        <x:v>88</x:v>
      </x:c>
      <x:c r="AE97" s="60" t="n">
        <x:v>88</x:v>
      </x:c>
      <x:c r="AF97" s="60" t="n">
        <x:v>89</x:v>
      </x:c>
      <x:c r="AG97" s="60" t="n">
        <x:v>84.1</x:v>
      </x:c>
      <x:c r="AH97" s="60" t="n">
        <x:v>89</x:v>
      </x:c>
      <x:c r="AI97" s="60" t="n">
        <x:v>85</x:v>
      </x:c>
      <x:c r="AJ97" s="60" t="n">
        <x:v>14.4</x:v>
      </x:c>
      <x:c r="AK97" s="60" t="n">
        <x:f>ROUND(((0.30*AD97+0.20*AE97+0.25*AF97+0.15*AG97+0.10*AI97)+(0.30*AH97+0.20*AF97+0.20*AE97+0.15*AI97+0.15*(100-AJ97)))/2,2)</x:f>
        <x:v>87.53</x:v>
      </x:c>
      <x:c r="AL97" s="60" t="n">
        <x:v>88</x:v>
      </x:c>
      <x:c r="AM97" s="60" t="n">
        <x:v>88</x:v>
      </x:c>
      <x:c r="AN97" s="60" t="n">
        <x:v>89</x:v>
      </x:c>
      <x:c r="AO97" s="60" t="n">
        <x:v>84</x:v>
      </x:c>
      <x:c r="AP97" s="60" t="n">
        <x:v>89</x:v>
      </x:c>
      <x:c r="AQ97" s="60" t="n">
        <x:v>85</x:v>
      </x:c>
      <x:c r="AR97" s="60" t="n">
        <x:v>14</x:v>
      </x:c>
      <x:c r="AS97" s="60" t="n">
        <x:f>ROUND(((0.30*AL97+0.20*AM97+0.25*AN97+0.15*AO97+0.10*AQ97)+(0.30*AP97+0.20*AN97+0.20*AM97+0.15*AQ97+0.15*(100-AR97)))/2,2)</x:f>
        <x:v>87.55</x:v>
      </x:c>
      <x:c r="AT97" s="60" t="n">
        <x:f>ROUND(AVERAGE(V97,AD97,AL97),1)</x:f>
        <x:v>88</x:v>
      </x:c>
      <x:c r="AU97" s="60" t="n">
        <x:f>ROUND(AVERAGE(W97,AE97,AM97),1)</x:f>
        <x:v>88</x:v>
      </x:c>
      <x:c r="AV97" s="60" t="n">
        <x:f>ROUND(AVERAGE(X97,AF97,AN97),1)</x:f>
        <x:v>89</x:v>
      </x:c>
      <x:c r="AW97" s="60" t="n">
        <x:f>ROUND(AVERAGE(Y97,AG97,AO97),1)</x:f>
        <x:v>84</x:v>
      </x:c>
      <x:c r="AX97" s="60" t="n">
        <x:f>ROUND(AVERAGE(Z97,AH97,AP97),1)</x:f>
        <x:v>89</x:v>
      </x:c>
      <x:c r="AY97" s="60" t="n">
        <x:f>ROUND(AVERAGE(AA97,AI97,AQ97),1)</x:f>
        <x:v>85</x:v>
      </x:c>
      <x:c r="AZ97" s="60" t="n">
        <x:f>ROUND(AVERAGE(AB97,AJ97,AR97),1)</x:f>
        <x:v>14.1</x:v>
      </x:c>
      <x:c r="BA97" s="59" t="n">
        <x:v>6</x:v>
      </x:c>
      <x:c r="BB97" s="60" t="n">
        <x:f>ROUND(0.30*AT97+0.20*AU97+0.25*AV97+0.15*AW97+0.10*AY97,2)</x:f>
        <x:v>87.35</x:v>
      </x:c>
      <x:c r="BC97" s="60" t="n">
        <x:f>ROUND(0.30*AX97+0.20*AV97+0.20*AU97+0.15*AY97+0.15*(100-AZ97),2)</x:f>
        <x:v>87.74</x:v>
      </x:c>
      <x:c r="BD97" s="60" t="n">
        <x:f>ROUND(AVERAGE(BB97,BC97),2)</x:f>
        <x:v>87.54</x:v>
      </x:c>
      <x:c r="BE97" s="60" t="n">
        <x:f>ROUND(BD97-U97,2)</x:f>
        <x:v>-0.06</x:v>
      </x:c>
      <x:c r="BF97" s="60" t="n">
        <x:f>ROUND(STDEV.P(AC97,AK97,AS97),3)</x:f>
        <x:v>0.009</x:v>
      </x:c>
      <x:c r="BG97" s="59" t="str">
        <x:v>Top100</x:v>
      </x:c>
      <x:c r="BH97" s="59" t="str">
        <x:v>Top50三轮复核</x:v>
      </x:c>
      <x:c r="BI97" s="40" t="str">
        <x:v>三轮复核后与原表基本一致</x:v>
      </x:c>
    </x:row>
    <x:row r="98" ht="30" customHeight="1">
      <x:c r="A98" s="59" t="n">
        <x:v>97</x:v>
      </x:c>
      <x:c r="B98" s="59" t="n">
        <x:v>97</x:v>
      </x:c>
      <x:c r="C98" s="59" t="str">
        <x:v>2026-05</x:v>
      </x:c>
      <x:c r="D98" s="59" t="n">
        <x:v>47</x:v>
      </x:c>
      <x:c r="E98" s="59" t="str">
        <x:v>2605.00694</x:v>
      </x:c>
      <x:c r="F98" s="40" t="str">
        <x:v>Unstable free boundary problems in optimal control theory: existence and regularity</x:v>
      </x:c>
      <x:c r="G98" s="40" t="str">
        <x:v>Lorenzo Ferreri; Idriss Mazari-Fouquer; Raphael Prunier</x:v>
      </x:c>
      <x:c r="H98" s="40" t="str">
        <x:v>Free boundary / control</x:v>
      </x:c>
      <x:c r="I98" s="59" t="n">
        <x:v>61</x:v>
      </x:c>
      <x:c r="J98" s="40" t="str">
        <x:v>https://arxiv.org/abs/2605.00694</x:v>
      </x:c>
      <x:c r="K98" s="60" t="n">
        <x:v>88</x:v>
      </x:c>
      <x:c r="L98" s="60" t="n">
        <x:v>88</x:v>
      </x:c>
      <x:c r="M98" s="60" t="n">
        <x:v>89</x:v>
      </x:c>
      <x:c r="N98" s="60" t="n">
        <x:v>84</x:v>
      </x:c>
      <x:c r="O98" s="60" t="n">
        <x:v>89</x:v>
      </x:c>
      <x:c r="P98" s="60" t="n">
        <x:v>85</x:v>
      </x:c>
      <x:c r="Q98" s="60" t="n">
        <x:v>15</x:v>
      </x:c>
      <x:c r="R98" s="59" t="n">
        <x:v>6</x:v>
      </x:c>
      <x:c r="S98" s="60" t="n">
        <x:v>87.4</x:v>
      </x:c>
      <x:c r="T98" s="60" t="n">
        <x:v>87.6</x:v>
      </x:c>
      <x:c r="U98" s="60" t="n">
        <x:v>87.5</x:v>
      </x:c>
      <x:c r="V98" s="60" t="n">
        <x:v>88</x:v>
      </x:c>
      <x:c r="W98" s="60" t="n">
        <x:v>88</x:v>
      </x:c>
      <x:c r="X98" s="60" t="n">
        <x:v>89</x:v>
      </x:c>
      <x:c r="Y98" s="60" t="n">
        <x:v>84</x:v>
      </x:c>
      <x:c r="Z98" s="60" t="n">
        <x:v>89</x:v>
      </x:c>
      <x:c r="AA98" s="60" t="n">
        <x:v>85</x:v>
      </x:c>
      <x:c r="AB98" s="60" t="n">
        <x:v>15</x:v>
      </x:c>
      <x:c r="AC98" s="60" t="n">
        <x:f>ROUND(((0.30*V98+0.20*W98+0.25*X98+0.15*Y98+0.10*AA98)+(0.30*Z98+0.20*X98+0.20*W98+0.15*AA98+0.15*(100-AB98)))/2,2)</x:f>
        <x:v>87.48</x:v>
      </x:c>
      <x:c r="AD98" s="60" t="n">
        <x:v>88</x:v>
      </x:c>
      <x:c r="AE98" s="60" t="n">
        <x:v>88</x:v>
      </x:c>
      <x:c r="AF98" s="60" t="n">
        <x:v>89</x:v>
      </x:c>
      <x:c r="AG98" s="60" t="n">
        <x:v>84.1</x:v>
      </x:c>
      <x:c r="AH98" s="60" t="n">
        <x:v>89</x:v>
      </x:c>
      <x:c r="AI98" s="60" t="n">
        <x:v>85</x:v>
      </x:c>
      <x:c r="AJ98" s="60" t="n">
        <x:v>15</x:v>
      </x:c>
      <x:c r="AK98" s="60" t="n">
        <x:f>ROUND(((0.30*AD98+0.20*AE98+0.25*AF98+0.15*AG98+0.10*AI98)+(0.30*AH98+0.20*AF98+0.20*AE98+0.15*AI98+0.15*(100-AJ98)))/2,2)</x:f>
        <x:v>87.48</x:v>
      </x:c>
      <x:c r="AL98" s="60" t="n">
        <x:v>88</x:v>
      </x:c>
      <x:c r="AM98" s="60" t="n">
        <x:v>88</x:v>
      </x:c>
      <x:c r="AN98" s="60" t="n">
        <x:v>89</x:v>
      </x:c>
      <x:c r="AO98" s="60" t="n">
        <x:v>84</x:v>
      </x:c>
      <x:c r="AP98" s="60" t="n">
        <x:v>89</x:v>
      </x:c>
      <x:c r="AQ98" s="60" t="n">
        <x:v>85</x:v>
      </x:c>
      <x:c r="AR98" s="60" t="n">
        <x:v>15</x:v>
      </x:c>
      <x:c r="AS98" s="60" t="n">
        <x:f>ROUND(((0.30*AL98+0.20*AM98+0.25*AN98+0.15*AO98+0.10*AQ98)+(0.30*AP98+0.20*AN98+0.20*AM98+0.15*AQ98+0.15*(100-AR98)))/2,2)</x:f>
        <x:v>87.48</x:v>
      </x:c>
      <x:c r="AT98" s="60" t="n">
        <x:f>ROUND(AVERAGE(V98,AD98,AL98),1)</x:f>
        <x:v>88</x:v>
      </x:c>
      <x:c r="AU98" s="60" t="n">
        <x:f>ROUND(AVERAGE(W98,AE98,AM98),1)</x:f>
        <x:v>88</x:v>
      </x:c>
      <x:c r="AV98" s="60" t="n">
        <x:f>ROUND(AVERAGE(X98,AF98,AN98),1)</x:f>
        <x:v>89</x:v>
      </x:c>
      <x:c r="AW98" s="60" t="n">
        <x:f>ROUND(AVERAGE(Y98,AG98,AO98),1)</x:f>
        <x:v>84</x:v>
      </x:c>
      <x:c r="AX98" s="60" t="n">
        <x:f>ROUND(AVERAGE(Z98,AH98,AP98),1)</x:f>
        <x:v>89</x:v>
      </x:c>
      <x:c r="AY98" s="60" t="n">
        <x:f>ROUND(AVERAGE(AA98,AI98,AQ98),1)</x:f>
        <x:v>85</x:v>
      </x:c>
      <x:c r="AZ98" s="60" t="n">
        <x:f>ROUND(AVERAGE(AB98,AJ98,AR98),1)</x:f>
        <x:v>15</x:v>
      </x:c>
      <x:c r="BA98" s="59" t="n">
        <x:v>6</x:v>
      </x:c>
      <x:c r="BB98" s="60" t="n">
        <x:f>ROUND(0.30*AT98+0.20*AU98+0.25*AV98+0.15*AW98+0.10*AY98,2)</x:f>
        <x:v>87.35</x:v>
      </x:c>
      <x:c r="BC98" s="60" t="n">
        <x:f>ROUND(0.30*AX98+0.20*AV98+0.20*AU98+0.15*AY98+0.15*(100-AZ98),2)</x:f>
        <x:v>87.6</x:v>
      </x:c>
      <x:c r="BD98" s="60" t="n">
        <x:f>ROUND(AVERAGE(BB98,BC98),2)</x:f>
        <x:v>87.48</x:v>
      </x:c>
      <x:c r="BE98" s="60" t="n">
        <x:f>ROUND(BD98-U98,2)</x:f>
        <x:v>-0.02</x:v>
      </x:c>
      <x:c r="BF98" s="60" t="n">
        <x:f>ROUND(STDEV.P(AC98,AK98,AS98),3)</x:f>
        <x:v>0</x:v>
      </x:c>
      <x:c r="BG98" s="59" t="str">
        <x:v>Top100</x:v>
      </x:c>
      <x:c r="BH98" s="59" t="str">
        <x:v>Top50三轮复核</x:v>
      </x:c>
      <x:c r="BI98" s="40" t="str">
        <x:v>三轮复核后与原表基本一致</x:v>
      </x:c>
    </x:row>
    <x:row r="99" ht="30" customHeight="1">
      <x:c r="A99" s="59" t="n">
        <x:v>98</x:v>
      </x:c>
      <x:c r="B99" s="59" t="n">
        <x:v>98</x:v>
      </x:c>
      <x:c r="C99" s="59" t="str">
        <x:v>2026-05</x:v>
      </x:c>
      <x:c r="D99" s="59" t="n">
        <x:v>48</x:v>
      </x:c>
      <x:c r="E99" s="59" t="str">
        <x:v>2605.28504</x:v>
      </x:c>
      <x:c r="F99" s="40" t="str">
        <x:v>Minimal surfaces with rapid area growth</x:v>
      </x:c>
      <x:c r="G99" s="40" t="str">
        <x:v>Tobias Holck Colding; Francisco Martin; William P. Minicozzi II</x:v>
      </x:c>
      <x:c r="H99" s="40" t="str">
        <x:v>Minimal surfaces</x:v>
      </x:c>
      <x:c r="I99" s="59"/>
      <x:c r="J99" s="40" t="str">
        <x:v>https://arxiv.org/abs/2605.28504</x:v>
      </x:c>
      <x:c r="K99" s="60" t="n">
        <x:v>88</x:v>
      </x:c>
      <x:c r="L99" s="60" t="n">
        <x:v>89</x:v>
      </x:c>
      <x:c r="M99" s="60" t="n">
        <x:v>87</x:v>
      </x:c>
      <x:c r="N99" s="60" t="n">
        <x:v>87</x:v>
      </x:c>
      <x:c r="O99" s="60" t="n">
        <x:v>87</x:v>
      </x:c>
      <x:c r="P99" s="60" t="n">
        <x:v>86</x:v>
      </x:c>
      <x:c r="Q99" s="60" t="n">
        <x:v>13</x:v>
      </x:c>
      <x:c r="R99" s="59" t="n">
        <x:v>5</x:v>
      </x:c>
      <x:c r="S99" s="60" t="n">
        <x:v>87.6</x:v>
      </x:c>
      <x:c r="T99" s="60" t="n">
        <x:v>87.3</x:v>
      </x:c>
      <x:c r="U99" s="60" t="n">
        <x:v>87.4</x:v>
      </x:c>
      <x:c r="V99" s="60" t="n">
        <x:v>88</x:v>
      </x:c>
      <x:c r="W99" s="60" t="n">
        <x:v>89</x:v>
      </x:c>
      <x:c r="X99" s="60" t="n">
        <x:v>87</x:v>
      </x:c>
      <x:c r="Y99" s="60" t="n">
        <x:v>87</x:v>
      </x:c>
      <x:c r="Z99" s="60" t="n">
        <x:v>87</x:v>
      </x:c>
      <x:c r="AA99" s="60" t="n">
        <x:v>86</x:v>
      </x:c>
      <x:c r="AB99" s="60" t="n">
        <x:v>13</x:v>
      </x:c>
      <x:c r="AC99" s="60" t="n">
        <x:f>ROUND(((0.30*V99+0.20*W99+0.25*X99+0.15*Y99+0.10*AA99)+(0.30*Z99+0.20*X99+0.20*W99+0.15*AA99+0.15*(100-AB99)))/2,2)</x:f>
        <x:v>87.43</x:v>
      </x:c>
      <x:c r="AD99" s="60" t="n">
        <x:v>88</x:v>
      </x:c>
      <x:c r="AE99" s="60" t="n">
        <x:v>89</x:v>
      </x:c>
      <x:c r="AF99" s="60" t="n">
        <x:v>87</x:v>
      </x:c>
      <x:c r="AG99" s="60" t="n">
        <x:v>87</x:v>
      </x:c>
      <x:c r="AH99" s="60" t="n">
        <x:v>87</x:v>
      </x:c>
      <x:c r="AI99" s="60" t="n">
        <x:v>86</x:v>
      </x:c>
      <x:c r="AJ99" s="60" t="n">
        <x:v>13</x:v>
      </x:c>
      <x:c r="AK99" s="60" t="n">
        <x:f>ROUND(((0.30*AD99+0.20*AE99+0.25*AF99+0.15*AG99+0.10*AI99)+(0.30*AH99+0.20*AF99+0.20*AE99+0.15*AI99+0.15*(100-AJ99)))/2,2)</x:f>
        <x:v>87.43</x:v>
      </x:c>
      <x:c r="AL99" s="60" t="n">
        <x:v>88</x:v>
      </x:c>
      <x:c r="AM99" s="60" t="n">
        <x:v>89</x:v>
      </x:c>
      <x:c r="AN99" s="60" t="n">
        <x:v>87</x:v>
      </x:c>
      <x:c r="AO99" s="60" t="n">
        <x:v>87</x:v>
      </x:c>
      <x:c r="AP99" s="60" t="n">
        <x:v>87</x:v>
      </x:c>
      <x:c r="AQ99" s="60" t="n">
        <x:v>86</x:v>
      </x:c>
      <x:c r="AR99" s="60" t="n">
        <x:v>13</x:v>
      </x:c>
      <x:c r="AS99" s="60" t="n">
        <x:f>ROUND(((0.30*AL99+0.20*AM99+0.25*AN99+0.15*AO99+0.10*AQ99)+(0.30*AP99+0.20*AN99+0.20*AM99+0.15*AQ99+0.15*(100-AR99)))/2,2)</x:f>
        <x:v>87.43</x:v>
      </x:c>
      <x:c r="AT99" s="60" t="n">
        <x:f>ROUND(AVERAGE(V99,AD99,AL99),1)</x:f>
        <x:v>88</x:v>
      </x:c>
      <x:c r="AU99" s="60" t="n">
        <x:f>ROUND(AVERAGE(W99,AE99,AM99),1)</x:f>
        <x:v>89</x:v>
      </x:c>
      <x:c r="AV99" s="60" t="n">
        <x:f>ROUND(AVERAGE(X99,AF99,AN99),1)</x:f>
        <x:v>87</x:v>
      </x:c>
      <x:c r="AW99" s="60" t="n">
        <x:f>ROUND(AVERAGE(Y99,AG99,AO99),1)</x:f>
        <x:v>87</x:v>
      </x:c>
      <x:c r="AX99" s="60" t="n">
        <x:f>ROUND(AVERAGE(Z99,AH99,AP99),1)</x:f>
        <x:v>87</x:v>
      </x:c>
      <x:c r="AY99" s="60" t="n">
        <x:f>ROUND(AVERAGE(AA99,AI99,AQ99),1)</x:f>
        <x:v>86</x:v>
      </x:c>
      <x:c r="AZ99" s="60" t="n">
        <x:f>ROUND(AVERAGE(AB99,AJ99,AR99),1)</x:f>
        <x:v>13</x:v>
      </x:c>
      <x:c r="BA99" s="59" t="n">
        <x:v>5</x:v>
      </x:c>
      <x:c r="BB99" s="60" t="n">
        <x:f>ROUND(0.30*AT99+0.20*AU99+0.25*AV99+0.15*AW99+0.10*AY99,2)</x:f>
        <x:v>87.6</x:v>
      </x:c>
      <x:c r="BC99" s="60" t="n">
        <x:f>ROUND(0.30*AX99+0.20*AV99+0.20*AU99+0.15*AY99+0.15*(100-AZ99),2)</x:f>
        <x:v>87.25</x:v>
      </x:c>
      <x:c r="BD99" s="60" t="n">
        <x:f>ROUND(AVERAGE(BB99,BC99),2)</x:f>
        <x:v>87.43</x:v>
      </x:c>
      <x:c r="BE99" s="60" t="n">
        <x:f>ROUND(BD99-U99,2)</x:f>
        <x:v>0.03</x:v>
      </x:c>
      <x:c r="BF99" s="60" t="n">
        <x:f>ROUND(STDEV.P(AC99,AK99,AS99),3)</x:f>
        <x:v>0</x:v>
      </x:c>
      <x:c r="BG99" s="59" t="str">
        <x:v>Top100</x:v>
      </x:c>
      <x:c r="BH99" s="59" t="str">
        <x:v>Top50三轮复核</x:v>
      </x:c>
      <x:c r="BI99" s="40" t="str">
        <x:v>三轮复核后与原表基本一致</x:v>
      </x:c>
    </x:row>
    <x:row r="100" ht="30" customHeight="1">
      <x:c r="A100" s="59" t="n">
        <x:v>99</x:v>
      </x:c>
      <x:c r="B100" s="59" t="n">
        <x:v>101</x:v>
      </x:c>
      <x:c r="C100" s="59" t="str">
        <x:v>2026-05</x:v>
      </x:c>
      <x:c r="D100" s="59" t="n">
        <x:v>48</x:v>
      </x:c>
      <x:c r="E100" s="59" t="str">
        <x:v>2605.02345</x:v>
      </x:c>
      <x:c r="F100" s="40" t="str">
        <x:v>Sharp regularity for a class of degenerate/singular fully nonlinear elliptic equations with Hamiltonian terms</x:v>
      </x:c>
      <x:c r="G100" s="40" t="str">
        <x:v>Wentao Huo; Xiaofeng Jin; Lingwei Ma; Zhenqiu Zhang</x:v>
      </x:c>
      <x:c r="H100" s="40" t="str">
        <x:v>Fully nonlinear elliptic regularity</x:v>
      </x:c>
      <x:c r="I100" s="59" t="n">
        <x:v>28</x:v>
      </x:c>
      <x:c r="J100" s="40" t="str">
        <x:v>https://arxiv.org/abs/2605.02345</x:v>
      </x:c>
      <x:c r="K100" s="60" t="n">
        <x:v>88</x:v>
      </x:c>
      <x:c r="L100" s="60" t="n">
        <x:v>87</x:v>
      </x:c>
      <x:c r="M100" s="60" t="n">
        <x:v>89</x:v>
      </x:c>
      <x:c r="N100" s="60" t="n">
        <x:v>84</x:v>
      </x:c>
      <x:c r="O100" s="60" t="n">
        <x:v>89</x:v>
      </x:c>
      <x:c r="P100" s="60" t="n">
        <x:v>86</x:v>
      </x:c>
      <x:c r="Q100" s="60" t="n">
        <x:v>15</x:v>
      </x:c>
      <x:c r="R100" s="59" t="n">
        <x:v>6</x:v>
      </x:c>
      <x:c r="S100" s="60" t="n">
        <x:v>87.2</x:v>
      </x:c>
      <x:c r="T100" s="60" t="n">
        <x:v>87.6</x:v>
      </x:c>
      <x:c r="U100" s="60" t="n">
        <x:v>87.4</x:v>
      </x:c>
      <x:c r="V100" s="60" t="n">
        <x:v>87.9</x:v>
      </x:c>
      <x:c r="W100" s="60" t="n">
        <x:v>87.2</x:v>
      </x:c>
      <x:c r="X100" s="60" t="n">
        <x:v>89</x:v>
      </x:c>
      <x:c r="Y100" s="60" t="n">
        <x:v>84</x:v>
      </x:c>
      <x:c r="Z100" s="60" t="n">
        <x:v>89.1</x:v>
      </x:c>
      <x:c r="AA100" s="60" t="n">
        <x:v>86</x:v>
      </x:c>
      <x:c r="AB100" s="60" t="n">
        <x:v>15</x:v>
      </x:c>
      <x:c r="AC100" s="60" t="n">
        <x:f>ROUND(((0.30*V100+0.20*W100+0.25*X100+0.15*Y100+0.10*AA100)+(0.30*Z100+0.20*X100+0.20*W100+0.15*AA100+0.15*(100-AB100)))/2,2)</x:f>
        <x:v>87.44</x:v>
      </x:c>
      <x:c r="AD100" s="60" t="n">
        <x:v>87.9</x:v>
      </x:c>
      <x:c r="AE100" s="60" t="n">
        <x:v>87.1</x:v>
      </x:c>
      <x:c r="AF100" s="60" t="n">
        <x:v>89</x:v>
      </x:c>
      <x:c r="AG100" s="60" t="n">
        <x:v>84.1</x:v>
      </x:c>
      <x:c r="AH100" s="60" t="n">
        <x:v>89.1</x:v>
      </x:c>
      <x:c r="AI100" s="60" t="n">
        <x:v>86</x:v>
      </x:c>
      <x:c r="AJ100" s="60" t="n">
        <x:v>15</x:v>
      </x:c>
      <x:c r="AK100" s="60" t="n">
        <x:f>ROUND(((0.30*AD100+0.20*AE100+0.25*AF100+0.15*AG100+0.10*AI100)+(0.30*AH100+0.20*AF100+0.20*AE100+0.15*AI100+0.15*(100-AJ100)))/2,2)</x:f>
        <x:v>87.43</x:v>
      </x:c>
      <x:c r="AL100" s="60" t="n">
        <x:v>87.9</x:v>
      </x:c>
      <x:c r="AM100" s="60" t="n">
        <x:v>87.1</x:v>
      </x:c>
      <x:c r="AN100" s="60" t="n">
        <x:v>89</x:v>
      </x:c>
      <x:c r="AO100" s="60" t="n">
        <x:v>84</x:v>
      </x:c>
      <x:c r="AP100" s="60" t="n">
        <x:v>89.1</x:v>
      </x:c>
      <x:c r="AQ100" s="60" t="n">
        <x:v>86</x:v>
      </x:c>
      <x:c r="AR100" s="60" t="n">
        <x:v>15</x:v>
      </x:c>
      <x:c r="AS100" s="60" t="n">
        <x:f>ROUND(((0.30*AL100+0.20*AM100+0.25*AN100+0.15*AO100+0.10*AQ100)+(0.30*AP100+0.20*AN100+0.20*AM100+0.15*AQ100+0.15*(100-AR100)))/2,2)</x:f>
        <x:v>87.42</x:v>
      </x:c>
      <x:c r="AT100" s="60" t="n">
        <x:f>ROUND(AVERAGE(V100,AD100,AL100),1)</x:f>
        <x:v>87.9</x:v>
      </x:c>
      <x:c r="AU100" s="60" t="n">
        <x:f>ROUND(AVERAGE(W100,AE100,AM100),1)</x:f>
        <x:v>87.1</x:v>
      </x:c>
      <x:c r="AV100" s="60" t="n">
        <x:f>ROUND(AVERAGE(X100,AF100,AN100),1)</x:f>
        <x:v>89</x:v>
      </x:c>
      <x:c r="AW100" s="60" t="n">
        <x:f>ROUND(AVERAGE(Y100,AG100,AO100),1)</x:f>
        <x:v>84</x:v>
      </x:c>
      <x:c r="AX100" s="60" t="n">
        <x:f>ROUND(AVERAGE(Z100,AH100,AP100),1)</x:f>
        <x:v>89.1</x:v>
      </x:c>
      <x:c r="AY100" s="60" t="n">
        <x:f>ROUND(AVERAGE(AA100,AI100,AQ100),1)</x:f>
        <x:v>86</x:v>
      </x:c>
      <x:c r="AZ100" s="60" t="n">
        <x:f>ROUND(AVERAGE(AB100,AJ100,AR100),1)</x:f>
        <x:v>15</x:v>
      </x:c>
      <x:c r="BA100" s="59" t="n">
        <x:v>6</x:v>
      </x:c>
      <x:c r="BB100" s="60" t="n">
        <x:f>ROUND(0.30*AT100+0.20*AU100+0.25*AV100+0.15*AW100+0.10*AY100,2)</x:f>
        <x:v>87.24</x:v>
      </x:c>
      <x:c r="BC100" s="60" t="n">
        <x:f>ROUND(0.30*AX100+0.20*AV100+0.20*AU100+0.15*AY100+0.15*(100-AZ100),2)</x:f>
        <x:v>87.6</x:v>
      </x:c>
      <x:c r="BD100" s="60" t="n">
        <x:f>ROUND(AVERAGE(BB100,BC100),2)</x:f>
        <x:v>87.42</x:v>
      </x:c>
      <x:c r="BE100" s="60" t="n">
        <x:f>ROUND(BD100-U100,2)</x:f>
        <x:v>0.02</x:v>
      </x:c>
      <x:c r="BF100" s="60" t="n">
        <x:f>ROUND(STDEV.P(AC100,AK100,AS100),3)</x:f>
        <x:v>0.008</x:v>
      </x:c>
      <x:c r="BG100" s="59" t="str">
        <x:v>Top100</x:v>
      </x:c>
      <x:c r="BH100" s="59" t="str">
        <x:v>Top50三轮复核</x:v>
      </x:c>
      <x:c r="BI100" s="40" t="str">
        <x:v>范围偏专门，广度轻微回调</x:v>
      </x:c>
    </x:row>
    <x:row r="101" ht="30" customHeight="1">
      <x:c r="A101" s="59" t="n">
        <x:v>100</x:v>
      </x:c>
      <x:c r="B101" s="59" t="n">
        <x:v>100</x:v>
      </x:c>
      <x:c r="C101" s="59" t="str">
        <x:v>2026-05</x:v>
      </x:c>
      <x:c r="D101" s="59" t="n">
        <x:v>48</x:v>
      </x:c>
      <x:c r="E101" s="59" t="str">
        <x:v>2605.03220</x:v>
      </x:c>
      <x:c r="F101" s="40" t="str">
        <x:v>Late-time tails for linear waves on radially symmetric stationary spacetimes of two space dimensions</x:v>
      </x:c>
      <x:c r="G101" s="40" t="str">
        <x:v>Onyx Gautam</x:v>
      </x:c>
      <x:c r="H101" s="40" t="str">
        <x:v>Wave equations / relativity</x:v>
      </x:c>
      <x:c r="I101" s="59" t="n">
        <x:v>59</x:v>
      </x:c>
      <x:c r="J101" s="40" t="str">
        <x:v>https://arxiv.org/abs/2605.03220</x:v>
      </x:c>
      <x:c r="K101" s="60" t="n">
        <x:v>88</x:v>
      </x:c>
      <x:c r="L101" s="60" t="n">
        <x:v>88</x:v>
      </x:c>
      <x:c r="M101" s="60" t="n">
        <x:v>89</x:v>
      </x:c>
      <x:c r="N101" s="60" t="n">
        <x:v>84</x:v>
      </x:c>
      <x:c r="O101" s="60" t="n">
        <x:v>89</x:v>
      </x:c>
      <x:c r="P101" s="60" t="n">
        <x:v>84</x:v>
      </x:c>
      <x:c r="Q101" s="60" t="n">
        <x:v>15</x:v>
      </x:c>
      <x:c r="R101" s="59" t="n">
        <x:v>6</x:v>
      </x:c>
      <x:c r="S101" s="60" t="n">
        <x:v>87.3</x:v>
      </x:c>
      <x:c r="T101" s="60" t="n">
        <x:v>87.5</x:v>
      </x:c>
      <x:c r="U101" s="60" t="n">
        <x:v>87.4</x:v>
      </x:c>
      <x:c r="V101" s="60" t="n">
        <x:v>88</x:v>
      </x:c>
      <x:c r="W101" s="60" t="n">
        <x:v>88</x:v>
      </x:c>
      <x:c r="X101" s="60" t="n">
        <x:v>89.1</x:v>
      </x:c>
      <x:c r="Y101" s="60" t="n">
        <x:v>83.8</x:v>
      </x:c>
      <x:c r="Z101" s="60" t="n">
        <x:v>89.1</x:v>
      </x:c>
      <x:c r="AA101" s="60" t="n">
        <x:v>84</x:v>
      </x:c>
      <x:c r="AB101" s="60" t="n">
        <x:v>15</x:v>
      </x:c>
      <x:c r="AC101" s="60" t="n">
        <x:f>ROUND(((0.30*V101+0.20*W101+0.25*X101+0.15*Y101+0.10*AA101)+(0.30*Z101+0.20*X101+0.20*W101+0.15*AA101+0.15*(100-AB101)))/2,2)</x:f>
        <x:v>87.37</x:v>
      </x:c>
      <x:c r="AD101" s="60" t="n">
        <x:v>88</x:v>
      </x:c>
      <x:c r="AE101" s="60" t="n">
        <x:v>88</x:v>
      </x:c>
      <x:c r="AF101" s="60" t="n">
        <x:v>89.1</x:v>
      </x:c>
      <x:c r="AG101" s="60" t="n">
        <x:v>83.9</x:v>
      </x:c>
      <x:c r="AH101" s="60" t="n">
        <x:v>89.1</x:v>
      </x:c>
      <x:c r="AI101" s="60" t="n">
        <x:v>84</x:v>
      </x:c>
      <x:c r="AJ101" s="60" t="n">
        <x:v>15</x:v>
      </x:c>
      <x:c r="AK101" s="60" t="n">
        <x:f>ROUND(((0.30*AD101+0.20*AE101+0.25*AF101+0.15*AG101+0.10*AI101)+(0.30*AH101+0.20*AF101+0.20*AE101+0.15*AI101+0.15*(100-AJ101)))/2,2)</x:f>
        <x:v>87.38</x:v>
      </x:c>
      <x:c r="AL101" s="60" t="n">
        <x:v>88</x:v>
      </x:c>
      <x:c r="AM101" s="60" t="n">
        <x:v>88</x:v>
      </x:c>
      <x:c r="AN101" s="60" t="n">
        <x:v>89.1</x:v>
      </x:c>
      <x:c r="AO101" s="60" t="n">
        <x:v>83.8</x:v>
      </x:c>
      <x:c r="AP101" s="60" t="n">
        <x:v>89.1</x:v>
      </x:c>
      <x:c r="AQ101" s="60" t="n">
        <x:v>84</x:v>
      </x:c>
      <x:c r="AR101" s="60" t="n">
        <x:v>15</x:v>
      </x:c>
      <x:c r="AS101" s="60" t="n">
        <x:f>ROUND(((0.30*AL101+0.20*AM101+0.25*AN101+0.15*AO101+0.10*AQ101)+(0.30*AP101+0.20*AN101+0.20*AM101+0.15*AQ101+0.15*(100-AR101)))/2,2)</x:f>
        <x:v>87.37</x:v>
      </x:c>
      <x:c r="AT101" s="60" t="n">
        <x:f>ROUND(AVERAGE(V101,AD101,AL101),1)</x:f>
        <x:v>88</x:v>
      </x:c>
      <x:c r="AU101" s="60" t="n">
        <x:f>ROUND(AVERAGE(W101,AE101,AM101),1)</x:f>
        <x:v>88</x:v>
      </x:c>
      <x:c r="AV101" s="60" t="n">
        <x:f>ROUND(AVERAGE(X101,AF101,AN101),1)</x:f>
        <x:v>89.1</x:v>
      </x:c>
      <x:c r="AW101" s="60" t="n">
        <x:f>ROUND(AVERAGE(Y101,AG101,AO101),1)</x:f>
        <x:v>83.8</x:v>
      </x:c>
      <x:c r="AX101" s="60" t="n">
        <x:f>ROUND(AVERAGE(Z101,AH101,AP101),1)</x:f>
        <x:v>89.1</x:v>
      </x:c>
      <x:c r="AY101" s="60" t="n">
        <x:f>ROUND(AVERAGE(AA101,AI101,AQ101),1)</x:f>
        <x:v>84</x:v>
      </x:c>
      <x:c r="AZ101" s="60" t="n">
        <x:f>ROUND(AVERAGE(AB101,AJ101,AR101),1)</x:f>
        <x:v>15</x:v>
      </x:c>
      <x:c r="BA101" s="59" t="n">
        <x:v>6</x:v>
      </x:c>
      <x:c r="BB101" s="60" t="n">
        <x:f>ROUND(0.30*AT101+0.20*AU101+0.25*AV101+0.15*AW101+0.10*AY101,2)</x:f>
        <x:v>87.25</x:v>
      </x:c>
      <x:c r="BC101" s="60" t="n">
        <x:f>ROUND(0.30*AX101+0.20*AV101+0.20*AU101+0.15*AY101+0.15*(100-AZ101),2)</x:f>
        <x:v>87.5</x:v>
      </x:c>
      <x:c r="BD101" s="60" t="n">
        <x:f>ROUND(AVERAGE(BB101,BC101),2)</x:f>
        <x:v>87.38</x:v>
      </x:c>
      <x:c r="BE101" s="60" t="n">
        <x:f>ROUND(BD101-U101,2)</x:f>
        <x:v>-0.02</x:v>
      </x:c>
      <x:c r="BF101" s="60" t="n">
        <x:f>ROUND(STDEV.P(AC101,AK101,AS101),3)</x:f>
        <x:v>0.005</x:v>
      </x:c>
      <x:c r="BG101" s="59" t="str">
        <x:v>Top100</x:v>
      </x:c>
      <x:c r="BH101" s="59" t="str">
        <x:v>Top50三轮复核</x:v>
      </x:c>
      <x:c r="BI101" s="40" t="str">
        <x:v>范围偏专门，广度轻微回调</x:v>
      </x:c>
    </x:row>
    <x:row r="102" ht="30" customHeight="1">
      <x:c r="A102" s="59" t="n">
        <x:v>101</x:v>
      </x:c>
      <x:c r="B102" s="59" t="n">
        <x:v>99</x:v>
      </x:c>
      <x:c r="C102" s="59" t="str">
        <x:v>2026-05</x:v>
      </x:c>
      <x:c r="D102" s="59" t="n">
        <x:v>48</x:v>
      </x:c>
      <x:c r="E102" s="59" t="str">
        <x:v>2605.08573</x:v>
      </x:c>
      <x:c r="F102" s="40" t="str">
        <x:v>On the Existence of Boundary Layer Separation for Incompressible Fluid Flow in the Half-Space</x:v>
      </x:c>
      <x:c r="G102" s="40" t="str">
        <x:v>Tongkeun Chang; Kyungkeun Kang</x:v>
      </x:c>
      <x:c r="H102" s="40" t="str">
        <x:v>Boundary layers</x:v>
      </x:c>
      <x:c r="I102" s="59"/>
      <x:c r="J102" s="40" t="str">
        <x:v>https://arxiv.org/abs/2605.08573</x:v>
      </x:c>
      <x:c r="K102" s="60" t="n">
        <x:v>88</x:v>
      </x:c>
      <x:c r="L102" s="60" t="n">
        <x:v>88</x:v>
      </x:c>
      <x:c r="M102" s="60" t="n">
        <x:v>89</x:v>
      </x:c>
      <x:c r="N102" s="60" t="n">
        <x:v>84</x:v>
      </x:c>
      <x:c r="O102" s="60" t="n">
        <x:v>89</x:v>
      </x:c>
      <x:c r="P102" s="60" t="n">
        <x:v>84</x:v>
      </x:c>
      <x:c r="Q102" s="60" t="n">
        <x:v>15</x:v>
      </x:c>
      <x:c r="R102" s="59" t="n">
        <x:v>6</x:v>
      </x:c>
      <x:c r="S102" s="60" t="n">
        <x:v>87.3</x:v>
      </x:c>
      <x:c r="T102" s="60" t="n">
        <x:v>87.5</x:v>
      </x:c>
      <x:c r="U102" s="60" t="n">
        <x:v>87.4</x:v>
      </x:c>
      <x:c r="V102" s="60" t="n">
        <x:v>88</x:v>
      </x:c>
      <x:c r="W102" s="60" t="n">
        <x:v>88</x:v>
      </x:c>
      <x:c r="X102" s="60" t="n">
        <x:v>89</x:v>
      </x:c>
      <x:c r="Y102" s="60" t="n">
        <x:v>84</x:v>
      </x:c>
      <x:c r="Z102" s="60" t="n">
        <x:v>89</x:v>
      </x:c>
      <x:c r="AA102" s="60" t="n">
        <x:v>84</x:v>
      </x:c>
      <x:c r="AB102" s="60" t="n">
        <x:v>15</x:v>
      </x:c>
      <x:c r="AC102" s="60" t="n">
        <x:f>ROUND(((0.30*V102+0.20*W102+0.25*X102+0.15*Y102+0.10*AA102)+(0.30*Z102+0.20*X102+0.20*W102+0.15*AA102+0.15*(100-AB102)))/2,2)</x:f>
        <x:v>87.35</x:v>
      </x:c>
      <x:c r="AD102" s="60" t="n">
        <x:v>88</x:v>
      </x:c>
      <x:c r="AE102" s="60" t="n">
        <x:v>88</x:v>
      </x:c>
      <x:c r="AF102" s="60" t="n">
        <x:v>89</x:v>
      </x:c>
      <x:c r="AG102" s="60" t="n">
        <x:v>84.1</x:v>
      </x:c>
      <x:c r="AH102" s="60" t="n">
        <x:v>89</x:v>
      </x:c>
      <x:c r="AI102" s="60" t="n">
        <x:v>84</x:v>
      </x:c>
      <x:c r="AJ102" s="60" t="n">
        <x:v>15</x:v>
      </x:c>
      <x:c r="AK102" s="60" t="n">
        <x:f>ROUND(((0.30*AD102+0.20*AE102+0.25*AF102+0.15*AG102+0.10*AI102)+(0.30*AH102+0.20*AF102+0.20*AE102+0.15*AI102+0.15*(100-AJ102)))/2,2)</x:f>
        <x:v>87.36</x:v>
      </x:c>
      <x:c r="AL102" s="60" t="n">
        <x:v>88</x:v>
      </x:c>
      <x:c r="AM102" s="60" t="n">
        <x:v>88</x:v>
      </x:c>
      <x:c r="AN102" s="60" t="n">
        <x:v>89</x:v>
      </x:c>
      <x:c r="AO102" s="60" t="n">
        <x:v>84</x:v>
      </x:c>
      <x:c r="AP102" s="60" t="n">
        <x:v>89</x:v>
      </x:c>
      <x:c r="AQ102" s="60" t="n">
        <x:v>84</x:v>
      </x:c>
      <x:c r="AR102" s="60" t="n">
        <x:v>15</x:v>
      </x:c>
      <x:c r="AS102" s="60" t="n">
        <x:f>ROUND(((0.30*AL102+0.20*AM102+0.25*AN102+0.15*AO102+0.10*AQ102)+(0.30*AP102+0.20*AN102+0.20*AM102+0.15*AQ102+0.15*(100-AR102)))/2,2)</x:f>
        <x:v>87.35</x:v>
      </x:c>
      <x:c r="AT102" s="60" t="n">
        <x:f>ROUND(AVERAGE(V102,AD102,AL102),1)</x:f>
        <x:v>88</x:v>
      </x:c>
      <x:c r="AU102" s="60" t="n">
        <x:f>ROUND(AVERAGE(W102,AE102,AM102),1)</x:f>
        <x:v>88</x:v>
      </x:c>
      <x:c r="AV102" s="60" t="n">
        <x:f>ROUND(AVERAGE(X102,AF102,AN102),1)</x:f>
        <x:v>89</x:v>
      </x:c>
      <x:c r="AW102" s="60" t="n">
        <x:f>ROUND(AVERAGE(Y102,AG102,AO102),1)</x:f>
        <x:v>84</x:v>
      </x:c>
      <x:c r="AX102" s="60" t="n">
        <x:f>ROUND(AVERAGE(Z102,AH102,AP102),1)</x:f>
        <x:v>89</x:v>
      </x:c>
      <x:c r="AY102" s="60" t="n">
        <x:f>ROUND(AVERAGE(AA102,AI102,AQ102),1)</x:f>
        <x:v>84</x:v>
      </x:c>
      <x:c r="AZ102" s="60" t="n">
        <x:f>ROUND(AVERAGE(AB102,AJ102,AR102),1)</x:f>
        <x:v>15</x:v>
      </x:c>
      <x:c r="BA102" s="59" t="n">
        <x:v>6</x:v>
      </x:c>
      <x:c r="BB102" s="60" t="n">
        <x:f>ROUND(0.30*AT102+0.20*AU102+0.25*AV102+0.15*AW102+0.10*AY102,2)</x:f>
        <x:v>87.25</x:v>
      </x:c>
      <x:c r="BC102" s="60" t="n">
        <x:f>ROUND(0.30*AX102+0.20*AV102+0.20*AU102+0.15*AY102+0.15*(100-AZ102),2)</x:f>
        <x:v>87.45</x:v>
      </x:c>
      <x:c r="BD102" s="60" t="n">
        <x:f>ROUND(AVERAGE(BB102,BC102),2)</x:f>
        <x:v>87.35</x:v>
      </x:c>
      <x:c r="BE102" s="60" t="n">
        <x:f>ROUND(BD102-U102,2)</x:f>
        <x:v>-0.05</x:v>
      </x:c>
      <x:c r="BF102" s="60" t="n">
        <x:f>ROUND(STDEV.P(AC102,AK102,AS102),3)</x:f>
        <x:v>0.005</x:v>
      </x:c>
      <x:c r="BG102" s="59" t="str"/>
      <x:c r="BH102" s="59" t="str">
        <x:v>Top50三轮复核</x:v>
      </x:c>
      <x:c r="BI102" s="40" t="str">
        <x:v>三轮复核后与原表基本一致</x:v>
      </x:c>
    </x:row>
    <x:row r="103" ht="30" customHeight="1">
      <x:c r="A103" s="59" t="n">
        <x:v>102</x:v>
      </x:c>
      <x:c r="B103" s="59" t="n">
        <x:v>103</x:v>
      </x:c>
      <x:c r="C103" s="59" t="str">
        <x:v>2026-05</x:v>
      </x:c>
      <x:c r="D103" s="59" t="n">
        <x:v>53</x:v>
      </x:c>
      <x:c r="E103" s="59" t="str">
        <x:v>2605.03955</x:v>
      </x:c>
      <x:c r="F103" s="40" t="str">
        <x:v>Closing the gap: Maz'ya-Shaposhnikova and asymptotics of fractional perimeters</x:v>
      </x:c>
      <x:c r="G103" s="40" t="str">
        <x:v>Elisa Davoli; Alberto Fanizza; Marco Picerni</x:v>
      </x:c>
      <x:c r="H103" s="40" t="str">
        <x:v>Fractional perimeters</x:v>
      </x:c>
      <x:c r="I103" s="59"/>
      <x:c r="J103" s="40" t="str">
        <x:v>https://arxiv.org/abs/2605.03955</x:v>
      </x:c>
      <x:c r="K103" s="60" t="n">
        <x:v>88</x:v>
      </x:c>
      <x:c r="L103" s="60" t="n">
        <x:v>88</x:v>
      </x:c>
      <x:c r="M103" s="60" t="n">
        <x:v>88</x:v>
      </x:c>
      <x:c r="N103" s="60" t="n">
        <x:v>84</x:v>
      </x:c>
      <x:c r="O103" s="60" t="n">
        <x:v>88</x:v>
      </x:c>
      <x:c r="P103" s="60" t="n">
        <x:v>86</x:v>
      </x:c>
      <x:c r="Q103" s="60" t="n">
        <x:v>14</x:v>
      </x:c>
      <x:c r="R103" s="59" t="n">
        <x:v>6</x:v>
      </x:c>
      <x:c r="S103" s="60" t="n">
        <x:v>87.2</x:v>
      </x:c>
      <x:c r="T103" s="60" t="n">
        <x:v>87.4</x:v>
      </x:c>
      <x:c r="U103" s="60" t="n">
        <x:v>87.3</x:v>
      </x:c>
      <x:c r="V103" s="60" t="n">
        <x:v>88</x:v>
      </x:c>
      <x:c r="W103" s="60" t="n">
        <x:v>88.1</x:v>
      </x:c>
      <x:c r="X103" s="60" t="n">
        <x:v>88</x:v>
      </x:c>
      <x:c r="Y103" s="60" t="n">
        <x:v>84.1</x:v>
      </x:c>
      <x:c r="Z103" s="60" t="n">
        <x:v>88.1</x:v>
      </x:c>
      <x:c r="AA103" s="60" t="n">
        <x:v>86</x:v>
      </x:c>
      <x:c r="AB103" s="60" t="n">
        <x:v>14</x:v>
      </x:c>
      <x:c r="AC103" s="60" t="n">
        <x:f>ROUND(((0.30*V103+0.20*W103+0.25*X103+0.15*Y103+0.10*AA103)+(0.30*Z103+0.20*X103+0.20*W103+0.15*AA103+0.15*(100-AB103)))/2,2)</x:f>
        <x:v>87.34</x:v>
      </x:c>
      <x:c r="AD103" s="60" t="n">
        <x:v>88</x:v>
      </x:c>
      <x:c r="AE103" s="60" t="n">
        <x:v>88.1</x:v>
      </x:c>
      <x:c r="AF103" s="60" t="n">
        <x:v>88</x:v>
      </x:c>
      <x:c r="AG103" s="60" t="n">
        <x:v>84.1</x:v>
      </x:c>
      <x:c r="AH103" s="60" t="n">
        <x:v>88</x:v>
      </x:c>
      <x:c r="AI103" s="60" t="n">
        <x:v>86</x:v>
      </x:c>
      <x:c r="AJ103" s="60" t="n">
        <x:v>14</x:v>
      </x:c>
      <x:c r="AK103" s="60" t="n">
        <x:f>ROUND(((0.30*AD103+0.20*AE103+0.25*AF103+0.15*AG103+0.10*AI103)+(0.30*AH103+0.20*AF103+0.20*AE103+0.15*AI103+0.15*(100-AJ103)))/2,2)</x:f>
        <x:v>87.33</x:v>
      </x:c>
      <x:c r="AL103" s="60" t="n">
        <x:v>88</x:v>
      </x:c>
      <x:c r="AM103" s="60" t="n">
        <x:v>88.1</x:v>
      </x:c>
      <x:c r="AN103" s="60" t="n">
        <x:v>88</x:v>
      </x:c>
      <x:c r="AO103" s="60" t="n">
        <x:v>84.1</x:v>
      </x:c>
      <x:c r="AP103" s="60" t="n">
        <x:v>88.1</x:v>
      </x:c>
      <x:c r="AQ103" s="60" t="n">
        <x:v>86</x:v>
      </x:c>
      <x:c r="AR103" s="60" t="n">
        <x:v>14</x:v>
      </x:c>
      <x:c r="AS103" s="60" t="n">
        <x:f>ROUND(((0.30*AL103+0.20*AM103+0.25*AN103+0.15*AO103+0.10*AQ103)+(0.30*AP103+0.20*AN103+0.20*AM103+0.15*AQ103+0.15*(100-AR103)))/2,2)</x:f>
        <x:v>87.34</x:v>
      </x:c>
      <x:c r="AT103" s="60" t="n">
        <x:f>ROUND(AVERAGE(V103,AD103,AL103),1)</x:f>
        <x:v>88</x:v>
      </x:c>
      <x:c r="AU103" s="60" t="n">
        <x:f>ROUND(AVERAGE(W103,AE103,AM103),1)</x:f>
        <x:v>88.1</x:v>
      </x:c>
      <x:c r="AV103" s="60" t="n">
        <x:f>ROUND(AVERAGE(X103,AF103,AN103),1)</x:f>
        <x:v>88</x:v>
      </x:c>
      <x:c r="AW103" s="60" t="n">
        <x:f>ROUND(AVERAGE(Y103,AG103,AO103),1)</x:f>
        <x:v>84.1</x:v>
      </x:c>
      <x:c r="AX103" s="60" t="n">
        <x:f>ROUND(AVERAGE(Z103,AH103,AP103),1)</x:f>
        <x:v>88.1</x:v>
      </x:c>
      <x:c r="AY103" s="60" t="n">
        <x:f>ROUND(AVERAGE(AA103,AI103,AQ103),1)</x:f>
        <x:v>86</x:v>
      </x:c>
      <x:c r="AZ103" s="60" t="n">
        <x:f>ROUND(AVERAGE(AB103,AJ103,AR103),1)</x:f>
        <x:v>14</x:v>
      </x:c>
      <x:c r="BA103" s="59" t="n">
        <x:v>6</x:v>
      </x:c>
      <x:c r="BB103" s="60" t="n">
        <x:f>ROUND(0.30*AT103+0.20*AU103+0.25*AV103+0.15*AW103+0.10*AY103,2)</x:f>
        <x:v>87.23</x:v>
      </x:c>
      <x:c r="BC103" s="60" t="n">
        <x:f>ROUND(0.30*AX103+0.20*AV103+0.20*AU103+0.15*AY103+0.15*(100-AZ103),2)</x:f>
        <x:v>87.45</x:v>
      </x:c>
      <x:c r="BD103" s="60" t="n">
        <x:f>ROUND(AVERAGE(BB103,BC103),2)</x:f>
        <x:v>87.34</x:v>
      </x:c>
      <x:c r="BE103" s="60" t="n">
        <x:f>ROUND(BD103-U103,2)</x:f>
        <x:v>0.04</x:v>
      </x:c>
      <x:c r="BF103" s="60" t="n">
        <x:f>ROUND(STDEV.P(AC103,AK103,AS103),3)</x:f>
        <x:v>0.005</x:v>
      </x:c>
      <x:c r="BG103" s="59" t="str"/>
      <x:c r="BH103" s="59" t="str">
        <x:v>30%评分池轻量复核</x:v>
      </x:c>
      <x:c r="BI103" s="40" t="str">
        <x:v>三轮复核后与原表基本一致</x:v>
      </x:c>
    </x:row>
    <x:row r="104" ht="30" customHeight="1">
      <x:c r="A104" s="59" t="n">
        <x:v>103</x:v>
      </x:c>
      <x:c r="B104" s="59" t="n">
        <x:v>102</x:v>
      </x:c>
      <x:c r="C104" s="59" t="str">
        <x:v>2026-05</x:v>
      </x:c>
      <x:c r="D104" s="59" t="n">
        <x:v>48</x:v>
      </x:c>
      <x:c r="E104" s="59" t="str">
        <x:v>2605.00439</x:v>
      </x:c>
      <x:c r="F104" s="40" t="str">
        <x:v>Existence and uniqueness of weak solutions to quasilinear PDEs with critical data</x:v>
      </x:c>
      <x:c r="G104" s="40" t="str">
        <x:v>Pascal Auscher; Sebastian Bechtel</x:v>
      </x:c>
      <x:c r="H104" s="40" t="str">
        <x:v>Elliptic/parabolic weak solutions</x:v>
      </x:c>
      <x:c r="I104" s="59" t="n">
        <x:v>20</x:v>
      </x:c>
      <x:c r="J104" s="40" t="str">
        <x:v>https://arxiv.org/abs/2605.00439</x:v>
      </x:c>
      <x:c r="K104" s="60" t="n">
        <x:v>88</x:v>
      </x:c>
      <x:c r="L104" s="60" t="n">
        <x:v>87</x:v>
      </x:c>
      <x:c r="M104" s="60" t="n">
        <x:v>89</x:v>
      </x:c>
      <x:c r="N104" s="60" t="n">
        <x:v>84</x:v>
      </x:c>
      <x:c r="O104" s="60" t="n">
        <x:v>89</x:v>
      </x:c>
      <x:c r="P104" s="60" t="n">
        <x:v>86</x:v>
      </x:c>
      <x:c r="Q104" s="60" t="n">
        <x:v>15</x:v>
      </x:c>
      <x:c r="R104" s="59" t="n">
        <x:v>6</x:v>
      </x:c>
      <x:c r="S104" s="60" t="n">
        <x:v>87.2</x:v>
      </x:c>
      <x:c r="T104" s="60" t="n">
        <x:v>87.6</x:v>
      </x:c>
      <x:c r="U104" s="60" t="n">
        <x:v>87.4</x:v>
      </x:c>
      <x:c r="V104" s="60" t="n">
        <x:v>88</x:v>
      </x:c>
      <x:c r="W104" s="60" t="n">
        <x:v>87</x:v>
      </x:c>
      <x:c r="X104" s="60" t="n">
        <x:v>88.8</x:v>
      </x:c>
      <x:c r="Y104" s="60" t="n">
        <x:v>84</x:v>
      </x:c>
      <x:c r="Z104" s="60" t="n">
        <x:v>88.9</x:v>
      </x:c>
      <x:c r="AA104" s="60" t="n">
        <x:v>86</x:v>
      </x:c>
      <x:c r="AB104" s="60" t="n">
        <x:v>15</x:v>
      </x:c>
      <x:c r="AC104" s="60" t="n">
        <x:f>ROUND(((0.30*V104+0.20*W104+0.25*X104+0.15*Y104+0.10*AA104)+(0.30*Z104+0.20*X104+0.20*W104+0.15*AA104+0.15*(100-AB104)))/2,2)</x:f>
        <x:v>87.34</x:v>
      </x:c>
      <x:c r="AD104" s="60" t="n">
        <x:v>88</x:v>
      </x:c>
      <x:c r="AE104" s="60" t="n">
        <x:v>87</x:v>
      </x:c>
      <x:c r="AF104" s="60" t="n">
        <x:v>88.9</x:v>
      </x:c>
      <x:c r="AG104" s="60" t="n">
        <x:v>84.1</x:v>
      </x:c>
      <x:c r="AH104" s="60" t="n">
        <x:v>88.9</x:v>
      </x:c>
      <x:c r="AI104" s="60" t="n">
        <x:v>86</x:v>
      </x:c>
      <x:c r="AJ104" s="60" t="n">
        <x:v>15.4</x:v>
      </x:c>
      <x:c r="AK104" s="60" t="n">
        <x:f>ROUND(((0.30*AD104+0.20*AE104+0.25*AF104+0.15*AG104+0.10*AI104)+(0.30*AH104+0.20*AF104+0.20*AE104+0.15*AI104+0.15*(100-AJ104)))/2,2)</x:f>
        <x:v>87.34</x:v>
      </x:c>
      <x:c r="AL104" s="60" t="n">
        <x:v>88</x:v>
      </x:c>
      <x:c r="AM104" s="60" t="n">
        <x:v>87</x:v>
      </x:c>
      <x:c r="AN104" s="60" t="n">
        <x:v>88.8</x:v>
      </x:c>
      <x:c r="AO104" s="60" t="n">
        <x:v>84</x:v>
      </x:c>
      <x:c r="AP104" s="60" t="n">
        <x:v>88.9</x:v>
      </x:c>
      <x:c r="AQ104" s="60" t="n">
        <x:v>86</x:v>
      </x:c>
      <x:c r="AR104" s="60" t="n">
        <x:v>15.5</x:v>
      </x:c>
      <x:c r="AS104" s="60" t="n">
        <x:f>ROUND(((0.30*AL104+0.20*AM104+0.25*AN104+0.15*AO104+0.10*AQ104)+(0.30*AP104+0.20*AN104+0.20*AM104+0.15*AQ104+0.15*(100-AR104)))/2,2)</x:f>
        <x:v>87.3</x:v>
      </x:c>
      <x:c r="AT104" s="60" t="n">
        <x:f>ROUND(AVERAGE(V104,AD104,AL104),1)</x:f>
        <x:v>88</x:v>
      </x:c>
      <x:c r="AU104" s="60" t="n">
        <x:f>ROUND(AVERAGE(W104,AE104,AM104),1)</x:f>
        <x:v>87</x:v>
      </x:c>
      <x:c r="AV104" s="60" t="n">
        <x:f>ROUND(AVERAGE(X104,AF104,AN104),1)</x:f>
        <x:v>88.8</x:v>
      </x:c>
      <x:c r="AW104" s="60" t="n">
        <x:f>ROUND(AVERAGE(Y104,AG104,AO104),1)</x:f>
        <x:v>84</x:v>
      </x:c>
      <x:c r="AX104" s="60" t="n">
        <x:f>ROUND(AVERAGE(Z104,AH104,AP104),1)</x:f>
        <x:v>88.9</x:v>
      </x:c>
      <x:c r="AY104" s="60" t="n">
        <x:f>ROUND(AVERAGE(AA104,AI104,AQ104),1)</x:f>
        <x:v>86</x:v>
      </x:c>
      <x:c r="AZ104" s="60" t="n">
        <x:f>ROUND(AVERAGE(AB104,AJ104,AR104),1)</x:f>
        <x:v>15.3</x:v>
      </x:c>
      <x:c r="BA104" s="59" t="n">
        <x:v>6</x:v>
      </x:c>
      <x:c r="BB104" s="60" t="n">
        <x:f>ROUND(0.30*AT104+0.20*AU104+0.25*AV104+0.15*AW104+0.10*AY104,2)</x:f>
        <x:v>87.2</x:v>
      </x:c>
      <x:c r="BC104" s="60" t="n">
        <x:f>ROUND(0.30*AX104+0.20*AV104+0.20*AU104+0.15*AY104+0.15*(100-AZ104),2)</x:f>
        <x:v>87.44</x:v>
      </x:c>
      <x:c r="BD104" s="60" t="n">
        <x:f>ROUND(AVERAGE(BB104,BC104),2)</x:f>
        <x:v>87.32</x:v>
      </x:c>
      <x:c r="BE104" s="60" t="n">
        <x:f>ROUND(BD104-U104,2)</x:f>
        <x:v>-0.08</x:v>
      </x:c>
      <x:c r="BF104" s="60" t="n">
        <x:f>ROUND(STDEV.P(AC104,AK104,AS104),3)</x:f>
        <x:v>0.019</x:v>
      </x:c>
      <x:c r="BG104" s="59" t="str"/>
      <x:c r="BH104" s="59" t="str">
        <x:v>Top50三轮复核</x:v>
      </x:c>
      <x:c r="BI104" s="40" t="str">
        <x:v>短文且非框架性题材，技术残差轻微回调</x:v>
      </x:c>
    </x:row>
    <x:row r="105" ht="30" customHeight="1">
      <x:c r="A105" s="59" t="n">
        <x:v>104</x:v>
      </x:c>
      <x:c r="B105" s="59" t="n">
        <x:v>104</x:v>
      </x:c>
      <x:c r="C105" s="59" t="str">
        <x:v>2026-05</x:v>
      </x:c>
      <x:c r="D105" s="59" t="n">
        <x:v>53</x:v>
      </x:c>
      <x:c r="E105" s="59" t="str">
        <x:v>2605.01491</x:v>
      </x:c>
      <x:c r="F105" s="40" t="str">
        <x:v>On the stability of Lamb-Chaplygin dipole for the 2D Euler equation</x:v>
      </x:c>
      <x:c r="G105" s="40" t="str">
        <x:v>Zexing Li; Peicong Song; Tao Zhou</x:v>
      </x:c>
      <x:c r="H105" s="40" t="str">
        <x:v>2D Euler stability</x:v>
      </x:c>
      <x:c r="I105" s="59" t="n">
        <x:v>37</x:v>
      </x:c>
      <x:c r="J105" s="40" t="str">
        <x:v>https://arxiv.org/abs/2605.01491</x:v>
      </x:c>
      <x:c r="K105" s="60" t="n">
        <x:v>88</x:v>
      </x:c>
      <x:c r="L105" s="60" t="n">
        <x:v>87</x:v>
      </x:c>
      <x:c r="M105" s="60" t="n">
        <x:v>89</x:v>
      </x:c>
      <x:c r="N105" s="60" t="n">
        <x:v>84</x:v>
      </x:c>
      <x:c r="O105" s="60" t="n">
        <x:v>89</x:v>
      </x:c>
      <x:c r="P105" s="60" t="n">
        <x:v>85</x:v>
      </x:c>
      <x:c r="Q105" s="60" t="n">
        <x:v>15</x:v>
      </x:c>
      <x:c r="R105" s="59" t="n">
        <x:v>6</x:v>
      </x:c>
      <x:c r="S105" s="60" t="n">
        <x:v>87.1</x:v>
      </x:c>
      <x:c r="T105" s="60" t="n">
        <x:v>87.4</x:v>
      </x:c>
      <x:c r="U105" s="60" t="n">
        <x:v>87.3</x:v>
      </x:c>
      <x:c r="V105" s="60" t="n">
        <x:v>88.1</x:v>
      </x:c>
      <x:c r="W105" s="60" t="n">
        <x:v>87</x:v>
      </x:c>
      <x:c r="X105" s="60" t="n">
        <x:v>89.1</x:v>
      </x:c>
      <x:c r="Y105" s="60" t="n">
        <x:v>84</x:v>
      </x:c>
      <x:c r="Z105" s="60" t="n">
        <x:v>89.1</x:v>
      </x:c>
      <x:c r="AA105" s="60" t="n">
        <x:v>85</x:v>
      </x:c>
      <x:c r="AB105" s="60" t="n">
        <x:v>15</x:v>
      </x:c>
      <x:c r="AC105" s="60" t="n">
        <x:f>ROUND(((0.30*V105+0.20*W105+0.25*X105+0.15*Y105+0.10*AA105)+(0.30*Z105+0.20*X105+0.20*W105+0.15*AA105+0.15*(100-AB105)))/2,2)</x:f>
        <x:v>87.33</x:v>
      </x:c>
      <x:c r="AD105" s="60" t="n">
        <x:v>88</x:v>
      </x:c>
      <x:c r="AE105" s="60" t="n">
        <x:v>87</x:v>
      </x:c>
      <x:c r="AF105" s="60" t="n">
        <x:v>89</x:v>
      </x:c>
      <x:c r="AG105" s="60" t="n">
        <x:v>84.1</x:v>
      </x:c>
      <x:c r="AH105" s="60" t="n">
        <x:v>89</x:v>
      </x:c>
      <x:c r="AI105" s="60" t="n">
        <x:v>85</x:v>
      </x:c>
      <x:c r="AJ105" s="60" t="n">
        <x:v>15</x:v>
      </x:c>
      <x:c r="AK105" s="60" t="n">
        <x:f>ROUND(((0.30*AD105+0.20*AE105+0.25*AF105+0.15*AG105+0.10*AI105)+(0.30*AH105+0.20*AF105+0.20*AE105+0.15*AI105+0.15*(100-AJ105)))/2,2)</x:f>
        <x:v>87.28</x:v>
      </x:c>
      <x:c r="AL105" s="60" t="n">
        <x:v>88</x:v>
      </x:c>
      <x:c r="AM105" s="60" t="n">
        <x:v>87</x:v>
      </x:c>
      <x:c r="AN105" s="60" t="n">
        <x:v>89.1</x:v>
      </x:c>
      <x:c r="AO105" s="60" t="n">
        <x:v>84</x:v>
      </x:c>
      <x:c r="AP105" s="60" t="n">
        <x:v>89</x:v>
      </x:c>
      <x:c r="AQ105" s="60" t="n">
        <x:v>85</x:v>
      </x:c>
      <x:c r="AR105" s="60" t="n">
        <x:v>15</x:v>
      </x:c>
      <x:c r="AS105" s="60" t="n">
        <x:f>ROUND(((0.30*AL105+0.20*AM105+0.25*AN105+0.15*AO105+0.10*AQ105)+(0.30*AP105+0.20*AN105+0.20*AM105+0.15*AQ105+0.15*(100-AR105)))/2,2)</x:f>
        <x:v>87.3</x:v>
      </x:c>
      <x:c r="AT105" s="60" t="n">
        <x:f>ROUND(AVERAGE(V105,AD105,AL105),1)</x:f>
        <x:v>88</x:v>
      </x:c>
      <x:c r="AU105" s="60" t="n">
        <x:f>ROUND(AVERAGE(W105,AE105,AM105),1)</x:f>
        <x:v>87</x:v>
      </x:c>
      <x:c r="AV105" s="60" t="n">
        <x:f>ROUND(AVERAGE(X105,AF105,AN105),1)</x:f>
        <x:v>89.1</x:v>
      </x:c>
      <x:c r="AW105" s="60" t="n">
        <x:f>ROUND(AVERAGE(Y105,AG105,AO105),1)</x:f>
        <x:v>84</x:v>
      </x:c>
      <x:c r="AX105" s="60" t="n">
        <x:f>ROUND(AVERAGE(Z105,AH105,AP105),1)</x:f>
        <x:v>89</x:v>
      </x:c>
      <x:c r="AY105" s="60" t="n">
        <x:f>ROUND(AVERAGE(AA105,AI105,AQ105),1)</x:f>
        <x:v>85</x:v>
      </x:c>
      <x:c r="AZ105" s="60" t="n">
        <x:f>ROUND(AVERAGE(AB105,AJ105,AR105),1)</x:f>
        <x:v>15</x:v>
      </x:c>
      <x:c r="BA105" s="59" t="n">
        <x:v>6</x:v>
      </x:c>
      <x:c r="BB105" s="60" t="n">
        <x:f>ROUND(0.30*AT105+0.20*AU105+0.25*AV105+0.15*AW105+0.10*AY105,2)</x:f>
        <x:v>87.17</x:v>
      </x:c>
      <x:c r="BC105" s="60" t="n">
        <x:f>ROUND(0.30*AX105+0.20*AV105+0.20*AU105+0.15*AY105+0.15*(100-AZ105),2)</x:f>
        <x:v>87.42</x:v>
      </x:c>
      <x:c r="BD105" s="60" t="n">
        <x:f>ROUND(AVERAGE(BB105,BC105),2)</x:f>
        <x:v>87.3</x:v>
      </x:c>
      <x:c r="BE105" s="60" t="n">
        <x:f>ROUND(BD105-U105,2)</x:f>
        <x:v>0</x:v>
      </x:c>
      <x:c r="BF105" s="60" t="n">
        <x:f>ROUND(STDEV.P(AC105,AK105,AS105),3)</x:f>
        <x:v>0.021</x:v>
      </x:c>
      <x:c r="BG105" s="59" t="str"/>
      <x:c r="BH105" s="59" t="str">
        <x:v>30%评分池轻量复核</x:v>
      </x:c>
      <x:c r="BI105" s="40" t="str">
        <x:v>三轮复核后与原表基本一致</x:v>
      </x:c>
    </x:row>
    <x:row r="106" ht="30" customHeight="1">
      <x:c r="A106" s="59" t="n">
        <x:v>105</x:v>
      </x:c>
      <x:c r="B106" s="59" t="n">
        <x:v>105</x:v>
      </x:c>
      <x:c r="C106" s="59" t="str">
        <x:v>2026-05</x:v>
      </x:c>
      <x:c r="D106" s="59" t="n">
        <x:v>55</x:v>
      </x:c>
      <x:c r="E106" s="59" t="str">
        <x:v>2605.13186</x:v>
      </x:c>
      <x:c r="F106" s="40" t="str">
        <x:v>Nesterov acceleration for the Wasserstein minimization of displacement-convex free energies</x:v>
      </x:c>
      <x:c r="G106" s="40" t="str">
        <x:v>Pierre Monmarche</x:v>
      </x:c>
      <x:c r="H106" s="40" t="str">
        <x:v>Wasserstein gradient flows</x:v>
      </x:c>
      <x:c r="I106" s="59"/>
      <x:c r="J106" s="40" t="str">
        <x:v>https://arxiv.org/abs/2605.13186</x:v>
      </x:c>
      <x:c r="K106" s="60" t="n">
        <x:v>88</x:v>
      </x:c>
      <x:c r="L106" s="60" t="n">
        <x:v>89</x:v>
      </x:c>
      <x:c r="M106" s="60" t="n">
        <x:v>87</x:v>
      </x:c>
      <x:c r="N106" s="60" t="n">
        <x:v>88</x:v>
      </x:c>
      <x:c r="O106" s="60" t="n">
        <x:v>87</x:v>
      </x:c>
      <x:c r="P106" s="60" t="n">
        <x:v>85</x:v>
      </x:c>
      <x:c r="Q106" s="60" t="n">
        <x:v>16</x:v>
      </x:c>
      <x:c r="R106" s="59" t="n">
        <x:v>6</x:v>
      </x:c>
      <x:c r="S106" s="60" t="n">
        <x:v>87.7</x:v>
      </x:c>
      <x:c r="T106" s="60" t="n">
        <x:v>86.6</x:v>
      </x:c>
      <x:c r="U106" s="60" t="n">
        <x:v>87.2</x:v>
      </x:c>
      <x:c r="V106" s="60" t="n">
        <x:v>88</x:v>
      </x:c>
      <x:c r="W106" s="60" t="n">
        <x:v>89</x:v>
      </x:c>
      <x:c r="X106" s="60" t="n">
        <x:v>87</x:v>
      </x:c>
      <x:c r="Y106" s="60" t="n">
        <x:v>88</x:v>
      </x:c>
      <x:c r="Z106" s="60" t="n">
        <x:v>87</x:v>
      </x:c>
      <x:c r="AA106" s="60" t="n">
        <x:v>85</x:v>
      </x:c>
      <x:c r="AB106" s="60" t="n">
        <x:v>16</x:v>
      </x:c>
      <x:c r="AC106" s="60" t="n">
        <x:f>ROUND(((0.30*V106+0.20*W106+0.25*X106+0.15*Y106+0.10*AA106)+(0.30*Z106+0.20*X106+0.20*W106+0.15*AA106+0.15*(100-AB106)))/2,2)</x:f>
        <x:v>87.15</x:v>
      </x:c>
      <x:c r="AD106" s="60" t="n">
        <x:v>88</x:v>
      </x:c>
      <x:c r="AE106" s="60" t="n">
        <x:v>89</x:v>
      </x:c>
      <x:c r="AF106" s="60" t="n">
        <x:v>87</x:v>
      </x:c>
      <x:c r="AG106" s="60" t="n">
        <x:v>88</x:v>
      </x:c>
      <x:c r="AH106" s="60" t="n">
        <x:v>87</x:v>
      </x:c>
      <x:c r="AI106" s="60" t="n">
        <x:v>85</x:v>
      </x:c>
      <x:c r="AJ106" s="60" t="n">
        <x:v>16</x:v>
      </x:c>
      <x:c r="AK106" s="60" t="n">
        <x:f>ROUND(((0.30*AD106+0.20*AE106+0.25*AF106+0.15*AG106+0.10*AI106)+(0.30*AH106+0.20*AF106+0.20*AE106+0.15*AI106+0.15*(100-AJ106)))/2,2)</x:f>
        <x:v>87.15</x:v>
      </x:c>
      <x:c r="AL106" s="60" t="n">
        <x:v>88</x:v>
      </x:c>
      <x:c r="AM106" s="60" t="n">
        <x:v>89</x:v>
      </x:c>
      <x:c r="AN106" s="60" t="n">
        <x:v>87</x:v>
      </x:c>
      <x:c r="AO106" s="60" t="n">
        <x:v>88</x:v>
      </x:c>
      <x:c r="AP106" s="60" t="n">
        <x:v>87</x:v>
      </x:c>
      <x:c r="AQ106" s="60" t="n">
        <x:v>85</x:v>
      </x:c>
      <x:c r="AR106" s="60" t="n">
        <x:v>16</x:v>
      </x:c>
      <x:c r="AS106" s="60" t="n">
        <x:f>ROUND(((0.30*AL106+0.20*AM106+0.25*AN106+0.15*AO106+0.10*AQ106)+(0.30*AP106+0.20*AN106+0.20*AM106+0.15*AQ106+0.15*(100-AR106)))/2,2)</x:f>
        <x:v>87.15</x:v>
      </x:c>
      <x:c r="AT106" s="60" t="n">
        <x:f>ROUND(AVERAGE(V106,AD106,AL106),1)</x:f>
        <x:v>88</x:v>
      </x:c>
      <x:c r="AU106" s="60" t="n">
        <x:f>ROUND(AVERAGE(W106,AE106,AM106),1)</x:f>
        <x:v>89</x:v>
      </x:c>
      <x:c r="AV106" s="60" t="n">
        <x:f>ROUND(AVERAGE(X106,AF106,AN106),1)</x:f>
        <x:v>87</x:v>
      </x:c>
      <x:c r="AW106" s="60" t="n">
        <x:f>ROUND(AVERAGE(Y106,AG106,AO106),1)</x:f>
        <x:v>88</x:v>
      </x:c>
      <x:c r="AX106" s="60" t="n">
        <x:f>ROUND(AVERAGE(Z106,AH106,AP106),1)</x:f>
        <x:v>87</x:v>
      </x:c>
      <x:c r="AY106" s="60" t="n">
        <x:f>ROUND(AVERAGE(AA106,AI106,AQ106),1)</x:f>
        <x:v>85</x:v>
      </x:c>
      <x:c r="AZ106" s="60" t="n">
        <x:f>ROUND(AVERAGE(AB106,AJ106,AR106),1)</x:f>
        <x:v>16</x:v>
      </x:c>
      <x:c r="BA106" s="59" t="n">
        <x:v>6</x:v>
      </x:c>
      <x:c r="BB106" s="60" t="n">
        <x:f>ROUND(0.30*AT106+0.20*AU106+0.25*AV106+0.15*AW106+0.10*AY106,2)</x:f>
        <x:v>87.65</x:v>
      </x:c>
      <x:c r="BC106" s="60" t="n">
        <x:f>ROUND(0.30*AX106+0.20*AV106+0.20*AU106+0.15*AY106+0.15*(100-AZ106),2)</x:f>
        <x:v>86.65</x:v>
      </x:c>
      <x:c r="BD106" s="60" t="n">
        <x:f>ROUND(AVERAGE(BB106,BC106),2)</x:f>
        <x:v>87.15</x:v>
      </x:c>
      <x:c r="BE106" s="60" t="n">
        <x:f>ROUND(BD106-U106,2)</x:f>
        <x:v>-0.05</x:v>
      </x:c>
      <x:c r="BF106" s="60" t="n">
        <x:f>ROUND(STDEV.P(AC106,AK106,AS106),3)</x:f>
        <x:v>0</x:v>
      </x:c>
      <x:c r="BG106" s="59" t="str"/>
      <x:c r="BH106" s="59" t="str">
        <x:v>30%评分池轻量复核</x:v>
      </x:c>
      <x:c r="BI106" s="40" t="str">
        <x:v>三轮复核后与原表基本一致</x:v>
      </x:c>
    </x:row>
    <x:row r="107" ht="30" customHeight="1">
      <x:c r="A107" s="59" t="n">
        <x:v>106</x:v>
      </x:c>
      <x:c r="B107" s="59" t="n">
        <x:v>111</x:v>
      </x:c>
      <x:c r="C107" s="59" t="str">
        <x:v>2026-05</x:v>
      </x:c>
      <x:c r="D107" s="59" t="n">
        <x:v>59</x:v>
      </x:c>
      <x:c r="E107" s="59" t="str">
        <x:v>2605.02612</x:v>
      </x:c>
      <x:c r="F107" s="40" t="str">
        <x:v>A stiff limit of non-homogeneous conservation laws for crowd motion modeling</x:v>
      </x:c>
      <x:c r="G107" s="40" t="str">
        <x:v>Nicolas Masson; Benoit Perthame; Filippo Santambrogio</x:v>
      </x:c>
      <x:c r="H107" s="40" t="str">
        <x:v>Conservation laws / crowd models</x:v>
      </x:c>
      <x:c r="I107" s="59" t="n">
        <x:v>32</x:v>
      </x:c>
      <x:c r="J107" s="40" t="str">
        <x:v>https://arxiv.org/abs/2605.02612</x:v>
      </x:c>
      <x:c r="K107" s="60" t="n">
        <x:v>88</x:v>
      </x:c>
      <x:c r="L107" s="60" t="n">
        <x:v>87</x:v>
      </x:c>
      <x:c r="M107" s="60" t="n">
        <x:v>88</x:v>
      </x:c>
      <x:c r="N107" s="60" t="n">
        <x:v>85</x:v>
      </x:c>
      <x:c r="O107" s="60" t="n">
        <x:v>88</x:v>
      </x:c>
      <x:c r="P107" s="60" t="n">
        <x:v>86</x:v>
      </x:c>
      <x:c r="Q107" s="60" t="n">
        <x:v>15</x:v>
      </x:c>
      <x:c r="R107" s="59" t="n">
        <x:v>6</x:v>
      </x:c>
      <x:c r="S107" s="60" t="n">
        <x:v>87.1</x:v>
      </x:c>
      <x:c r="T107" s="60" t="n">
        <x:v>87.1</x:v>
      </x:c>
      <x:c r="U107" s="60" t="n">
        <x:v>87.1</x:v>
      </x:c>
      <x:c r="V107" s="60" t="n">
        <x:v>88.1</x:v>
      </x:c>
      <x:c r="W107" s="60" t="n">
        <x:v>87</x:v>
      </x:c>
      <x:c r="X107" s="60" t="n">
        <x:v>88.1</x:v>
      </x:c>
      <x:c r="Y107" s="60" t="n">
        <x:v>85</x:v>
      </x:c>
      <x:c r="Z107" s="60" t="n">
        <x:v>88.1</x:v>
      </x:c>
      <x:c r="AA107" s="60" t="n">
        <x:v>86</x:v>
      </x:c>
      <x:c r="AB107" s="60" t="n">
        <x:v>15</x:v>
      </x:c>
      <x:c r="AC107" s="60" t="n">
        <x:f>ROUND(((0.30*V107+0.20*W107+0.25*X107+0.15*Y107+0.10*AA107)+(0.30*Z107+0.20*X107+0.20*W107+0.15*AA107+0.15*(100-AB107)))/2,2)</x:f>
        <x:v>87.15</x:v>
      </x:c>
      <x:c r="AD107" s="60" t="n">
        <x:v>88</x:v>
      </x:c>
      <x:c r="AE107" s="60" t="n">
        <x:v>87</x:v>
      </x:c>
      <x:c r="AF107" s="60" t="n">
        <x:v>88</x:v>
      </x:c>
      <x:c r="AG107" s="60" t="n">
        <x:v>85.1</x:v>
      </x:c>
      <x:c r="AH107" s="60" t="n">
        <x:v>88</x:v>
      </x:c>
      <x:c r="AI107" s="60" t="n">
        <x:v>86</x:v>
      </x:c>
      <x:c r="AJ107" s="60" t="n">
        <x:v>15</x:v>
      </x:c>
      <x:c r="AK107" s="60" t="n">
        <x:f>ROUND(((0.30*AD107+0.20*AE107+0.25*AF107+0.15*AG107+0.10*AI107)+(0.30*AH107+0.20*AF107+0.20*AE107+0.15*AI107+0.15*(100-AJ107)))/2,2)</x:f>
        <x:v>87.11</x:v>
      </x:c>
      <x:c r="AL107" s="60" t="n">
        <x:v>88</x:v>
      </x:c>
      <x:c r="AM107" s="60" t="n">
        <x:v>87</x:v>
      </x:c>
      <x:c r="AN107" s="60" t="n">
        <x:v>88.1</x:v>
      </x:c>
      <x:c r="AO107" s="60" t="n">
        <x:v>85</x:v>
      </x:c>
      <x:c r="AP107" s="60" t="n">
        <x:v>88</x:v>
      </x:c>
      <x:c r="AQ107" s="60" t="n">
        <x:v>86</x:v>
      </x:c>
      <x:c r="AR107" s="60" t="n">
        <x:v>15</x:v>
      </x:c>
      <x:c r="AS107" s="60" t="n">
        <x:f>ROUND(((0.30*AL107+0.20*AM107+0.25*AN107+0.15*AO107+0.10*AQ107)+(0.30*AP107+0.20*AN107+0.20*AM107+0.15*AQ107+0.15*(100-AR107)))/2,2)</x:f>
        <x:v>87.12</x:v>
      </x:c>
      <x:c r="AT107" s="60" t="n">
        <x:f>ROUND(AVERAGE(V107,AD107,AL107),1)</x:f>
        <x:v>88</x:v>
      </x:c>
      <x:c r="AU107" s="60" t="n">
        <x:f>ROUND(AVERAGE(W107,AE107,AM107),1)</x:f>
        <x:v>87</x:v>
      </x:c>
      <x:c r="AV107" s="60" t="n">
        <x:f>ROUND(AVERAGE(X107,AF107,AN107),1)</x:f>
        <x:v>88.1</x:v>
      </x:c>
      <x:c r="AW107" s="60" t="n">
        <x:f>ROUND(AVERAGE(Y107,AG107,AO107),1)</x:f>
        <x:v>85</x:v>
      </x:c>
      <x:c r="AX107" s="60" t="n">
        <x:f>ROUND(AVERAGE(Z107,AH107,AP107),1)</x:f>
        <x:v>88</x:v>
      </x:c>
      <x:c r="AY107" s="60" t="n">
        <x:f>ROUND(AVERAGE(AA107,AI107,AQ107),1)</x:f>
        <x:v>86</x:v>
      </x:c>
      <x:c r="AZ107" s="60" t="n">
        <x:f>ROUND(AVERAGE(AB107,AJ107,AR107),1)</x:f>
        <x:v>15</x:v>
      </x:c>
      <x:c r="BA107" s="59" t="n">
        <x:v>6</x:v>
      </x:c>
      <x:c r="BB107" s="60" t="n">
        <x:f>ROUND(0.30*AT107+0.20*AU107+0.25*AV107+0.15*AW107+0.10*AY107,2)</x:f>
        <x:v>87.17</x:v>
      </x:c>
      <x:c r="BC107" s="60" t="n">
        <x:f>ROUND(0.30*AX107+0.20*AV107+0.20*AU107+0.15*AY107+0.15*(100-AZ107),2)</x:f>
        <x:v>87.07</x:v>
      </x:c>
      <x:c r="BD107" s="60" t="n">
        <x:f>ROUND(AVERAGE(BB107,BC107),2)</x:f>
        <x:v>87.12</x:v>
      </x:c>
      <x:c r="BE107" s="60" t="n">
        <x:f>ROUND(BD107-U107,2)</x:f>
        <x:v>0.02</x:v>
      </x:c>
      <x:c r="BF107" s="60" t="n">
        <x:f>ROUND(STDEV.P(AC107,AK107,AS107),3)</x:f>
        <x:v>0.017</x:v>
      </x:c>
      <x:c r="BG107" s="59" t="str"/>
      <x:c r="BH107" s="59" t="str">
        <x:v>30%评分池轻量复核</x:v>
      </x:c>
      <x:c r="BI107" s="40" t="str">
        <x:v>三轮复核后与原表基本一致</x:v>
      </x:c>
    </x:row>
    <x:row r="108" ht="30" customHeight="1">
      <x:c r="A108" s="59" t="n">
        <x:v>107</x:v>
      </x:c>
      <x:c r="B108" s="59" t="n">
        <x:v>106</x:v>
      </x:c>
      <x:c r="C108" s="59" t="str">
        <x:v>2026-05</x:v>
      </x:c>
      <x:c r="D108" s="59" t="n">
        <x:v>55</x:v>
      </x:c>
      <x:c r="E108" s="59" t="str">
        <x:v>2605.23731</x:v>
      </x:c>
      <x:c r="F108" s="40" t="str">
        <x:v>Global estimates on the Brenier map</x:v>
      </x:c>
      <x:c r="G108" s="40" t="str">
        <x:v>Andrea Bidoia</x:v>
      </x:c>
      <x:c r="H108" s="40" t="str">
        <x:v>Optimal transport regularity</x:v>
      </x:c>
      <x:c r="I108" s="59"/>
      <x:c r="J108" s="40" t="str">
        <x:v>https://arxiv.org/abs/2605.23731</x:v>
      </x:c>
      <x:c r="K108" s="60" t="n">
        <x:v>87</x:v>
      </x:c>
      <x:c r="L108" s="60" t="n">
        <x:v>88</x:v>
      </x:c>
      <x:c r="M108" s="60" t="n">
        <x:v>88</x:v>
      </x:c>
      <x:c r="N108" s="60" t="n">
        <x:v>85</x:v>
      </x:c>
      <x:c r="O108" s="60" t="n">
        <x:v>88</x:v>
      </x:c>
      <x:c r="P108" s="60" t="n">
        <x:v>85</x:v>
      </x:c>
      <x:c r="Q108" s="60" t="n">
        <x:v>14</x:v>
      </x:c>
      <x:c r="R108" s="59" t="n">
        <x:v>6</x:v>
      </x:c>
      <x:c r="S108" s="60" t="n">
        <x:v>87</x:v>
      </x:c>
      <x:c r="T108" s="60" t="n">
        <x:v>87.3</x:v>
      </x:c>
      <x:c r="U108" s="60" t="n">
        <x:v>87.2</x:v>
      </x:c>
      <x:c r="V108" s="60" t="n">
        <x:v>87</x:v>
      </x:c>
      <x:c r="W108" s="60" t="n">
        <x:v>88</x:v>
      </x:c>
      <x:c r="X108" s="60" t="n">
        <x:v>88</x:v>
      </x:c>
      <x:c r="Y108" s="60" t="n">
        <x:v>85</x:v>
      </x:c>
      <x:c r="Z108" s="60" t="n">
        <x:v>88</x:v>
      </x:c>
      <x:c r="AA108" s="60" t="n">
        <x:v>85</x:v>
      </x:c>
      <x:c r="AB108" s="60" t="n">
        <x:v>14</x:v>
      </x:c>
      <x:c r="AC108" s="60" t="n">
        <x:f>ROUND(((0.30*V108+0.20*W108+0.25*X108+0.15*Y108+0.10*AA108)+(0.30*Z108+0.20*X108+0.20*W108+0.15*AA108+0.15*(100-AB108)))/2,2)</x:f>
        <x:v>87.1</x:v>
      </x:c>
      <x:c r="AD108" s="60" t="n">
        <x:v>87</x:v>
      </x:c>
      <x:c r="AE108" s="60" t="n">
        <x:v>88</x:v>
      </x:c>
      <x:c r="AF108" s="60" t="n">
        <x:v>88</x:v>
      </x:c>
      <x:c r="AG108" s="60" t="n">
        <x:v>85.1</x:v>
      </x:c>
      <x:c r="AH108" s="60" t="n">
        <x:v>88</x:v>
      </x:c>
      <x:c r="AI108" s="60" t="n">
        <x:v>85</x:v>
      </x:c>
      <x:c r="AJ108" s="60" t="n">
        <x:v>14</x:v>
      </x:c>
      <x:c r="AK108" s="60" t="n">
        <x:f>ROUND(((0.30*AD108+0.20*AE108+0.25*AF108+0.15*AG108+0.10*AI108)+(0.30*AH108+0.20*AF108+0.20*AE108+0.15*AI108+0.15*(100-AJ108)))/2,2)</x:f>
        <x:v>87.11</x:v>
      </x:c>
      <x:c r="AL108" s="60" t="n">
        <x:v>87</x:v>
      </x:c>
      <x:c r="AM108" s="60" t="n">
        <x:v>88</x:v>
      </x:c>
      <x:c r="AN108" s="60" t="n">
        <x:v>88</x:v>
      </x:c>
      <x:c r="AO108" s="60" t="n">
        <x:v>85</x:v>
      </x:c>
      <x:c r="AP108" s="60" t="n">
        <x:v>88</x:v>
      </x:c>
      <x:c r="AQ108" s="60" t="n">
        <x:v>85</x:v>
      </x:c>
      <x:c r="AR108" s="60" t="n">
        <x:v>14</x:v>
      </x:c>
      <x:c r="AS108" s="60" t="n">
        <x:f>ROUND(((0.30*AL108+0.20*AM108+0.25*AN108+0.15*AO108+0.10*AQ108)+(0.30*AP108+0.20*AN108+0.20*AM108+0.15*AQ108+0.15*(100-AR108)))/2,2)</x:f>
        <x:v>87.1</x:v>
      </x:c>
      <x:c r="AT108" s="60" t="n">
        <x:f>ROUND(AVERAGE(V108,AD108,AL108),1)</x:f>
        <x:v>87</x:v>
      </x:c>
      <x:c r="AU108" s="60" t="n">
        <x:f>ROUND(AVERAGE(W108,AE108,AM108),1)</x:f>
        <x:v>88</x:v>
      </x:c>
      <x:c r="AV108" s="60" t="n">
        <x:f>ROUND(AVERAGE(X108,AF108,AN108),1)</x:f>
        <x:v>88</x:v>
      </x:c>
      <x:c r="AW108" s="60" t="n">
        <x:f>ROUND(AVERAGE(Y108,AG108,AO108),1)</x:f>
        <x:v>85</x:v>
      </x:c>
      <x:c r="AX108" s="60" t="n">
        <x:f>ROUND(AVERAGE(Z108,AH108,AP108),1)</x:f>
        <x:v>88</x:v>
      </x:c>
      <x:c r="AY108" s="60" t="n">
        <x:f>ROUND(AVERAGE(AA108,AI108,AQ108),1)</x:f>
        <x:v>85</x:v>
      </x:c>
      <x:c r="AZ108" s="60" t="n">
        <x:f>ROUND(AVERAGE(AB108,AJ108,AR108),1)</x:f>
        <x:v>14</x:v>
      </x:c>
      <x:c r="BA108" s="59" t="n">
        <x:v>6</x:v>
      </x:c>
      <x:c r="BB108" s="60" t="n">
        <x:f>ROUND(0.30*AT108+0.20*AU108+0.25*AV108+0.15*AW108+0.10*AY108,2)</x:f>
        <x:v>86.95</x:v>
      </x:c>
      <x:c r="BC108" s="60" t="n">
        <x:f>ROUND(0.30*AX108+0.20*AV108+0.20*AU108+0.15*AY108+0.15*(100-AZ108),2)</x:f>
        <x:v>87.25</x:v>
      </x:c>
      <x:c r="BD108" s="60" t="n">
        <x:f>ROUND(AVERAGE(BB108,BC108),2)</x:f>
        <x:v>87.1</x:v>
      </x:c>
      <x:c r="BE108" s="60" t="n">
        <x:f>ROUND(BD108-U108,2)</x:f>
        <x:v>-0.1</x:v>
      </x:c>
      <x:c r="BF108" s="60" t="n">
        <x:f>ROUND(STDEV.P(AC108,AK108,AS108),3)</x:f>
        <x:v>0.005</x:v>
      </x:c>
      <x:c r="BG108" s="59" t="str"/>
      <x:c r="BH108" s="59" t="str">
        <x:v>30%评分池轻量复核</x:v>
      </x:c>
      <x:c r="BI108" s="40" t="str">
        <x:v>三轮复核后与原表基本一致</x:v>
      </x:c>
    </x:row>
    <x:row r="109" ht="30" customHeight="1">
      <x:c r="A109" s="59" t="n">
        <x:v>108</x:v>
      </x:c>
      <x:c r="B109" s="59" t="n">
        <x:v>107</x:v>
      </x:c>
      <x:c r="C109" s="59" t="str">
        <x:v>2026-05</x:v>
      </x:c>
      <x:c r="D109" s="59" t="n">
        <x:v>55</x:v>
      </x:c>
      <x:c r="E109" s="59" t="str">
        <x:v>2605.23229</x:v>
      </x:c>
      <x:c r="F109" s="40" t="str">
        <x:v>Strichartz estimates for Schrodinger equations with nonlinear boundary interactions</x:v>
      </x:c>
      <x:c r="G109" s="40" t="str">
        <x:v>Nicola Garofalo; Gigliola Staffilani</x:v>
      </x:c>
      <x:c r="H109" s="40" t="str">
        <x:v>Dispersive PDE / boundary</x:v>
      </x:c>
      <x:c r="I109" s="59"/>
      <x:c r="J109" s="40" t="str">
        <x:v>https://arxiv.org/abs/2605.23229</x:v>
      </x:c>
      <x:c r="K109" s="60" t="n">
        <x:v>87</x:v>
      </x:c>
      <x:c r="L109" s="60" t="n">
        <x:v>88</x:v>
      </x:c>
      <x:c r="M109" s="60" t="n">
        <x:v>88</x:v>
      </x:c>
      <x:c r="N109" s="60" t="n">
        <x:v>85</x:v>
      </x:c>
      <x:c r="O109" s="60" t="n">
        <x:v>88</x:v>
      </x:c>
      <x:c r="P109" s="60" t="n">
        <x:v>85</x:v>
      </x:c>
      <x:c r="Q109" s="60" t="n">
        <x:v>14</x:v>
      </x:c>
      <x:c r="R109" s="59" t="n">
        <x:v>6</x:v>
      </x:c>
      <x:c r="S109" s="60" t="n">
        <x:v>87</x:v>
      </x:c>
      <x:c r="T109" s="60" t="n">
        <x:v>87.3</x:v>
      </x:c>
      <x:c r="U109" s="60" t="n">
        <x:v>87.2</x:v>
      </x:c>
      <x:c r="V109" s="60" t="n">
        <x:v>87</x:v>
      </x:c>
      <x:c r="W109" s="60" t="n">
        <x:v>88</x:v>
      </x:c>
      <x:c r="X109" s="60" t="n">
        <x:v>88</x:v>
      </x:c>
      <x:c r="Y109" s="60" t="n">
        <x:v>85</x:v>
      </x:c>
      <x:c r="Z109" s="60" t="n">
        <x:v>88</x:v>
      </x:c>
      <x:c r="AA109" s="60" t="n">
        <x:v>85</x:v>
      </x:c>
      <x:c r="AB109" s="60" t="n">
        <x:v>14</x:v>
      </x:c>
      <x:c r="AC109" s="60" t="n">
        <x:f>ROUND(((0.30*V109+0.20*W109+0.25*X109+0.15*Y109+0.10*AA109)+(0.30*Z109+0.20*X109+0.20*W109+0.15*AA109+0.15*(100-AB109)))/2,2)</x:f>
        <x:v>87.1</x:v>
      </x:c>
      <x:c r="AD109" s="60" t="n">
        <x:v>87</x:v>
      </x:c>
      <x:c r="AE109" s="60" t="n">
        <x:v>88</x:v>
      </x:c>
      <x:c r="AF109" s="60" t="n">
        <x:v>88</x:v>
      </x:c>
      <x:c r="AG109" s="60" t="n">
        <x:v>85.1</x:v>
      </x:c>
      <x:c r="AH109" s="60" t="n">
        <x:v>88</x:v>
      </x:c>
      <x:c r="AI109" s="60" t="n">
        <x:v>85</x:v>
      </x:c>
      <x:c r="AJ109" s="60" t="n">
        <x:v>14</x:v>
      </x:c>
      <x:c r="AK109" s="60" t="n">
        <x:f>ROUND(((0.30*AD109+0.20*AE109+0.25*AF109+0.15*AG109+0.10*AI109)+(0.30*AH109+0.20*AF109+0.20*AE109+0.15*AI109+0.15*(100-AJ109)))/2,2)</x:f>
        <x:v>87.11</x:v>
      </x:c>
      <x:c r="AL109" s="60" t="n">
        <x:v>87</x:v>
      </x:c>
      <x:c r="AM109" s="60" t="n">
        <x:v>88</x:v>
      </x:c>
      <x:c r="AN109" s="60" t="n">
        <x:v>88</x:v>
      </x:c>
      <x:c r="AO109" s="60" t="n">
        <x:v>85</x:v>
      </x:c>
      <x:c r="AP109" s="60" t="n">
        <x:v>88</x:v>
      </x:c>
      <x:c r="AQ109" s="60" t="n">
        <x:v>85</x:v>
      </x:c>
      <x:c r="AR109" s="60" t="n">
        <x:v>14</x:v>
      </x:c>
      <x:c r="AS109" s="60" t="n">
        <x:f>ROUND(((0.30*AL109+0.20*AM109+0.25*AN109+0.15*AO109+0.10*AQ109)+(0.30*AP109+0.20*AN109+0.20*AM109+0.15*AQ109+0.15*(100-AR109)))/2,2)</x:f>
        <x:v>87.1</x:v>
      </x:c>
      <x:c r="AT109" s="60" t="n">
        <x:f>ROUND(AVERAGE(V109,AD109,AL109),1)</x:f>
        <x:v>87</x:v>
      </x:c>
      <x:c r="AU109" s="60" t="n">
        <x:f>ROUND(AVERAGE(W109,AE109,AM109),1)</x:f>
        <x:v>88</x:v>
      </x:c>
      <x:c r="AV109" s="60" t="n">
        <x:f>ROUND(AVERAGE(X109,AF109,AN109),1)</x:f>
        <x:v>88</x:v>
      </x:c>
      <x:c r="AW109" s="60" t="n">
        <x:f>ROUND(AVERAGE(Y109,AG109,AO109),1)</x:f>
        <x:v>85</x:v>
      </x:c>
      <x:c r="AX109" s="60" t="n">
        <x:f>ROUND(AVERAGE(Z109,AH109,AP109),1)</x:f>
        <x:v>88</x:v>
      </x:c>
      <x:c r="AY109" s="60" t="n">
        <x:f>ROUND(AVERAGE(AA109,AI109,AQ109),1)</x:f>
        <x:v>85</x:v>
      </x:c>
      <x:c r="AZ109" s="60" t="n">
        <x:f>ROUND(AVERAGE(AB109,AJ109,AR109),1)</x:f>
        <x:v>14</x:v>
      </x:c>
      <x:c r="BA109" s="59" t="n">
        <x:v>6</x:v>
      </x:c>
      <x:c r="BB109" s="60" t="n">
        <x:f>ROUND(0.30*AT109+0.20*AU109+0.25*AV109+0.15*AW109+0.10*AY109,2)</x:f>
        <x:v>86.95</x:v>
      </x:c>
      <x:c r="BC109" s="60" t="n">
        <x:f>ROUND(0.30*AX109+0.20*AV109+0.20*AU109+0.15*AY109+0.15*(100-AZ109),2)</x:f>
        <x:v>87.25</x:v>
      </x:c>
      <x:c r="BD109" s="60" t="n">
        <x:f>ROUND(AVERAGE(BB109,BC109),2)</x:f>
        <x:v>87.1</x:v>
      </x:c>
      <x:c r="BE109" s="60" t="n">
        <x:f>ROUND(BD109-U109,2)</x:f>
        <x:v>-0.1</x:v>
      </x:c>
      <x:c r="BF109" s="60" t="n">
        <x:f>ROUND(STDEV.P(AC109,AK109,AS109),3)</x:f>
        <x:v>0.005</x:v>
      </x:c>
      <x:c r="BG109" s="59" t="str"/>
      <x:c r="BH109" s="59" t="str">
        <x:v>30%评分池轻量复核</x:v>
      </x:c>
      <x:c r="BI109" s="40" t="str">
        <x:v>三轮复核后与原表基本一致</x:v>
      </x:c>
    </x:row>
    <x:row r="110" ht="30" customHeight="1">
      <x:c r="A110" s="59" t="n">
        <x:v>109</x:v>
      </x:c>
      <x:c r="B110" s="59" t="n">
        <x:v>108</x:v>
      </x:c>
      <x:c r="C110" s="59" t="str">
        <x:v>2026-05</x:v>
      </x:c>
      <x:c r="D110" s="59" t="n">
        <x:v>55</x:v>
      </x:c>
      <x:c r="E110" s="59" t="str">
        <x:v>2605.17233</x:v>
      </x:c>
      <x:c r="F110" s="40" t="str">
        <x:v>Geometric uncertainty principles for Schrodinger evolutions on negatively curved manifolds</x:v>
      </x:c>
      <x:c r="G110" s="40" t="str">
        <x:v>Changxing Miao; Yilin Song; Ruihan Zhou</x:v>
      </x:c>
      <x:c r="H110" s="40" t="str">
        <x:v>Dispersive PDE on manifolds</x:v>
      </x:c>
      <x:c r="I110" s="59"/>
      <x:c r="J110" s="40" t="str">
        <x:v>https://arxiv.org/abs/2605.17233</x:v>
      </x:c>
      <x:c r="K110" s="60" t="n">
        <x:v>87</x:v>
      </x:c>
      <x:c r="L110" s="60" t="n">
        <x:v>88</x:v>
      </x:c>
      <x:c r="M110" s="60" t="n">
        <x:v>88</x:v>
      </x:c>
      <x:c r="N110" s="60" t="n">
        <x:v>85</x:v>
      </x:c>
      <x:c r="O110" s="60" t="n">
        <x:v>88</x:v>
      </x:c>
      <x:c r="P110" s="60" t="n">
        <x:v>85</x:v>
      </x:c>
      <x:c r="Q110" s="60" t="n">
        <x:v>14</x:v>
      </x:c>
      <x:c r="R110" s="59" t="n">
        <x:v>6</x:v>
      </x:c>
      <x:c r="S110" s="60" t="n">
        <x:v>87</x:v>
      </x:c>
      <x:c r="T110" s="60" t="n">
        <x:v>87.3</x:v>
      </x:c>
      <x:c r="U110" s="60" t="n">
        <x:v>87.2</x:v>
      </x:c>
      <x:c r="V110" s="60" t="n">
        <x:v>87</x:v>
      </x:c>
      <x:c r="W110" s="60" t="n">
        <x:v>88</x:v>
      </x:c>
      <x:c r="X110" s="60" t="n">
        <x:v>88</x:v>
      </x:c>
      <x:c r="Y110" s="60" t="n">
        <x:v>85</x:v>
      </x:c>
      <x:c r="Z110" s="60" t="n">
        <x:v>88</x:v>
      </x:c>
      <x:c r="AA110" s="60" t="n">
        <x:v>85</x:v>
      </x:c>
      <x:c r="AB110" s="60" t="n">
        <x:v>14</x:v>
      </x:c>
      <x:c r="AC110" s="60" t="n">
        <x:f>ROUND(((0.30*V110+0.20*W110+0.25*X110+0.15*Y110+0.10*AA110)+(0.30*Z110+0.20*X110+0.20*W110+0.15*AA110+0.15*(100-AB110)))/2,2)</x:f>
        <x:v>87.1</x:v>
      </x:c>
      <x:c r="AD110" s="60" t="n">
        <x:v>87</x:v>
      </x:c>
      <x:c r="AE110" s="60" t="n">
        <x:v>88</x:v>
      </x:c>
      <x:c r="AF110" s="60" t="n">
        <x:v>88</x:v>
      </x:c>
      <x:c r="AG110" s="60" t="n">
        <x:v>85.1</x:v>
      </x:c>
      <x:c r="AH110" s="60" t="n">
        <x:v>88</x:v>
      </x:c>
      <x:c r="AI110" s="60" t="n">
        <x:v>85</x:v>
      </x:c>
      <x:c r="AJ110" s="60" t="n">
        <x:v>14</x:v>
      </x:c>
      <x:c r="AK110" s="60" t="n">
        <x:f>ROUND(((0.30*AD110+0.20*AE110+0.25*AF110+0.15*AG110+0.10*AI110)+(0.30*AH110+0.20*AF110+0.20*AE110+0.15*AI110+0.15*(100-AJ110)))/2,2)</x:f>
        <x:v>87.11</x:v>
      </x:c>
      <x:c r="AL110" s="60" t="n">
        <x:v>87</x:v>
      </x:c>
      <x:c r="AM110" s="60" t="n">
        <x:v>88</x:v>
      </x:c>
      <x:c r="AN110" s="60" t="n">
        <x:v>88</x:v>
      </x:c>
      <x:c r="AO110" s="60" t="n">
        <x:v>85</x:v>
      </x:c>
      <x:c r="AP110" s="60" t="n">
        <x:v>88</x:v>
      </x:c>
      <x:c r="AQ110" s="60" t="n">
        <x:v>85</x:v>
      </x:c>
      <x:c r="AR110" s="60" t="n">
        <x:v>14</x:v>
      </x:c>
      <x:c r="AS110" s="60" t="n">
        <x:f>ROUND(((0.30*AL110+0.20*AM110+0.25*AN110+0.15*AO110+0.10*AQ110)+(0.30*AP110+0.20*AN110+0.20*AM110+0.15*AQ110+0.15*(100-AR110)))/2,2)</x:f>
        <x:v>87.1</x:v>
      </x:c>
      <x:c r="AT110" s="60" t="n">
        <x:f>ROUND(AVERAGE(V110,AD110,AL110),1)</x:f>
        <x:v>87</x:v>
      </x:c>
      <x:c r="AU110" s="60" t="n">
        <x:f>ROUND(AVERAGE(W110,AE110,AM110),1)</x:f>
        <x:v>88</x:v>
      </x:c>
      <x:c r="AV110" s="60" t="n">
        <x:f>ROUND(AVERAGE(X110,AF110,AN110),1)</x:f>
        <x:v>88</x:v>
      </x:c>
      <x:c r="AW110" s="60" t="n">
        <x:f>ROUND(AVERAGE(Y110,AG110,AO110),1)</x:f>
        <x:v>85</x:v>
      </x:c>
      <x:c r="AX110" s="60" t="n">
        <x:f>ROUND(AVERAGE(Z110,AH110,AP110),1)</x:f>
        <x:v>88</x:v>
      </x:c>
      <x:c r="AY110" s="60" t="n">
        <x:f>ROUND(AVERAGE(AA110,AI110,AQ110),1)</x:f>
        <x:v>85</x:v>
      </x:c>
      <x:c r="AZ110" s="60" t="n">
        <x:f>ROUND(AVERAGE(AB110,AJ110,AR110),1)</x:f>
        <x:v>14</x:v>
      </x:c>
      <x:c r="BA110" s="59" t="n">
        <x:v>6</x:v>
      </x:c>
      <x:c r="BB110" s="60" t="n">
        <x:f>ROUND(0.30*AT110+0.20*AU110+0.25*AV110+0.15*AW110+0.10*AY110,2)</x:f>
        <x:v>86.95</x:v>
      </x:c>
      <x:c r="BC110" s="60" t="n">
        <x:f>ROUND(0.30*AX110+0.20*AV110+0.20*AU110+0.15*AY110+0.15*(100-AZ110),2)</x:f>
        <x:v>87.25</x:v>
      </x:c>
      <x:c r="BD110" s="60" t="n">
        <x:f>ROUND(AVERAGE(BB110,BC110),2)</x:f>
        <x:v>87.1</x:v>
      </x:c>
      <x:c r="BE110" s="60" t="n">
        <x:f>ROUND(BD110-U110,2)</x:f>
        <x:v>-0.1</x:v>
      </x:c>
      <x:c r="BF110" s="60" t="n">
        <x:f>ROUND(STDEV.P(AC110,AK110,AS110),3)</x:f>
        <x:v>0.005</x:v>
      </x:c>
      <x:c r="BG110" s="59" t="str"/>
      <x:c r="BH110" s="59" t="str">
        <x:v>30%评分池轻量复核</x:v>
      </x:c>
      <x:c r="BI110" s="40" t="str">
        <x:v>三轮复核后与原表基本一致</x:v>
      </x:c>
    </x:row>
    <x:row r="111" ht="30" customHeight="1">
      <x:c r="A111" s="59" t="n">
        <x:v>110</x:v>
      </x:c>
      <x:c r="B111" s="59" t="n">
        <x:v>109</x:v>
      </x:c>
      <x:c r="C111" s="59" t="str">
        <x:v>2026-05</x:v>
      </x:c>
      <x:c r="D111" s="59" t="n">
        <x:v>59</x:v>
      </x:c>
      <x:c r="E111" s="59" t="str">
        <x:v>2605.17121</x:v>
      </x:c>
      <x:c r="F111" s="40" t="str">
        <x:v>Global Regular Solutions of the Compressible Navier-Stokes Equations with Nonlinear Density-Dependent Viscosities and Large Initial Data of Spherical Symmetry</x:v>
      </x:c>
      <x:c r="G111" s="40" t="str">
        <x:v>Gui-Qiang G. Chen; Jiawen Zhang; Shengguo Zhu</x:v>
      </x:c>
      <x:c r="H111" s="40" t="str">
        <x:v>Compressible Navier-Stokes</x:v>
      </x:c>
      <x:c r="I111" s="59" t="n">
        <x:v>99</x:v>
      </x:c>
      <x:c r="J111" s="40" t="str">
        <x:v>https://arxiv.org/abs/2605.17121</x:v>
      </x:c>
      <x:c r="K111" s="60" t="n">
        <x:v>88</x:v>
      </x:c>
      <x:c r="L111" s="60" t="n">
        <x:v>87</x:v>
      </x:c>
      <x:c r="M111" s="60" t="n">
        <x:v>89</x:v>
      </x:c>
      <x:c r="N111" s="60" t="n">
        <x:v>84</x:v>
      </x:c>
      <x:c r="O111" s="60" t="n">
        <x:v>89</x:v>
      </x:c>
      <x:c r="P111" s="60" t="n">
        <x:v>84</x:v>
      </x:c>
      <x:c r="Q111" s="60" t="n">
        <x:v>16</x:v>
      </x:c>
      <x:c r="R111" s="59" t="n">
        <x:v>6</x:v>
      </x:c>
      <x:c r="S111" s="60" t="n">
        <x:v>87.1</x:v>
      </x:c>
      <x:c r="T111" s="60" t="n">
        <x:v>87.1</x:v>
      </x:c>
      <x:c r="U111" s="60" t="n">
        <x:v>87.1</x:v>
      </x:c>
      <x:c r="V111" s="60" t="n">
        <x:v>88.1</x:v>
      </x:c>
      <x:c r="W111" s="60" t="n">
        <x:v>87</x:v>
      </x:c>
      <x:c r="X111" s="60" t="n">
        <x:v>89.1</x:v>
      </x:c>
      <x:c r="Y111" s="60" t="n">
        <x:v>84</x:v>
      </x:c>
      <x:c r="Z111" s="60" t="n">
        <x:v>89.1</x:v>
      </x:c>
      <x:c r="AA111" s="60" t="n">
        <x:v>84</x:v>
      </x:c>
      <x:c r="AB111" s="60" t="n">
        <x:v>16</x:v>
      </x:c>
      <x:c r="AC111" s="60" t="n">
        <x:f>ROUND(((0.30*V111+0.20*W111+0.25*X111+0.15*Y111+0.10*AA111)+(0.30*Z111+0.20*X111+0.20*W111+0.15*AA111+0.15*(100-AB111)))/2,2)</x:f>
        <x:v>87.13</x:v>
      </x:c>
      <x:c r="AD111" s="60" t="n">
        <x:v>88</x:v>
      </x:c>
      <x:c r="AE111" s="60" t="n">
        <x:v>87</x:v>
      </x:c>
      <x:c r="AF111" s="60" t="n">
        <x:v>89</x:v>
      </x:c>
      <x:c r="AG111" s="60" t="n">
        <x:v>84.1</x:v>
      </x:c>
      <x:c r="AH111" s="60" t="n">
        <x:v>89</x:v>
      </x:c>
      <x:c r="AI111" s="60" t="n">
        <x:v>84</x:v>
      </x:c>
      <x:c r="AJ111" s="60" t="n">
        <x:v>16</x:v>
      </x:c>
      <x:c r="AK111" s="60" t="n">
        <x:f>ROUND(((0.30*AD111+0.20*AE111+0.25*AF111+0.15*AG111+0.10*AI111)+(0.30*AH111+0.20*AF111+0.20*AE111+0.15*AI111+0.15*(100-AJ111)))/2,2)</x:f>
        <x:v>87.08</x:v>
      </x:c>
      <x:c r="AL111" s="60" t="n">
        <x:v>88</x:v>
      </x:c>
      <x:c r="AM111" s="60" t="n">
        <x:v>87</x:v>
      </x:c>
      <x:c r="AN111" s="60" t="n">
        <x:v>89.1</x:v>
      </x:c>
      <x:c r="AO111" s="60" t="n">
        <x:v>84</x:v>
      </x:c>
      <x:c r="AP111" s="60" t="n">
        <x:v>89</x:v>
      </x:c>
      <x:c r="AQ111" s="60" t="n">
        <x:v>84</x:v>
      </x:c>
      <x:c r="AR111" s="60" t="n">
        <x:v>16</x:v>
      </x:c>
      <x:c r="AS111" s="60" t="n">
        <x:f>ROUND(((0.30*AL111+0.20*AM111+0.25*AN111+0.15*AO111+0.10*AQ111)+(0.30*AP111+0.20*AN111+0.20*AM111+0.15*AQ111+0.15*(100-AR111)))/2,2)</x:f>
        <x:v>87.1</x:v>
      </x:c>
      <x:c r="AT111" s="60" t="n">
        <x:f>ROUND(AVERAGE(V111,AD111,AL111),1)</x:f>
        <x:v>88</x:v>
      </x:c>
      <x:c r="AU111" s="60" t="n">
        <x:f>ROUND(AVERAGE(W111,AE111,AM111),1)</x:f>
        <x:v>87</x:v>
      </x:c>
      <x:c r="AV111" s="60" t="n">
        <x:f>ROUND(AVERAGE(X111,AF111,AN111),1)</x:f>
        <x:v>89.1</x:v>
      </x:c>
      <x:c r="AW111" s="60" t="n">
        <x:f>ROUND(AVERAGE(Y111,AG111,AO111),1)</x:f>
        <x:v>84</x:v>
      </x:c>
      <x:c r="AX111" s="60" t="n">
        <x:f>ROUND(AVERAGE(Z111,AH111,AP111),1)</x:f>
        <x:v>89</x:v>
      </x:c>
      <x:c r="AY111" s="60" t="n">
        <x:f>ROUND(AVERAGE(AA111,AI111,AQ111),1)</x:f>
        <x:v>84</x:v>
      </x:c>
      <x:c r="AZ111" s="60" t="n">
        <x:f>ROUND(AVERAGE(AB111,AJ111,AR111),1)</x:f>
        <x:v>16</x:v>
      </x:c>
      <x:c r="BA111" s="59" t="n">
        <x:v>6</x:v>
      </x:c>
      <x:c r="BB111" s="60" t="n">
        <x:f>ROUND(0.30*AT111+0.20*AU111+0.25*AV111+0.15*AW111+0.10*AY111,2)</x:f>
        <x:v>87.07</x:v>
      </x:c>
      <x:c r="BC111" s="60" t="n">
        <x:f>ROUND(0.30*AX111+0.20*AV111+0.20*AU111+0.15*AY111+0.15*(100-AZ111),2)</x:f>
        <x:v>87.12</x:v>
      </x:c>
      <x:c r="BD111" s="60" t="n">
        <x:f>ROUND(AVERAGE(BB111,BC111),2)</x:f>
        <x:v>87.1</x:v>
      </x:c>
      <x:c r="BE111" s="60" t="n">
        <x:f>ROUND(BD111-U111,2)</x:f>
        <x:v>0</x:v>
      </x:c>
      <x:c r="BF111" s="60" t="n">
        <x:f>ROUND(STDEV.P(AC111,AK111,AS111),3)</x:f>
        <x:v>0.021</x:v>
      </x:c>
      <x:c r="BG111" s="59" t="str"/>
      <x:c r="BH111" s="59" t="str">
        <x:v>30%评分池轻量复核</x:v>
      </x:c>
      <x:c r="BI111" s="40" t="str">
        <x:v>三轮复核后与原表基本一致</x:v>
      </x:c>
    </x:row>
    <x:row r="112" ht="30" customHeight="1">
      <x:c r="A112" s="59" t="n">
        <x:v>111</x:v>
      </x:c>
      <x:c r="B112" s="59" t="n">
        <x:v>110</x:v>
      </x:c>
      <x:c r="C112" s="59" t="str">
        <x:v>2026-05</x:v>
      </x:c>
      <x:c r="D112" s="59" t="n">
        <x:v>59</x:v>
      </x:c>
      <x:c r="E112" s="59" t="str">
        <x:v>2605.07350</x:v>
      </x:c>
      <x:c r="F112" s="40" t="str">
        <x:v>Global Existence of Classical Solutions to Brenner-Navier-Stokes-Fourier System for Large Data</x:v>
      </x:c>
      <x:c r="G112" s="40" t="str">
        <x:v>Saehoon Eo; Namhyun Eun; Moon-Jin Kang</x:v>
      </x:c>
      <x:c r="H112" s="40" t="str">
        <x:v>Fluid systems</x:v>
      </x:c>
      <x:c r="I112" s="59"/>
      <x:c r="J112" s="40" t="str">
        <x:v>https://arxiv.org/abs/2605.07350</x:v>
      </x:c>
      <x:c r="K112" s="60" t="n">
        <x:v>88</x:v>
      </x:c>
      <x:c r="L112" s="60" t="n">
        <x:v>87</x:v>
      </x:c>
      <x:c r="M112" s="60" t="n">
        <x:v>89</x:v>
      </x:c>
      <x:c r="N112" s="60" t="n">
        <x:v>84</x:v>
      </x:c>
      <x:c r="O112" s="60" t="n">
        <x:v>89</x:v>
      </x:c>
      <x:c r="P112" s="60" t="n">
        <x:v>84</x:v>
      </x:c>
      <x:c r="Q112" s="60" t="n">
        <x:v>16</x:v>
      </x:c>
      <x:c r="R112" s="59" t="n">
        <x:v>6</x:v>
      </x:c>
      <x:c r="S112" s="60" t="n">
        <x:v>87.1</x:v>
      </x:c>
      <x:c r="T112" s="60" t="n">
        <x:v>87.1</x:v>
      </x:c>
      <x:c r="U112" s="60" t="n">
        <x:v>87.1</x:v>
      </x:c>
      <x:c r="V112" s="60" t="n">
        <x:v>88.1</x:v>
      </x:c>
      <x:c r="W112" s="60" t="n">
        <x:v>87</x:v>
      </x:c>
      <x:c r="X112" s="60" t="n">
        <x:v>89.1</x:v>
      </x:c>
      <x:c r="Y112" s="60" t="n">
        <x:v>84</x:v>
      </x:c>
      <x:c r="Z112" s="60" t="n">
        <x:v>89.1</x:v>
      </x:c>
      <x:c r="AA112" s="60" t="n">
        <x:v>84</x:v>
      </x:c>
      <x:c r="AB112" s="60" t="n">
        <x:v>16</x:v>
      </x:c>
      <x:c r="AC112" s="60" t="n">
        <x:f>ROUND(((0.30*V112+0.20*W112+0.25*X112+0.15*Y112+0.10*AA112)+(0.30*Z112+0.20*X112+0.20*W112+0.15*AA112+0.15*(100-AB112)))/2,2)</x:f>
        <x:v>87.13</x:v>
      </x:c>
      <x:c r="AD112" s="60" t="n">
        <x:v>88</x:v>
      </x:c>
      <x:c r="AE112" s="60" t="n">
        <x:v>87</x:v>
      </x:c>
      <x:c r="AF112" s="60" t="n">
        <x:v>89</x:v>
      </x:c>
      <x:c r="AG112" s="60" t="n">
        <x:v>84.1</x:v>
      </x:c>
      <x:c r="AH112" s="60" t="n">
        <x:v>89</x:v>
      </x:c>
      <x:c r="AI112" s="60" t="n">
        <x:v>84</x:v>
      </x:c>
      <x:c r="AJ112" s="60" t="n">
        <x:v>16</x:v>
      </x:c>
      <x:c r="AK112" s="60" t="n">
        <x:f>ROUND(((0.30*AD112+0.20*AE112+0.25*AF112+0.15*AG112+0.10*AI112)+(0.30*AH112+0.20*AF112+0.20*AE112+0.15*AI112+0.15*(100-AJ112)))/2,2)</x:f>
        <x:v>87.08</x:v>
      </x:c>
      <x:c r="AL112" s="60" t="n">
        <x:v>88</x:v>
      </x:c>
      <x:c r="AM112" s="60" t="n">
        <x:v>87</x:v>
      </x:c>
      <x:c r="AN112" s="60" t="n">
        <x:v>89.1</x:v>
      </x:c>
      <x:c r="AO112" s="60" t="n">
        <x:v>84</x:v>
      </x:c>
      <x:c r="AP112" s="60" t="n">
        <x:v>89</x:v>
      </x:c>
      <x:c r="AQ112" s="60" t="n">
        <x:v>84</x:v>
      </x:c>
      <x:c r="AR112" s="60" t="n">
        <x:v>16</x:v>
      </x:c>
      <x:c r="AS112" s="60" t="n">
        <x:f>ROUND(((0.30*AL112+0.20*AM112+0.25*AN112+0.15*AO112+0.10*AQ112)+(0.30*AP112+0.20*AN112+0.20*AM112+0.15*AQ112+0.15*(100-AR112)))/2,2)</x:f>
        <x:v>87.1</x:v>
      </x:c>
      <x:c r="AT112" s="60" t="n">
        <x:f>ROUND(AVERAGE(V112,AD112,AL112),1)</x:f>
        <x:v>88</x:v>
      </x:c>
      <x:c r="AU112" s="60" t="n">
        <x:f>ROUND(AVERAGE(W112,AE112,AM112),1)</x:f>
        <x:v>87</x:v>
      </x:c>
      <x:c r="AV112" s="60" t="n">
        <x:f>ROUND(AVERAGE(X112,AF112,AN112),1)</x:f>
        <x:v>89.1</x:v>
      </x:c>
      <x:c r="AW112" s="60" t="n">
        <x:f>ROUND(AVERAGE(Y112,AG112,AO112),1)</x:f>
        <x:v>84</x:v>
      </x:c>
      <x:c r="AX112" s="60" t="n">
        <x:f>ROUND(AVERAGE(Z112,AH112,AP112),1)</x:f>
        <x:v>89</x:v>
      </x:c>
      <x:c r="AY112" s="60" t="n">
        <x:f>ROUND(AVERAGE(AA112,AI112,AQ112),1)</x:f>
        <x:v>84</x:v>
      </x:c>
      <x:c r="AZ112" s="60" t="n">
        <x:f>ROUND(AVERAGE(AB112,AJ112,AR112),1)</x:f>
        <x:v>16</x:v>
      </x:c>
      <x:c r="BA112" s="59" t="n">
        <x:v>6</x:v>
      </x:c>
      <x:c r="BB112" s="60" t="n">
        <x:f>ROUND(0.30*AT112+0.20*AU112+0.25*AV112+0.15*AW112+0.10*AY112,2)</x:f>
        <x:v>87.07</x:v>
      </x:c>
      <x:c r="BC112" s="60" t="n">
        <x:f>ROUND(0.30*AX112+0.20*AV112+0.20*AU112+0.15*AY112+0.15*(100-AZ112),2)</x:f>
        <x:v>87.12</x:v>
      </x:c>
      <x:c r="BD112" s="60" t="n">
        <x:f>ROUND(AVERAGE(BB112,BC112),2)</x:f>
        <x:v>87.1</x:v>
      </x:c>
      <x:c r="BE112" s="60" t="n">
        <x:f>ROUND(BD112-U112,2)</x:f>
        <x:v>0</x:v>
      </x:c>
      <x:c r="BF112" s="60" t="n">
        <x:f>ROUND(STDEV.P(AC112,AK112,AS112),3)</x:f>
        <x:v>0.021</x:v>
      </x:c>
      <x:c r="BG112" s="59" t="str"/>
      <x:c r="BH112" s="59" t="str">
        <x:v>30%评分池轻量复核</x:v>
      </x:c>
      <x:c r="BI112" s="40" t="str">
        <x:v>三轮复核后与原表基本一致</x:v>
      </x:c>
    </x:row>
    <x:row r="113" ht="30" customHeight="1">
      <x:c r="A113" s="59" t="n">
        <x:v>112</x:v>
      </x:c>
      <x:c r="B113" s="59" t="n">
        <x:v>113</x:v>
      </x:c>
      <x:c r="C113" s="59" t="str">
        <x:v>2026-05</x:v>
      </x:c>
      <x:c r="D113" s="59" t="n">
        <x:v>59</x:v>
      </x:c>
      <x:c r="E113" s="59" t="str">
        <x:v>2605.03668</x:v>
      </x:c>
      <x:c r="F113" s="40" t="str">
        <x:v>Quantitative stability for the Trudinger-Moser inequality</x:v>
      </x:c>
      <x:c r="G113" s="40" t="str">
        <x:v>Joao H. Andrade; J. F. de Oliveira; J. M. do O; A. C. Macedo; Jesse Ratzkin</x:v>
      </x:c>
      <x:c r="H113" s="40" t="str">
        <x:v>Functional inequalities</x:v>
      </x:c>
      <x:c r="I113" s="59" t="n">
        <x:v>27</x:v>
      </x:c>
      <x:c r="J113" s="40" t="str">
        <x:v>https://arxiv.org/abs/2605.03668</x:v>
      </x:c>
      <x:c r="K113" s="60" t="n">
        <x:v>88</x:v>
      </x:c>
      <x:c r="L113" s="60" t="n">
        <x:v>87</x:v>
      </x:c>
      <x:c r="M113" s="60" t="n">
        <x:v>88</x:v>
      </x:c>
      <x:c r="N113" s="60" t="n">
        <x:v>84</x:v>
      </x:c>
      <x:c r="O113" s="60" t="n">
        <x:v>88</x:v>
      </x:c>
      <x:c r="P113" s="60" t="n">
        <x:v>86</x:v>
      </x:c>
      <x:c r="Q113" s="60" t="n">
        <x:v>15</x:v>
      </x:c>
      <x:c r="R113" s="59" t="n">
        <x:v>6</x:v>
      </x:c>
      <x:c r="S113" s="60" t="n">
        <x:v>87</x:v>
      </x:c>
      <x:c r="T113" s="60" t="n">
        <x:v>87.1</x:v>
      </x:c>
      <x:c r="U113" s="60" t="n">
        <x:v>87.1</x:v>
      </x:c>
      <x:c r="V113" s="60" t="n">
        <x:v>88</x:v>
      </x:c>
      <x:c r="W113" s="60" t="n">
        <x:v>87.1</x:v>
      </x:c>
      <x:c r="X113" s="60" t="n">
        <x:v>88</x:v>
      </x:c>
      <x:c r="Y113" s="60" t="n">
        <x:v>84</x:v>
      </x:c>
      <x:c r="Z113" s="60" t="n">
        <x:v>88.1</x:v>
      </x:c>
      <x:c r="AA113" s="60" t="n">
        <x:v>86</x:v>
      </x:c>
      <x:c r="AB113" s="60" t="n">
        <x:v>15</x:v>
      </x:c>
      <x:c r="AC113" s="60" t="n">
        <x:f>ROUND(((0.30*V113+0.20*W113+0.25*X113+0.15*Y113+0.10*AA113)+(0.30*Z113+0.20*X113+0.20*W113+0.15*AA113+0.15*(100-AB113)))/2,2)</x:f>
        <x:v>87.06</x:v>
      </x:c>
      <x:c r="AD113" s="60" t="n">
        <x:v>88</x:v>
      </x:c>
      <x:c r="AE113" s="60" t="n">
        <x:v>87.1</x:v>
      </x:c>
      <x:c r="AF113" s="60" t="n">
        <x:v>88</x:v>
      </x:c>
      <x:c r="AG113" s="60" t="n">
        <x:v>84.1</x:v>
      </x:c>
      <x:c r="AH113" s="60" t="n">
        <x:v>88</x:v>
      </x:c>
      <x:c r="AI113" s="60" t="n">
        <x:v>86</x:v>
      </x:c>
      <x:c r="AJ113" s="60" t="n">
        <x:v>15</x:v>
      </x:c>
      <x:c r="AK113" s="60" t="n">
        <x:f>ROUND(((0.30*AD113+0.20*AE113+0.25*AF113+0.15*AG113+0.10*AI113)+(0.30*AH113+0.20*AF113+0.20*AE113+0.15*AI113+0.15*(100-AJ113)))/2,2)</x:f>
        <x:v>87.05</x:v>
      </x:c>
      <x:c r="AL113" s="60" t="n">
        <x:v>88</x:v>
      </x:c>
      <x:c r="AM113" s="60" t="n">
        <x:v>87.1</x:v>
      </x:c>
      <x:c r="AN113" s="60" t="n">
        <x:v>88</x:v>
      </x:c>
      <x:c r="AO113" s="60" t="n">
        <x:v>84</x:v>
      </x:c>
      <x:c r="AP113" s="60" t="n">
        <x:v>88.1</x:v>
      </x:c>
      <x:c r="AQ113" s="60" t="n">
        <x:v>86</x:v>
      </x:c>
      <x:c r="AR113" s="60" t="n">
        <x:v>15</x:v>
      </x:c>
      <x:c r="AS113" s="60" t="n">
        <x:f>ROUND(((0.30*AL113+0.20*AM113+0.25*AN113+0.15*AO113+0.10*AQ113)+(0.30*AP113+0.20*AN113+0.20*AM113+0.15*AQ113+0.15*(100-AR113)))/2,2)</x:f>
        <x:v>87.06</x:v>
      </x:c>
      <x:c r="AT113" s="60" t="n">
        <x:f>ROUND(AVERAGE(V113,AD113,AL113),1)</x:f>
        <x:v>88</x:v>
      </x:c>
      <x:c r="AU113" s="60" t="n">
        <x:f>ROUND(AVERAGE(W113,AE113,AM113),1)</x:f>
        <x:v>87.1</x:v>
      </x:c>
      <x:c r="AV113" s="60" t="n">
        <x:f>ROUND(AVERAGE(X113,AF113,AN113),1)</x:f>
        <x:v>88</x:v>
      </x:c>
      <x:c r="AW113" s="60" t="n">
        <x:f>ROUND(AVERAGE(Y113,AG113,AO113),1)</x:f>
        <x:v>84</x:v>
      </x:c>
      <x:c r="AX113" s="60" t="n">
        <x:f>ROUND(AVERAGE(Z113,AH113,AP113),1)</x:f>
        <x:v>88.1</x:v>
      </x:c>
      <x:c r="AY113" s="60" t="n">
        <x:f>ROUND(AVERAGE(AA113,AI113,AQ113),1)</x:f>
        <x:v>86</x:v>
      </x:c>
      <x:c r="AZ113" s="60" t="n">
        <x:f>ROUND(AVERAGE(AB113,AJ113,AR113),1)</x:f>
        <x:v>15</x:v>
      </x:c>
      <x:c r="BA113" s="59" t="n">
        <x:v>6</x:v>
      </x:c>
      <x:c r="BB113" s="60" t="n">
        <x:f>ROUND(0.30*AT113+0.20*AU113+0.25*AV113+0.15*AW113+0.10*AY113,2)</x:f>
        <x:v>87.02</x:v>
      </x:c>
      <x:c r="BC113" s="60" t="n">
        <x:f>ROUND(0.30*AX113+0.20*AV113+0.20*AU113+0.15*AY113+0.15*(100-AZ113),2)</x:f>
        <x:v>87.1</x:v>
      </x:c>
      <x:c r="BD113" s="60" t="n">
        <x:f>ROUND(AVERAGE(BB113,BC113),2)</x:f>
        <x:v>87.06</x:v>
      </x:c>
      <x:c r="BE113" s="60" t="n">
        <x:f>ROUND(BD113-U113,2)</x:f>
        <x:v>-0.04</x:v>
      </x:c>
      <x:c r="BF113" s="60" t="n">
        <x:f>ROUND(STDEV.P(AC113,AK113,AS113),3)</x:f>
        <x:v>0.005</x:v>
      </x:c>
      <x:c r="BG113" s="59" t="str"/>
      <x:c r="BH113" s="59" t="str">
        <x:v>30%评分池轻量复核</x:v>
      </x:c>
      <x:c r="BI113" s="40" t="str">
        <x:v>范围偏专门，广度轻微回调</x:v>
      </x:c>
    </x:row>
    <x:row r="114" ht="30" customHeight="1">
      <x:c r="A114" s="59" t="n">
        <x:v>113</x:v>
      </x:c>
      <x:c r="B114" s="59" t="n">
        <x:v>112</x:v>
      </x:c>
      <x:c r="C114" s="59" t="str">
        <x:v>2026-05</x:v>
      </x:c>
      <x:c r="D114" s="59" t="n">
        <x:v>59</x:v>
      </x:c>
      <x:c r="E114" s="59" t="str">
        <x:v>2605.05490</x:v>
      </x:c>
      <x:c r="F114" s="40" t="str">
        <x:v>Holder continuity for non-coercive Hamilton-Jacobi equations associated to linear control systems</x:v>
      </x:c>
      <x:c r="G114" s="40" t="str">
        <x:v>Megan Griffin-Pickering; Alpar R. Meszaros</x:v>
      </x:c>
      <x:c r="H114" s="40" t="str">
        <x:v>Hamilton-Jacobi equations</x:v>
      </x:c>
      <x:c r="I114" s="59" t="n">
        <x:v>40</x:v>
      </x:c>
      <x:c r="J114" s="40" t="str">
        <x:v>https://arxiv.org/abs/2605.05490</x:v>
      </x:c>
      <x:c r="K114" s="60" t="n">
        <x:v>88</x:v>
      </x:c>
      <x:c r="L114" s="60" t="n">
        <x:v>87</x:v>
      </x:c>
      <x:c r="M114" s="60" t="n">
        <x:v>88</x:v>
      </x:c>
      <x:c r="N114" s="60" t="n">
        <x:v>84</x:v>
      </x:c>
      <x:c r="O114" s="60" t="n">
        <x:v>88</x:v>
      </x:c>
      <x:c r="P114" s="60" t="n">
        <x:v>86</x:v>
      </x:c>
      <x:c r="Q114" s="60" t="n">
        <x:v>15</x:v>
      </x:c>
      <x:c r="R114" s="59" t="n">
        <x:v>6</x:v>
      </x:c>
      <x:c r="S114" s="60" t="n">
        <x:v>87</x:v>
      </x:c>
      <x:c r="T114" s="60" t="n">
        <x:v>87.1</x:v>
      </x:c>
      <x:c r="U114" s="60" t="n">
        <x:v>87.1</x:v>
      </x:c>
      <x:c r="V114" s="60" t="n">
        <x:v>88</x:v>
      </x:c>
      <x:c r="W114" s="60" t="n">
        <x:v>87</x:v>
      </x:c>
      <x:c r="X114" s="60" t="n">
        <x:v>88</x:v>
      </x:c>
      <x:c r="Y114" s="60" t="n">
        <x:v>84</x:v>
      </x:c>
      <x:c r="Z114" s="60" t="n">
        <x:v>88</x:v>
      </x:c>
      <x:c r="AA114" s="60" t="n">
        <x:v>86</x:v>
      </x:c>
      <x:c r="AB114" s="60" t="n">
        <x:v>15</x:v>
      </x:c>
      <x:c r="AC114" s="60" t="n">
        <x:f>ROUND(((0.30*V114+0.20*W114+0.25*X114+0.15*Y114+0.10*AA114)+(0.30*Z114+0.20*X114+0.20*W114+0.15*AA114+0.15*(100-AB114)))/2,2)</x:f>
        <x:v>87.03</x:v>
      </x:c>
      <x:c r="AD114" s="60" t="n">
        <x:v>88</x:v>
      </x:c>
      <x:c r="AE114" s="60" t="n">
        <x:v>87</x:v>
      </x:c>
      <x:c r="AF114" s="60" t="n">
        <x:v>88</x:v>
      </x:c>
      <x:c r="AG114" s="60" t="n">
        <x:v>84.1</x:v>
      </x:c>
      <x:c r="AH114" s="60" t="n">
        <x:v>88</x:v>
      </x:c>
      <x:c r="AI114" s="60" t="n">
        <x:v>86</x:v>
      </x:c>
      <x:c r="AJ114" s="60" t="n">
        <x:v>15</x:v>
      </x:c>
      <x:c r="AK114" s="60" t="n">
        <x:f>ROUND(((0.30*AD114+0.20*AE114+0.25*AF114+0.15*AG114+0.10*AI114)+(0.30*AH114+0.20*AF114+0.20*AE114+0.15*AI114+0.15*(100-AJ114)))/2,2)</x:f>
        <x:v>87.03</x:v>
      </x:c>
      <x:c r="AL114" s="60" t="n">
        <x:v>88</x:v>
      </x:c>
      <x:c r="AM114" s="60" t="n">
        <x:v>87</x:v>
      </x:c>
      <x:c r="AN114" s="60" t="n">
        <x:v>88</x:v>
      </x:c>
      <x:c r="AO114" s="60" t="n">
        <x:v>84</x:v>
      </x:c>
      <x:c r="AP114" s="60" t="n">
        <x:v>88</x:v>
      </x:c>
      <x:c r="AQ114" s="60" t="n">
        <x:v>86</x:v>
      </x:c>
      <x:c r="AR114" s="60" t="n">
        <x:v>15</x:v>
      </x:c>
      <x:c r="AS114" s="60" t="n">
        <x:f>ROUND(((0.30*AL114+0.20*AM114+0.25*AN114+0.15*AO114+0.10*AQ114)+(0.30*AP114+0.20*AN114+0.20*AM114+0.15*AQ114+0.15*(100-AR114)))/2,2)</x:f>
        <x:v>87.03</x:v>
      </x:c>
      <x:c r="AT114" s="60" t="n">
        <x:f>ROUND(AVERAGE(V114,AD114,AL114),1)</x:f>
        <x:v>88</x:v>
      </x:c>
      <x:c r="AU114" s="60" t="n">
        <x:f>ROUND(AVERAGE(W114,AE114,AM114),1)</x:f>
        <x:v>87</x:v>
      </x:c>
      <x:c r="AV114" s="60" t="n">
        <x:f>ROUND(AVERAGE(X114,AF114,AN114),1)</x:f>
        <x:v>88</x:v>
      </x:c>
      <x:c r="AW114" s="60" t="n">
        <x:f>ROUND(AVERAGE(Y114,AG114,AO114),1)</x:f>
        <x:v>84</x:v>
      </x:c>
      <x:c r="AX114" s="60" t="n">
        <x:f>ROUND(AVERAGE(Z114,AH114,AP114),1)</x:f>
        <x:v>88</x:v>
      </x:c>
      <x:c r="AY114" s="60" t="n">
        <x:f>ROUND(AVERAGE(AA114,AI114,AQ114),1)</x:f>
        <x:v>86</x:v>
      </x:c>
      <x:c r="AZ114" s="60" t="n">
        <x:f>ROUND(AVERAGE(AB114,AJ114,AR114),1)</x:f>
        <x:v>15</x:v>
      </x:c>
      <x:c r="BA114" s="59" t="n">
        <x:v>6</x:v>
      </x:c>
      <x:c r="BB114" s="60" t="n">
        <x:f>ROUND(0.30*AT114+0.20*AU114+0.25*AV114+0.15*AW114+0.10*AY114,2)</x:f>
        <x:v>87</x:v>
      </x:c>
      <x:c r="BC114" s="60" t="n">
        <x:f>ROUND(0.30*AX114+0.20*AV114+0.20*AU114+0.15*AY114+0.15*(100-AZ114),2)</x:f>
        <x:v>87.05</x:v>
      </x:c>
      <x:c r="BD114" s="60" t="n">
        <x:f>ROUND(AVERAGE(BB114,BC114),2)</x:f>
        <x:v>87.03</x:v>
      </x:c>
      <x:c r="BE114" s="60" t="n">
        <x:f>ROUND(BD114-U114,2)</x:f>
        <x:v>-0.07</x:v>
      </x:c>
      <x:c r="BF114" s="60" t="n">
        <x:f>ROUND(STDEV.P(AC114,AK114,AS114),3)</x:f>
        <x:v>0</x:v>
      </x:c>
      <x:c r="BG114" s="59" t="str"/>
      <x:c r="BH114" s="59" t="str">
        <x:v>30%评分池轻量复核</x:v>
      </x:c>
      <x:c r="BI114" s="40" t="str">
        <x:v>三轮复核后与原表基本一致</x:v>
      </x:c>
    </x:row>
    <x:row r="115" ht="30" customHeight="1">
      <x:c r="A115" s="59" t="n">
        <x:v>114</x:v>
      </x:c>
      <x:c r="B115" s="59" t="n">
        <x:v>114</x:v>
      </x:c>
      <x:c r="C115" s="59" t="str">
        <x:v>2026-05</x:v>
      </x:c>
      <x:c r="D115" s="59" t="n">
        <x:v>59</x:v>
      </x:c>
      <x:c r="E115" s="59" t="str">
        <x:v>2605.12914</x:v>
      </x:c>
      <x:c r="F115" s="40" t="str">
        <x:v>Half-space problem on the Boltzmann equation with zero Mach number at infinity</x:v>
      </x:c>
      <x:c r="G115" s="40" t="str">
        <x:v>Hongxu Chen; Jun-ling Chen; Renjun Duan</x:v>
      </x:c>
      <x:c r="H115" s="40" t="str">
        <x:v>Boltzmann boundary layer</x:v>
      </x:c>
      <x:c r="I115" s="59" t="n">
        <x:v>42</x:v>
      </x:c>
      <x:c r="J115" s="40" t="str">
        <x:v>https://arxiv.org/abs/2605.12914</x:v>
      </x:c>
      <x:c r="K115" s="60" t="n">
        <x:v>87</x:v>
      </x:c>
      <x:c r="L115" s="60" t="n">
        <x:v>87</x:v>
      </x:c>
      <x:c r="M115" s="60" t="n">
        <x:v>89</x:v>
      </x:c>
      <x:c r="N115" s="60" t="n">
        <x:v>84</x:v>
      </x:c>
      <x:c r="O115" s="60" t="n">
        <x:v>89</x:v>
      </x:c>
      <x:c r="P115" s="60" t="n">
        <x:v>84</x:v>
      </x:c>
      <x:c r="Q115" s="60" t="n">
        <x:v>15</x:v>
      </x:c>
      <x:c r="R115" s="59" t="n">
        <x:v>6</x:v>
      </x:c>
      <x:c r="S115" s="60" t="n">
        <x:v>86.8</x:v>
      </x:c>
      <x:c r="T115" s="60" t="n">
        <x:v>87.3</x:v>
      </x:c>
      <x:c r="U115" s="60" t="n">
        <x:v>87.1</x:v>
      </x:c>
      <x:c r="V115" s="60" t="n">
        <x:v>87.1</x:v>
      </x:c>
      <x:c r="W115" s="60" t="n">
        <x:v>87</x:v>
      </x:c>
      <x:c r="X115" s="60" t="n">
        <x:v>89.1</x:v>
      </x:c>
      <x:c r="Y115" s="60" t="n">
        <x:v>84</x:v>
      </x:c>
      <x:c r="Z115" s="60" t="n">
        <x:v>89.1</x:v>
      </x:c>
      <x:c r="AA115" s="60" t="n">
        <x:v>84</x:v>
      </x:c>
      <x:c r="AB115" s="60" t="n">
        <x:v>15</x:v>
      </x:c>
      <x:c r="AC115" s="60" t="n">
        <x:f>ROUND(((0.30*V115+0.20*W115+0.25*X115+0.15*Y115+0.10*AA115)+(0.30*Z115+0.20*X115+0.20*W115+0.15*AA115+0.15*(100-AB115)))/2,2)</x:f>
        <x:v>87.05</x:v>
      </x:c>
      <x:c r="AD115" s="60" t="n">
        <x:v>87</x:v>
      </x:c>
      <x:c r="AE115" s="60" t="n">
        <x:v>87</x:v>
      </x:c>
      <x:c r="AF115" s="60" t="n">
        <x:v>89</x:v>
      </x:c>
      <x:c r="AG115" s="60" t="n">
        <x:v>84.1</x:v>
      </x:c>
      <x:c r="AH115" s="60" t="n">
        <x:v>89</x:v>
      </x:c>
      <x:c r="AI115" s="60" t="n">
        <x:v>84</x:v>
      </x:c>
      <x:c r="AJ115" s="60" t="n">
        <x:v>15</x:v>
      </x:c>
      <x:c r="AK115" s="60" t="n">
        <x:f>ROUND(((0.30*AD115+0.20*AE115+0.25*AF115+0.15*AG115+0.10*AI115)+(0.30*AH115+0.20*AF115+0.20*AE115+0.15*AI115+0.15*(100-AJ115)))/2,2)</x:f>
        <x:v>87.01</x:v>
      </x:c>
      <x:c r="AL115" s="60" t="n">
        <x:v>87</x:v>
      </x:c>
      <x:c r="AM115" s="60" t="n">
        <x:v>87</x:v>
      </x:c>
      <x:c r="AN115" s="60" t="n">
        <x:v>89.1</x:v>
      </x:c>
      <x:c r="AO115" s="60" t="n">
        <x:v>84</x:v>
      </x:c>
      <x:c r="AP115" s="60" t="n">
        <x:v>89</x:v>
      </x:c>
      <x:c r="AQ115" s="60" t="n">
        <x:v>84</x:v>
      </x:c>
      <x:c r="AR115" s="60" t="n">
        <x:v>15</x:v>
      </x:c>
      <x:c r="AS115" s="60" t="n">
        <x:f>ROUND(((0.30*AL115+0.20*AM115+0.25*AN115+0.15*AO115+0.10*AQ115)+(0.30*AP115+0.20*AN115+0.20*AM115+0.15*AQ115+0.15*(100-AR115)))/2,2)</x:f>
        <x:v>87.02</x:v>
      </x:c>
      <x:c r="AT115" s="60" t="n">
        <x:f>ROUND(AVERAGE(V115,AD115,AL115),1)</x:f>
        <x:v>87</x:v>
      </x:c>
      <x:c r="AU115" s="60" t="n">
        <x:f>ROUND(AVERAGE(W115,AE115,AM115),1)</x:f>
        <x:v>87</x:v>
      </x:c>
      <x:c r="AV115" s="60" t="n">
        <x:f>ROUND(AVERAGE(X115,AF115,AN115),1)</x:f>
        <x:v>89.1</x:v>
      </x:c>
      <x:c r="AW115" s="60" t="n">
        <x:f>ROUND(AVERAGE(Y115,AG115,AO115),1)</x:f>
        <x:v>84</x:v>
      </x:c>
      <x:c r="AX115" s="60" t="n">
        <x:f>ROUND(AVERAGE(Z115,AH115,AP115),1)</x:f>
        <x:v>89</x:v>
      </x:c>
      <x:c r="AY115" s="60" t="n">
        <x:f>ROUND(AVERAGE(AA115,AI115,AQ115),1)</x:f>
        <x:v>84</x:v>
      </x:c>
      <x:c r="AZ115" s="60" t="n">
        <x:f>ROUND(AVERAGE(AB115,AJ115,AR115),1)</x:f>
        <x:v>15</x:v>
      </x:c>
      <x:c r="BA115" s="59" t="n">
        <x:v>6</x:v>
      </x:c>
      <x:c r="BB115" s="60" t="n">
        <x:f>ROUND(0.30*AT115+0.20*AU115+0.25*AV115+0.15*AW115+0.10*AY115,2)</x:f>
        <x:v>86.78</x:v>
      </x:c>
      <x:c r="BC115" s="60" t="n">
        <x:f>ROUND(0.30*AX115+0.20*AV115+0.20*AU115+0.15*AY115+0.15*(100-AZ115),2)</x:f>
        <x:v>87.27</x:v>
      </x:c>
      <x:c r="BD115" s="60" t="n">
        <x:f>ROUND(AVERAGE(BB115,BC115),2)</x:f>
        <x:v>87.03</x:v>
      </x:c>
      <x:c r="BE115" s="60" t="n">
        <x:f>ROUND(BD115-U115,2)</x:f>
        <x:v>-0.07</x:v>
      </x:c>
      <x:c r="BF115" s="60" t="n">
        <x:f>ROUND(STDEV.P(AC115,AK115,AS115),3)</x:f>
        <x:v>0.017</x:v>
      </x:c>
      <x:c r="BG115" s="59" t="str"/>
      <x:c r="BH115" s="59" t="str">
        <x:v>30%评分池轻量复核</x:v>
      </x:c>
      <x:c r="BI115" s="40" t="str">
        <x:v>三轮复核后与原表基本一致</x:v>
      </x:c>
    </x:row>
    <x:row r="116" ht="30" customHeight="1">
      <x:c r="A116" s="59" t="n">
        <x:v>115</x:v>
      </x:c>
      <x:c r="B116" s="59" t="n">
        <x:v>115</x:v>
      </x:c>
      <x:c r="C116" s="59" t="str">
        <x:v>2026-05</x:v>
      </x:c>
      <x:c r="D116" s="59" t="n">
        <x:v>65</x:v>
      </x:c>
      <x:c r="E116" s="59" t="str">
        <x:v>2605.06589</x:v>
      </x:c>
      <x:c r="F116" s="40" t="str">
        <x:v>Master equations with an individual noise on finite state graphs</x:v>
      </x:c>
      <x:c r="G116" s="40" t="str">
        <x:v>Wilfrid Gangbo; Sebastian Munoz; Jeremy Wu; Zhaoyu Zhang</x:v>
      </x:c>
      <x:c r="H116" s="40" t="str">
        <x:v>Mean field games</x:v>
      </x:c>
      <x:c r="I116" s="59"/>
      <x:c r="J116" s="40" t="str">
        <x:v>https://arxiv.org/abs/2605.06589</x:v>
      </x:c>
      <x:c r="K116" s="60" t="n">
        <x:v>88</x:v>
      </x:c>
      <x:c r="L116" s="60" t="n">
        <x:v>87</x:v>
      </x:c>
      <x:c r="M116" s="60" t="n">
        <x:v>88</x:v>
      </x:c>
      <x:c r="N116" s="60" t="n">
        <x:v>85</x:v>
      </x:c>
      <x:c r="O116" s="60" t="n">
        <x:v>88</x:v>
      </x:c>
      <x:c r="P116" s="60" t="n">
        <x:v>85</x:v>
      </x:c>
      <x:c r="Q116" s="60" t="n">
        <x:v>15</x:v>
      </x:c>
      <x:c r="R116" s="59" t="n">
        <x:v>6</x:v>
      </x:c>
      <x:c r="S116" s="60" t="n">
        <x:v>87.1</x:v>
      </x:c>
      <x:c r="T116" s="60" t="n">
        <x:v>86.9</x:v>
      </x:c>
      <x:c r="U116" s="60" t="n">
        <x:v>87</x:v>
      </x:c>
      <x:c r="V116" s="60" t="n">
        <x:v>88.1</x:v>
      </x:c>
      <x:c r="W116" s="60" t="n">
        <x:v>87</x:v>
      </x:c>
      <x:c r="X116" s="60" t="n">
        <x:v>88.1</x:v>
      </x:c>
      <x:c r="Y116" s="60" t="n">
        <x:v>85</x:v>
      </x:c>
      <x:c r="Z116" s="60" t="n">
        <x:v>88.1</x:v>
      </x:c>
      <x:c r="AA116" s="60" t="n">
        <x:v>85</x:v>
      </x:c>
      <x:c r="AB116" s="60" t="n">
        <x:v>15</x:v>
      </x:c>
      <x:c r="AC116" s="60" t="n">
        <x:f>ROUND(((0.30*V116+0.20*W116+0.25*X116+0.15*Y116+0.10*AA116)+(0.30*Z116+0.20*X116+0.20*W116+0.15*AA116+0.15*(100-AB116)))/2,2)</x:f>
        <x:v>87.03</x:v>
      </x:c>
      <x:c r="AD116" s="60" t="n">
        <x:v>88</x:v>
      </x:c>
      <x:c r="AE116" s="60" t="n">
        <x:v>87</x:v>
      </x:c>
      <x:c r="AF116" s="60" t="n">
        <x:v>88</x:v>
      </x:c>
      <x:c r="AG116" s="60" t="n">
        <x:v>85.1</x:v>
      </x:c>
      <x:c r="AH116" s="60" t="n">
        <x:v>88</x:v>
      </x:c>
      <x:c r="AI116" s="60" t="n">
        <x:v>85</x:v>
      </x:c>
      <x:c r="AJ116" s="60" t="n">
        <x:v>15</x:v>
      </x:c>
      <x:c r="AK116" s="60" t="n">
        <x:f>ROUND(((0.30*AD116+0.20*AE116+0.25*AF116+0.15*AG116+0.10*AI116)+(0.30*AH116+0.20*AF116+0.20*AE116+0.15*AI116+0.15*(100-AJ116)))/2,2)</x:f>
        <x:v>86.98</x:v>
      </x:c>
      <x:c r="AL116" s="60" t="n">
        <x:v>88</x:v>
      </x:c>
      <x:c r="AM116" s="60" t="n">
        <x:v>87</x:v>
      </x:c>
      <x:c r="AN116" s="60" t="n">
        <x:v>88.1</x:v>
      </x:c>
      <x:c r="AO116" s="60" t="n">
        <x:v>85</x:v>
      </x:c>
      <x:c r="AP116" s="60" t="n">
        <x:v>88</x:v>
      </x:c>
      <x:c r="AQ116" s="60" t="n">
        <x:v>85</x:v>
      </x:c>
      <x:c r="AR116" s="60" t="n">
        <x:v>15</x:v>
      </x:c>
      <x:c r="AS116" s="60" t="n">
        <x:f>ROUND(((0.30*AL116+0.20*AM116+0.25*AN116+0.15*AO116+0.10*AQ116)+(0.30*AP116+0.20*AN116+0.20*AM116+0.15*AQ116+0.15*(100-AR116)))/2,2)</x:f>
        <x:v>87</x:v>
      </x:c>
      <x:c r="AT116" s="60" t="n">
        <x:f>ROUND(AVERAGE(V116,AD116,AL116),1)</x:f>
        <x:v>88</x:v>
      </x:c>
      <x:c r="AU116" s="60" t="n">
        <x:f>ROUND(AVERAGE(W116,AE116,AM116),1)</x:f>
        <x:v>87</x:v>
      </x:c>
      <x:c r="AV116" s="60" t="n">
        <x:f>ROUND(AVERAGE(X116,AF116,AN116),1)</x:f>
        <x:v>88.1</x:v>
      </x:c>
      <x:c r="AW116" s="60" t="n">
        <x:f>ROUND(AVERAGE(Y116,AG116,AO116),1)</x:f>
        <x:v>85</x:v>
      </x:c>
      <x:c r="AX116" s="60" t="n">
        <x:f>ROUND(AVERAGE(Z116,AH116,AP116),1)</x:f>
        <x:v>88</x:v>
      </x:c>
      <x:c r="AY116" s="60" t="n">
        <x:f>ROUND(AVERAGE(AA116,AI116,AQ116),1)</x:f>
        <x:v>85</x:v>
      </x:c>
      <x:c r="AZ116" s="60" t="n">
        <x:f>ROUND(AVERAGE(AB116,AJ116,AR116),1)</x:f>
        <x:v>15</x:v>
      </x:c>
      <x:c r="BA116" s="59" t="n">
        <x:v>6</x:v>
      </x:c>
      <x:c r="BB116" s="60" t="n">
        <x:f>ROUND(0.30*AT116+0.20*AU116+0.25*AV116+0.15*AW116+0.10*AY116,2)</x:f>
        <x:v>87.07</x:v>
      </x:c>
      <x:c r="BC116" s="60" t="n">
        <x:f>ROUND(0.30*AX116+0.20*AV116+0.20*AU116+0.15*AY116+0.15*(100-AZ116),2)</x:f>
        <x:v>86.92</x:v>
      </x:c>
      <x:c r="BD116" s="60" t="n">
        <x:f>ROUND(AVERAGE(BB116,BC116),2)</x:f>
        <x:v>87</x:v>
      </x:c>
      <x:c r="BE116" s="60" t="n">
        <x:f>ROUND(BD116-U116,2)</x:f>
        <x:v>0</x:v>
      </x:c>
      <x:c r="BF116" s="60" t="n">
        <x:f>ROUND(STDEV.P(AC116,AK116,AS116),3)</x:f>
        <x:v>0.021</x:v>
      </x:c>
      <x:c r="BG116" s="59" t="str"/>
      <x:c r="BH116" s="59" t="str">
        <x:v>30%评分池轻量复核</x:v>
      </x:c>
      <x:c r="BI116" s="40" t="str">
        <x:v>三轮复核后与原表基本一致</x:v>
      </x:c>
    </x:row>
    <x:row r="117" ht="30" customHeight="1">
      <x:c r="A117" s="59" t="n">
        <x:v>116</x:v>
      </x:c>
      <x:c r="B117" s="59" t="n">
        <x:v>116</x:v>
      </x:c>
      <x:c r="C117" s="59" t="str">
        <x:v>2026-05</x:v>
      </x:c>
      <x:c r="D117" s="59" t="n">
        <x:v>65</x:v>
      </x:c>
      <x:c r="E117" s="59" t="str">
        <x:v>2605.29035</x:v>
      </x:c>
      <x:c r="F117" s="40" t="str">
        <x:v>The sharp log Sobolev inequality on finite cycles</x:v>
      </x:c>
      <x:c r="G117" s="40" t="str">
        <x:v>Rupert L. Frank; Paata Ivanisvili</x:v>
      </x:c>
      <x:c r="H117" s="40" t="str">
        <x:v>Functional inequalities</x:v>
      </x:c>
      <x:c r="I117" s="59" t="n">
        <x:v>16</x:v>
      </x:c>
      <x:c r="J117" s="40" t="str">
        <x:v>https://arxiv.org/abs/2605.29035</x:v>
      </x:c>
      <x:c r="K117" s="60" t="n">
        <x:v>87</x:v>
      </x:c>
      <x:c r="L117" s="60" t="n">
        <x:v>88</x:v>
      </x:c>
      <x:c r="M117" s="60" t="n">
        <x:v>87</x:v>
      </x:c>
      <x:c r="N117" s="60" t="n">
        <x:v>84</x:v>
      </x:c>
      <x:c r="O117" s="60" t="n">
        <x:v>87</x:v>
      </x:c>
      <x:c r="P117" s="60" t="n">
        <x:v>87</x:v>
      </x:c>
      <x:c r="Q117" s="60" t="n">
        <x:v>13</x:v>
      </x:c>
      <x:c r="R117" s="59" t="n">
        <x:v>5</x:v>
      </x:c>
      <x:c r="S117" s="60" t="n">
        <x:v>86.8</x:v>
      </x:c>
      <x:c r="T117" s="60" t="n">
        <x:v>87.2</x:v>
      </x:c>
      <x:c r="U117" s="60" t="n">
        <x:v>87</x:v>
      </x:c>
      <x:c r="V117" s="60" t="n">
        <x:v>87</x:v>
      </x:c>
      <x:c r="W117" s="60" t="n">
        <x:v>88.1</x:v>
      </x:c>
      <x:c r="X117" s="60" t="n">
        <x:v>87</x:v>
      </x:c>
      <x:c r="Y117" s="60" t="n">
        <x:v>84.1</x:v>
      </x:c>
      <x:c r="Z117" s="60" t="n">
        <x:v>87.1</x:v>
      </x:c>
      <x:c r="AA117" s="60" t="n">
        <x:v>87</x:v>
      </x:c>
      <x:c r="AB117" s="60" t="n">
        <x:v>13</x:v>
      </x:c>
      <x:c r="AC117" s="60" t="n">
        <x:f>ROUND(((0.30*V117+0.20*W117+0.25*X117+0.15*Y117+0.10*AA117)+(0.30*Z117+0.20*X117+0.20*W117+0.15*AA117+0.15*(100-AB117)))/2,2)</x:f>
        <x:v>87.02</x:v>
      </x:c>
      <x:c r="AD117" s="60" t="n">
        <x:v>87</x:v>
      </x:c>
      <x:c r="AE117" s="60" t="n">
        <x:v>88.1</x:v>
      </x:c>
      <x:c r="AF117" s="60" t="n">
        <x:v>87</x:v>
      </x:c>
      <x:c r="AG117" s="60" t="n">
        <x:v>84.1</x:v>
      </x:c>
      <x:c r="AH117" s="60" t="n">
        <x:v>87</x:v>
      </x:c>
      <x:c r="AI117" s="60" t="n">
        <x:v>87</x:v>
      </x:c>
      <x:c r="AJ117" s="60" t="n">
        <x:v>13.4</x:v>
      </x:c>
      <x:c r="AK117" s="60" t="n">
        <x:f>ROUND(((0.30*AD117+0.20*AE117+0.25*AF117+0.15*AG117+0.10*AI117)+(0.30*AH117+0.20*AF117+0.20*AE117+0.15*AI117+0.15*(100-AJ117)))/2,2)</x:f>
        <x:v>86.97</x:v>
      </x:c>
      <x:c r="AL117" s="60" t="n">
        <x:v>87</x:v>
      </x:c>
      <x:c r="AM117" s="60" t="n">
        <x:v>88.1</x:v>
      </x:c>
      <x:c r="AN117" s="60" t="n">
        <x:v>87</x:v>
      </x:c>
      <x:c r="AO117" s="60" t="n">
        <x:v>84.1</x:v>
      </x:c>
      <x:c r="AP117" s="60" t="n">
        <x:v>87.1</x:v>
      </x:c>
      <x:c r="AQ117" s="60" t="n">
        <x:v>87</x:v>
      </x:c>
      <x:c r="AR117" s="60" t="n">
        <x:v>13.5</x:v>
      </x:c>
      <x:c r="AS117" s="60" t="n">
        <x:f>ROUND(((0.30*AL117+0.20*AM117+0.25*AN117+0.15*AO117+0.10*AQ117)+(0.30*AP117+0.20*AN117+0.20*AM117+0.15*AQ117+0.15*(100-AR117)))/2,2)</x:f>
        <x:v>86.98</x:v>
      </x:c>
      <x:c r="AT117" s="60" t="n">
        <x:f>ROUND(AVERAGE(V117,AD117,AL117),1)</x:f>
        <x:v>87</x:v>
      </x:c>
      <x:c r="AU117" s="60" t="n">
        <x:f>ROUND(AVERAGE(W117,AE117,AM117),1)</x:f>
        <x:v>88.1</x:v>
      </x:c>
      <x:c r="AV117" s="60" t="n">
        <x:f>ROUND(AVERAGE(X117,AF117,AN117),1)</x:f>
        <x:v>87</x:v>
      </x:c>
      <x:c r="AW117" s="60" t="n">
        <x:f>ROUND(AVERAGE(Y117,AG117,AO117),1)</x:f>
        <x:v>84.1</x:v>
      </x:c>
      <x:c r="AX117" s="60" t="n">
        <x:f>ROUND(AVERAGE(Z117,AH117,AP117),1)</x:f>
        <x:v>87.1</x:v>
      </x:c>
      <x:c r="AY117" s="60" t="n">
        <x:f>ROUND(AVERAGE(AA117,AI117,AQ117),1)</x:f>
        <x:v>87</x:v>
      </x:c>
      <x:c r="AZ117" s="60" t="n">
        <x:f>ROUND(AVERAGE(AB117,AJ117,AR117),1)</x:f>
        <x:v>13.3</x:v>
      </x:c>
      <x:c r="BA117" s="59" t="n">
        <x:v>5</x:v>
      </x:c>
      <x:c r="BB117" s="60" t="n">
        <x:f>ROUND(0.30*AT117+0.20*AU117+0.25*AV117+0.15*AW117+0.10*AY117,2)</x:f>
        <x:v>86.79</x:v>
      </x:c>
      <x:c r="BC117" s="60" t="n">
        <x:f>ROUND(0.30*AX117+0.20*AV117+0.20*AU117+0.15*AY117+0.15*(100-AZ117),2)</x:f>
        <x:v>87.21</x:v>
      </x:c>
      <x:c r="BD117" s="60" t="n">
        <x:f>ROUND(AVERAGE(BB117,BC117),2)</x:f>
        <x:v>87</x:v>
      </x:c>
      <x:c r="BE117" s="60" t="n">
        <x:f>ROUND(BD117-U117,2)</x:f>
        <x:v>0</x:v>
      </x:c>
      <x:c r="BF117" s="60" t="n">
        <x:f>ROUND(STDEV.P(AC117,AK117,AS117),3)</x:f>
        <x:v>0.022</x:v>
      </x:c>
      <x:c r="BG117" s="59" t="str"/>
      <x:c r="BH117" s="59" t="str">
        <x:v>30%评分池轻量复核</x:v>
      </x:c>
      <x:c r="BI117" s="40" t="str">
        <x:v>三轮复核后与原表基本一致</x:v>
      </x:c>
    </x:row>
    <x:row r="118" ht="30" customHeight="1">
      <x:c r="A118" s="59" t="n">
        <x:v>117</x:v>
      </x:c>
      <x:c r="B118" s="59" t="n">
        <x:v>117</x:v>
      </x:c>
      <x:c r="C118" s="59" t="str">
        <x:v>2026-05</x:v>
      </x:c>
      <x:c r="D118" s="59" t="n">
        <x:v>67</x:v>
      </x:c>
      <x:c r="E118" s="59" t="str">
        <x:v>2605.24685</x:v>
      </x:c>
      <x:c r="F118" s="40" t="str">
        <x:v>Self-similarity and diffusive limits for linear kinetic equations: a Wild sum approach</x:v>
      </x:c>
      <x:c r="G118" s="40" t="str">
        <x:v>Jose A. Canizo; Stephane Mischler; Niccolo Tassi</x:v>
      </x:c>
      <x:c r="H118" s="40" t="str">
        <x:v>Kinetic equations</x:v>
      </x:c>
      <x:c r="I118" s="59" t="n">
        <x:v>55</x:v>
      </x:c>
      <x:c r="J118" s="40" t="str">
        <x:v>https://arxiv.org/abs/2605.24685</x:v>
      </x:c>
      <x:c r="K118" s="60" t="n">
        <x:v>87</x:v>
      </x:c>
      <x:c r="L118" s="60" t="n">
        <x:v>88</x:v>
      </x:c>
      <x:c r="M118" s="60" t="n">
        <x:v>88</x:v>
      </x:c>
      <x:c r="N118" s="60" t="n">
        <x:v>84</x:v>
      </x:c>
      <x:c r="O118" s="60" t="n">
        <x:v>88</x:v>
      </x:c>
      <x:c r="P118" s="60" t="n">
        <x:v>85</x:v>
      </x:c>
      <x:c r="Q118" s="60" t="n">
        <x:v>15</x:v>
      </x:c>
      <x:c r="R118" s="59" t="n">
        <x:v>6</x:v>
      </x:c>
      <x:c r="S118" s="60" t="n">
        <x:v>86.8</x:v>
      </x:c>
      <x:c r="T118" s="60" t="n">
        <x:v>87.1</x:v>
      </x:c>
      <x:c r="U118" s="60" t="n">
        <x:v>86.9</x:v>
      </x:c>
      <x:c r="V118" s="60" t="n">
        <x:v>87</x:v>
      </x:c>
      <x:c r="W118" s="60" t="n">
        <x:v>88</x:v>
      </x:c>
      <x:c r="X118" s="60" t="n">
        <x:v>88</x:v>
      </x:c>
      <x:c r="Y118" s="60" t="n">
        <x:v>84</x:v>
      </x:c>
      <x:c r="Z118" s="60" t="n">
        <x:v>88</x:v>
      </x:c>
      <x:c r="AA118" s="60" t="n">
        <x:v>85</x:v>
      </x:c>
      <x:c r="AB118" s="60" t="n">
        <x:v>15</x:v>
      </x:c>
      <x:c r="AC118" s="60" t="n">
        <x:f>ROUND(((0.30*V118+0.20*W118+0.25*X118+0.15*Y118+0.10*AA118)+(0.30*Z118+0.20*X118+0.20*W118+0.15*AA118+0.15*(100-AB118)))/2,2)</x:f>
        <x:v>86.95</x:v>
      </x:c>
      <x:c r="AD118" s="60" t="n">
        <x:v>87</x:v>
      </x:c>
      <x:c r="AE118" s="60" t="n">
        <x:v>88</x:v>
      </x:c>
      <x:c r="AF118" s="60" t="n">
        <x:v>88</x:v>
      </x:c>
      <x:c r="AG118" s="60" t="n">
        <x:v>84.1</x:v>
      </x:c>
      <x:c r="AH118" s="60" t="n">
        <x:v>88</x:v>
      </x:c>
      <x:c r="AI118" s="60" t="n">
        <x:v>85</x:v>
      </x:c>
      <x:c r="AJ118" s="60" t="n">
        <x:v>15</x:v>
      </x:c>
      <x:c r="AK118" s="60" t="n">
        <x:f>ROUND(((0.30*AD118+0.20*AE118+0.25*AF118+0.15*AG118+0.10*AI118)+(0.30*AH118+0.20*AF118+0.20*AE118+0.15*AI118+0.15*(100-AJ118)))/2,2)</x:f>
        <x:v>86.96</x:v>
      </x:c>
      <x:c r="AL118" s="60" t="n">
        <x:v>87</x:v>
      </x:c>
      <x:c r="AM118" s="60" t="n">
        <x:v>88</x:v>
      </x:c>
      <x:c r="AN118" s="60" t="n">
        <x:v>88</x:v>
      </x:c>
      <x:c r="AO118" s="60" t="n">
        <x:v>84</x:v>
      </x:c>
      <x:c r="AP118" s="60" t="n">
        <x:v>88</x:v>
      </x:c>
      <x:c r="AQ118" s="60" t="n">
        <x:v>85</x:v>
      </x:c>
      <x:c r="AR118" s="60" t="n">
        <x:v>15</x:v>
      </x:c>
      <x:c r="AS118" s="60" t="n">
        <x:f>ROUND(((0.30*AL118+0.20*AM118+0.25*AN118+0.15*AO118+0.10*AQ118)+(0.30*AP118+0.20*AN118+0.20*AM118+0.15*AQ118+0.15*(100-AR118)))/2,2)</x:f>
        <x:v>86.95</x:v>
      </x:c>
      <x:c r="AT118" s="60" t="n">
        <x:f>ROUND(AVERAGE(V118,AD118,AL118),1)</x:f>
        <x:v>87</x:v>
      </x:c>
      <x:c r="AU118" s="60" t="n">
        <x:f>ROUND(AVERAGE(W118,AE118,AM118),1)</x:f>
        <x:v>88</x:v>
      </x:c>
      <x:c r="AV118" s="60" t="n">
        <x:f>ROUND(AVERAGE(X118,AF118,AN118),1)</x:f>
        <x:v>88</x:v>
      </x:c>
      <x:c r="AW118" s="60" t="n">
        <x:f>ROUND(AVERAGE(Y118,AG118,AO118),1)</x:f>
        <x:v>84</x:v>
      </x:c>
      <x:c r="AX118" s="60" t="n">
        <x:f>ROUND(AVERAGE(Z118,AH118,AP118),1)</x:f>
        <x:v>88</x:v>
      </x:c>
      <x:c r="AY118" s="60" t="n">
        <x:f>ROUND(AVERAGE(AA118,AI118,AQ118),1)</x:f>
        <x:v>85</x:v>
      </x:c>
      <x:c r="AZ118" s="60" t="n">
        <x:f>ROUND(AVERAGE(AB118,AJ118,AR118),1)</x:f>
        <x:v>15</x:v>
      </x:c>
      <x:c r="BA118" s="59" t="n">
        <x:v>6</x:v>
      </x:c>
      <x:c r="BB118" s="60" t="n">
        <x:f>ROUND(0.30*AT118+0.20*AU118+0.25*AV118+0.15*AW118+0.10*AY118,2)</x:f>
        <x:v>86.8</x:v>
      </x:c>
      <x:c r="BC118" s="60" t="n">
        <x:f>ROUND(0.30*AX118+0.20*AV118+0.20*AU118+0.15*AY118+0.15*(100-AZ118),2)</x:f>
        <x:v>87.1</x:v>
      </x:c>
      <x:c r="BD118" s="60" t="n">
        <x:f>ROUND(AVERAGE(BB118,BC118),2)</x:f>
        <x:v>86.95</x:v>
      </x:c>
      <x:c r="BE118" s="60" t="n">
        <x:f>ROUND(BD118-U118,2)</x:f>
        <x:v>0.05</x:v>
      </x:c>
      <x:c r="BF118" s="60" t="n">
        <x:f>ROUND(STDEV.P(AC118,AK118,AS118),3)</x:f>
        <x:v>0.005</x:v>
      </x:c>
      <x:c r="BG118" s="59" t="str"/>
      <x:c r="BH118" s="59" t="str">
        <x:v>30%评分池轻量复核</x:v>
      </x:c>
      <x:c r="BI118" s="40" t="str">
        <x:v>三轮复核后与原表基本一致</x:v>
      </x:c>
    </x:row>
    <x:row r="119" ht="30" customHeight="1">
      <x:c r="A119" s="59" t="n">
        <x:v>118</x:v>
      </x:c>
      <x:c r="B119" s="59" t="n">
        <x:v>119</x:v>
      </x:c>
      <x:c r="C119" s="59" t="str">
        <x:v>2026-05</x:v>
      </x:c>
      <x:c r="D119" s="59" t="n">
        <x:v>67</x:v>
      </x:c>
      <x:c r="E119" s="59" t="str">
        <x:v>2605.19757</x:v>
      </x:c>
      <x:c r="F119" s="40" t="str">
        <x:v>On a Multiphase Vectorial Bernoulli Free Boundary Problem</x:v>
      </x:c>
      <x:c r="G119" s="40" t="str">
        <x:v>Giovanni Siclari; Bozhidar Velichkov</x:v>
      </x:c>
      <x:c r="H119" s="40" t="str">
        <x:v>Free boundary regularity</x:v>
      </x:c>
      <x:c r="I119" s="59"/>
      <x:c r="J119" s="40" t="str">
        <x:v>https://arxiv.org/abs/2605.19757</x:v>
      </x:c>
      <x:c r="K119" s="60" t="n">
        <x:v>87</x:v>
      </x:c>
      <x:c r="L119" s="60" t="n">
        <x:v>88</x:v>
      </x:c>
      <x:c r="M119" s="60" t="n">
        <x:v>88</x:v>
      </x:c>
      <x:c r="N119" s="60" t="n">
        <x:v>84</x:v>
      </x:c>
      <x:c r="O119" s="60" t="n">
        <x:v>88</x:v>
      </x:c>
      <x:c r="P119" s="60" t="n">
        <x:v>85</x:v>
      </x:c>
      <x:c r="Q119" s="60" t="n">
        <x:v>15</x:v>
      </x:c>
      <x:c r="R119" s="59" t="n">
        <x:v>6</x:v>
      </x:c>
      <x:c r="S119" s="60" t="n">
        <x:v>86.8</x:v>
      </x:c>
      <x:c r="T119" s="60" t="n">
        <x:v>87.1</x:v>
      </x:c>
      <x:c r="U119" s="60" t="n">
        <x:v>86.9</x:v>
      </x:c>
      <x:c r="V119" s="60" t="n">
        <x:v>87</x:v>
      </x:c>
      <x:c r="W119" s="60" t="n">
        <x:v>88</x:v>
      </x:c>
      <x:c r="X119" s="60" t="n">
        <x:v>88</x:v>
      </x:c>
      <x:c r="Y119" s="60" t="n">
        <x:v>84</x:v>
      </x:c>
      <x:c r="Z119" s="60" t="n">
        <x:v>88</x:v>
      </x:c>
      <x:c r="AA119" s="60" t="n">
        <x:v>85</x:v>
      </x:c>
      <x:c r="AB119" s="60" t="n">
        <x:v>15</x:v>
      </x:c>
      <x:c r="AC119" s="60" t="n">
        <x:f>ROUND(((0.30*V119+0.20*W119+0.25*X119+0.15*Y119+0.10*AA119)+(0.30*Z119+0.20*X119+0.20*W119+0.15*AA119+0.15*(100-AB119)))/2,2)</x:f>
        <x:v>86.95</x:v>
      </x:c>
      <x:c r="AD119" s="60" t="n">
        <x:v>87</x:v>
      </x:c>
      <x:c r="AE119" s="60" t="n">
        <x:v>88</x:v>
      </x:c>
      <x:c r="AF119" s="60" t="n">
        <x:v>88</x:v>
      </x:c>
      <x:c r="AG119" s="60" t="n">
        <x:v>84.1</x:v>
      </x:c>
      <x:c r="AH119" s="60" t="n">
        <x:v>88</x:v>
      </x:c>
      <x:c r="AI119" s="60" t="n">
        <x:v>85</x:v>
      </x:c>
      <x:c r="AJ119" s="60" t="n">
        <x:v>15</x:v>
      </x:c>
      <x:c r="AK119" s="60" t="n">
        <x:f>ROUND(((0.30*AD119+0.20*AE119+0.25*AF119+0.15*AG119+0.10*AI119)+(0.30*AH119+0.20*AF119+0.20*AE119+0.15*AI119+0.15*(100-AJ119)))/2,2)</x:f>
        <x:v>86.96</x:v>
      </x:c>
      <x:c r="AL119" s="60" t="n">
        <x:v>87</x:v>
      </x:c>
      <x:c r="AM119" s="60" t="n">
        <x:v>88</x:v>
      </x:c>
      <x:c r="AN119" s="60" t="n">
        <x:v>88</x:v>
      </x:c>
      <x:c r="AO119" s="60" t="n">
        <x:v>84</x:v>
      </x:c>
      <x:c r="AP119" s="60" t="n">
        <x:v>88</x:v>
      </x:c>
      <x:c r="AQ119" s="60" t="n">
        <x:v>85</x:v>
      </x:c>
      <x:c r="AR119" s="60" t="n">
        <x:v>15</x:v>
      </x:c>
      <x:c r="AS119" s="60" t="n">
        <x:f>ROUND(((0.30*AL119+0.20*AM119+0.25*AN119+0.15*AO119+0.10*AQ119)+(0.30*AP119+0.20*AN119+0.20*AM119+0.15*AQ119+0.15*(100-AR119)))/2,2)</x:f>
        <x:v>86.95</x:v>
      </x:c>
      <x:c r="AT119" s="60" t="n">
        <x:f>ROUND(AVERAGE(V119,AD119,AL119),1)</x:f>
        <x:v>87</x:v>
      </x:c>
      <x:c r="AU119" s="60" t="n">
        <x:f>ROUND(AVERAGE(W119,AE119,AM119),1)</x:f>
        <x:v>88</x:v>
      </x:c>
      <x:c r="AV119" s="60" t="n">
        <x:f>ROUND(AVERAGE(X119,AF119,AN119),1)</x:f>
        <x:v>88</x:v>
      </x:c>
      <x:c r="AW119" s="60" t="n">
        <x:f>ROUND(AVERAGE(Y119,AG119,AO119),1)</x:f>
        <x:v>84</x:v>
      </x:c>
      <x:c r="AX119" s="60" t="n">
        <x:f>ROUND(AVERAGE(Z119,AH119,AP119),1)</x:f>
        <x:v>88</x:v>
      </x:c>
      <x:c r="AY119" s="60" t="n">
        <x:f>ROUND(AVERAGE(AA119,AI119,AQ119),1)</x:f>
        <x:v>85</x:v>
      </x:c>
      <x:c r="AZ119" s="60" t="n">
        <x:f>ROUND(AVERAGE(AB119,AJ119,AR119),1)</x:f>
        <x:v>15</x:v>
      </x:c>
      <x:c r="BA119" s="59" t="n">
        <x:v>6</x:v>
      </x:c>
      <x:c r="BB119" s="60" t="n">
        <x:f>ROUND(0.30*AT119+0.20*AU119+0.25*AV119+0.15*AW119+0.10*AY119,2)</x:f>
        <x:v>86.8</x:v>
      </x:c>
      <x:c r="BC119" s="60" t="n">
        <x:f>ROUND(0.30*AX119+0.20*AV119+0.20*AU119+0.15*AY119+0.15*(100-AZ119),2)</x:f>
        <x:v>87.1</x:v>
      </x:c>
      <x:c r="BD119" s="60" t="n">
        <x:f>ROUND(AVERAGE(BB119,BC119),2)</x:f>
        <x:v>86.95</x:v>
      </x:c>
      <x:c r="BE119" s="60" t="n">
        <x:f>ROUND(BD119-U119,2)</x:f>
        <x:v>0.05</x:v>
      </x:c>
      <x:c r="BF119" s="60" t="n">
        <x:f>ROUND(STDEV.P(AC119,AK119,AS119),3)</x:f>
        <x:v>0.005</x:v>
      </x:c>
      <x:c r="BG119" s="59" t="str"/>
      <x:c r="BH119" s="59" t="str">
        <x:v>30%评分池轻量复核</x:v>
      </x:c>
      <x:c r="BI119" s="40" t="str">
        <x:v>三轮复核后与原表基本一致</x:v>
      </x:c>
    </x:row>
    <x:row r="120" ht="30" customHeight="1">
      <x:c r="A120" s="59" t="n">
        <x:v>119</x:v>
      </x:c>
      <x:c r="B120" s="59" t="n">
        <x:v>121</x:v>
      </x:c>
      <x:c r="C120" s="59" t="str">
        <x:v>2026-05</x:v>
      </x:c>
      <x:c r="D120" s="59" t="n">
        <x:v>67</x:v>
      </x:c>
      <x:c r="E120" s="59" t="str">
        <x:v>2605.12883</x:v>
      </x:c>
      <x:c r="F120" s="40" t="str">
        <x:v>Mixing and Small-Scale Formation in a Passive Divergence-Free Vector Field</x:v>
      </x:c>
      <x:c r="G120" s="40" t="str">
        <x:v>Anuj Kumar; Franziska Weber</x:v>
      </x:c>
      <x:c r="H120" s="40" t="str">
        <x:v>Mixing / transport</x:v>
      </x:c>
      <x:c r="I120" s="59"/>
      <x:c r="J120" s="40" t="str">
        <x:v>https://arxiv.org/abs/2605.12883</x:v>
      </x:c>
      <x:c r="K120" s="60" t="n">
        <x:v>87</x:v>
      </x:c>
      <x:c r="L120" s="60" t="n">
        <x:v>88</x:v>
      </x:c>
      <x:c r="M120" s="60" t="n">
        <x:v>88</x:v>
      </x:c>
      <x:c r="N120" s="60" t="n">
        <x:v>84</x:v>
      </x:c>
      <x:c r="O120" s="60" t="n">
        <x:v>88</x:v>
      </x:c>
      <x:c r="P120" s="60" t="n">
        <x:v>85</x:v>
      </x:c>
      <x:c r="Q120" s="60" t="n">
        <x:v>15</x:v>
      </x:c>
      <x:c r="R120" s="59" t="n">
        <x:v>6</x:v>
      </x:c>
      <x:c r="S120" s="60" t="n">
        <x:v>86.8</x:v>
      </x:c>
      <x:c r="T120" s="60" t="n">
        <x:v>87.1</x:v>
      </x:c>
      <x:c r="U120" s="60" t="n">
        <x:v>86.9</x:v>
      </x:c>
      <x:c r="V120" s="60" t="n">
        <x:v>87</x:v>
      </x:c>
      <x:c r="W120" s="60" t="n">
        <x:v>88</x:v>
      </x:c>
      <x:c r="X120" s="60" t="n">
        <x:v>88</x:v>
      </x:c>
      <x:c r="Y120" s="60" t="n">
        <x:v>84</x:v>
      </x:c>
      <x:c r="Z120" s="60" t="n">
        <x:v>88</x:v>
      </x:c>
      <x:c r="AA120" s="60" t="n">
        <x:v>85</x:v>
      </x:c>
      <x:c r="AB120" s="60" t="n">
        <x:v>15</x:v>
      </x:c>
      <x:c r="AC120" s="60" t="n">
        <x:f>ROUND(((0.30*V120+0.20*W120+0.25*X120+0.15*Y120+0.10*AA120)+(0.30*Z120+0.20*X120+0.20*W120+0.15*AA120+0.15*(100-AB120)))/2,2)</x:f>
        <x:v>86.95</x:v>
      </x:c>
      <x:c r="AD120" s="60" t="n">
        <x:v>87</x:v>
      </x:c>
      <x:c r="AE120" s="60" t="n">
        <x:v>88</x:v>
      </x:c>
      <x:c r="AF120" s="60" t="n">
        <x:v>88</x:v>
      </x:c>
      <x:c r="AG120" s="60" t="n">
        <x:v>84.1</x:v>
      </x:c>
      <x:c r="AH120" s="60" t="n">
        <x:v>88</x:v>
      </x:c>
      <x:c r="AI120" s="60" t="n">
        <x:v>85</x:v>
      </x:c>
      <x:c r="AJ120" s="60" t="n">
        <x:v>15</x:v>
      </x:c>
      <x:c r="AK120" s="60" t="n">
        <x:f>ROUND(((0.30*AD120+0.20*AE120+0.25*AF120+0.15*AG120+0.10*AI120)+(0.30*AH120+0.20*AF120+0.20*AE120+0.15*AI120+0.15*(100-AJ120)))/2,2)</x:f>
        <x:v>86.96</x:v>
      </x:c>
      <x:c r="AL120" s="60" t="n">
        <x:v>87</x:v>
      </x:c>
      <x:c r="AM120" s="60" t="n">
        <x:v>88</x:v>
      </x:c>
      <x:c r="AN120" s="60" t="n">
        <x:v>88</x:v>
      </x:c>
      <x:c r="AO120" s="60" t="n">
        <x:v>84</x:v>
      </x:c>
      <x:c r="AP120" s="60" t="n">
        <x:v>88</x:v>
      </x:c>
      <x:c r="AQ120" s="60" t="n">
        <x:v>85</x:v>
      </x:c>
      <x:c r="AR120" s="60" t="n">
        <x:v>15</x:v>
      </x:c>
      <x:c r="AS120" s="60" t="n">
        <x:f>ROUND(((0.30*AL120+0.20*AM120+0.25*AN120+0.15*AO120+0.10*AQ120)+(0.30*AP120+0.20*AN120+0.20*AM120+0.15*AQ120+0.15*(100-AR120)))/2,2)</x:f>
        <x:v>86.95</x:v>
      </x:c>
      <x:c r="AT120" s="60" t="n">
        <x:f>ROUND(AVERAGE(V120,AD120,AL120),1)</x:f>
        <x:v>87</x:v>
      </x:c>
      <x:c r="AU120" s="60" t="n">
        <x:f>ROUND(AVERAGE(W120,AE120,AM120),1)</x:f>
        <x:v>88</x:v>
      </x:c>
      <x:c r="AV120" s="60" t="n">
        <x:f>ROUND(AVERAGE(X120,AF120,AN120),1)</x:f>
        <x:v>88</x:v>
      </x:c>
      <x:c r="AW120" s="60" t="n">
        <x:f>ROUND(AVERAGE(Y120,AG120,AO120),1)</x:f>
        <x:v>84</x:v>
      </x:c>
      <x:c r="AX120" s="60" t="n">
        <x:f>ROUND(AVERAGE(Z120,AH120,AP120),1)</x:f>
        <x:v>88</x:v>
      </x:c>
      <x:c r="AY120" s="60" t="n">
        <x:f>ROUND(AVERAGE(AA120,AI120,AQ120),1)</x:f>
        <x:v>85</x:v>
      </x:c>
      <x:c r="AZ120" s="60" t="n">
        <x:f>ROUND(AVERAGE(AB120,AJ120,AR120),1)</x:f>
        <x:v>15</x:v>
      </x:c>
      <x:c r="BA120" s="59" t="n">
        <x:v>6</x:v>
      </x:c>
      <x:c r="BB120" s="60" t="n">
        <x:f>ROUND(0.30*AT120+0.20*AU120+0.25*AV120+0.15*AW120+0.10*AY120,2)</x:f>
        <x:v>86.8</x:v>
      </x:c>
      <x:c r="BC120" s="60" t="n">
        <x:f>ROUND(0.30*AX120+0.20*AV120+0.20*AU120+0.15*AY120+0.15*(100-AZ120),2)</x:f>
        <x:v>87.1</x:v>
      </x:c>
      <x:c r="BD120" s="60" t="n">
        <x:f>ROUND(AVERAGE(BB120,BC120),2)</x:f>
        <x:v>86.95</x:v>
      </x:c>
      <x:c r="BE120" s="60" t="n">
        <x:f>ROUND(BD120-U120,2)</x:f>
        <x:v>0.05</x:v>
      </x:c>
      <x:c r="BF120" s="60" t="n">
        <x:f>ROUND(STDEV.P(AC120,AK120,AS120),3)</x:f>
        <x:v>0.005</x:v>
      </x:c>
      <x:c r="BG120" s="59" t="str"/>
      <x:c r="BH120" s="59" t="str">
        <x:v>30%评分池轻量复核</x:v>
      </x:c>
      <x:c r="BI120" s="40" t="str">
        <x:v>三轮复核后与原表基本一致</x:v>
      </x:c>
    </x:row>
    <x:row r="121" ht="30" customHeight="1">
      <x:c r="A121" s="59" t="n">
        <x:v>120</x:v>
      </x:c>
      <x:c r="B121" s="59" t="n">
        <x:v>118</x:v>
      </x:c>
      <x:c r="C121" s="59" t="str">
        <x:v>2026-05</x:v>
      </x:c>
      <x:c r="D121" s="59" t="n">
        <x:v>67</x:v>
      </x:c>
      <x:c r="E121" s="59" t="str">
        <x:v>2605.23698</x:v>
      </x:c>
      <x:c r="F121" s="40" t="str">
        <x:v>Norm inflation in negative order Sobolev spaces for KdV and KP</x:v>
      </x:c>
      <x:c r="G121" s="40" t="str">
        <x:v>Remi Carles</x:v>
      </x:c>
      <x:c r="H121" s="40" t="str">
        <x:v>Dispersive ill-posedness</x:v>
      </x:c>
      <x:c r="I121" s="59" t="n">
        <x:v>20</x:v>
      </x:c>
      <x:c r="J121" s="40" t="str">
        <x:v>https://arxiv.org/abs/2605.23698</x:v>
      </x:c>
      <x:c r="K121" s="60" t="n">
        <x:v>87</x:v>
      </x:c>
      <x:c r="L121" s="60" t="n">
        <x:v>88</x:v>
      </x:c>
      <x:c r="M121" s="60" t="n">
        <x:v>88</x:v>
      </x:c>
      <x:c r="N121" s="60" t="n">
        <x:v>84</x:v>
      </x:c>
      <x:c r="O121" s="60" t="n">
        <x:v>88</x:v>
      </x:c>
      <x:c r="P121" s="60" t="n">
        <x:v>85</x:v>
      </x:c>
      <x:c r="Q121" s="60" t="n">
        <x:v>15</x:v>
      </x:c>
      <x:c r="R121" s="59" t="n">
        <x:v>6</x:v>
      </x:c>
      <x:c r="S121" s="60" t="n">
        <x:v>86.8</x:v>
      </x:c>
      <x:c r="T121" s="60" t="n">
        <x:v>87.1</x:v>
      </x:c>
      <x:c r="U121" s="60" t="n">
        <x:v>86.9</x:v>
      </x:c>
      <x:c r="V121" s="60" t="n">
        <x:v>87</x:v>
      </x:c>
      <x:c r="W121" s="60" t="n">
        <x:v>88</x:v>
      </x:c>
      <x:c r="X121" s="60" t="n">
        <x:v>88</x:v>
      </x:c>
      <x:c r="Y121" s="60" t="n">
        <x:v>84</x:v>
      </x:c>
      <x:c r="Z121" s="60" t="n">
        <x:v>88</x:v>
      </x:c>
      <x:c r="AA121" s="60" t="n">
        <x:v>85</x:v>
      </x:c>
      <x:c r="AB121" s="60" t="n">
        <x:v>15</x:v>
      </x:c>
      <x:c r="AC121" s="60" t="n">
        <x:f>ROUND(((0.30*V121+0.20*W121+0.25*X121+0.15*Y121+0.10*AA121)+(0.30*Z121+0.20*X121+0.20*W121+0.15*AA121+0.15*(100-AB121)))/2,2)</x:f>
        <x:v>86.95</x:v>
      </x:c>
      <x:c r="AD121" s="60" t="n">
        <x:v>87</x:v>
      </x:c>
      <x:c r="AE121" s="60" t="n">
        <x:v>88</x:v>
      </x:c>
      <x:c r="AF121" s="60" t="n">
        <x:v>88</x:v>
      </x:c>
      <x:c r="AG121" s="60" t="n">
        <x:v>84.1</x:v>
      </x:c>
      <x:c r="AH121" s="60" t="n">
        <x:v>88</x:v>
      </x:c>
      <x:c r="AI121" s="60" t="n">
        <x:v>85</x:v>
      </x:c>
      <x:c r="AJ121" s="60" t="n">
        <x:v>15.4</x:v>
      </x:c>
      <x:c r="AK121" s="60" t="n">
        <x:f>ROUND(((0.30*AD121+0.20*AE121+0.25*AF121+0.15*AG121+0.10*AI121)+(0.30*AH121+0.20*AF121+0.20*AE121+0.15*AI121+0.15*(100-AJ121)))/2,2)</x:f>
        <x:v>86.93</x:v>
      </x:c>
      <x:c r="AL121" s="60" t="n">
        <x:v>87</x:v>
      </x:c>
      <x:c r="AM121" s="60" t="n">
        <x:v>88</x:v>
      </x:c>
      <x:c r="AN121" s="60" t="n">
        <x:v>88</x:v>
      </x:c>
      <x:c r="AO121" s="60" t="n">
        <x:v>84</x:v>
      </x:c>
      <x:c r="AP121" s="60" t="n">
        <x:v>88</x:v>
      </x:c>
      <x:c r="AQ121" s="60" t="n">
        <x:v>85</x:v>
      </x:c>
      <x:c r="AR121" s="60" t="n">
        <x:v>15.5</x:v>
      </x:c>
      <x:c r="AS121" s="60" t="n">
        <x:f>ROUND(((0.30*AL121+0.20*AM121+0.25*AN121+0.15*AO121+0.10*AQ121)+(0.30*AP121+0.20*AN121+0.20*AM121+0.15*AQ121+0.15*(100-AR121)))/2,2)</x:f>
        <x:v>86.91</x:v>
      </x:c>
      <x:c r="AT121" s="60" t="n">
        <x:f>ROUND(AVERAGE(V121,AD121,AL121),1)</x:f>
        <x:v>87</x:v>
      </x:c>
      <x:c r="AU121" s="60" t="n">
        <x:f>ROUND(AVERAGE(W121,AE121,AM121),1)</x:f>
        <x:v>88</x:v>
      </x:c>
      <x:c r="AV121" s="60" t="n">
        <x:f>ROUND(AVERAGE(X121,AF121,AN121),1)</x:f>
        <x:v>88</x:v>
      </x:c>
      <x:c r="AW121" s="60" t="n">
        <x:f>ROUND(AVERAGE(Y121,AG121,AO121),1)</x:f>
        <x:v>84</x:v>
      </x:c>
      <x:c r="AX121" s="60" t="n">
        <x:f>ROUND(AVERAGE(Z121,AH121,AP121),1)</x:f>
        <x:v>88</x:v>
      </x:c>
      <x:c r="AY121" s="60" t="n">
        <x:f>ROUND(AVERAGE(AA121,AI121,AQ121),1)</x:f>
        <x:v>85</x:v>
      </x:c>
      <x:c r="AZ121" s="60" t="n">
        <x:f>ROUND(AVERAGE(AB121,AJ121,AR121),1)</x:f>
        <x:v>15.3</x:v>
      </x:c>
      <x:c r="BA121" s="59" t="n">
        <x:v>6</x:v>
      </x:c>
      <x:c r="BB121" s="60" t="n">
        <x:f>ROUND(0.30*AT121+0.20*AU121+0.25*AV121+0.15*AW121+0.10*AY121,2)</x:f>
        <x:v>86.8</x:v>
      </x:c>
      <x:c r="BC121" s="60" t="n">
        <x:f>ROUND(0.30*AX121+0.20*AV121+0.20*AU121+0.15*AY121+0.15*(100-AZ121),2)</x:f>
        <x:v>87.06</x:v>
      </x:c>
      <x:c r="BD121" s="60" t="n">
        <x:f>ROUND(AVERAGE(BB121,BC121),2)</x:f>
        <x:v>86.93</x:v>
      </x:c>
      <x:c r="BE121" s="60" t="n">
        <x:f>ROUND(BD121-U121,2)</x:f>
        <x:v>0.03</x:v>
      </x:c>
      <x:c r="BF121" s="60" t="n">
        <x:f>ROUND(STDEV.P(AC121,AK121,AS121),3)</x:f>
        <x:v>0.016</x:v>
      </x:c>
      <x:c r="BG121" s="59" t="str"/>
      <x:c r="BH121" s="59" t="str">
        <x:v>30%评分池轻量复核</x:v>
      </x:c>
      <x:c r="BI121" s="40" t="str">
        <x:v>三轮复核后与原表基本一致</x:v>
      </x:c>
    </x:row>
    <x:row r="122" ht="30" customHeight="1">
      <x:c r="A122" s="59" t="n">
        <x:v>121</x:v>
      </x:c>
      <x:c r="B122" s="59" t="n">
        <x:v>120</x:v>
      </x:c>
      <x:c r="C122" s="59" t="str">
        <x:v>2026-05</x:v>
      </x:c>
      <x:c r="D122" s="59" t="n">
        <x:v>67</x:v>
      </x:c>
      <x:c r="E122" s="59" t="str">
        <x:v>2605.16788</x:v>
      </x:c>
      <x:c r="F122" s="40" t="str">
        <x:v>Strong well-posedness of a singular SDE for signed Coulomb particles</x:v>
      </x:c>
      <x:c r="G122" s="40" t="str">
        <x:v>Patrick van Meurs; Yoan Tardy</x:v>
      </x:c>
      <x:c r="H122" s="40" t="str">
        <x:v>Coulomb particles / PDE-probability</x:v>
      </x:c>
      <x:c r="I122" s="59" t="n">
        <x:v>35</x:v>
      </x:c>
      <x:c r="J122" s="40" t="str">
        <x:v>https://arxiv.org/abs/2605.16788</x:v>
      </x:c>
      <x:c r="K122" s="60" t="n">
        <x:v>87</x:v>
      </x:c>
      <x:c r="L122" s="60" t="n">
        <x:v>88</x:v>
      </x:c>
      <x:c r="M122" s="60" t="n">
        <x:v>88</x:v>
      </x:c>
      <x:c r="N122" s="60" t="n">
        <x:v>84</x:v>
      </x:c>
      <x:c r="O122" s="60" t="n">
        <x:v>88</x:v>
      </x:c>
      <x:c r="P122" s="60" t="n">
        <x:v>85</x:v>
      </x:c>
      <x:c r="Q122" s="60" t="n">
        <x:v>16</x:v>
      </x:c>
      <x:c r="R122" s="59" t="n">
        <x:v>6</x:v>
      </x:c>
      <x:c r="S122" s="60" t="n">
        <x:v>86.8</x:v>
      </x:c>
      <x:c r="T122" s="60" t="n">
        <x:v>86.9</x:v>
      </x:c>
      <x:c r="U122" s="60" t="n">
        <x:v>86.9</x:v>
      </x:c>
      <x:c r="V122" s="60" t="n">
        <x:v>87</x:v>
      </x:c>
      <x:c r="W122" s="60" t="n">
        <x:v>88</x:v>
      </x:c>
      <x:c r="X122" s="60" t="n">
        <x:v>88</x:v>
      </x:c>
      <x:c r="Y122" s="60" t="n">
        <x:v>84</x:v>
      </x:c>
      <x:c r="Z122" s="60" t="n">
        <x:v>88</x:v>
      </x:c>
      <x:c r="AA122" s="60" t="n">
        <x:v>85</x:v>
      </x:c>
      <x:c r="AB122" s="60" t="n">
        <x:v>16</x:v>
      </x:c>
      <x:c r="AC122" s="60" t="n">
        <x:f>ROUND(((0.30*V122+0.20*W122+0.25*X122+0.15*Y122+0.10*AA122)+(0.30*Z122+0.20*X122+0.20*W122+0.15*AA122+0.15*(100-AB122)))/2,2)</x:f>
        <x:v>86.88</x:v>
      </x:c>
      <x:c r="AD122" s="60" t="n">
        <x:v>87</x:v>
      </x:c>
      <x:c r="AE122" s="60" t="n">
        <x:v>88</x:v>
      </x:c>
      <x:c r="AF122" s="60" t="n">
        <x:v>88</x:v>
      </x:c>
      <x:c r="AG122" s="60" t="n">
        <x:v>84.1</x:v>
      </x:c>
      <x:c r="AH122" s="60" t="n">
        <x:v>88</x:v>
      </x:c>
      <x:c r="AI122" s="60" t="n">
        <x:v>85</x:v>
      </x:c>
      <x:c r="AJ122" s="60" t="n">
        <x:v>16</x:v>
      </x:c>
      <x:c r="AK122" s="60" t="n">
        <x:f>ROUND(((0.30*AD122+0.20*AE122+0.25*AF122+0.15*AG122+0.10*AI122)+(0.30*AH122+0.20*AF122+0.20*AE122+0.15*AI122+0.15*(100-AJ122)))/2,2)</x:f>
        <x:v>86.88</x:v>
      </x:c>
      <x:c r="AL122" s="60" t="n">
        <x:v>87</x:v>
      </x:c>
      <x:c r="AM122" s="60" t="n">
        <x:v>88</x:v>
      </x:c>
      <x:c r="AN122" s="60" t="n">
        <x:v>88</x:v>
      </x:c>
      <x:c r="AO122" s="60" t="n">
        <x:v>84</x:v>
      </x:c>
      <x:c r="AP122" s="60" t="n">
        <x:v>88</x:v>
      </x:c>
      <x:c r="AQ122" s="60" t="n">
        <x:v>85</x:v>
      </x:c>
      <x:c r="AR122" s="60" t="n">
        <x:v>16</x:v>
      </x:c>
      <x:c r="AS122" s="60" t="n">
        <x:f>ROUND(((0.30*AL122+0.20*AM122+0.25*AN122+0.15*AO122+0.10*AQ122)+(0.30*AP122+0.20*AN122+0.20*AM122+0.15*AQ122+0.15*(100-AR122)))/2,2)</x:f>
        <x:v>86.88</x:v>
      </x:c>
      <x:c r="AT122" s="60" t="n">
        <x:f>ROUND(AVERAGE(V122,AD122,AL122),1)</x:f>
        <x:v>87</x:v>
      </x:c>
      <x:c r="AU122" s="60" t="n">
        <x:f>ROUND(AVERAGE(W122,AE122,AM122),1)</x:f>
        <x:v>88</x:v>
      </x:c>
      <x:c r="AV122" s="60" t="n">
        <x:f>ROUND(AVERAGE(X122,AF122,AN122),1)</x:f>
        <x:v>88</x:v>
      </x:c>
      <x:c r="AW122" s="60" t="n">
        <x:f>ROUND(AVERAGE(Y122,AG122,AO122),1)</x:f>
        <x:v>84</x:v>
      </x:c>
      <x:c r="AX122" s="60" t="n">
        <x:f>ROUND(AVERAGE(Z122,AH122,AP122),1)</x:f>
        <x:v>88</x:v>
      </x:c>
      <x:c r="AY122" s="60" t="n">
        <x:f>ROUND(AVERAGE(AA122,AI122,AQ122),1)</x:f>
        <x:v>85</x:v>
      </x:c>
      <x:c r="AZ122" s="60" t="n">
        <x:f>ROUND(AVERAGE(AB122,AJ122,AR122),1)</x:f>
        <x:v>16</x:v>
      </x:c>
      <x:c r="BA122" s="59" t="n">
        <x:v>6</x:v>
      </x:c>
      <x:c r="BB122" s="60" t="n">
        <x:f>ROUND(0.30*AT122+0.20*AU122+0.25*AV122+0.15*AW122+0.10*AY122,2)</x:f>
        <x:v>86.8</x:v>
      </x:c>
      <x:c r="BC122" s="60" t="n">
        <x:f>ROUND(0.30*AX122+0.20*AV122+0.20*AU122+0.15*AY122+0.15*(100-AZ122),2)</x:f>
        <x:v>86.95</x:v>
      </x:c>
      <x:c r="BD122" s="60" t="n">
        <x:f>ROUND(AVERAGE(BB122,BC122),2)</x:f>
        <x:v>86.88</x:v>
      </x:c>
      <x:c r="BE122" s="60" t="n">
        <x:f>ROUND(BD122-U122,2)</x:f>
        <x:v>-0.02</x:v>
      </x:c>
      <x:c r="BF122" s="60" t="n">
        <x:f>ROUND(STDEV.P(AC122,AK122,AS122),3)</x:f>
        <x:v>0</x:v>
      </x:c>
      <x:c r="BG122" s="59" t="str"/>
      <x:c r="BH122" s="59" t="str">
        <x:v>30%评分池轻量复核</x:v>
      </x:c>
      <x:c r="BI122" s="40" t="str">
        <x:v>三轮复核后与原表基本一致</x:v>
      </x:c>
    </x:row>
    <x:row r="123" ht="30" customHeight="1">
      <x:c r="A123" s="59" t="n">
        <x:v>122</x:v>
      </x:c>
      <x:c r="B123" s="59" t="n">
        <x:v>122</x:v>
      </x:c>
      <x:c r="C123" s="59" t="str">
        <x:v>2026-05</x:v>
      </x:c>
      <x:c r="D123" s="59" t="n">
        <x:v>67</x:v>
      </x:c>
      <x:c r="E123" s="59" t="str">
        <x:v>2605.19971</x:v>
      </x:c>
      <x:c r="F123" s="40" t="str">
        <x:v>Flexibility and rigidity for the Couette flow in the infinite channel</x:v>
      </x:c>
      <x:c r="G123" s="40" t="str">
        <x:v>Dengjun Guo; Xiaoyutao Luo; Guolin Qin</x:v>
      </x:c>
      <x:c r="H123" s="40" t="str">
        <x:v>Hydrodynamic stability</x:v>
      </x:c>
      <x:c r="I123" s="59" t="n">
        <x:v>34</x:v>
      </x:c>
      <x:c r="J123" s="40" t="str">
        <x:v>https://arxiv.org/abs/2605.19971</x:v>
      </x:c>
      <x:c r="K123" s="60" t="n">
        <x:v>87</x:v>
      </x:c>
      <x:c r="L123" s="60" t="n">
        <x:v>88</x:v>
      </x:c>
      <x:c r="M123" s="60" t="n">
        <x:v>88</x:v>
      </x:c>
      <x:c r="N123" s="60" t="n">
        <x:v>84</x:v>
      </x:c>
      <x:c r="O123" s="60" t="n">
        <x:v>88</x:v>
      </x:c>
      <x:c r="P123" s="60" t="n">
        <x:v>84</x:v>
      </x:c>
      <x:c r="Q123" s="60" t="n">
        <x:v>15</x:v>
      </x:c>
      <x:c r="R123" s="59" t="n">
        <x:v>6</x:v>
      </x:c>
      <x:c r="S123" s="60" t="n">
        <x:v>86.7</x:v>
      </x:c>
      <x:c r="T123" s="60" t="n">
        <x:v>87</x:v>
      </x:c>
      <x:c r="U123" s="60" t="n">
        <x:v>86.9</x:v>
      </x:c>
      <x:c r="V123" s="60" t="n">
        <x:v>87</x:v>
      </x:c>
      <x:c r="W123" s="60" t="n">
        <x:v>88.1</x:v>
      </x:c>
      <x:c r="X123" s="60" t="n">
        <x:v>88</x:v>
      </x:c>
      <x:c r="Y123" s="60" t="n">
        <x:v>84.1</x:v>
      </x:c>
      <x:c r="Z123" s="60" t="n">
        <x:v>88.1</x:v>
      </x:c>
      <x:c r="AA123" s="60" t="n">
        <x:v>84</x:v>
      </x:c>
      <x:c r="AB123" s="60" t="n">
        <x:v>15</x:v>
      </x:c>
      <x:c r="AC123" s="60" t="n">
        <x:f>ROUND(((0.30*V123+0.20*W123+0.25*X123+0.15*Y123+0.10*AA123)+(0.30*Z123+0.20*X123+0.20*W123+0.15*AA123+0.15*(100-AB123)))/2,2)</x:f>
        <x:v>86.87</x:v>
      </x:c>
      <x:c r="AD123" s="60" t="n">
        <x:v>87</x:v>
      </x:c>
      <x:c r="AE123" s="60" t="n">
        <x:v>88.1</x:v>
      </x:c>
      <x:c r="AF123" s="60" t="n">
        <x:v>88</x:v>
      </x:c>
      <x:c r="AG123" s="60" t="n">
        <x:v>84.1</x:v>
      </x:c>
      <x:c r="AH123" s="60" t="n">
        <x:v>88</x:v>
      </x:c>
      <x:c r="AI123" s="60" t="n">
        <x:v>84</x:v>
      </x:c>
      <x:c r="AJ123" s="60" t="n">
        <x:v>15</x:v>
      </x:c>
      <x:c r="AK123" s="60" t="n">
        <x:f>ROUND(((0.30*AD123+0.20*AE123+0.25*AF123+0.15*AG123+0.10*AI123)+(0.30*AH123+0.20*AF123+0.20*AE123+0.15*AI123+0.15*(100-AJ123)))/2,2)</x:f>
        <x:v>86.85</x:v>
      </x:c>
      <x:c r="AL123" s="60" t="n">
        <x:v>87</x:v>
      </x:c>
      <x:c r="AM123" s="60" t="n">
        <x:v>88.1</x:v>
      </x:c>
      <x:c r="AN123" s="60" t="n">
        <x:v>88</x:v>
      </x:c>
      <x:c r="AO123" s="60" t="n">
        <x:v>84.1</x:v>
      </x:c>
      <x:c r="AP123" s="60" t="n">
        <x:v>88.1</x:v>
      </x:c>
      <x:c r="AQ123" s="60" t="n">
        <x:v>84</x:v>
      </x:c>
      <x:c r="AR123" s="60" t="n">
        <x:v>15</x:v>
      </x:c>
      <x:c r="AS123" s="60" t="n">
        <x:f>ROUND(((0.30*AL123+0.20*AM123+0.25*AN123+0.15*AO123+0.10*AQ123)+(0.30*AP123+0.20*AN123+0.20*AM123+0.15*AQ123+0.15*(100-AR123)))/2,2)</x:f>
        <x:v>86.87</x:v>
      </x:c>
      <x:c r="AT123" s="60" t="n">
        <x:f>ROUND(AVERAGE(V123,AD123,AL123),1)</x:f>
        <x:v>87</x:v>
      </x:c>
      <x:c r="AU123" s="60" t="n">
        <x:f>ROUND(AVERAGE(W123,AE123,AM123),1)</x:f>
        <x:v>88.1</x:v>
      </x:c>
      <x:c r="AV123" s="60" t="n">
        <x:f>ROUND(AVERAGE(X123,AF123,AN123),1)</x:f>
        <x:v>88</x:v>
      </x:c>
      <x:c r="AW123" s="60" t="n">
        <x:f>ROUND(AVERAGE(Y123,AG123,AO123),1)</x:f>
        <x:v>84.1</x:v>
      </x:c>
      <x:c r="AX123" s="60" t="n">
        <x:f>ROUND(AVERAGE(Z123,AH123,AP123),1)</x:f>
        <x:v>88.1</x:v>
      </x:c>
      <x:c r="AY123" s="60" t="n">
        <x:f>ROUND(AVERAGE(AA123,AI123,AQ123),1)</x:f>
        <x:v>84</x:v>
      </x:c>
      <x:c r="AZ123" s="60" t="n">
        <x:f>ROUND(AVERAGE(AB123,AJ123,AR123),1)</x:f>
        <x:v>15</x:v>
      </x:c>
      <x:c r="BA123" s="59" t="n">
        <x:v>6</x:v>
      </x:c>
      <x:c r="BB123" s="60" t="n">
        <x:f>ROUND(0.30*AT123+0.20*AU123+0.25*AV123+0.15*AW123+0.10*AY123,2)</x:f>
        <x:v>86.74</x:v>
      </x:c>
      <x:c r="BC123" s="60" t="n">
        <x:f>ROUND(0.30*AX123+0.20*AV123+0.20*AU123+0.15*AY123+0.15*(100-AZ123),2)</x:f>
        <x:v>87</x:v>
      </x:c>
      <x:c r="BD123" s="60" t="n">
        <x:f>ROUND(AVERAGE(BB123,BC123),2)</x:f>
        <x:v>86.87</x:v>
      </x:c>
      <x:c r="BE123" s="60" t="n">
        <x:f>ROUND(BD123-U123,2)</x:f>
        <x:v>-0.03</x:v>
      </x:c>
      <x:c r="BF123" s="60" t="n">
        <x:f>ROUND(STDEV.P(AC123,AK123,AS123),3)</x:f>
        <x:v>0.009</x:v>
      </x:c>
      <x:c r="BG123" s="59" t="str"/>
      <x:c r="BH123" s="59" t="str">
        <x:v>30%评分池轻量复核</x:v>
      </x:c>
      <x:c r="BI123" s="40" t="str">
        <x:v>三轮复核后与原表基本一致</x:v>
      </x:c>
    </x:row>
    <x:row r="124" ht="30" customHeight="1">
      <x:c r="A124" s="59" t="n">
        <x:v>123</x:v>
      </x:c>
      <x:c r="B124" s="59" t="n">
        <x:v>124</x:v>
      </x:c>
      <x:c r="C124" s="59" t="str">
        <x:v>2026-05</x:v>
      </x:c>
      <x:c r="D124" s="59" t="n">
        <x:v>73</x:v>
      </x:c>
      <x:c r="E124" s="59" t="str">
        <x:v>2605.11251</x:v>
      </x:c>
      <x:c r="F124" s="40" t="str">
        <x:v>Global well-posedness for the Hele-Shaw problem with point injection</x:v>
      </x:c>
      <x:c r="G124" s="40" t="str">
        <x:v>Zhengjun Liang</x:v>
      </x:c>
      <x:c r="H124" s="40" t="str">
        <x:v>Hele-Shaw / free boundary</x:v>
      </x:c>
      <x:c r="I124" s="59" t="n">
        <x:v>55</x:v>
      </x:c>
      <x:c r="J124" s="40" t="str">
        <x:v>https://arxiv.org/abs/2605.11251</x:v>
      </x:c>
      <x:c r="K124" s="60" t="n">
        <x:v>87</x:v>
      </x:c>
      <x:c r="L124" s="60" t="n">
        <x:v>87</x:v>
      </x:c>
      <x:c r="M124" s="60" t="n">
        <x:v>88</x:v>
      </x:c>
      <x:c r="N124" s="60" t="n">
        <x:v>84</x:v>
      </x:c>
      <x:c r="O124" s="60" t="n">
        <x:v>88</x:v>
      </x:c>
      <x:c r="P124" s="60" t="n">
        <x:v>85</x:v>
      </x:c>
      <x:c r="Q124" s="60" t="n">
        <x:v>15</x:v>
      </x:c>
      <x:c r="R124" s="59" t="n">
        <x:v>6</x:v>
      </x:c>
      <x:c r="S124" s="60" t="n">
        <x:v>86.6</x:v>
      </x:c>
      <x:c r="T124" s="60" t="n">
        <x:v>86.9</x:v>
      </x:c>
      <x:c r="U124" s="60" t="n">
        <x:v>86.8</x:v>
      </x:c>
      <x:c r="V124" s="60" t="n">
        <x:v>87</x:v>
      </x:c>
      <x:c r="W124" s="60" t="n">
        <x:v>87.1</x:v>
      </x:c>
      <x:c r="X124" s="60" t="n">
        <x:v>88</x:v>
      </x:c>
      <x:c r="Y124" s="60" t="n">
        <x:v>84.1</x:v>
      </x:c>
      <x:c r="Z124" s="60" t="n">
        <x:v>88.1</x:v>
      </x:c>
      <x:c r="AA124" s="60" t="n">
        <x:v>85</x:v>
      </x:c>
      <x:c r="AB124" s="60" t="n">
        <x:v>15</x:v>
      </x:c>
      <x:c r="AC124" s="60" t="n">
        <x:f>ROUND(((0.30*V124+0.20*W124+0.25*X124+0.15*Y124+0.10*AA124)+(0.30*Z124+0.20*X124+0.20*W124+0.15*AA124+0.15*(100-AB124)))/2,2)</x:f>
        <x:v>86.79</x:v>
      </x:c>
      <x:c r="AD124" s="60" t="n">
        <x:v>87</x:v>
      </x:c>
      <x:c r="AE124" s="60" t="n">
        <x:v>87.1</x:v>
      </x:c>
      <x:c r="AF124" s="60" t="n">
        <x:v>88</x:v>
      </x:c>
      <x:c r="AG124" s="60" t="n">
        <x:v>84.1</x:v>
      </x:c>
      <x:c r="AH124" s="60" t="n">
        <x:v>88</x:v>
      </x:c>
      <x:c r="AI124" s="60" t="n">
        <x:v>85</x:v>
      </x:c>
      <x:c r="AJ124" s="60" t="n">
        <x:v>15</x:v>
      </x:c>
      <x:c r="AK124" s="60" t="n">
        <x:f>ROUND(((0.30*AD124+0.20*AE124+0.25*AF124+0.15*AG124+0.10*AI124)+(0.30*AH124+0.20*AF124+0.20*AE124+0.15*AI124+0.15*(100-AJ124)))/2,2)</x:f>
        <x:v>86.78</x:v>
      </x:c>
      <x:c r="AL124" s="60" t="n">
        <x:v>87</x:v>
      </x:c>
      <x:c r="AM124" s="60" t="n">
        <x:v>87.1</x:v>
      </x:c>
      <x:c r="AN124" s="60" t="n">
        <x:v>88</x:v>
      </x:c>
      <x:c r="AO124" s="60" t="n">
        <x:v>84.1</x:v>
      </x:c>
      <x:c r="AP124" s="60" t="n">
        <x:v>88.1</x:v>
      </x:c>
      <x:c r="AQ124" s="60" t="n">
        <x:v>85</x:v>
      </x:c>
      <x:c r="AR124" s="60" t="n">
        <x:v>15</x:v>
      </x:c>
      <x:c r="AS124" s="60" t="n">
        <x:f>ROUND(((0.30*AL124+0.20*AM124+0.25*AN124+0.15*AO124+0.10*AQ124)+(0.30*AP124+0.20*AN124+0.20*AM124+0.15*AQ124+0.15*(100-AR124)))/2,2)</x:f>
        <x:v>86.79</x:v>
      </x:c>
      <x:c r="AT124" s="60" t="n">
        <x:f>ROUND(AVERAGE(V124,AD124,AL124),1)</x:f>
        <x:v>87</x:v>
      </x:c>
      <x:c r="AU124" s="60" t="n">
        <x:f>ROUND(AVERAGE(W124,AE124,AM124),1)</x:f>
        <x:v>87.1</x:v>
      </x:c>
      <x:c r="AV124" s="60" t="n">
        <x:f>ROUND(AVERAGE(X124,AF124,AN124),1)</x:f>
        <x:v>88</x:v>
      </x:c>
      <x:c r="AW124" s="60" t="n">
        <x:f>ROUND(AVERAGE(Y124,AG124,AO124),1)</x:f>
        <x:v>84.1</x:v>
      </x:c>
      <x:c r="AX124" s="60" t="n">
        <x:f>ROUND(AVERAGE(Z124,AH124,AP124),1)</x:f>
        <x:v>88.1</x:v>
      </x:c>
      <x:c r="AY124" s="60" t="n">
        <x:f>ROUND(AVERAGE(AA124,AI124,AQ124),1)</x:f>
        <x:v>85</x:v>
      </x:c>
      <x:c r="AZ124" s="60" t="n">
        <x:f>ROUND(AVERAGE(AB124,AJ124,AR124),1)</x:f>
        <x:v>15</x:v>
      </x:c>
      <x:c r="BA124" s="59" t="n">
        <x:v>6</x:v>
      </x:c>
      <x:c r="BB124" s="60" t="n">
        <x:f>ROUND(0.30*AT124+0.20*AU124+0.25*AV124+0.15*AW124+0.10*AY124,2)</x:f>
        <x:v>86.64</x:v>
      </x:c>
      <x:c r="BC124" s="60" t="n">
        <x:f>ROUND(0.30*AX124+0.20*AV124+0.20*AU124+0.15*AY124+0.15*(100-AZ124),2)</x:f>
        <x:v>86.95</x:v>
      </x:c>
      <x:c r="BD124" s="60" t="n">
        <x:f>ROUND(AVERAGE(BB124,BC124),2)</x:f>
        <x:v>86.8</x:v>
      </x:c>
      <x:c r="BE124" s="60" t="n">
        <x:f>ROUND(BD124-U124,2)</x:f>
        <x:v>0</x:v>
      </x:c>
      <x:c r="BF124" s="60" t="n">
        <x:f>ROUND(STDEV.P(AC124,AK124,AS124),3)</x:f>
        <x:v>0.005</x:v>
      </x:c>
      <x:c r="BG124" s="59" t="str"/>
      <x:c r="BH124" s="59" t="str">
        <x:v>30%评分池轻量复核</x:v>
      </x:c>
      <x:c r="BI124" s="40" t="str">
        <x:v>三轮复核后与原表基本一致</x:v>
      </x:c>
    </x:row>
    <x:row r="125" ht="30" customHeight="1">
      <x:c r="A125" s="59" t="n">
        <x:v>124</x:v>
      </x:c>
      <x:c r="B125" s="59" t="n">
        <x:v>123</x:v>
      </x:c>
      <x:c r="C125" s="59" t="str">
        <x:v>2026-05</x:v>
      </x:c>
      <x:c r="D125" s="59" t="n">
        <x:v>73</x:v>
      </x:c>
      <x:c r="E125" s="59" t="str">
        <x:v>2605.20715</x:v>
      </x:c>
      <x:c r="F125" s="40" t="str">
        <x:v>Threshold dynamics for the 4d mass-energy double critical NLS</x:v>
      </x:c>
      <x:c r="G125" s="40" t="str">
        <x:v>Alex H. Ardila; Zuyu Ma; Jason Murphy; Jiqiang Zheng</x:v>
      </x:c>
      <x:c r="H125" s="40" t="str">
        <x:v>Dispersive PDE / NLS</x:v>
      </x:c>
      <x:c r="I125" s="59" t="n">
        <x:v>35</x:v>
      </x:c>
      <x:c r="J125" s="40" t="str">
        <x:v>https://arxiv.org/abs/2605.20715</x:v>
      </x:c>
      <x:c r="K125" s="60" t="n">
        <x:v>87</x:v>
      </x:c>
      <x:c r="L125" s="60" t="n">
        <x:v>87</x:v>
      </x:c>
      <x:c r="M125" s="60" t="n">
        <x:v>88</x:v>
      </x:c>
      <x:c r="N125" s="60" t="n">
        <x:v>84</x:v>
      </x:c>
      <x:c r="O125" s="60" t="n">
        <x:v>88</x:v>
      </x:c>
      <x:c r="P125" s="60" t="n">
        <x:v>85</x:v>
      </x:c>
      <x:c r="Q125" s="60" t="n">
        <x:v>15</x:v>
      </x:c>
      <x:c r="R125" s="59" t="n">
        <x:v>6</x:v>
      </x:c>
      <x:c r="S125" s="60" t="n">
        <x:v>86.6</x:v>
      </x:c>
      <x:c r="T125" s="60" t="n">
        <x:v>86.9</x:v>
      </x:c>
      <x:c r="U125" s="60" t="n">
        <x:v>86.8</x:v>
      </x:c>
      <x:c r="V125" s="60" t="n">
        <x:v>87</x:v>
      </x:c>
      <x:c r="W125" s="60" t="n">
        <x:v>87</x:v>
      </x:c>
      <x:c r="X125" s="60" t="n">
        <x:v>88</x:v>
      </x:c>
      <x:c r="Y125" s="60" t="n">
        <x:v>84</x:v>
      </x:c>
      <x:c r="Z125" s="60" t="n">
        <x:v>88</x:v>
      </x:c>
      <x:c r="AA125" s="60" t="n">
        <x:v>85</x:v>
      </x:c>
      <x:c r="AB125" s="60" t="n">
        <x:v>15</x:v>
      </x:c>
      <x:c r="AC125" s="60" t="n">
        <x:f>ROUND(((0.30*V125+0.20*W125+0.25*X125+0.15*Y125+0.10*AA125)+(0.30*Z125+0.20*X125+0.20*W125+0.15*AA125+0.15*(100-AB125)))/2,2)</x:f>
        <x:v>86.75</x:v>
      </x:c>
      <x:c r="AD125" s="60" t="n">
        <x:v>87</x:v>
      </x:c>
      <x:c r="AE125" s="60" t="n">
        <x:v>87</x:v>
      </x:c>
      <x:c r="AF125" s="60" t="n">
        <x:v>88</x:v>
      </x:c>
      <x:c r="AG125" s="60" t="n">
        <x:v>84.1</x:v>
      </x:c>
      <x:c r="AH125" s="60" t="n">
        <x:v>88</x:v>
      </x:c>
      <x:c r="AI125" s="60" t="n">
        <x:v>85</x:v>
      </x:c>
      <x:c r="AJ125" s="60" t="n">
        <x:v>15</x:v>
      </x:c>
      <x:c r="AK125" s="60" t="n">
        <x:f>ROUND(((0.30*AD125+0.20*AE125+0.25*AF125+0.15*AG125+0.10*AI125)+(0.30*AH125+0.20*AF125+0.20*AE125+0.15*AI125+0.15*(100-AJ125)))/2,2)</x:f>
        <x:v>86.76</x:v>
      </x:c>
      <x:c r="AL125" s="60" t="n">
        <x:v>87</x:v>
      </x:c>
      <x:c r="AM125" s="60" t="n">
        <x:v>87</x:v>
      </x:c>
      <x:c r="AN125" s="60" t="n">
        <x:v>88</x:v>
      </x:c>
      <x:c r="AO125" s="60" t="n">
        <x:v>84</x:v>
      </x:c>
      <x:c r="AP125" s="60" t="n">
        <x:v>88</x:v>
      </x:c>
      <x:c r="AQ125" s="60" t="n">
        <x:v>85</x:v>
      </x:c>
      <x:c r="AR125" s="60" t="n">
        <x:v>15</x:v>
      </x:c>
      <x:c r="AS125" s="60" t="n">
        <x:f>ROUND(((0.30*AL125+0.20*AM125+0.25*AN125+0.15*AO125+0.10*AQ125)+(0.30*AP125+0.20*AN125+0.20*AM125+0.15*AQ125+0.15*(100-AR125)))/2,2)</x:f>
        <x:v>86.75</x:v>
      </x:c>
      <x:c r="AT125" s="60" t="n">
        <x:f>ROUND(AVERAGE(V125,AD125,AL125),1)</x:f>
        <x:v>87</x:v>
      </x:c>
      <x:c r="AU125" s="60" t="n">
        <x:f>ROUND(AVERAGE(W125,AE125,AM125),1)</x:f>
        <x:v>87</x:v>
      </x:c>
      <x:c r="AV125" s="60" t="n">
        <x:f>ROUND(AVERAGE(X125,AF125,AN125),1)</x:f>
        <x:v>88</x:v>
      </x:c>
      <x:c r="AW125" s="60" t="n">
        <x:f>ROUND(AVERAGE(Y125,AG125,AO125),1)</x:f>
        <x:v>84</x:v>
      </x:c>
      <x:c r="AX125" s="60" t="n">
        <x:f>ROUND(AVERAGE(Z125,AH125,AP125),1)</x:f>
        <x:v>88</x:v>
      </x:c>
      <x:c r="AY125" s="60" t="n">
        <x:f>ROUND(AVERAGE(AA125,AI125,AQ125),1)</x:f>
        <x:v>85</x:v>
      </x:c>
      <x:c r="AZ125" s="60" t="n">
        <x:f>ROUND(AVERAGE(AB125,AJ125,AR125),1)</x:f>
        <x:v>15</x:v>
      </x:c>
      <x:c r="BA125" s="59" t="n">
        <x:v>6</x:v>
      </x:c>
      <x:c r="BB125" s="60" t="n">
        <x:f>ROUND(0.30*AT125+0.20*AU125+0.25*AV125+0.15*AW125+0.10*AY125,2)</x:f>
        <x:v>86.6</x:v>
      </x:c>
      <x:c r="BC125" s="60" t="n">
        <x:f>ROUND(0.30*AX125+0.20*AV125+0.20*AU125+0.15*AY125+0.15*(100-AZ125),2)</x:f>
        <x:v>86.9</x:v>
      </x:c>
      <x:c r="BD125" s="60" t="n">
        <x:f>ROUND(AVERAGE(BB125,BC125),2)</x:f>
        <x:v>86.75</x:v>
      </x:c>
      <x:c r="BE125" s="60" t="n">
        <x:f>ROUND(BD125-U125,2)</x:f>
        <x:v>-0.05</x:v>
      </x:c>
      <x:c r="BF125" s="60" t="n">
        <x:f>ROUND(STDEV.P(AC125,AK125,AS125),3)</x:f>
        <x:v>0.005</x:v>
      </x:c>
      <x:c r="BG125" s="59" t="str"/>
      <x:c r="BH125" s="59" t="str">
        <x:v>30%评分池轻量复核</x:v>
      </x:c>
      <x:c r="BI125" s="40" t="str">
        <x:v>三轮复核后与原表基本一致</x:v>
      </x:c>
    </x:row>
    <x:row r="126" ht="30" customHeight="1">
      <x:c r="A126" s="59" t="n">
        <x:v>125</x:v>
      </x:c>
      <x:c r="B126" s="59" t="n">
        <x:v>126</x:v>
      </x:c>
      <x:c r="C126" s="59" t="str">
        <x:v>2026-05</x:v>
      </x:c>
      <x:c r="D126" s="59" t="n">
        <x:v>75</x:v>
      </x:c>
      <x:c r="E126" s="59" t="str">
        <x:v>2605.17485</x:v>
      </x:c>
      <x:c r="F126" s="40" t="str">
        <x:v>Variational derivation of the Flamant solution for a nonlinear elastic wedge</x:v>
      </x:c>
      <x:c r="G126" s="40" t="str">
        <x:v>Dominik Engl; Paul Plucinsky; Ian Tobasco</x:v>
      </x:c>
      <x:c r="H126" s="40" t="str">
        <x:v>Elasticity / variational PDE</x:v>
      </x:c>
      <x:c r="I126" s="59"/>
      <x:c r="J126" s="40" t="str">
        <x:v>https://arxiv.org/abs/2605.17485</x:v>
      </x:c>
      <x:c r="K126" s="60" t="n">
        <x:v>86</x:v>
      </x:c>
      <x:c r="L126" s="60" t="n">
        <x:v>88</x:v>
      </x:c>
      <x:c r="M126" s="60" t="n">
        <x:v>88</x:v>
      </x:c>
      <x:c r="N126" s="60" t="n">
        <x:v>84</x:v>
      </x:c>
      <x:c r="O126" s="60" t="n">
        <x:v>88</x:v>
      </x:c>
      <x:c r="P126" s="60" t="n">
        <x:v>85</x:v>
      </x:c>
      <x:c r="Q126" s="60" t="n">
        <x:v>16</x:v>
      </x:c>
      <x:c r="R126" s="59" t="n">
        <x:v>6</x:v>
      </x:c>
      <x:c r="S126" s="60" t="n">
        <x:v>86.5</x:v>
      </x:c>
      <x:c r="T126" s="60" t="n">
        <x:v>86.9</x:v>
      </x:c>
      <x:c r="U126" s="60" t="n">
        <x:v>86.7</x:v>
      </x:c>
      <x:c r="V126" s="60" t="n">
        <x:v>86</x:v>
      </x:c>
      <x:c r="W126" s="60" t="n">
        <x:v>88</x:v>
      </x:c>
      <x:c r="X126" s="60" t="n">
        <x:v>88</x:v>
      </x:c>
      <x:c r="Y126" s="60" t="n">
        <x:v>84</x:v>
      </x:c>
      <x:c r="Z126" s="60" t="n">
        <x:v>88</x:v>
      </x:c>
      <x:c r="AA126" s="60" t="n">
        <x:v>85</x:v>
      </x:c>
      <x:c r="AB126" s="60" t="n">
        <x:v>16</x:v>
      </x:c>
      <x:c r="AC126" s="60" t="n">
        <x:f>ROUND(((0.30*V126+0.20*W126+0.25*X126+0.15*Y126+0.10*AA126)+(0.30*Z126+0.20*X126+0.20*W126+0.15*AA126+0.15*(100-AB126)))/2,2)</x:f>
        <x:v>86.73</x:v>
      </x:c>
      <x:c r="AD126" s="60" t="n">
        <x:v>86</x:v>
      </x:c>
      <x:c r="AE126" s="60" t="n">
        <x:v>88</x:v>
      </x:c>
      <x:c r="AF126" s="60" t="n">
        <x:v>88</x:v>
      </x:c>
      <x:c r="AG126" s="60" t="n">
        <x:v>84.1</x:v>
      </x:c>
      <x:c r="AH126" s="60" t="n">
        <x:v>88</x:v>
      </x:c>
      <x:c r="AI126" s="60" t="n">
        <x:v>85</x:v>
      </x:c>
      <x:c r="AJ126" s="60" t="n">
        <x:v>16</x:v>
      </x:c>
      <x:c r="AK126" s="60" t="n">
        <x:f>ROUND(((0.30*AD126+0.20*AE126+0.25*AF126+0.15*AG126+0.10*AI126)+(0.30*AH126+0.20*AF126+0.20*AE126+0.15*AI126+0.15*(100-AJ126)))/2,2)</x:f>
        <x:v>86.73</x:v>
      </x:c>
      <x:c r="AL126" s="60" t="n">
        <x:v>86</x:v>
      </x:c>
      <x:c r="AM126" s="60" t="n">
        <x:v>88</x:v>
      </x:c>
      <x:c r="AN126" s="60" t="n">
        <x:v>88</x:v>
      </x:c>
      <x:c r="AO126" s="60" t="n">
        <x:v>84</x:v>
      </x:c>
      <x:c r="AP126" s="60" t="n">
        <x:v>88</x:v>
      </x:c>
      <x:c r="AQ126" s="60" t="n">
        <x:v>85</x:v>
      </x:c>
      <x:c r="AR126" s="60" t="n">
        <x:v>16</x:v>
      </x:c>
      <x:c r="AS126" s="60" t="n">
        <x:f>ROUND(((0.30*AL126+0.20*AM126+0.25*AN126+0.15*AO126+0.10*AQ126)+(0.30*AP126+0.20*AN126+0.20*AM126+0.15*AQ126+0.15*(100-AR126)))/2,2)</x:f>
        <x:v>86.73</x:v>
      </x:c>
      <x:c r="AT126" s="60" t="n">
        <x:f>ROUND(AVERAGE(V126,AD126,AL126),1)</x:f>
        <x:v>86</x:v>
      </x:c>
      <x:c r="AU126" s="60" t="n">
        <x:f>ROUND(AVERAGE(W126,AE126,AM126),1)</x:f>
        <x:v>88</x:v>
      </x:c>
      <x:c r="AV126" s="60" t="n">
        <x:f>ROUND(AVERAGE(X126,AF126,AN126),1)</x:f>
        <x:v>88</x:v>
      </x:c>
      <x:c r="AW126" s="60" t="n">
        <x:f>ROUND(AVERAGE(Y126,AG126,AO126),1)</x:f>
        <x:v>84</x:v>
      </x:c>
      <x:c r="AX126" s="60" t="n">
        <x:f>ROUND(AVERAGE(Z126,AH126,AP126),1)</x:f>
        <x:v>88</x:v>
      </x:c>
      <x:c r="AY126" s="60" t="n">
        <x:f>ROUND(AVERAGE(AA126,AI126,AQ126),1)</x:f>
        <x:v>85</x:v>
      </x:c>
      <x:c r="AZ126" s="60" t="n">
        <x:f>ROUND(AVERAGE(AB126,AJ126,AR126),1)</x:f>
        <x:v>16</x:v>
      </x:c>
      <x:c r="BA126" s="59" t="n">
        <x:v>6</x:v>
      </x:c>
      <x:c r="BB126" s="60" t="n">
        <x:f>ROUND(0.30*AT126+0.20*AU126+0.25*AV126+0.15*AW126+0.10*AY126,2)</x:f>
        <x:v>86.5</x:v>
      </x:c>
      <x:c r="BC126" s="60" t="n">
        <x:f>ROUND(0.30*AX126+0.20*AV126+0.20*AU126+0.15*AY126+0.15*(100-AZ126),2)</x:f>
        <x:v>86.95</x:v>
      </x:c>
      <x:c r="BD126" s="60" t="n">
        <x:f>ROUND(AVERAGE(BB126,BC126),2)</x:f>
        <x:v>86.73</x:v>
      </x:c>
      <x:c r="BE126" s="60" t="n">
        <x:f>ROUND(BD126-U126,2)</x:f>
        <x:v>0.03</x:v>
      </x:c>
      <x:c r="BF126" s="60" t="n">
        <x:f>ROUND(STDEV.P(AC126,AK126,AS126),3)</x:f>
        <x:v>0</x:v>
      </x:c>
      <x:c r="BG126" s="59" t="str"/>
      <x:c r="BH126" s="59" t="str">
        <x:v>30%评分池轻量复核</x:v>
      </x:c>
      <x:c r="BI126" s="40" t="str">
        <x:v>三轮复核后与原表基本一致</x:v>
      </x:c>
    </x:row>
    <x:row r="127" ht="30" customHeight="1">
      <x:c r="A127" s="59" t="n">
        <x:v>126</x:v>
      </x:c>
      <x:c r="B127" s="59" t="n">
        <x:v>127</x:v>
      </x:c>
      <x:c r="C127" s="59" t="str">
        <x:v>2026-05</x:v>
      </x:c>
      <x:c r="D127" s="59" t="n">
        <x:v>77</x:v>
      </x:c>
      <x:c r="E127" s="59" t="str">
        <x:v>2605.18126</x:v>
      </x:c>
      <x:c r="F127" s="40" t="str">
        <x:v>Stability of Anomalous Dissipation for the Forced 3D Navier-Stokes Equations under Geometric Perturbations</x:v>
      </x:c>
      <x:c r="G127" s="40" t="str">
        <x:v>Changhong Li</x:v>
      </x:c>
      <x:c r="H127" s="40" t="str">
        <x:v>Navier-Stokes / anomalous dissipation</x:v>
      </x:c>
      <x:c r="I127" s="59"/>
      <x:c r="J127" s="40" t="str">
        <x:v>https://arxiv.org/abs/2605.18126</x:v>
      </x:c>
      <x:c r="K127" s="60" t="n">
        <x:v>87</x:v>
      </x:c>
      <x:c r="L127" s="60" t="n">
        <x:v>88</x:v>
      </x:c>
      <x:c r="M127" s="60" t="n">
        <x:v>88</x:v>
      </x:c>
      <x:c r="N127" s="60" t="n">
        <x:v>84</x:v>
      </x:c>
      <x:c r="O127" s="60" t="n">
        <x:v>88</x:v>
      </x:c>
      <x:c r="P127" s="60" t="n">
        <x:v>83</x:v>
      </x:c>
      <x:c r="Q127" s="60" t="n">
        <x:v>16</x:v>
      </x:c>
      <x:c r="R127" s="59" t="n">
        <x:v>7</x:v>
      </x:c>
      <x:c r="S127" s="60" t="n">
        <x:v>86.6</x:v>
      </x:c>
      <x:c r="T127" s="60" t="n">
        <x:v>86.6</x:v>
      </x:c>
      <x:c r="U127" s="60" t="n">
        <x:v>86.6</x:v>
      </x:c>
      <x:c r="V127" s="60" t="n">
        <x:v>87.1</x:v>
      </x:c>
      <x:c r="W127" s="60" t="n">
        <x:v>88</x:v>
      </x:c>
      <x:c r="X127" s="60" t="n">
        <x:v>88.1</x:v>
      </x:c>
      <x:c r="Y127" s="60" t="n">
        <x:v>84</x:v>
      </x:c>
      <x:c r="Z127" s="60" t="n">
        <x:v>88.1</x:v>
      </x:c>
      <x:c r="AA127" s="60" t="n">
        <x:v>83</x:v>
      </x:c>
      <x:c r="AB127" s="60" t="n">
        <x:v>16</x:v>
      </x:c>
      <x:c r="AC127" s="60" t="n">
        <x:f>ROUND(((0.30*V127+0.20*W127+0.25*X127+0.15*Y127+0.10*AA127)+(0.30*Z127+0.20*X127+0.20*W127+0.15*AA127+0.15*(100-AB127)))/2,2)</x:f>
        <x:v>86.68</x:v>
      </x:c>
      <x:c r="AD127" s="60" t="n">
        <x:v>87</x:v>
      </x:c>
      <x:c r="AE127" s="60" t="n">
        <x:v>88</x:v>
      </x:c>
      <x:c r="AF127" s="60" t="n">
        <x:v>88</x:v>
      </x:c>
      <x:c r="AG127" s="60" t="n">
        <x:v>84.1</x:v>
      </x:c>
      <x:c r="AH127" s="60" t="n">
        <x:v>88</x:v>
      </x:c>
      <x:c r="AI127" s="60" t="n">
        <x:v>83</x:v>
      </x:c>
      <x:c r="AJ127" s="60" t="n">
        <x:v>16</x:v>
      </x:c>
      <x:c r="AK127" s="60" t="n">
        <x:f>ROUND(((0.30*AD127+0.20*AE127+0.25*AF127+0.15*AG127+0.10*AI127)+(0.30*AH127+0.20*AF127+0.20*AE127+0.15*AI127+0.15*(100-AJ127)))/2,2)</x:f>
        <x:v>86.63</x:v>
      </x:c>
      <x:c r="AL127" s="60" t="n">
        <x:v>87</x:v>
      </x:c>
      <x:c r="AM127" s="60" t="n">
        <x:v>88</x:v>
      </x:c>
      <x:c r="AN127" s="60" t="n">
        <x:v>88.1</x:v>
      </x:c>
      <x:c r="AO127" s="60" t="n">
        <x:v>84</x:v>
      </x:c>
      <x:c r="AP127" s="60" t="n">
        <x:v>88</x:v>
      </x:c>
      <x:c r="AQ127" s="60" t="n">
        <x:v>83</x:v>
      </x:c>
      <x:c r="AR127" s="60" t="n">
        <x:v>16</x:v>
      </x:c>
      <x:c r="AS127" s="60" t="n">
        <x:f>ROUND(((0.30*AL127+0.20*AM127+0.25*AN127+0.15*AO127+0.10*AQ127)+(0.30*AP127+0.20*AN127+0.20*AM127+0.15*AQ127+0.15*(100-AR127)))/2,2)</x:f>
        <x:v>86.65</x:v>
      </x:c>
      <x:c r="AT127" s="60" t="n">
        <x:f>ROUND(AVERAGE(V127,AD127,AL127),1)</x:f>
        <x:v>87</x:v>
      </x:c>
      <x:c r="AU127" s="60" t="n">
        <x:f>ROUND(AVERAGE(W127,AE127,AM127),1)</x:f>
        <x:v>88</x:v>
      </x:c>
      <x:c r="AV127" s="60" t="n">
        <x:f>ROUND(AVERAGE(X127,AF127,AN127),1)</x:f>
        <x:v>88.1</x:v>
      </x:c>
      <x:c r="AW127" s="60" t="n">
        <x:f>ROUND(AVERAGE(Y127,AG127,AO127),1)</x:f>
        <x:v>84</x:v>
      </x:c>
      <x:c r="AX127" s="60" t="n">
        <x:f>ROUND(AVERAGE(Z127,AH127,AP127),1)</x:f>
        <x:v>88</x:v>
      </x:c>
      <x:c r="AY127" s="60" t="n">
        <x:f>ROUND(AVERAGE(AA127,AI127,AQ127),1)</x:f>
        <x:v>83</x:v>
      </x:c>
      <x:c r="AZ127" s="60" t="n">
        <x:f>ROUND(AVERAGE(AB127,AJ127,AR127),1)</x:f>
        <x:v>16</x:v>
      </x:c>
      <x:c r="BA127" s="59" t="n">
        <x:v>7</x:v>
      </x:c>
      <x:c r="BB127" s="60" t="n">
        <x:f>ROUND(0.30*AT127+0.20*AU127+0.25*AV127+0.15*AW127+0.10*AY127,2)</x:f>
        <x:v>86.62</x:v>
      </x:c>
      <x:c r="BC127" s="60" t="n">
        <x:f>ROUND(0.30*AX127+0.20*AV127+0.20*AU127+0.15*AY127+0.15*(100-AZ127),2)</x:f>
        <x:v>86.67</x:v>
      </x:c>
      <x:c r="BD127" s="60" t="n">
        <x:f>ROUND(AVERAGE(BB127,BC127),2)</x:f>
        <x:v>86.65</x:v>
      </x:c>
      <x:c r="BE127" s="60" t="n">
        <x:f>ROUND(BD127-U127,2)</x:f>
        <x:v>0.05</x:v>
      </x:c>
      <x:c r="BF127" s="60" t="n">
        <x:f>ROUND(STDEV.P(AC127,AK127,AS127),3)</x:f>
        <x:v>0.021</x:v>
      </x:c>
      <x:c r="BG127" s="59" t="str"/>
      <x:c r="BH127" s="59" t="str">
        <x:v>30%评分池轻量复核</x:v>
      </x:c>
      <x:c r="BI127" s="40" t="str">
        <x:v>三轮复核后与原表基本一致</x:v>
      </x:c>
    </x:row>
    <x:row r="128" ht="30" customHeight="1">
      <x:c r="A128" s="59" t="n">
        <x:v>127</x:v>
      </x:c>
      <x:c r="B128" s="59" t="n">
        <x:v>129</x:v>
      </x:c>
      <x:c r="C128" s="59" t="str">
        <x:v>2026-05</x:v>
      </x:c>
      <x:c r="D128" s="59" t="n">
        <x:v>77</x:v>
      </x:c>
      <x:c r="E128" s="59" t="str">
        <x:v>2605.24317</x:v>
      </x:c>
      <x:c r="F128" s="40" t="str">
        <x:v>Quantitative Stability of Generalized p-Area Minimizing Surfaces</x:v>
      </x:c>
      <x:c r="G128" s="40" t="str">
        <x:v>Amir Moradifam; Gerardo Orozco-Fernandez</x:v>
      </x:c>
      <x:c r="H128" s="40" t="str">
        <x:v>Geometric variational inequalities</x:v>
      </x:c>
      <x:c r="I128" s="59"/>
      <x:c r="J128" s="40" t="str">
        <x:v>https://arxiv.org/abs/2605.24317</x:v>
      </x:c>
      <x:c r="K128" s="60" t="n">
        <x:v>86</x:v>
      </x:c>
      <x:c r="L128" s="60" t="n">
        <x:v>87</x:v>
      </x:c>
      <x:c r="M128" s="60" t="n">
        <x:v>88</x:v>
      </x:c>
      <x:c r="N128" s="60" t="n">
        <x:v>84</x:v>
      </x:c>
      <x:c r="O128" s="60" t="n">
        <x:v>88</x:v>
      </x:c>
      <x:c r="P128" s="60" t="n">
        <x:v>85</x:v>
      </x:c>
      <x:c r="Q128" s="60" t="n">
        <x:v>15</x:v>
      </x:c>
      <x:c r="R128" s="59" t="n">
        <x:v>6</x:v>
      </x:c>
      <x:c r="S128" s="60" t="n">
        <x:v>86.3</x:v>
      </x:c>
      <x:c r="T128" s="60" t="n">
        <x:v>86.9</x:v>
      </x:c>
      <x:c r="U128" s="60" t="n">
        <x:v>86.6</x:v>
      </x:c>
      <x:c r="V128" s="60" t="n">
        <x:v>86</x:v>
      </x:c>
      <x:c r="W128" s="60" t="n">
        <x:v>87.1</x:v>
      </x:c>
      <x:c r="X128" s="60" t="n">
        <x:v>88</x:v>
      </x:c>
      <x:c r="Y128" s="60" t="n">
        <x:v>84.1</x:v>
      </x:c>
      <x:c r="Z128" s="60" t="n">
        <x:v>88.1</x:v>
      </x:c>
      <x:c r="AA128" s="60" t="n">
        <x:v>85</x:v>
      </x:c>
      <x:c r="AB128" s="60" t="n">
        <x:v>15</x:v>
      </x:c>
      <x:c r="AC128" s="60" t="n">
        <x:f>ROUND(((0.30*V128+0.20*W128+0.25*X128+0.15*Y128+0.10*AA128)+(0.30*Z128+0.20*X128+0.20*W128+0.15*AA128+0.15*(100-AB128)))/2,2)</x:f>
        <x:v>86.64</x:v>
      </x:c>
      <x:c r="AD128" s="60" t="n">
        <x:v>86</x:v>
      </x:c>
      <x:c r="AE128" s="60" t="n">
        <x:v>87.1</x:v>
      </x:c>
      <x:c r="AF128" s="60" t="n">
        <x:v>88</x:v>
      </x:c>
      <x:c r="AG128" s="60" t="n">
        <x:v>84.1</x:v>
      </x:c>
      <x:c r="AH128" s="60" t="n">
        <x:v>88</x:v>
      </x:c>
      <x:c r="AI128" s="60" t="n">
        <x:v>85</x:v>
      </x:c>
      <x:c r="AJ128" s="60" t="n">
        <x:v>15</x:v>
      </x:c>
      <x:c r="AK128" s="60" t="n">
        <x:f>ROUND(((0.30*AD128+0.20*AE128+0.25*AF128+0.15*AG128+0.10*AI128)+(0.30*AH128+0.20*AF128+0.20*AE128+0.15*AI128+0.15*(100-AJ128)))/2,2)</x:f>
        <x:v>86.63</x:v>
      </x:c>
      <x:c r="AL128" s="60" t="n">
        <x:v>86</x:v>
      </x:c>
      <x:c r="AM128" s="60" t="n">
        <x:v>87.1</x:v>
      </x:c>
      <x:c r="AN128" s="60" t="n">
        <x:v>88</x:v>
      </x:c>
      <x:c r="AO128" s="60" t="n">
        <x:v>84.1</x:v>
      </x:c>
      <x:c r="AP128" s="60" t="n">
        <x:v>88.1</x:v>
      </x:c>
      <x:c r="AQ128" s="60" t="n">
        <x:v>85</x:v>
      </x:c>
      <x:c r="AR128" s="60" t="n">
        <x:v>15</x:v>
      </x:c>
      <x:c r="AS128" s="60" t="n">
        <x:f>ROUND(((0.30*AL128+0.20*AM128+0.25*AN128+0.15*AO128+0.10*AQ128)+(0.30*AP128+0.20*AN128+0.20*AM128+0.15*AQ128+0.15*(100-AR128)))/2,2)</x:f>
        <x:v>86.64</x:v>
      </x:c>
      <x:c r="AT128" s="60" t="n">
        <x:f>ROUND(AVERAGE(V128,AD128,AL128),1)</x:f>
        <x:v>86</x:v>
      </x:c>
      <x:c r="AU128" s="60" t="n">
        <x:f>ROUND(AVERAGE(W128,AE128,AM128),1)</x:f>
        <x:v>87.1</x:v>
      </x:c>
      <x:c r="AV128" s="60" t="n">
        <x:f>ROUND(AVERAGE(X128,AF128,AN128),1)</x:f>
        <x:v>88</x:v>
      </x:c>
      <x:c r="AW128" s="60" t="n">
        <x:f>ROUND(AVERAGE(Y128,AG128,AO128),1)</x:f>
        <x:v>84.1</x:v>
      </x:c>
      <x:c r="AX128" s="60" t="n">
        <x:f>ROUND(AVERAGE(Z128,AH128,AP128),1)</x:f>
        <x:v>88.1</x:v>
      </x:c>
      <x:c r="AY128" s="60" t="n">
        <x:f>ROUND(AVERAGE(AA128,AI128,AQ128),1)</x:f>
        <x:v>85</x:v>
      </x:c>
      <x:c r="AZ128" s="60" t="n">
        <x:f>ROUND(AVERAGE(AB128,AJ128,AR128),1)</x:f>
        <x:v>15</x:v>
      </x:c>
      <x:c r="BA128" s="59" t="n">
        <x:v>6</x:v>
      </x:c>
      <x:c r="BB128" s="60" t="n">
        <x:f>ROUND(0.30*AT128+0.20*AU128+0.25*AV128+0.15*AW128+0.10*AY128,2)</x:f>
        <x:v>86.34</x:v>
      </x:c>
      <x:c r="BC128" s="60" t="n">
        <x:f>ROUND(0.30*AX128+0.20*AV128+0.20*AU128+0.15*AY128+0.15*(100-AZ128),2)</x:f>
        <x:v>86.95</x:v>
      </x:c>
      <x:c r="BD128" s="60" t="n">
        <x:f>ROUND(AVERAGE(BB128,BC128),2)</x:f>
        <x:v>86.65</x:v>
      </x:c>
      <x:c r="BE128" s="60" t="n">
        <x:f>ROUND(BD128-U128,2)</x:f>
        <x:v>0.05</x:v>
      </x:c>
      <x:c r="BF128" s="60" t="n">
        <x:f>ROUND(STDEV.P(AC128,AK128,AS128),3)</x:f>
        <x:v>0.005</x:v>
      </x:c>
      <x:c r="BG128" s="59" t="str"/>
      <x:c r="BH128" s="59" t="str">
        <x:v>30%评分池轻量复核</x:v>
      </x:c>
      <x:c r="BI128" s="40" t="str">
        <x:v>三轮复核后与原表基本一致</x:v>
      </x:c>
    </x:row>
    <x:row r="129" ht="30" customHeight="1">
      <x:c r="A129" s="59" t="n">
        <x:v>128</x:v>
      </x:c>
      <x:c r="B129" s="59" t="n">
        <x:v>128</x:v>
      </x:c>
      <x:c r="C129" s="59" t="str">
        <x:v>2026-05</x:v>
      </x:c>
      <x:c r="D129" s="59" t="n">
        <x:v>77</x:v>
      </x:c>
      <x:c r="E129" s="59" t="str">
        <x:v>2605.13592</x:v>
      </x:c>
      <x:c r="F129" s="40" t="str">
        <x:v>Spectral instability and non-uniqueness for the Keller-Segel system</x:v>
      </x:c>
      <x:c r="G129" s="40" t="str">
        <x:v>Eliseo Luongo; Umberto Pappalettera</x:v>
      </x:c>
      <x:c r="H129" s="40" t="str">
        <x:v>Keller-Segel / spectral instability</x:v>
      </x:c>
      <x:c r="I129" s="59" t="n">
        <x:v>50</x:v>
      </x:c>
      <x:c r="J129" s="40" t="str">
        <x:v>https://arxiv.org/abs/2605.13592</x:v>
      </x:c>
      <x:c r="K129" s="60" t="n">
        <x:v>87</x:v>
      </x:c>
      <x:c r="L129" s="60" t="n">
        <x:v>88</x:v>
      </x:c>
      <x:c r="M129" s="60" t="n">
        <x:v>88</x:v>
      </x:c>
      <x:c r="N129" s="60" t="n">
        <x:v>84</x:v>
      </x:c>
      <x:c r="O129" s="60" t="n">
        <x:v>88</x:v>
      </x:c>
      <x:c r="P129" s="60" t="n">
        <x:v>83</x:v>
      </x:c>
      <x:c r="Q129" s="60" t="n">
        <x:v>16</x:v>
      </x:c>
      <x:c r="R129" s="59" t="n">
        <x:v>7</x:v>
      </x:c>
      <x:c r="S129" s="60" t="n">
        <x:v>86.6</x:v>
      </x:c>
      <x:c r="T129" s="60" t="n">
        <x:v>86.6</x:v>
      </x:c>
      <x:c r="U129" s="60" t="n">
        <x:v>86.6</x:v>
      </x:c>
      <x:c r="V129" s="60" t="n">
        <x:v>87</x:v>
      </x:c>
      <x:c r="W129" s="60" t="n">
        <x:v>88</x:v>
      </x:c>
      <x:c r="X129" s="60" t="n">
        <x:v>88</x:v>
      </x:c>
      <x:c r="Y129" s="60" t="n">
        <x:v>84</x:v>
      </x:c>
      <x:c r="Z129" s="60" t="n">
        <x:v>88</x:v>
      </x:c>
      <x:c r="AA129" s="60" t="n">
        <x:v>83</x:v>
      </x:c>
      <x:c r="AB129" s="60" t="n">
        <x:v>16</x:v>
      </x:c>
      <x:c r="AC129" s="60" t="n">
        <x:f>ROUND(((0.30*V129+0.20*W129+0.25*X129+0.15*Y129+0.10*AA129)+(0.30*Z129+0.20*X129+0.20*W129+0.15*AA129+0.15*(100-AB129)))/2,2)</x:f>
        <x:v>86.63</x:v>
      </x:c>
      <x:c r="AD129" s="60" t="n">
        <x:v>87</x:v>
      </x:c>
      <x:c r="AE129" s="60" t="n">
        <x:v>88</x:v>
      </x:c>
      <x:c r="AF129" s="60" t="n">
        <x:v>88</x:v>
      </x:c>
      <x:c r="AG129" s="60" t="n">
        <x:v>84.1</x:v>
      </x:c>
      <x:c r="AH129" s="60" t="n">
        <x:v>88</x:v>
      </x:c>
      <x:c r="AI129" s="60" t="n">
        <x:v>83</x:v>
      </x:c>
      <x:c r="AJ129" s="60" t="n">
        <x:v>16</x:v>
      </x:c>
      <x:c r="AK129" s="60" t="n">
        <x:f>ROUND(((0.30*AD129+0.20*AE129+0.25*AF129+0.15*AG129+0.10*AI129)+(0.30*AH129+0.20*AF129+0.20*AE129+0.15*AI129+0.15*(100-AJ129)))/2,2)</x:f>
        <x:v>86.63</x:v>
      </x:c>
      <x:c r="AL129" s="60" t="n">
        <x:v>87</x:v>
      </x:c>
      <x:c r="AM129" s="60" t="n">
        <x:v>88</x:v>
      </x:c>
      <x:c r="AN129" s="60" t="n">
        <x:v>88</x:v>
      </x:c>
      <x:c r="AO129" s="60" t="n">
        <x:v>84</x:v>
      </x:c>
      <x:c r="AP129" s="60" t="n">
        <x:v>88</x:v>
      </x:c>
      <x:c r="AQ129" s="60" t="n">
        <x:v>83</x:v>
      </x:c>
      <x:c r="AR129" s="60" t="n">
        <x:v>16</x:v>
      </x:c>
      <x:c r="AS129" s="60" t="n">
        <x:f>ROUND(((0.30*AL129+0.20*AM129+0.25*AN129+0.15*AO129+0.10*AQ129)+(0.30*AP129+0.20*AN129+0.20*AM129+0.15*AQ129+0.15*(100-AR129)))/2,2)</x:f>
        <x:v>86.63</x:v>
      </x:c>
      <x:c r="AT129" s="60" t="n">
        <x:f>ROUND(AVERAGE(V129,AD129,AL129),1)</x:f>
        <x:v>87</x:v>
      </x:c>
      <x:c r="AU129" s="60" t="n">
        <x:f>ROUND(AVERAGE(W129,AE129,AM129),1)</x:f>
        <x:v>88</x:v>
      </x:c>
      <x:c r="AV129" s="60" t="n">
        <x:f>ROUND(AVERAGE(X129,AF129,AN129),1)</x:f>
        <x:v>88</x:v>
      </x:c>
      <x:c r="AW129" s="60" t="n">
        <x:f>ROUND(AVERAGE(Y129,AG129,AO129),1)</x:f>
        <x:v>84</x:v>
      </x:c>
      <x:c r="AX129" s="60" t="n">
        <x:f>ROUND(AVERAGE(Z129,AH129,AP129),1)</x:f>
        <x:v>88</x:v>
      </x:c>
      <x:c r="AY129" s="60" t="n">
        <x:f>ROUND(AVERAGE(AA129,AI129,AQ129),1)</x:f>
        <x:v>83</x:v>
      </x:c>
      <x:c r="AZ129" s="60" t="n">
        <x:f>ROUND(AVERAGE(AB129,AJ129,AR129),1)</x:f>
        <x:v>16</x:v>
      </x:c>
      <x:c r="BA129" s="59" t="n">
        <x:v>7</x:v>
      </x:c>
      <x:c r="BB129" s="60" t="n">
        <x:f>ROUND(0.30*AT129+0.20*AU129+0.25*AV129+0.15*AW129+0.10*AY129,2)</x:f>
        <x:v>86.6</x:v>
      </x:c>
      <x:c r="BC129" s="60" t="n">
        <x:f>ROUND(0.30*AX129+0.20*AV129+0.20*AU129+0.15*AY129+0.15*(100-AZ129),2)</x:f>
        <x:v>86.65</x:v>
      </x:c>
      <x:c r="BD129" s="60" t="n">
        <x:f>ROUND(AVERAGE(BB129,BC129),2)</x:f>
        <x:v>86.63</x:v>
      </x:c>
      <x:c r="BE129" s="60" t="n">
        <x:f>ROUND(BD129-U129,2)</x:f>
        <x:v>0.03</x:v>
      </x:c>
      <x:c r="BF129" s="60" t="n">
        <x:f>ROUND(STDEV.P(AC129,AK129,AS129),3)</x:f>
        <x:v>0</x:v>
      </x:c>
      <x:c r="BG129" s="59" t="str"/>
      <x:c r="BH129" s="59" t="str">
        <x:v>30%评分池轻量复核</x:v>
      </x:c>
      <x:c r="BI129" s="40" t="str">
        <x:v>三轮复核后与原表基本一致</x:v>
      </x:c>
    </x:row>
    <x:row r="130" ht="30" customHeight="1">
      <x:c r="A130" s="59" t="n">
        <x:v>129</x:v>
      </x:c>
      <x:c r="B130" s="59" t="n">
        <x:v>125</x:v>
      </x:c>
      <x:c r="C130" s="59" t="str">
        <x:v>2026-05</x:v>
      </x:c>
      <x:c r="D130" s="59" t="n">
        <x:v>75</x:v>
      </x:c>
      <x:c r="E130" s="59" t="str">
        <x:v>2605.10478</x:v>
      </x:c>
      <x:c r="F130" s="40" t="str">
        <x:v>Nonexistence of vanishing-viscosity limits for mechanical Hamiltonian ergodic problems</x:v>
      </x:c>
      <x:c r="G130" s="40" t="str">
        <x:v>Ziran Liu; Hung V. Tran; Yifeng Yu</x:v>
      </x:c>
      <x:c r="H130" s="40" t="str">
        <x:v>Hamilton-Jacobi / ergodic problems</x:v>
      </x:c>
      <x:c r="I130" s="59" t="n">
        <x:v>15</x:v>
      </x:c>
      <x:c r="J130" s="40" t="str">
        <x:v>https://arxiv.org/abs/2605.10478</x:v>
      </x:c>
      <x:c r="K130" s="60" t="n">
        <x:v>88</x:v>
      </x:c>
      <x:c r="L130" s="60" t="n">
        <x:v>89</x:v>
      </x:c>
      <x:c r="M130" s="60" t="n">
        <x:v>88</x:v>
      </x:c>
      <x:c r="N130" s="60" t="n">
        <x:v>85</x:v>
      </x:c>
      <x:c r="O130" s="60" t="n">
        <x:v>88</x:v>
      </x:c>
      <x:c r="P130" s="60" t="n">
        <x:v>85</x:v>
      </x:c>
      <x:c r="Q130" s="60" t="n">
        <x:v>25</x:v>
      </x:c>
      <x:c r="R130" s="59" t="n">
        <x:v>8</x:v>
      </x:c>
      <x:c r="S130" s="60" t="n">
        <x:v>87.5</x:v>
      </x:c>
      <x:c r="T130" s="60" t="n">
        <x:v>85.8</x:v>
      </x:c>
      <x:c r="U130" s="60" t="n">
        <x:v>86.7</x:v>
      </x:c>
      <x:c r="V130" s="60" t="n">
        <x:v>88</x:v>
      </x:c>
      <x:c r="W130" s="60" t="n">
        <x:v>89</x:v>
      </x:c>
      <x:c r="X130" s="60" t="n">
        <x:v>88</x:v>
      </x:c>
      <x:c r="Y130" s="60" t="n">
        <x:v>85</x:v>
      </x:c>
      <x:c r="Z130" s="60" t="n">
        <x:v>88</x:v>
      </x:c>
      <x:c r="AA130" s="60" t="n">
        <x:v>85</x:v>
      </x:c>
      <x:c r="AB130" s="60" t="n">
        <x:v>25</x:v>
      </x:c>
      <x:c r="AC130" s="60" t="n">
        <x:f>ROUND(((0.30*V130+0.20*W130+0.25*X130+0.15*Y130+0.10*AA130)+(0.30*Z130+0.20*X130+0.20*W130+0.15*AA130+0.15*(100-AB130)))/2,2)</x:f>
        <x:v>86.63</x:v>
      </x:c>
      <x:c r="AD130" s="60" t="n">
        <x:v>88</x:v>
      </x:c>
      <x:c r="AE130" s="60" t="n">
        <x:v>89</x:v>
      </x:c>
      <x:c r="AF130" s="60" t="n">
        <x:v>88</x:v>
      </x:c>
      <x:c r="AG130" s="60" t="n">
        <x:v>85.1</x:v>
      </x:c>
      <x:c r="AH130" s="60" t="n">
        <x:v>88</x:v>
      </x:c>
      <x:c r="AI130" s="60" t="n">
        <x:v>85</x:v>
      </x:c>
      <x:c r="AJ130" s="60" t="n">
        <x:v>25</x:v>
      </x:c>
      <x:c r="AK130" s="60" t="n">
        <x:f>ROUND(((0.30*AD130+0.20*AE130+0.25*AF130+0.15*AG130+0.10*AI130)+(0.30*AH130+0.20*AF130+0.20*AE130+0.15*AI130+0.15*(100-AJ130)))/2,2)</x:f>
        <x:v>86.63</x:v>
      </x:c>
      <x:c r="AL130" s="60" t="n">
        <x:v>88</x:v>
      </x:c>
      <x:c r="AM130" s="60" t="n">
        <x:v>89</x:v>
      </x:c>
      <x:c r="AN130" s="60" t="n">
        <x:v>87.6</x:v>
      </x:c>
      <x:c r="AO130" s="60" t="n">
        <x:v>85</x:v>
      </x:c>
      <x:c r="AP130" s="60" t="n">
        <x:v>87.6</x:v>
      </x:c>
      <x:c r="AQ130" s="60" t="n">
        <x:v>85</x:v>
      </x:c>
      <x:c r="AR130" s="60" t="n">
        <x:v>25</x:v>
      </x:c>
      <x:c r="AS130" s="60" t="n">
        <x:f>ROUND(((0.30*AL130+0.20*AM130+0.25*AN130+0.15*AO130+0.10*AQ130)+(0.30*AP130+0.20*AN130+0.20*AM130+0.15*AQ130+0.15*(100-AR130)))/2,2)</x:f>
        <x:v>86.48</x:v>
      </x:c>
      <x:c r="AT130" s="60" t="n">
        <x:f>ROUND(AVERAGE(V130,AD130,AL130),1)</x:f>
        <x:v>88</x:v>
      </x:c>
      <x:c r="AU130" s="60" t="n">
        <x:f>ROUND(AVERAGE(W130,AE130,AM130),1)</x:f>
        <x:v>89</x:v>
      </x:c>
      <x:c r="AV130" s="60" t="n">
        <x:f>ROUND(AVERAGE(X130,AF130,AN130),1)</x:f>
        <x:v>87.9</x:v>
      </x:c>
      <x:c r="AW130" s="60" t="n">
        <x:f>ROUND(AVERAGE(Y130,AG130,AO130),1)</x:f>
        <x:v>85</x:v>
      </x:c>
      <x:c r="AX130" s="60" t="n">
        <x:f>ROUND(AVERAGE(Z130,AH130,AP130),1)</x:f>
        <x:v>87.9</x:v>
      </x:c>
      <x:c r="AY130" s="60" t="n">
        <x:f>ROUND(AVERAGE(AA130,AI130,AQ130),1)</x:f>
        <x:v>85</x:v>
      </x:c>
      <x:c r="AZ130" s="60" t="n">
        <x:f>ROUND(AVERAGE(AB130,AJ130,AR130),1)</x:f>
        <x:v>25</x:v>
      </x:c>
      <x:c r="BA130" s="59" t="n">
        <x:v>8</x:v>
      </x:c>
      <x:c r="BB130" s="60" t="n">
        <x:f>ROUND(0.30*AT130+0.20*AU130+0.25*AV130+0.15*AW130+0.10*AY130,2)</x:f>
        <x:v>87.43</x:v>
      </x:c>
      <x:c r="BC130" s="60" t="n">
        <x:f>ROUND(0.30*AX130+0.20*AV130+0.20*AU130+0.15*AY130+0.15*(100-AZ130),2)</x:f>
        <x:v>85.75</x:v>
      </x:c>
      <x:c r="BD130" s="60" t="n">
        <x:f>ROUND(AVERAGE(BB130,BC130),2)</x:f>
        <x:v>86.59</x:v>
      </x:c>
      <x:c r="BE130" s="60" t="n">
        <x:f>ROUND(BD130-U130,2)</x:f>
        <x:v>-0.11</x:v>
      </x:c>
      <x:c r="BF130" s="60" t="n">
        <x:f>ROUND(STDEV.P(AC130,AK130,AS130),3)</x:f>
        <x:v>0.071</x:v>
      </x:c>
      <x:c r="BG130" s="59" t="str"/>
      <x:c r="BH130" s="59" t="str">
        <x:v>30%评分池轻量复核</x:v>
      </x:c>
      <x:c r="BI130" s="40" t="str">
        <x:v>三轮复核后与原表基本一致</x:v>
      </x:c>
    </x:row>
    <x:row r="131" ht="30" customHeight="1">
      <x:c r="A131" s="59" t="n">
        <x:v>130</x:v>
      </x:c>
      <x:c r="B131" s="59" t="n">
        <x:v>130</x:v>
      </x:c>
      <x:c r="C131" s="59" t="str">
        <x:v>2026-05</x:v>
      </x:c>
      <x:c r="D131" s="59" t="n">
        <x:v>80</x:v>
      </x:c>
      <x:c r="E131" s="59" t="str">
        <x:v>2605.17422</x:v>
      </x:c>
      <x:c r="F131" s="40" t="str">
        <x:v>On scalar nonlinear balance laws with singular nonlocal sources</x:v>
      </x:c>
      <x:c r="G131" s="40" t="str">
        <x:v>Evangelia Ftaka; Khai T. Nguyen</x:v>
      </x:c>
      <x:c r="H131" s="40" t="str">
        <x:v>Balance laws</x:v>
      </x:c>
      <x:c r="I131" s="59" t="n">
        <x:v>45</x:v>
      </x:c>
      <x:c r="J131" s="40" t="str">
        <x:v>https://arxiv.org/abs/2605.17422</x:v>
      </x:c>
      <x:c r="K131" s="60" t="n">
        <x:v>86</x:v>
      </x:c>
      <x:c r="L131" s="60" t="n">
        <x:v>87</x:v>
      </x:c>
      <x:c r="M131" s="60" t="n">
        <x:v>88</x:v>
      </x:c>
      <x:c r="N131" s="60" t="n">
        <x:v>83</x:v>
      </x:c>
      <x:c r="O131" s="60" t="n">
        <x:v>88</x:v>
      </x:c>
      <x:c r="P131" s="60" t="n">
        <x:v>85</x:v>
      </x:c>
      <x:c r="Q131" s="60" t="n">
        <x:v>16</x:v>
      </x:c>
      <x:c r="R131" s="59" t="n">
        <x:v>6</x:v>
      </x:c>
      <x:c r="S131" s="60" t="n">
        <x:v>86.2</x:v>
      </x:c>
      <x:c r="T131" s="60" t="n">
        <x:v>86.8</x:v>
      </x:c>
      <x:c r="U131" s="60" t="n">
        <x:v>86.5</x:v>
      </x:c>
      <x:c r="V131" s="60" t="n">
        <x:v>86</x:v>
      </x:c>
      <x:c r="W131" s="60" t="n">
        <x:v>87</x:v>
      </x:c>
      <x:c r="X131" s="60" t="n">
        <x:v>88</x:v>
      </x:c>
      <x:c r="Y131" s="60" t="n">
        <x:v>83</x:v>
      </x:c>
      <x:c r="Z131" s="60" t="n">
        <x:v>88</x:v>
      </x:c>
      <x:c r="AA131" s="60" t="n">
        <x:v>85</x:v>
      </x:c>
      <x:c r="AB131" s="60" t="n">
        <x:v>16</x:v>
      </x:c>
      <x:c r="AC131" s="60" t="n">
        <x:f>ROUND(((0.30*V131+0.20*W131+0.25*X131+0.15*Y131+0.10*AA131)+(0.30*Z131+0.20*X131+0.20*W131+0.15*AA131+0.15*(100-AB131)))/2,2)</x:f>
        <x:v>86.45</x:v>
      </x:c>
      <x:c r="AD131" s="60" t="n">
        <x:v>86</x:v>
      </x:c>
      <x:c r="AE131" s="60" t="n">
        <x:v>87</x:v>
      </x:c>
      <x:c r="AF131" s="60" t="n">
        <x:v>88</x:v>
      </x:c>
      <x:c r="AG131" s="60" t="n">
        <x:v>83.1</x:v>
      </x:c>
      <x:c r="AH131" s="60" t="n">
        <x:v>88</x:v>
      </x:c>
      <x:c r="AI131" s="60" t="n">
        <x:v>85</x:v>
      </x:c>
      <x:c r="AJ131" s="60" t="n">
        <x:v>16</x:v>
      </x:c>
      <x:c r="AK131" s="60" t="n">
        <x:f>ROUND(((0.30*AD131+0.20*AE131+0.25*AF131+0.15*AG131+0.10*AI131)+(0.30*AH131+0.20*AF131+0.20*AE131+0.15*AI131+0.15*(100-AJ131)))/2,2)</x:f>
        <x:v>86.46</x:v>
      </x:c>
      <x:c r="AL131" s="60" t="n">
        <x:v>86</x:v>
      </x:c>
      <x:c r="AM131" s="60" t="n">
        <x:v>87</x:v>
      </x:c>
      <x:c r="AN131" s="60" t="n">
        <x:v>88</x:v>
      </x:c>
      <x:c r="AO131" s="60" t="n">
        <x:v>83</x:v>
      </x:c>
      <x:c r="AP131" s="60" t="n">
        <x:v>88</x:v>
      </x:c>
      <x:c r="AQ131" s="60" t="n">
        <x:v>85</x:v>
      </x:c>
      <x:c r="AR131" s="60" t="n">
        <x:v>16</x:v>
      </x:c>
      <x:c r="AS131" s="60" t="n">
        <x:f>ROUND(((0.30*AL131+0.20*AM131+0.25*AN131+0.15*AO131+0.10*AQ131)+(0.30*AP131+0.20*AN131+0.20*AM131+0.15*AQ131+0.15*(100-AR131)))/2,2)</x:f>
        <x:v>86.45</x:v>
      </x:c>
      <x:c r="AT131" s="60" t="n">
        <x:f>ROUND(AVERAGE(V131,AD131,AL131),1)</x:f>
        <x:v>86</x:v>
      </x:c>
      <x:c r="AU131" s="60" t="n">
        <x:f>ROUND(AVERAGE(W131,AE131,AM131),1)</x:f>
        <x:v>87</x:v>
      </x:c>
      <x:c r="AV131" s="60" t="n">
        <x:f>ROUND(AVERAGE(X131,AF131,AN131),1)</x:f>
        <x:v>88</x:v>
      </x:c>
      <x:c r="AW131" s="60" t="n">
        <x:f>ROUND(AVERAGE(Y131,AG131,AO131),1)</x:f>
        <x:v>83</x:v>
      </x:c>
      <x:c r="AX131" s="60" t="n">
        <x:f>ROUND(AVERAGE(Z131,AH131,AP131),1)</x:f>
        <x:v>88</x:v>
      </x:c>
      <x:c r="AY131" s="60" t="n">
        <x:f>ROUND(AVERAGE(AA131,AI131,AQ131),1)</x:f>
        <x:v>85</x:v>
      </x:c>
      <x:c r="AZ131" s="60" t="n">
        <x:f>ROUND(AVERAGE(AB131,AJ131,AR131),1)</x:f>
        <x:v>16</x:v>
      </x:c>
      <x:c r="BA131" s="59" t="n">
        <x:v>6</x:v>
      </x:c>
      <x:c r="BB131" s="60" t="n">
        <x:f>ROUND(0.30*AT131+0.20*AU131+0.25*AV131+0.15*AW131+0.10*AY131,2)</x:f>
        <x:v>86.15</x:v>
      </x:c>
      <x:c r="BC131" s="60" t="n">
        <x:f>ROUND(0.30*AX131+0.20*AV131+0.20*AU131+0.15*AY131+0.15*(100-AZ131),2)</x:f>
        <x:v>86.75</x:v>
      </x:c>
      <x:c r="BD131" s="60" t="n">
        <x:f>ROUND(AVERAGE(BB131,BC131),2)</x:f>
        <x:v>86.45</x:v>
      </x:c>
      <x:c r="BE131" s="60" t="n">
        <x:f>ROUND(BD131-U131,2)</x:f>
        <x:v>-0.05</x:v>
      </x:c>
      <x:c r="BF131" s="60" t="n">
        <x:f>ROUND(STDEV.P(AC131,AK131,AS131),3)</x:f>
        <x:v>0.005</x:v>
      </x:c>
      <x:c r="BG131" s="59" t="str"/>
      <x:c r="BH131" s="59" t="str">
        <x:v>30%评分池轻量复核</x:v>
      </x:c>
      <x:c r="BI131" s="40" t="str">
        <x:v>三轮复核后与原表基本一致</x:v>
      </x:c>
    </x:row>
    <x:row r="132" ht="30" customHeight="1">
      <x:c r="A132" s="59" t="n">
        <x:v>131</x:v>
      </x:c>
      <x:c r="B132" s="59" t="n">
        <x:v>131</x:v>
      </x:c>
      <x:c r="C132" s="59" t="str">
        <x:v>2026-05</x:v>
      </x:c>
      <x:c r="D132" s="59" t="n">
        <x:v>81</x:v>
      </x:c>
      <x:c r="E132" s="59" t="str">
        <x:v>2605.30657</x:v>
      </x:c>
      <x:c r="F132" s="40" t="str">
        <x:v>Well-posedness for the periodic Intermediate nonlinear Schrodinger equation</x:v>
      </x:c>
      <x:c r="G132" s="40" t="str">
        <x:v>Andreia Chapouto; Justin Forlano; Thierry Laurens</x:v>
      </x:c>
      <x:c r="H132" s="40" t="str">
        <x:v>Dispersive PDE</x:v>
      </x:c>
      <x:c r="I132" s="59" t="n">
        <x:v>60</x:v>
      </x:c>
      <x:c r="J132" s="40" t="str">
        <x:v>https://arxiv.org/abs/2605.30657</x:v>
      </x:c>
      <x:c r="K132" s="60" t="n">
        <x:v>86</x:v>
      </x:c>
      <x:c r="L132" s="60" t="n">
        <x:v>87</x:v>
      </x:c>
      <x:c r="M132" s="60" t="n">
        <x:v>88</x:v>
      </x:c>
      <x:c r="N132" s="60" t="n">
        <x:v>83</x:v>
      </x:c>
      <x:c r="O132" s="60" t="n">
        <x:v>88</x:v>
      </x:c>
      <x:c r="P132" s="60" t="n">
        <x:v>84</x:v>
      </x:c>
      <x:c r="Q132" s="60" t="n">
        <x:v>16</x:v>
      </x:c>
      <x:c r="R132" s="59" t="n">
        <x:v>6</x:v>
      </x:c>
      <x:c r="S132" s="60" t="n">
        <x:v>86.1</x:v>
      </x:c>
      <x:c r="T132" s="60" t="n">
        <x:v>86.6</x:v>
      </x:c>
      <x:c r="U132" s="60" t="n">
        <x:v>86.4</x:v>
      </x:c>
      <x:c r="V132" s="60" t="n">
        <x:v>86</x:v>
      </x:c>
      <x:c r="W132" s="60" t="n">
        <x:v>87</x:v>
      </x:c>
      <x:c r="X132" s="60" t="n">
        <x:v>88</x:v>
      </x:c>
      <x:c r="Y132" s="60" t="n">
        <x:v>83</x:v>
      </x:c>
      <x:c r="Z132" s="60" t="n">
        <x:v>88</x:v>
      </x:c>
      <x:c r="AA132" s="60" t="n">
        <x:v>84</x:v>
      </x:c>
      <x:c r="AB132" s="60" t="n">
        <x:v>16</x:v>
      </x:c>
      <x:c r="AC132" s="60" t="n">
        <x:f>ROUND(((0.30*V132+0.20*W132+0.25*X132+0.15*Y132+0.10*AA132)+(0.30*Z132+0.20*X132+0.20*W132+0.15*AA132+0.15*(100-AB132)))/2,2)</x:f>
        <x:v>86.33</x:v>
      </x:c>
      <x:c r="AD132" s="60" t="n">
        <x:v>86</x:v>
      </x:c>
      <x:c r="AE132" s="60" t="n">
        <x:v>87</x:v>
      </x:c>
      <x:c r="AF132" s="60" t="n">
        <x:v>88</x:v>
      </x:c>
      <x:c r="AG132" s="60" t="n">
        <x:v>83.1</x:v>
      </x:c>
      <x:c r="AH132" s="60" t="n">
        <x:v>88</x:v>
      </x:c>
      <x:c r="AI132" s="60" t="n">
        <x:v>84</x:v>
      </x:c>
      <x:c r="AJ132" s="60" t="n">
        <x:v>16</x:v>
      </x:c>
      <x:c r="AK132" s="60" t="n">
        <x:f>ROUND(((0.30*AD132+0.20*AE132+0.25*AF132+0.15*AG132+0.10*AI132)+(0.30*AH132+0.20*AF132+0.20*AE132+0.15*AI132+0.15*(100-AJ132)))/2,2)</x:f>
        <x:v>86.33</x:v>
      </x:c>
      <x:c r="AL132" s="60" t="n">
        <x:v>86</x:v>
      </x:c>
      <x:c r="AM132" s="60" t="n">
        <x:v>87</x:v>
      </x:c>
      <x:c r="AN132" s="60" t="n">
        <x:v>88</x:v>
      </x:c>
      <x:c r="AO132" s="60" t="n">
        <x:v>83</x:v>
      </x:c>
      <x:c r="AP132" s="60" t="n">
        <x:v>88</x:v>
      </x:c>
      <x:c r="AQ132" s="60" t="n">
        <x:v>84</x:v>
      </x:c>
      <x:c r="AR132" s="60" t="n">
        <x:v>16</x:v>
      </x:c>
      <x:c r="AS132" s="60" t="n">
        <x:f>ROUND(((0.30*AL132+0.20*AM132+0.25*AN132+0.15*AO132+0.10*AQ132)+(0.30*AP132+0.20*AN132+0.20*AM132+0.15*AQ132+0.15*(100-AR132)))/2,2)</x:f>
        <x:v>86.33</x:v>
      </x:c>
      <x:c r="AT132" s="60" t="n">
        <x:f>ROUND(AVERAGE(V132,AD132,AL132),1)</x:f>
        <x:v>86</x:v>
      </x:c>
      <x:c r="AU132" s="60" t="n">
        <x:f>ROUND(AVERAGE(W132,AE132,AM132),1)</x:f>
        <x:v>87</x:v>
      </x:c>
      <x:c r="AV132" s="60" t="n">
        <x:f>ROUND(AVERAGE(X132,AF132,AN132),1)</x:f>
        <x:v>88</x:v>
      </x:c>
      <x:c r="AW132" s="60" t="n">
        <x:f>ROUND(AVERAGE(Y132,AG132,AO132),1)</x:f>
        <x:v>83</x:v>
      </x:c>
      <x:c r="AX132" s="60" t="n">
        <x:f>ROUND(AVERAGE(Z132,AH132,AP132),1)</x:f>
        <x:v>88</x:v>
      </x:c>
      <x:c r="AY132" s="60" t="n">
        <x:f>ROUND(AVERAGE(AA132,AI132,AQ132),1)</x:f>
        <x:v>84</x:v>
      </x:c>
      <x:c r="AZ132" s="60" t="n">
        <x:f>ROUND(AVERAGE(AB132,AJ132,AR132),1)</x:f>
        <x:v>16</x:v>
      </x:c>
      <x:c r="BA132" s="59" t="n">
        <x:v>6</x:v>
      </x:c>
      <x:c r="BB132" s="60" t="n">
        <x:f>ROUND(0.30*AT132+0.20*AU132+0.25*AV132+0.15*AW132+0.10*AY132,2)</x:f>
        <x:v>86.05</x:v>
      </x:c>
      <x:c r="BC132" s="60" t="n">
        <x:f>ROUND(0.30*AX132+0.20*AV132+0.20*AU132+0.15*AY132+0.15*(100-AZ132),2)</x:f>
        <x:v>86.6</x:v>
      </x:c>
      <x:c r="BD132" s="60" t="n">
        <x:f>ROUND(AVERAGE(BB132,BC132),2)</x:f>
        <x:v>86.32</x:v>
      </x:c>
      <x:c r="BE132" s="60" t="n">
        <x:f>ROUND(BD132-U132,2)</x:f>
        <x:v>-0.08</x:v>
      </x:c>
      <x:c r="BF132" s="60" t="n">
        <x:f>ROUND(STDEV.P(AC132,AK132,AS132),3)</x:f>
        <x:v>0</x:v>
      </x:c>
      <x:c r="BG132" s="59" t="str"/>
      <x:c r="BH132" s="59" t="str">
        <x:v>30%评分池轻量复核</x:v>
      </x:c>
      <x:c r="BI132" s="40" t="str">
        <x:v>三轮复核后与原表基本一致</x:v>
      </x:c>
    </x:row>
    <x:row r="133" ht="30" customHeight="1">
      <x:c r="A133" s="59" t="n">
        <x:v>132</x:v>
      </x:c>
      <x:c r="B133" s="59" t="n">
        <x:v>132</x:v>
      </x:c>
      <x:c r="C133" s="59" t="str">
        <x:v>2026-05</x:v>
      </x:c>
      <x:c r="D133" s="59" t="n">
        <x:v>81</x:v>
      </x:c>
      <x:c r="E133" s="59" t="str">
        <x:v>2605.13389</x:v>
      </x:c>
      <x:c r="F133" s="40" t="str">
        <x:v>Optimal stability of complement value problems for p-Levy operators</x:v>
      </x:c>
      <x:c r="G133" s="40" t="str">
        <x:v>Guy Foghem</x:v>
      </x:c>
      <x:c r="H133" s="40" t="str">
        <x:v>Nonlocal operators</x:v>
      </x:c>
      <x:c r="I133" s="59" t="n">
        <x:v>49</x:v>
      </x:c>
      <x:c r="J133" s="40" t="str">
        <x:v>https://arxiv.org/abs/2605.13389</x:v>
      </x:c>
      <x:c r="K133" s="60" t="n">
        <x:v>86</x:v>
      </x:c>
      <x:c r="L133" s="60" t="n">
        <x:v>87</x:v>
      </x:c>
      <x:c r="M133" s="60" t="n">
        <x:v>88</x:v>
      </x:c>
      <x:c r="N133" s="60" t="n">
        <x:v>83</x:v>
      </x:c>
      <x:c r="O133" s="60" t="n">
        <x:v>88</x:v>
      </x:c>
      <x:c r="P133" s="60" t="n">
        <x:v>84</x:v>
      </x:c>
      <x:c r="Q133" s="60" t="n">
        <x:v>16</x:v>
      </x:c>
      <x:c r="R133" s="59" t="n">
        <x:v>6</x:v>
      </x:c>
      <x:c r="S133" s="60" t="n">
        <x:v>86.1</x:v>
      </x:c>
      <x:c r="T133" s="60" t="n">
        <x:v>86.6</x:v>
      </x:c>
      <x:c r="U133" s="60" t="n">
        <x:v>86.4</x:v>
      </x:c>
      <x:c r="V133" s="60" t="n">
        <x:v>86</x:v>
      </x:c>
      <x:c r="W133" s="60" t="n">
        <x:v>87</x:v>
      </x:c>
      <x:c r="X133" s="60" t="n">
        <x:v>88</x:v>
      </x:c>
      <x:c r="Y133" s="60" t="n">
        <x:v>83</x:v>
      </x:c>
      <x:c r="Z133" s="60" t="n">
        <x:v>88</x:v>
      </x:c>
      <x:c r="AA133" s="60" t="n">
        <x:v>84</x:v>
      </x:c>
      <x:c r="AB133" s="60" t="n">
        <x:v>16</x:v>
      </x:c>
      <x:c r="AC133" s="60" t="n">
        <x:f>ROUND(((0.30*V133+0.20*W133+0.25*X133+0.15*Y133+0.10*AA133)+(0.30*Z133+0.20*X133+0.20*W133+0.15*AA133+0.15*(100-AB133)))/2,2)</x:f>
        <x:v>86.33</x:v>
      </x:c>
      <x:c r="AD133" s="60" t="n">
        <x:v>86</x:v>
      </x:c>
      <x:c r="AE133" s="60" t="n">
        <x:v>87</x:v>
      </x:c>
      <x:c r="AF133" s="60" t="n">
        <x:v>88</x:v>
      </x:c>
      <x:c r="AG133" s="60" t="n">
        <x:v>83.1</x:v>
      </x:c>
      <x:c r="AH133" s="60" t="n">
        <x:v>88</x:v>
      </x:c>
      <x:c r="AI133" s="60" t="n">
        <x:v>84</x:v>
      </x:c>
      <x:c r="AJ133" s="60" t="n">
        <x:v>16</x:v>
      </x:c>
      <x:c r="AK133" s="60" t="n">
        <x:f>ROUND(((0.30*AD133+0.20*AE133+0.25*AF133+0.15*AG133+0.10*AI133)+(0.30*AH133+0.20*AF133+0.20*AE133+0.15*AI133+0.15*(100-AJ133)))/2,2)</x:f>
        <x:v>86.33</x:v>
      </x:c>
      <x:c r="AL133" s="60" t="n">
        <x:v>86</x:v>
      </x:c>
      <x:c r="AM133" s="60" t="n">
        <x:v>87</x:v>
      </x:c>
      <x:c r="AN133" s="60" t="n">
        <x:v>88</x:v>
      </x:c>
      <x:c r="AO133" s="60" t="n">
        <x:v>83</x:v>
      </x:c>
      <x:c r="AP133" s="60" t="n">
        <x:v>88</x:v>
      </x:c>
      <x:c r="AQ133" s="60" t="n">
        <x:v>84</x:v>
      </x:c>
      <x:c r="AR133" s="60" t="n">
        <x:v>16</x:v>
      </x:c>
      <x:c r="AS133" s="60" t="n">
        <x:f>ROUND(((0.30*AL133+0.20*AM133+0.25*AN133+0.15*AO133+0.10*AQ133)+(0.30*AP133+0.20*AN133+0.20*AM133+0.15*AQ133+0.15*(100-AR133)))/2,2)</x:f>
        <x:v>86.33</x:v>
      </x:c>
      <x:c r="AT133" s="60" t="n">
        <x:f>ROUND(AVERAGE(V133,AD133,AL133),1)</x:f>
        <x:v>86</x:v>
      </x:c>
      <x:c r="AU133" s="60" t="n">
        <x:f>ROUND(AVERAGE(W133,AE133,AM133),1)</x:f>
        <x:v>87</x:v>
      </x:c>
      <x:c r="AV133" s="60" t="n">
        <x:f>ROUND(AVERAGE(X133,AF133,AN133),1)</x:f>
        <x:v>88</x:v>
      </x:c>
      <x:c r="AW133" s="60" t="n">
        <x:f>ROUND(AVERAGE(Y133,AG133,AO133),1)</x:f>
        <x:v>83</x:v>
      </x:c>
      <x:c r="AX133" s="60" t="n">
        <x:f>ROUND(AVERAGE(Z133,AH133,AP133),1)</x:f>
        <x:v>88</x:v>
      </x:c>
      <x:c r="AY133" s="60" t="n">
        <x:f>ROUND(AVERAGE(AA133,AI133,AQ133),1)</x:f>
        <x:v>84</x:v>
      </x:c>
      <x:c r="AZ133" s="60" t="n">
        <x:f>ROUND(AVERAGE(AB133,AJ133,AR133),1)</x:f>
        <x:v>16</x:v>
      </x:c>
      <x:c r="BA133" s="59" t="n">
        <x:v>6</x:v>
      </x:c>
      <x:c r="BB133" s="60" t="n">
        <x:f>ROUND(0.30*AT133+0.20*AU133+0.25*AV133+0.15*AW133+0.10*AY133,2)</x:f>
        <x:v>86.05</x:v>
      </x:c>
      <x:c r="BC133" s="60" t="n">
        <x:f>ROUND(0.30*AX133+0.20*AV133+0.20*AU133+0.15*AY133+0.15*(100-AZ133),2)</x:f>
        <x:v>86.6</x:v>
      </x:c>
      <x:c r="BD133" s="60" t="n">
        <x:f>ROUND(AVERAGE(BB133,BC133),2)</x:f>
        <x:v>86.32</x:v>
      </x:c>
      <x:c r="BE133" s="60" t="n">
        <x:f>ROUND(BD133-U133,2)</x:f>
        <x:v>-0.08</x:v>
      </x:c>
      <x:c r="BF133" s="60" t="n">
        <x:f>ROUND(STDEV.P(AC133,AK133,AS133),3)</x:f>
        <x:v>0</x:v>
      </x:c>
      <x:c r="BG133" s="59" t="str"/>
      <x:c r="BH133" s="59" t="str">
        <x:v>30%评分池轻量复核</x:v>
      </x:c>
      <x:c r="BI133" s="40" t="str">
        <x:v>三轮复核后与原表基本一致</x:v>
      </x:c>
    </x:row>
    <x:row r="134" ht="30" customHeight="1">
      <x:c r="A134" s="59" t="n">
        <x:v>133</x:v>
      </x:c>
      <x:c r="B134" s="59" t="n">
        <x:v>133</x:v>
      </x:c>
      <x:c r="C134" s="59" t="str">
        <x:v>2026-05</x:v>
      </x:c>
      <x:c r="D134" s="59" t="n">
        <x:v>83</x:v>
      </x:c>
      <x:c r="E134" s="59" t="str">
        <x:v>2605.26506</x:v>
      </x:c>
      <x:c r="F134" s="40" t="str">
        <x:v>The Stability of Minkowski Spacetime</x:v>
      </x:c>
      <x:c r="G134" s="40" t="str">
        <x:v>Dawei Shen</x:v>
      </x:c>
      <x:c r="H134" s="40" t="str">
        <x:v>GR stability / survey</x:v>
      </x:c>
      <x:c r="I134" s="59" t="n">
        <x:v>29</x:v>
      </x:c>
      <x:c r="J134" s="40" t="str">
        <x:v>https://arxiv.org/abs/2605.26506</x:v>
      </x:c>
      <x:c r="K134" s="60" t="n">
        <x:v>88</x:v>
      </x:c>
      <x:c r="L134" s="60" t="n">
        <x:v>85</x:v>
      </x:c>
      <x:c r="M134" s="60" t="n">
        <x:v>86</x:v>
      </x:c>
      <x:c r="N134" s="60" t="n">
        <x:v>88</x:v>
      </x:c>
      <x:c r="O134" s="60" t="n">
        <x:v>86</x:v>
      </x:c>
      <x:c r="P134" s="60" t="n">
        <x:v>88</x:v>
      </x:c>
      <x:c r="Q134" s="60" t="n">
        <x:v>18</x:v>
      </x:c>
      <x:c r="R134" s="59" t="n">
        <x:v>8</x:v>
      </x:c>
      <x:c r="S134" s="60" t="n">
        <x:v>86.9</x:v>
      </x:c>
      <x:c r="T134" s="60" t="n">
        <x:v>85.5</x:v>
      </x:c>
      <x:c r="U134" s="60" t="n">
        <x:v>86.2</x:v>
      </x:c>
      <x:c r="V134" s="60" t="n">
        <x:v>88</x:v>
      </x:c>
      <x:c r="W134" s="60" t="n">
        <x:v>85</x:v>
      </x:c>
      <x:c r="X134" s="60" t="n">
        <x:v>86</x:v>
      </x:c>
      <x:c r="Y134" s="60" t="n">
        <x:v>88</x:v>
      </x:c>
      <x:c r="Z134" s="60" t="n">
        <x:v>86</x:v>
      </x:c>
      <x:c r="AA134" s="60" t="n">
        <x:v>88</x:v>
      </x:c>
      <x:c r="AB134" s="60" t="n">
        <x:v>18</x:v>
      </x:c>
      <x:c r="AC134" s="60" t="n">
        <x:f>ROUND(((0.30*V134+0.20*W134+0.25*X134+0.15*Y134+0.10*AA134)+(0.30*Z134+0.20*X134+0.20*W134+0.15*AA134+0.15*(100-AB134)))/2,2)</x:f>
        <x:v>86.2</x:v>
      </x:c>
      <x:c r="AD134" s="60" t="n">
        <x:v>88</x:v>
      </x:c>
      <x:c r="AE134" s="60" t="n">
        <x:v>85</x:v>
      </x:c>
      <x:c r="AF134" s="60" t="n">
        <x:v>86</x:v>
      </x:c>
      <x:c r="AG134" s="60" t="n">
        <x:v>88</x:v>
      </x:c>
      <x:c r="AH134" s="60" t="n">
        <x:v>86</x:v>
      </x:c>
      <x:c r="AI134" s="60" t="n">
        <x:v>88</x:v>
      </x:c>
      <x:c r="AJ134" s="60" t="n">
        <x:v>18</x:v>
      </x:c>
      <x:c r="AK134" s="60" t="n">
        <x:f>ROUND(((0.30*AD134+0.20*AE134+0.25*AF134+0.15*AG134+0.10*AI134)+(0.30*AH134+0.20*AF134+0.20*AE134+0.15*AI134+0.15*(100-AJ134)))/2,2)</x:f>
        <x:v>86.2</x:v>
      </x:c>
      <x:c r="AL134" s="60" t="n">
        <x:v>88</x:v>
      </x:c>
      <x:c r="AM134" s="60" t="n">
        <x:v>85</x:v>
      </x:c>
      <x:c r="AN134" s="60" t="n">
        <x:v>86</x:v>
      </x:c>
      <x:c r="AO134" s="60" t="n">
        <x:v>88</x:v>
      </x:c>
      <x:c r="AP134" s="60" t="n">
        <x:v>86</x:v>
      </x:c>
      <x:c r="AQ134" s="60" t="n">
        <x:v>88</x:v>
      </x:c>
      <x:c r="AR134" s="60" t="n">
        <x:v>18</x:v>
      </x:c>
      <x:c r="AS134" s="60" t="n">
        <x:f>ROUND(((0.30*AL134+0.20*AM134+0.25*AN134+0.15*AO134+0.10*AQ134)+(0.30*AP134+0.20*AN134+0.20*AM134+0.15*AQ134+0.15*(100-AR134)))/2,2)</x:f>
        <x:v>86.2</x:v>
      </x:c>
      <x:c r="AT134" s="60" t="n">
        <x:f>ROUND(AVERAGE(V134,AD134,AL134),1)</x:f>
        <x:v>88</x:v>
      </x:c>
      <x:c r="AU134" s="60" t="n">
        <x:f>ROUND(AVERAGE(W134,AE134,AM134),1)</x:f>
        <x:v>85</x:v>
      </x:c>
      <x:c r="AV134" s="60" t="n">
        <x:f>ROUND(AVERAGE(X134,AF134,AN134),1)</x:f>
        <x:v>86</x:v>
      </x:c>
      <x:c r="AW134" s="60" t="n">
        <x:f>ROUND(AVERAGE(Y134,AG134,AO134),1)</x:f>
        <x:v>88</x:v>
      </x:c>
      <x:c r="AX134" s="60" t="n">
        <x:f>ROUND(AVERAGE(Z134,AH134,AP134),1)</x:f>
        <x:v>86</x:v>
      </x:c>
      <x:c r="AY134" s="60" t="n">
        <x:f>ROUND(AVERAGE(AA134,AI134,AQ134),1)</x:f>
        <x:v>88</x:v>
      </x:c>
      <x:c r="AZ134" s="60" t="n">
        <x:f>ROUND(AVERAGE(AB134,AJ134,AR134),1)</x:f>
        <x:v>18</x:v>
      </x:c>
      <x:c r="BA134" s="59" t="n">
        <x:v>8</x:v>
      </x:c>
      <x:c r="BB134" s="60" t="n">
        <x:f>ROUND(0.30*AT134+0.20*AU134+0.25*AV134+0.15*AW134+0.10*AY134,2)</x:f>
        <x:v>86.9</x:v>
      </x:c>
      <x:c r="BC134" s="60" t="n">
        <x:f>ROUND(0.30*AX134+0.20*AV134+0.20*AU134+0.15*AY134+0.15*(100-AZ134),2)</x:f>
        <x:v>85.5</x:v>
      </x:c>
      <x:c r="BD134" s="60" t="n">
        <x:f>ROUND(AVERAGE(BB134,BC134),2)</x:f>
        <x:v>86.2</x:v>
      </x:c>
      <x:c r="BE134" s="60" t="n">
        <x:f>ROUND(BD134-U134,2)</x:f>
        <x:v>0</x:v>
      </x:c>
      <x:c r="BF134" s="60" t="n">
        <x:f>ROUND(STDEV.P(AC134,AK134,AS134),3)</x:f>
        <x:v>0</x:v>
      </x:c>
      <x:c r="BG134" s="59" t="str"/>
      <x:c r="BH134" s="59" t="str">
        <x:v>30%评分池轻量复核</x:v>
      </x:c>
      <x:c r="BI134" s="40" t="str">
        <x:v>三轮复核后与原表基本一致</x:v>
      </x:c>
    </x:row>
    <x:row r="135" ht="30" customHeight="1">
      <x:c r="A135" s="59" t="n">
        <x:v>134</x:v>
      </x:c>
      <x:c r="B135" s="59" t="n">
        <x:v>134</x:v>
      </x:c>
      <x:c r="C135" s="59" t="str">
        <x:v>2026-05</x:v>
      </x:c>
      <x:c r="D135" s="59" t="n">
        <x:v>83</x:v>
      </x:c>
      <x:c r="E135" s="59" t="str">
        <x:v>2605.22741</x:v>
      </x:c>
      <x:c r="F135" s="40" t="str">
        <x:v>Global well-posedness of 2D non-resistive compressible MHD system</x:v>
      </x:c>
      <x:c r="G135" s="40" t="str">
        <x:v>Yi Zhu</x:v>
      </x:c>
      <x:c r="H135" s="40" t="str">
        <x:v>MHD</x:v>
      </x:c>
      <x:c r="I135" s="59" t="n">
        <x:v>72</x:v>
      </x:c>
      <x:c r="J135" s="40" t="str">
        <x:v>https://arxiv.org/abs/2605.22741</x:v>
      </x:c>
      <x:c r="K135" s="60" t="n">
        <x:v>86</x:v>
      </x:c>
      <x:c r="L135" s="60" t="n">
        <x:v>86</x:v>
      </x:c>
      <x:c r="M135" s="60" t="n">
        <x:v>88</x:v>
      </x:c>
      <x:c r="N135" s="60" t="n">
        <x:v>83</x:v>
      </x:c>
      <x:c r="O135" s="60" t="n">
        <x:v>88</x:v>
      </x:c>
      <x:c r="P135" s="60" t="n">
        <x:v>84</x:v>
      </x:c>
      <x:c r="Q135" s="60" t="n">
        <x:v>16</x:v>
      </x:c>
      <x:c r="R135" s="59" t="n">
        <x:v>7</x:v>
      </x:c>
      <x:c r="S135" s="60" t="n">
        <x:v>85.9</x:v>
      </x:c>
      <x:c r="T135" s="60" t="n">
        <x:v>86.4</x:v>
      </x:c>
      <x:c r="U135" s="60" t="n">
        <x:v>86.2</x:v>
      </x:c>
      <x:c r="V135" s="60" t="n">
        <x:v>86</x:v>
      </x:c>
      <x:c r="W135" s="60" t="n">
        <x:v>86.1</x:v>
      </x:c>
      <x:c r="X135" s="60" t="n">
        <x:v>88</x:v>
      </x:c>
      <x:c r="Y135" s="60" t="n">
        <x:v>83.1</x:v>
      </x:c>
      <x:c r="Z135" s="60" t="n">
        <x:v>88.1</x:v>
      </x:c>
      <x:c r="AA135" s="60" t="n">
        <x:v>84</x:v>
      </x:c>
      <x:c r="AB135" s="60" t="n">
        <x:v>16</x:v>
      </x:c>
      <x:c r="AC135" s="60" t="n">
        <x:f>ROUND(((0.30*V135+0.20*W135+0.25*X135+0.15*Y135+0.10*AA135)+(0.30*Z135+0.20*X135+0.20*W135+0.15*AA135+0.15*(100-AB135)))/2,2)</x:f>
        <x:v>86.17</x:v>
      </x:c>
      <x:c r="AD135" s="60" t="n">
        <x:v>86</x:v>
      </x:c>
      <x:c r="AE135" s="60" t="n">
        <x:v>86.1</x:v>
      </x:c>
      <x:c r="AF135" s="60" t="n">
        <x:v>88</x:v>
      </x:c>
      <x:c r="AG135" s="60" t="n">
        <x:v>83.1</x:v>
      </x:c>
      <x:c r="AH135" s="60" t="n">
        <x:v>88</x:v>
      </x:c>
      <x:c r="AI135" s="60" t="n">
        <x:v>84</x:v>
      </x:c>
      <x:c r="AJ135" s="60" t="n">
        <x:v>16</x:v>
      </x:c>
      <x:c r="AK135" s="60" t="n">
        <x:f>ROUND(((0.30*AD135+0.20*AE135+0.25*AF135+0.15*AG135+0.10*AI135)+(0.30*AH135+0.20*AF135+0.20*AE135+0.15*AI135+0.15*(100-AJ135)))/2,2)</x:f>
        <x:v>86.15</x:v>
      </x:c>
      <x:c r="AL135" s="60" t="n">
        <x:v>86</x:v>
      </x:c>
      <x:c r="AM135" s="60" t="n">
        <x:v>86.1</x:v>
      </x:c>
      <x:c r="AN135" s="60" t="n">
        <x:v>88</x:v>
      </x:c>
      <x:c r="AO135" s="60" t="n">
        <x:v>83.1</x:v>
      </x:c>
      <x:c r="AP135" s="60" t="n">
        <x:v>88.1</x:v>
      </x:c>
      <x:c r="AQ135" s="60" t="n">
        <x:v>84</x:v>
      </x:c>
      <x:c r="AR135" s="60" t="n">
        <x:v>16</x:v>
      </x:c>
      <x:c r="AS135" s="60" t="n">
        <x:f>ROUND(((0.30*AL135+0.20*AM135+0.25*AN135+0.15*AO135+0.10*AQ135)+(0.30*AP135+0.20*AN135+0.20*AM135+0.15*AQ135+0.15*(100-AR135)))/2,2)</x:f>
        <x:v>86.17</x:v>
      </x:c>
      <x:c r="AT135" s="60" t="n">
        <x:f>ROUND(AVERAGE(V135,AD135,AL135),1)</x:f>
        <x:v>86</x:v>
      </x:c>
      <x:c r="AU135" s="60" t="n">
        <x:f>ROUND(AVERAGE(W135,AE135,AM135),1)</x:f>
        <x:v>86.1</x:v>
      </x:c>
      <x:c r="AV135" s="60" t="n">
        <x:f>ROUND(AVERAGE(X135,AF135,AN135),1)</x:f>
        <x:v>88</x:v>
      </x:c>
      <x:c r="AW135" s="60" t="n">
        <x:f>ROUND(AVERAGE(Y135,AG135,AO135),1)</x:f>
        <x:v>83.1</x:v>
      </x:c>
      <x:c r="AX135" s="60" t="n">
        <x:f>ROUND(AVERAGE(Z135,AH135,AP135),1)</x:f>
        <x:v>88.1</x:v>
      </x:c>
      <x:c r="AY135" s="60" t="n">
        <x:f>ROUND(AVERAGE(AA135,AI135,AQ135),1)</x:f>
        <x:v>84</x:v>
      </x:c>
      <x:c r="AZ135" s="60" t="n">
        <x:f>ROUND(AVERAGE(AB135,AJ135,AR135),1)</x:f>
        <x:v>16</x:v>
      </x:c>
      <x:c r="BA135" s="59" t="n">
        <x:v>7</x:v>
      </x:c>
      <x:c r="BB135" s="60" t="n">
        <x:f>ROUND(0.30*AT135+0.20*AU135+0.25*AV135+0.15*AW135+0.10*AY135,2)</x:f>
        <x:v>85.89</x:v>
      </x:c>
      <x:c r="BC135" s="60" t="n">
        <x:f>ROUND(0.30*AX135+0.20*AV135+0.20*AU135+0.15*AY135+0.15*(100-AZ135),2)</x:f>
        <x:v>86.45</x:v>
      </x:c>
      <x:c r="BD135" s="60" t="n">
        <x:f>ROUND(AVERAGE(BB135,BC135),2)</x:f>
        <x:v>86.17</x:v>
      </x:c>
      <x:c r="BE135" s="60" t="n">
        <x:f>ROUND(BD135-U135,2)</x:f>
        <x:v>-0.03</x:v>
      </x:c>
      <x:c r="BF135" s="60" t="n">
        <x:f>ROUND(STDEV.P(AC135,AK135,AS135),3)</x:f>
        <x:v>0.009</x:v>
      </x:c>
      <x:c r="BG135" s="59" t="str"/>
      <x:c r="BH135" s="59" t="str">
        <x:v>30%评分池轻量复核</x:v>
      </x:c>
      <x:c r="BI135" s="40" t="str">
        <x:v>三轮复核后与原表基本一致</x:v>
      </x:c>
    </x:row>
    <x:row r="136" ht="30" customHeight="1">
      <x:c r="A136" s="59" t="n">
        <x:v>135</x:v>
      </x:c>
      <x:c r="B136" s="59" t="n">
        <x:v>135</x:v>
      </x:c>
      <x:c r="C136" s="59" t="str">
        <x:v>2026-05</x:v>
      </x:c>
      <x:c r="D136" s="59" t="n">
        <x:v>85</x:v>
      </x:c>
      <x:c r="E136" s="59" t="str">
        <x:v>2605.19438</x:v>
      </x:c>
      <x:c r="F136" s="40" t="str">
        <x:v>Maximal inequalities and Riesz transforms for vector-valued magnetic Schrodinger operators</x:v>
      </x:c>
      <x:c r="G136" s="40" t="str">
        <x:v>Davide Addona; Vincenzo Leone; Luca Lorenzi; El Maati Ouhabaz; Abdelaziz Rhandi</x:v>
      </x:c>
      <x:c r="H136" s="40" t="str">
        <x:v>Schrodinger operators</x:v>
      </x:c>
      <x:c r="I136" s="59"/>
      <x:c r="J136" s="40" t="str">
        <x:v>https://arxiv.org/abs/2605.19438</x:v>
      </x:c>
      <x:c r="K136" s="60" t="n">
        <x:v>86</x:v>
      </x:c>
      <x:c r="L136" s="60" t="n">
        <x:v>87</x:v>
      </x:c>
      <x:c r="M136" s="60" t="n">
        <x:v>87</x:v>
      </x:c>
      <x:c r="N136" s="60" t="n">
        <x:v>83</x:v>
      </x:c>
      <x:c r="O136" s="60" t="n">
        <x:v>87</x:v>
      </x:c>
      <x:c r="P136" s="60" t="n">
        <x:v>85</x:v>
      </x:c>
      <x:c r="Q136" s="60" t="n">
        <x:v>16</x:v>
      </x:c>
      <x:c r="R136" s="59" t="n">
        <x:v>6</x:v>
      </x:c>
      <x:c r="S136" s="60" t="n">
        <x:v>85.9</x:v>
      </x:c>
      <x:c r="T136" s="60" t="n">
        <x:v>86.3</x:v>
      </x:c>
      <x:c r="U136" s="60" t="n">
        <x:v>86.1</x:v>
      </x:c>
      <x:c r="V136" s="60" t="n">
        <x:v>86</x:v>
      </x:c>
      <x:c r="W136" s="60" t="n">
        <x:v>87</x:v>
      </x:c>
      <x:c r="X136" s="60" t="n">
        <x:v>87</x:v>
      </x:c>
      <x:c r="Y136" s="60" t="n">
        <x:v>83</x:v>
      </x:c>
      <x:c r="Z136" s="60" t="n">
        <x:v>87</x:v>
      </x:c>
      <x:c r="AA136" s="60" t="n">
        <x:v>85</x:v>
      </x:c>
      <x:c r="AB136" s="60" t="n">
        <x:v>16</x:v>
      </x:c>
      <x:c r="AC136" s="60" t="n">
        <x:f>ROUND(((0.30*V136+0.20*W136+0.25*X136+0.15*Y136+0.10*AA136)+(0.30*Z136+0.20*X136+0.20*W136+0.15*AA136+0.15*(100-AB136)))/2,2)</x:f>
        <x:v>86.08</x:v>
      </x:c>
      <x:c r="AD136" s="60" t="n">
        <x:v>86</x:v>
      </x:c>
      <x:c r="AE136" s="60" t="n">
        <x:v>87</x:v>
      </x:c>
      <x:c r="AF136" s="60" t="n">
        <x:v>87</x:v>
      </x:c>
      <x:c r="AG136" s="60" t="n">
        <x:v>83.1</x:v>
      </x:c>
      <x:c r="AH136" s="60" t="n">
        <x:v>87</x:v>
      </x:c>
      <x:c r="AI136" s="60" t="n">
        <x:v>85</x:v>
      </x:c>
      <x:c r="AJ136" s="60" t="n">
        <x:v>16</x:v>
      </x:c>
      <x:c r="AK136" s="60" t="n">
        <x:f>ROUND(((0.30*AD136+0.20*AE136+0.25*AF136+0.15*AG136+0.10*AI136)+(0.30*AH136+0.20*AF136+0.20*AE136+0.15*AI136+0.15*(100-AJ136)))/2,2)</x:f>
        <x:v>86.08</x:v>
      </x:c>
      <x:c r="AL136" s="60" t="n">
        <x:v>86</x:v>
      </x:c>
      <x:c r="AM136" s="60" t="n">
        <x:v>87</x:v>
      </x:c>
      <x:c r="AN136" s="60" t="n">
        <x:v>87</x:v>
      </x:c>
      <x:c r="AO136" s="60" t="n">
        <x:v>83</x:v>
      </x:c>
      <x:c r="AP136" s="60" t="n">
        <x:v>87</x:v>
      </x:c>
      <x:c r="AQ136" s="60" t="n">
        <x:v>85</x:v>
      </x:c>
      <x:c r="AR136" s="60" t="n">
        <x:v>16</x:v>
      </x:c>
      <x:c r="AS136" s="60" t="n">
        <x:f>ROUND(((0.30*AL136+0.20*AM136+0.25*AN136+0.15*AO136+0.10*AQ136)+(0.30*AP136+0.20*AN136+0.20*AM136+0.15*AQ136+0.15*(100-AR136)))/2,2)</x:f>
        <x:v>86.08</x:v>
      </x:c>
      <x:c r="AT136" s="60" t="n">
        <x:f>ROUND(AVERAGE(V136,AD136,AL136),1)</x:f>
        <x:v>86</x:v>
      </x:c>
      <x:c r="AU136" s="60" t="n">
        <x:f>ROUND(AVERAGE(W136,AE136,AM136),1)</x:f>
        <x:v>87</x:v>
      </x:c>
      <x:c r="AV136" s="60" t="n">
        <x:f>ROUND(AVERAGE(X136,AF136,AN136),1)</x:f>
        <x:v>87</x:v>
      </x:c>
      <x:c r="AW136" s="60" t="n">
        <x:f>ROUND(AVERAGE(Y136,AG136,AO136),1)</x:f>
        <x:v>83</x:v>
      </x:c>
      <x:c r="AX136" s="60" t="n">
        <x:f>ROUND(AVERAGE(Z136,AH136,AP136),1)</x:f>
        <x:v>87</x:v>
      </x:c>
      <x:c r="AY136" s="60" t="n">
        <x:f>ROUND(AVERAGE(AA136,AI136,AQ136),1)</x:f>
        <x:v>85</x:v>
      </x:c>
      <x:c r="AZ136" s="60" t="n">
        <x:f>ROUND(AVERAGE(AB136,AJ136,AR136),1)</x:f>
        <x:v>16</x:v>
      </x:c>
      <x:c r="BA136" s="59" t="n">
        <x:v>6</x:v>
      </x:c>
      <x:c r="BB136" s="60" t="n">
        <x:f>ROUND(0.30*AT136+0.20*AU136+0.25*AV136+0.15*AW136+0.10*AY136,2)</x:f>
        <x:v>85.9</x:v>
      </x:c>
      <x:c r="BC136" s="60" t="n">
        <x:f>ROUND(0.30*AX136+0.20*AV136+0.20*AU136+0.15*AY136+0.15*(100-AZ136),2)</x:f>
        <x:v>86.25</x:v>
      </x:c>
      <x:c r="BD136" s="60" t="n">
        <x:f>ROUND(AVERAGE(BB136,BC136),2)</x:f>
        <x:v>86.08</x:v>
      </x:c>
      <x:c r="BE136" s="60" t="n">
        <x:f>ROUND(BD136-U136,2)</x:f>
        <x:v>-0.02</x:v>
      </x:c>
      <x:c r="BF136" s="60" t="n">
        <x:f>ROUND(STDEV.P(AC136,AK136,AS136),3)</x:f>
        <x:v>0</x:v>
      </x:c>
      <x:c r="BG136" s="59" t="str"/>
      <x:c r="BH136" s="59" t="str">
        <x:v>30%评分池轻量复核</x:v>
      </x:c>
      <x:c r="BI136" s="40" t="str">
        <x:v>三轮复核后与原表基本一致</x:v>
      </x:c>
    </x:row>
    <x:row r="137" ht="30" customHeight="1">
      <x:c r="A137" s="59" t="n">
        <x:v>136</x:v>
      </x:c>
      <x:c r="B137" s="59" t="n">
        <x:v>136</x:v>
      </x:c>
      <x:c r="C137" s="59" t="str">
        <x:v>2026-06</x:v>
      </x:c>
      <x:c r="D137" s="59" t="n">
        <x:v>51</x:v>
      </x:c>
      <x:c r="E137" s="59" t="str">
        <x:v>2606.07869</x:v>
      </x:c>
      <x:c r="F137" s="40" t="str">
        <x:v>Global Regularity for Axisymmetric Navier-Stokes Flows with Swirl</x:v>
      </x:c>
      <x:c r="G137" s="40" t="str">
        <x:v>Rishad Shahmurov</x:v>
      </x:c>
      <x:c r="H137" s="40" t="str">
        <x:v>fluid/kinetic PDE</x:v>
      </x:c>
      <x:c r="I137" s="59"/>
      <x:c r="J137" s="40" t="str">
        <x:v>https://arxiv.org/abs/2606.07869</x:v>
      </x:c>
      <x:c r="K137" s="60" t="n">
        <x:v>86</x:v>
      </x:c>
      <x:c r="L137" s="60" t="n">
        <x:v>85</x:v>
      </x:c>
      <x:c r="M137" s="60" t="n">
        <x:v>86</x:v>
      </x:c>
      <x:c r="N137" s="60" t="n">
        <x:v>84</x:v>
      </x:c>
      <x:c r="O137" s="60" t="n">
        <x:v>86</x:v>
      </x:c>
      <x:c r="P137" s="60" t="n">
        <x:v>86</x:v>
      </x:c>
      <x:c r="Q137" s="60" t="n">
        <x:v>13</x:v>
      </x:c>
      <x:c r="R137" s="59" t="n">
        <x:v>5</x:v>
      </x:c>
      <x:c r="S137" s="60" t="n">
        <x:v>85.49999999999999</x:v>
      </x:c>
      <x:c r="T137" s="60" t="n">
        <x:v>85.95</x:v>
      </x:c>
      <x:c r="U137" s="60" t="n">
        <x:v>85.725</x:v>
      </x:c>
      <x:c r="V137" s="60" t="n">
        <x:v>86.1</x:v>
      </x:c>
      <x:c r="W137" s="60" t="n">
        <x:v>85.1</x:v>
      </x:c>
      <x:c r="X137" s="60" t="n">
        <x:v>86.1</x:v>
      </x:c>
      <x:c r="Y137" s="60" t="n">
        <x:v>84.1</x:v>
      </x:c>
      <x:c r="Z137" s="60" t="n">
        <x:v>86.1</x:v>
      </x:c>
      <x:c r="AA137" s="60" t="n">
        <x:v>86</x:v>
      </x:c>
      <x:c r="AB137" s="60" t="n">
        <x:v>13</x:v>
      </x:c>
      <x:c r="AC137" s="60" t="n">
        <x:f>ROUND(((0.30*V137+0.20*W137+0.25*X137+0.15*Y137+0.10*AA137)+(0.30*Z137+0.20*X137+0.20*W137+0.15*AA137+0.15*(100-AB137)))/2,2)</x:f>
        <x:v>85.81</x:v>
      </x:c>
      <x:c r="AD137" s="60" t="n">
        <x:v>86</x:v>
      </x:c>
      <x:c r="AE137" s="60" t="n">
        <x:v>85.1</x:v>
      </x:c>
      <x:c r="AF137" s="60" t="n">
        <x:v>86</x:v>
      </x:c>
      <x:c r="AG137" s="60" t="n">
        <x:v>84.1</x:v>
      </x:c>
      <x:c r="AH137" s="60" t="n">
        <x:v>86.1</x:v>
      </x:c>
      <x:c r="AI137" s="60" t="n">
        <x:v>86</x:v>
      </x:c>
      <x:c r="AJ137" s="60" t="n">
        <x:v>13</x:v>
      </x:c>
      <x:c r="AK137" s="60" t="n">
        <x:f>ROUND(((0.30*AD137+0.20*AE137+0.25*AF137+0.15*AG137+0.10*AI137)+(0.30*AH137+0.20*AF137+0.20*AE137+0.15*AI137+0.15*(100-AJ137)))/2,2)</x:f>
        <x:v>85.77</x:v>
      </x:c>
      <x:c r="AL137" s="60" t="n">
        <x:v>86</x:v>
      </x:c>
      <x:c r="AM137" s="60" t="n">
        <x:v>85.1</x:v>
      </x:c>
      <x:c r="AN137" s="60" t="n">
        <x:v>86.1</x:v>
      </x:c>
      <x:c r="AO137" s="60" t="n">
        <x:v>84.1</x:v>
      </x:c>
      <x:c r="AP137" s="60" t="n">
        <x:v>86.1</x:v>
      </x:c>
      <x:c r="AQ137" s="60" t="n">
        <x:v>86</x:v>
      </x:c>
      <x:c r="AR137" s="60" t="n">
        <x:v>13</x:v>
      </x:c>
      <x:c r="AS137" s="60" t="n">
        <x:f>ROUND(((0.30*AL137+0.20*AM137+0.25*AN137+0.15*AO137+0.10*AQ137)+(0.30*AP137+0.20*AN137+0.20*AM137+0.15*AQ137+0.15*(100-AR137)))/2,2)</x:f>
        <x:v>85.79</x:v>
      </x:c>
      <x:c r="AT137" s="60" t="n">
        <x:f>ROUND(AVERAGE(V137,AD137,AL137),1)</x:f>
        <x:v>86</x:v>
      </x:c>
      <x:c r="AU137" s="60" t="n">
        <x:f>ROUND(AVERAGE(W137,AE137,AM137),1)</x:f>
        <x:v>85.1</x:v>
      </x:c>
      <x:c r="AV137" s="60" t="n">
        <x:f>ROUND(AVERAGE(X137,AF137,AN137),1)</x:f>
        <x:v>86.1</x:v>
      </x:c>
      <x:c r="AW137" s="60" t="n">
        <x:f>ROUND(AVERAGE(Y137,AG137,AO137),1)</x:f>
        <x:v>84.1</x:v>
      </x:c>
      <x:c r="AX137" s="60" t="n">
        <x:f>ROUND(AVERAGE(Z137,AH137,AP137),1)</x:f>
        <x:v>86.1</x:v>
      </x:c>
      <x:c r="AY137" s="60" t="n">
        <x:f>ROUND(AVERAGE(AA137,AI137,AQ137),1)</x:f>
        <x:v>86</x:v>
      </x:c>
      <x:c r="AZ137" s="60" t="n">
        <x:f>ROUND(AVERAGE(AB137,AJ137,AR137),1)</x:f>
        <x:v>13</x:v>
      </x:c>
      <x:c r="BA137" s="59" t="n">
        <x:v>5</x:v>
      </x:c>
      <x:c r="BB137" s="60" t="n">
        <x:f>ROUND(0.30*AT137+0.20*AU137+0.25*AV137+0.15*AW137+0.10*AY137,2)</x:f>
        <x:v>85.56</x:v>
      </x:c>
      <x:c r="BC137" s="60" t="n">
        <x:f>ROUND(0.30*AX137+0.20*AV137+0.20*AU137+0.15*AY137+0.15*(100-AZ137),2)</x:f>
        <x:v>86.02</x:v>
      </x:c>
      <x:c r="BD137" s="60" t="n">
        <x:f>ROUND(AVERAGE(BB137,BC137),2)</x:f>
        <x:v>85.79</x:v>
      </x:c>
      <x:c r="BE137" s="60" t="n">
        <x:f>ROUND(BD137-U137,2)</x:f>
        <x:v>0.07</x:v>
      </x:c>
      <x:c r="BF137" s="60" t="n">
        <x:f>ROUND(STDEV.P(AC137,AK137,AS137),3)</x:f>
        <x:v>0.016</x:v>
      </x:c>
      <x:c r="BG137" s="59" t="str"/>
      <x:c r="BH137" s="59" t="str">
        <x:v>30%评分池轻量复核</x:v>
      </x:c>
      <x:c r="BI137" s="40" t="str">
        <x:v>三轮复核后与原表基本一致</x:v>
      </x:c>
    </x:row>
    <x:row r="138" ht="30" customHeight="1">
      <x:c r="A138" s="59" t="n">
        <x:v>137</x:v>
      </x:c>
      <x:c r="B138" s="59" t="n">
        <x:v>138</x:v>
      </x:c>
      <x:c r="C138" s="59" t="str">
        <x:v>2026-05</x:v>
      </x:c>
      <x:c r="D138" s="59" t="n">
        <x:v>86</x:v>
      </x:c>
      <x:c r="E138" s="59" t="str">
        <x:v>2605.19415</x:v>
      </x:c>
      <x:c r="F138" s="40" t="str">
        <x:v>Global well-posedness of the linearized R13 moment equations with Onsager boundary conditions</x:v>
      </x:c>
      <x:c r="G138" s="40" t="str">
        <x:v>Shuang Hu; Bo Lin; Huini Liu; Zhenning Cai</x:v>
      </x:c>
      <x:c r="H138" s="40" t="str">
        <x:v>Moment equations</x:v>
      </x:c>
      <x:c r="I138" s="59" t="n">
        <x:v>33</x:v>
      </x:c>
      <x:c r="J138" s="40" t="str">
        <x:v>https://arxiv.org/abs/2605.19415</x:v>
      </x:c>
      <x:c r="K138" s="60" t="n">
        <x:v>85</x:v>
      </x:c>
      <x:c r="L138" s="60" t="n">
        <x:v>86</x:v>
      </x:c>
      <x:c r="M138" s="60" t="n">
        <x:v>87</x:v>
      </x:c>
      <x:c r="N138" s="60" t="n">
        <x:v>82</x:v>
      </x:c>
      <x:c r="O138" s="60" t="n">
        <x:v>87</x:v>
      </x:c>
      <x:c r="P138" s="60" t="n">
        <x:v>84</x:v>
      </x:c>
      <x:c r="Q138" s="60" t="n">
        <x:v>17</x:v>
      </x:c>
      <x:c r="R138" s="59" t="n">
        <x:v>7</x:v>
      </x:c>
      <x:c r="S138" s="60" t="n">
        <x:v>85.2</x:v>
      </x:c>
      <x:c r="T138" s="60" t="n">
        <x:v>85.8</x:v>
      </x:c>
      <x:c r="U138" s="60" t="n">
        <x:v>85.5</x:v>
      </x:c>
      <x:c r="V138" s="60" t="n">
        <x:v>85</x:v>
      </x:c>
      <x:c r="W138" s="60" t="n">
        <x:v>86.1</x:v>
      </x:c>
      <x:c r="X138" s="60" t="n">
        <x:v>87</x:v>
      </x:c>
      <x:c r="Y138" s="60" t="n">
        <x:v>82</x:v>
      </x:c>
      <x:c r="Z138" s="60" t="n">
        <x:v>87.1</x:v>
      </x:c>
      <x:c r="AA138" s="60" t="n">
        <x:v>84</x:v>
      </x:c>
      <x:c r="AB138" s="60" t="n">
        <x:v>17</x:v>
      </x:c>
      <x:c r="AC138" s="60" t="n">
        <x:f>ROUND(((0.30*V138+0.20*W138+0.25*X138+0.15*Y138+0.10*AA138)+(0.30*Z138+0.20*X138+0.20*W138+0.15*AA138+0.15*(100-AB138)))/2,2)</x:f>
        <x:v>85.49</x:v>
      </x:c>
      <x:c r="AD138" s="60" t="n">
        <x:v>85</x:v>
      </x:c>
      <x:c r="AE138" s="60" t="n">
        <x:v>86.1</x:v>
      </x:c>
      <x:c r="AF138" s="60" t="n">
        <x:v>87</x:v>
      </x:c>
      <x:c r="AG138" s="60" t="n">
        <x:v>82.1</x:v>
      </x:c>
      <x:c r="AH138" s="60" t="n">
        <x:v>87</x:v>
      </x:c>
      <x:c r="AI138" s="60" t="n">
        <x:v>84</x:v>
      </x:c>
      <x:c r="AJ138" s="60" t="n">
        <x:v>17</x:v>
      </x:c>
      <x:c r="AK138" s="60" t="n">
        <x:f>ROUND(((0.30*AD138+0.20*AE138+0.25*AF138+0.15*AG138+0.10*AI138)+(0.30*AH138+0.20*AF138+0.20*AE138+0.15*AI138+0.15*(100-AJ138)))/2,2)</x:f>
        <x:v>85.48</x:v>
      </x:c>
      <x:c r="AL138" s="60" t="n">
        <x:v>85</x:v>
      </x:c>
      <x:c r="AM138" s="60" t="n">
        <x:v>86.1</x:v>
      </x:c>
      <x:c r="AN138" s="60" t="n">
        <x:v>87</x:v>
      </x:c>
      <x:c r="AO138" s="60" t="n">
        <x:v>82</x:v>
      </x:c>
      <x:c r="AP138" s="60" t="n">
        <x:v>87.1</x:v>
      </x:c>
      <x:c r="AQ138" s="60" t="n">
        <x:v>84</x:v>
      </x:c>
      <x:c r="AR138" s="60" t="n">
        <x:v>17</x:v>
      </x:c>
      <x:c r="AS138" s="60" t="n">
        <x:f>ROUND(((0.30*AL138+0.20*AM138+0.25*AN138+0.15*AO138+0.10*AQ138)+(0.30*AP138+0.20*AN138+0.20*AM138+0.15*AQ138+0.15*(100-AR138)))/2,2)</x:f>
        <x:v>85.49</x:v>
      </x:c>
      <x:c r="AT138" s="60" t="n">
        <x:f>ROUND(AVERAGE(V138,AD138,AL138),1)</x:f>
        <x:v>85</x:v>
      </x:c>
      <x:c r="AU138" s="60" t="n">
        <x:f>ROUND(AVERAGE(W138,AE138,AM138),1)</x:f>
        <x:v>86.1</x:v>
      </x:c>
      <x:c r="AV138" s="60" t="n">
        <x:f>ROUND(AVERAGE(X138,AF138,AN138),1)</x:f>
        <x:v>87</x:v>
      </x:c>
      <x:c r="AW138" s="60" t="n">
        <x:f>ROUND(AVERAGE(Y138,AG138,AO138),1)</x:f>
        <x:v>82</x:v>
      </x:c>
      <x:c r="AX138" s="60" t="n">
        <x:f>ROUND(AVERAGE(Z138,AH138,AP138),1)</x:f>
        <x:v>87.1</x:v>
      </x:c>
      <x:c r="AY138" s="60" t="n">
        <x:f>ROUND(AVERAGE(AA138,AI138,AQ138),1)</x:f>
        <x:v>84</x:v>
      </x:c>
      <x:c r="AZ138" s="60" t="n">
        <x:f>ROUND(AVERAGE(AB138,AJ138,AR138),1)</x:f>
        <x:v>17</x:v>
      </x:c>
      <x:c r="BA138" s="59" t="n">
        <x:v>7</x:v>
      </x:c>
      <x:c r="BB138" s="60" t="n">
        <x:f>ROUND(0.30*AT138+0.20*AU138+0.25*AV138+0.15*AW138+0.10*AY138,2)</x:f>
        <x:v>85.17</x:v>
      </x:c>
      <x:c r="BC138" s="60" t="n">
        <x:f>ROUND(0.30*AX138+0.20*AV138+0.20*AU138+0.15*AY138+0.15*(100-AZ138),2)</x:f>
        <x:v>85.8</x:v>
      </x:c>
      <x:c r="BD138" s="60" t="n">
        <x:f>ROUND(AVERAGE(BB138,BC138),2)</x:f>
        <x:v>85.49</x:v>
      </x:c>
      <x:c r="BE138" s="60" t="n">
        <x:f>ROUND(BD138-U138,2)</x:f>
        <x:v>-0.01</x:v>
      </x:c>
      <x:c r="BF138" s="60" t="n">
        <x:f>ROUND(STDEV.P(AC138,AK138,AS138),3)</x:f>
        <x:v>0.005</x:v>
      </x:c>
      <x:c r="BG138" s="59" t="str"/>
      <x:c r="BH138" s="59" t="str">
        <x:v>30%评分池轻量复核</x:v>
      </x:c>
      <x:c r="BI138" s="40" t="str">
        <x:v>范围偏专门，广度轻微回调</x:v>
      </x:c>
    </x:row>
    <x:row r="139" ht="30" customHeight="1">
      <x:c r="A139" s="59" t="n">
        <x:v>138</x:v>
      </x:c>
      <x:c r="B139" s="59" t="n">
        <x:v>137</x:v>
      </x:c>
      <x:c r="C139" s="59" t="str">
        <x:v>2026-05</x:v>
      </x:c>
      <x:c r="D139" s="59" t="n">
        <x:v>86</x:v>
      </x:c>
      <x:c r="E139" s="59" t="str">
        <x:v>2605.30009</x:v>
      </x:c>
      <x:c r="F139" s="40" t="str">
        <x:v>On Kato's smoothing effects for KdV and Benjamin type equations</x:v>
      </x:c>
      <x:c r="G139" s="40" t="str">
        <x:v>Carlos Garzon; Oscar Riano</x:v>
      </x:c>
      <x:c r="H139" s="40" t="str">
        <x:v>Dispersive smoothing</x:v>
      </x:c>
      <x:c r="I139" s="59" t="n">
        <x:v>36</x:v>
      </x:c>
      <x:c r="J139" s="40" t="str">
        <x:v>https://arxiv.org/abs/2605.30009</x:v>
      </x:c>
      <x:c r="K139" s="60" t="n">
        <x:v>85</x:v>
      </x:c>
      <x:c r="L139" s="60" t="n">
        <x:v>86</x:v>
      </x:c>
      <x:c r="M139" s="60" t="n">
        <x:v>87</x:v>
      </x:c>
      <x:c r="N139" s="60" t="n">
        <x:v>82</x:v>
      </x:c>
      <x:c r="O139" s="60" t="n">
        <x:v>87</x:v>
      </x:c>
      <x:c r="P139" s="60" t="n">
        <x:v>84</x:v>
      </x:c>
      <x:c r="Q139" s="60" t="n">
        <x:v>17</x:v>
      </x:c>
      <x:c r="R139" s="59" t="n">
        <x:v>7</x:v>
      </x:c>
      <x:c r="S139" s="60" t="n">
        <x:v>85.2</x:v>
      </x:c>
      <x:c r="T139" s="60" t="n">
        <x:v>85.8</x:v>
      </x:c>
      <x:c r="U139" s="60" t="n">
        <x:v>85.5</x:v>
      </x:c>
      <x:c r="V139" s="60" t="n">
        <x:v>85</x:v>
      </x:c>
      <x:c r="W139" s="60" t="n">
        <x:v>86</x:v>
      </x:c>
      <x:c r="X139" s="60" t="n">
        <x:v>87</x:v>
      </x:c>
      <x:c r="Y139" s="60" t="n">
        <x:v>82</x:v>
      </x:c>
      <x:c r="Z139" s="60" t="n">
        <x:v>87</x:v>
      </x:c>
      <x:c r="AA139" s="60" t="n">
        <x:v>84</x:v>
      </x:c>
      <x:c r="AB139" s="60" t="n">
        <x:v>17</x:v>
      </x:c>
      <x:c r="AC139" s="60" t="n">
        <x:f>ROUND(((0.30*V139+0.20*W139+0.25*X139+0.15*Y139+0.10*AA139)+(0.30*Z139+0.20*X139+0.20*W139+0.15*AA139+0.15*(100-AB139)))/2,2)</x:f>
        <x:v>85.45</x:v>
      </x:c>
      <x:c r="AD139" s="60" t="n">
        <x:v>85</x:v>
      </x:c>
      <x:c r="AE139" s="60" t="n">
        <x:v>86</x:v>
      </x:c>
      <x:c r="AF139" s="60" t="n">
        <x:v>87</x:v>
      </x:c>
      <x:c r="AG139" s="60" t="n">
        <x:v>82.1</x:v>
      </x:c>
      <x:c r="AH139" s="60" t="n">
        <x:v>87</x:v>
      </x:c>
      <x:c r="AI139" s="60" t="n">
        <x:v>84</x:v>
      </x:c>
      <x:c r="AJ139" s="60" t="n">
        <x:v>17</x:v>
      </x:c>
      <x:c r="AK139" s="60" t="n">
        <x:f>ROUND(((0.30*AD139+0.20*AE139+0.25*AF139+0.15*AG139+0.10*AI139)+(0.30*AH139+0.20*AF139+0.20*AE139+0.15*AI139+0.15*(100-AJ139)))/2,2)</x:f>
        <x:v>85.46</x:v>
      </x:c>
      <x:c r="AL139" s="60" t="n">
        <x:v>85</x:v>
      </x:c>
      <x:c r="AM139" s="60" t="n">
        <x:v>86</x:v>
      </x:c>
      <x:c r="AN139" s="60" t="n">
        <x:v>87</x:v>
      </x:c>
      <x:c r="AO139" s="60" t="n">
        <x:v>82</x:v>
      </x:c>
      <x:c r="AP139" s="60" t="n">
        <x:v>87</x:v>
      </x:c>
      <x:c r="AQ139" s="60" t="n">
        <x:v>84</x:v>
      </x:c>
      <x:c r="AR139" s="60" t="n">
        <x:v>17</x:v>
      </x:c>
      <x:c r="AS139" s="60" t="n">
        <x:f>ROUND(((0.30*AL139+0.20*AM139+0.25*AN139+0.15*AO139+0.10*AQ139)+(0.30*AP139+0.20*AN139+0.20*AM139+0.15*AQ139+0.15*(100-AR139)))/2,2)</x:f>
        <x:v>85.45</x:v>
      </x:c>
      <x:c r="AT139" s="60" t="n">
        <x:f>ROUND(AVERAGE(V139,AD139,AL139),1)</x:f>
        <x:v>85</x:v>
      </x:c>
      <x:c r="AU139" s="60" t="n">
        <x:f>ROUND(AVERAGE(W139,AE139,AM139),1)</x:f>
        <x:v>86</x:v>
      </x:c>
      <x:c r="AV139" s="60" t="n">
        <x:f>ROUND(AVERAGE(X139,AF139,AN139),1)</x:f>
        <x:v>87</x:v>
      </x:c>
      <x:c r="AW139" s="60" t="n">
        <x:f>ROUND(AVERAGE(Y139,AG139,AO139),1)</x:f>
        <x:v>82</x:v>
      </x:c>
      <x:c r="AX139" s="60" t="n">
        <x:f>ROUND(AVERAGE(Z139,AH139,AP139),1)</x:f>
        <x:v>87</x:v>
      </x:c>
      <x:c r="AY139" s="60" t="n">
        <x:f>ROUND(AVERAGE(AA139,AI139,AQ139),1)</x:f>
        <x:v>84</x:v>
      </x:c>
      <x:c r="AZ139" s="60" t="n">
        <x:f>ROUND(AVERAGE(AB139,AJ139,AR139),1)</x:f>
        <x:v>17</x:v>
      </x:c>
      <x:c r="BA139" s="59" t="n">
        <x:v>7</x:v>
      </x:c>
      <x:c r="BB139" s="60" t="n">
        <x:f>ROUND(0.30*AT139+0.20*AU139+0.25*AV139+0.15*AW139+0.10*AY139,2)</x:f>
        <x:v>85.15</x:v>
      </x:c>
      <x:c r="BC139" s="60" t="n">
        <x:f>ROUND(0.30*AX139+0.20*AV139+0.20*AU139+0.15*AY139+0.15*(100-AZ139),2)</x:f>
        <x:v>85.75</x:v>
      </x:c>
      <x:c r="BD139" s="60" t="n">
        <x:f>ROUND(AVERAGE(BB139,BC139),2)</x:f>
        <x:v>85.45</x:v>
      </x:c>
      <x:c r="BE139" s="60" t="n">
        <x:f>ROUND(BD139-U139,2)</x:f>
        <x:v>-0.05</x:v>
      </x:c>
      <x:c r="BF139" s="60" t="n">
        <x:f>ROUND(STDEV.P(AC139,AK139,AS139),3)</x:f>
        <x:v>0.005</x:v>
      </x:c>
      <x:c r="BG139" s="59" t="str"/>
      <x:c r="BH139" s="59" t="str">
        <x:v>30%评分池轻量复核</x:v>
      </x:c>
      <x:c r="BI139" s="40" t="str">
        <x:v>三轮复核后与原表基本一致</x:v>
      </x:c>
    </x:row>
    <x:row r="140" ht="30" customHeight="1">
      <x:c r="A140" s="59" t="n">
        <x:v>139</x:v>
      </x:c>
      <x:c r="B140" s="59" t="n">
        <x:v>139</x:v>
      </x:c>
      <x:c r="C140" s="59" t="str">
        <x:v>2026-05</x:v>
      </x:c>
      <x:c r="D140" s="59" t="n">
        <x:v>88</x:v>
      </x:c>
      <x:c r="E140" s="59" t="str">
        <x:v>2605.09213</x:v>
      </x:c>
      <x:c r="F140" s="40" t="str">
        <x:v>Kinetic theory for Transformers and the lost-in-the-middle phenomenon</x:v>
      </x:c>
      <x:c r="G140" s="40" t="str">
        <x:v>Mitia Duerinckx; Borjan Geshkovski; Stefano Rossi</x:v>
      </x:c>
      <x:c r="H140" s="40" t="str">
        <x:v>PDE/ML mean-field models</x:v>
      </x:c>
      <x:c r="I140" s="59"/>
      <x:c r="J140" s="40" t="str">
        <x:v>https://arxiv.org/abs/2605.09213</x:v>
      </x:c>
      <x:c r="K140" s="60" t="n">
        <x:v>87</x:v>
      </x:c>
      <x:c r="L140" s="60" t="n">
        <x:v>89</x:v>
      </x:c>
      <x:c r="M140" s="60" t="n">
        <x:v>87</x:v>
      </x:c>
      <x:c r="N140" s="60" t="n">
        <x:v>88</x:v>
      </x:c>
      <x:c r="O140" s="60" t="n">
        <x:v>86</x:v>
      </x:c>
      <x:c r="P140" s="60" t="n">
        <x:v>84</x:v>
      </x:c>
      <x:c r="Q140" s="60" t="n">
        <x:v>35</x:v>
      </x:c>
      <x:c r="R140" s="59" t="n">
        <x:v>10</x:v>
      </x:c>
      <x:c r="S140" s="60" t="n">
        <x:v>87.3</x:v>
      </x:c>
      <x:c r="T140" s="60" t="n">
        <x:v>83.4</x:v>
      </x:c>
      <x:c r="U140" s="60" t="n">
        <x:v>85.4</x:v>
      </x:c>
      <x:c r="V140" s="60" t="n">
        <x:v>87.1</x:v>
      </x:c>
      <x:c r="W140" s="60" t="n">
        <x:v>89</x:v>
      </x:c>
      <x:c r="X140" s="60" t="n">
        <x:v>87.1</x:v>
      </x:c>
      <x:c r="Y140" s="60" t="n">
        <x:v>88</x:v>
      </x:c>
      <x:c r="Z140" s="60" t="n">
        <x:v>86.1</x:v>
      </x:c>
      <x:c r="AA140" s="60" t="n">
        <x:v>84</x:v>
      </x:c>
      <x:c r="AB140" s="60" t="n">
        <x:v>35</x:v>
      </x:c>
      <x:c r="AC140" s="60" t="n">
        <x:f>ROUND(((0.30*V140+0.20*W140+0.25*X140+0.15*Y140+0.10*AA140)+(0.30*Z140+0.20*X140+0.20*W140+0.15*AA140+0.15*(100-AB140)))/2,2)</x:f>
        <x:v>85.35</x:v>
      </x:c>
      <x:c r="AD140" s="60" t="n">
        <x:v>87</x:v>
      </x:c>
      <x:c r="AE140" s="60" t="n">
        <x:v>89</x:v>
      </x:c>
      <x:c r="AF140" s="60" t="n">
        <x:v>87</x:v>
      </x:c>
      <x:c r="AG140" s="60" t="n">
        <x:v>88</x:v>
      </x:c>
      <x:c r="AH140" s="60" t="n">
        <x:v>86</x:v>
      </x:c>
      <x:c r="AI140" s="60" t="n">
        <x:v>84</x:v>
      </x:c>
      <x:c r="AJ140" s="60" t="n">
        <x:v>35</x:v>
      </x:c>
      <x:c r="AK140" s="60" t="n">
        <x:f>ROUND(((0.30*AD140+0.20*AE140+0.25*AF140+0.15*AG140+0.10*AI140)+(0.30*AH140+0.20*AF140+0.20*AE140+0.15*AI140+0.15*(100-AJ140)))/2,2)</x:f>
        <x:v>85.3</x:v>
      </x:c>
      <x:c r="AL140" s="60" t="n">
        <x:v>87</x:v>
      </x:c>
      <x:c r="AM140" s="60" t="n">
        <x:v>89</x:v>
      </x:c>
      <x:c r="AN140" s="60" t="n">
        <x:v>86.7</x:v>
      </x:c>
      <x:c r="AO140" s="60" t="n">
        <x:v>88</x:v>
      </x:c>
      <x:c r="AP140" s="60" t="n">
        <x:v>85.6</x:v>
      </x:c>
      <x:c r="AQ140" s="60" t="n">
        <x:v>84</x:v>
      </x:c>
      <x:c r="AR140" s="60" t="n">
        <x:v>35</x:v>
      </x:c>
      <x:c r="AS140" s="60" t="n">
        <x:f>ROUND(((0.30*AL140+0.20*AM140+0.25*AN140+0.15*AO140+0.10*AQ140)+(0.30*AP140+0.20*AN140+0.20*AM140+0.15*AQ140+0.15*(100-AR140)))/2,2)</x:f>
        <x:v>85.17</x:v>
      </x:c>
      <x:c r="AT140" s="60" t="n">
        <x:f>ROUND(AVERAGE(V140,AD140,AL140),1)</x:f>
        <x:v>87</x:v>
      </x:c>
      <x:c r="AU140" s="60" t="n">
        <x:f>ROUND(AVERAGE(W140,AE140,AM140),1)</x:f>
        <x:v>89</x:v>
      </x:c>
      <x:c r="AV140" s="60" t="n">
        <x:f>ROUND(AVERAGE(X140,AF140,AN140),1)</x:f>
        <x:v>86.9</x:v>
      </x:c>
      <x:c r="AW140" s="60" t="n">
        <x:f>ROUND(AVERAGE(Y140,AG140,AO140),1)</x:f>
        <x:v>88</x:v>
      </x:c>
      <x:c r="AX140" s="60" t="n">
        <x:f>ROUND(AVERAGE(Z140,AH140,AP140),1)</x:f>
        <x:v>85.9</x:v>
      </x:c>
      <x:c r="AY140" s="60" t="n">
        <x:f>ROUND(AVERAGE(AA140,AI140,AQ140),1)</x:f>
        <x:v>84</x:v>
      </x:c>
      <x:c r="AZ140" s="60" t="n">
        <x:f>ROUND(AVERAGE(AB140,AJ140,AR140),1)</x:f>
        <x:v>35</x:v>
      </x:c>
      <x:c r="BA140" s="59" t="n">
        <x:v>10</x:v>
      </x:c>
      <x:c r="BB140" s="60" t="n">
        <x:f>ROUND(0.30*AT140+0.20*AU140+0.25*AV140+0.15*AW140+0.10*AY140,2)</x:f>
        <x:v>87.23</x:v>
      </x:c>
      <x:c r="BC140" s="60" t="n">
        <x:f>ROUND(0.30*AX140+0.20*AV140+0.20*AU140+0.15*AY140+0.15*(100-AZ140),2)</x:f>
        <x:v>83.3</x:v>
      </x:c>
      <x:c r="BD140" s="60" t="n">
        <x:f>ROUND(AVERAGE(BB140,BC140),2)</x:f>
        <x:v>85.27</x:v>
      </x:c>
      <x:c r="BE140" s="60" t="n">
        <x:f>ROUND(BD140-U140,2)</x:f>
        <x:v>-0.13</x:v>
      </x:c>
      <x:c r="BF140" s="60" t="n">
        <x:f>ROUND(STDEV.P(AC140,AK140,AS140),3)</x:f>
        <x:v>0.076</x:v>
      </x:c>
      <x:c r="BG140" s="59" t="str"/>
      <x:c r="BH140" s="59" t="str">
        <x:v>30%评分池轻量复核</x:v>
      </x:c>
      <x:c r="BI140" s="40" t="str">
        <x:v>三轮复核后与原表基本一致</x:v>
      </x:c>
    </x:row>
    <x:row r="141" ht="30" customHeight="1">
      <x:c r="A141" s="59" t="n">
        <x:v>140</x:v>
      </x:c>
      <x:c r="B141" s="59" t="n">
        <x:v>140</x:v>
      </x:c>
      <x:c r="C141" s="59" t="str">
        <x:v>2026-06</x:v>
      </x:c>
      <x:c r="D141" s="59" t="n">
        <x:v>52</x:v>
      </x:c>
      <x:c r="E141" s="59" t="str">
        <x:v>2606.06956</x:v>
      </x:c>
      <x:c r="F141" s="40" t="str">
        <x:v>Thermal Relaxation Effects on Stability Thresholds: Timoshenko-Boltzmann systems</x:v>
      </x:c>
      <x:c r="G141" s="40" t="str">
        <x:v>Zhou Jun; Mou SiRuo</x:v>
      </x:c>
      <x:c r="H141" s="40" t="str">
        <x:v>fluid/kinetic PDE</x:v>
      </x:c>
      <x:c r="I141" s="59" t="n">
        <x:v>36</x:v>
      </x:c>
      <x:c r="J141" s="40" t="str">
        <x:v>https://arxiv.org/abs/2606.06956</x:v>
      </x:c>
      <x:c r="K141" s="60" t="n">
        <x:v>85</x:v>
      </x:c>
      <x:c r="L141" s="60" t="n">
        <x:v>84</x:v>
      </x:c>
      <x:c r="M141" s="60" t="n">
        <x:v>85</x:v>
      </x:c>
      <x:c r="N141" s="60" t="n">
        <x:v>83</x:v>
      </x:c>
      <x:c r="O141" s="60" t="n">
        <x:v>85</x:v>
      </x:c>
      <x:c r="P141" s="60" t="n">
        <x:v>84</x:v>
      </x:c>
      <x:c r="Q141" s="60" t="n">
        <x:v>13</x:v>
      </x:c>
      <x:c r="R141" s="59" t="n">
        <x:v>5</x:v>
      </x:c>
      <x:c r="S141" s="60" t="n">
        <x:v>84.4</x:v>
      </x:c>
      <x:c r="T141" s="60" t="n">
        <x:v>84.94999999999999</x:v>
      </x:c>
      <x:c r="U141" s="60" t="n">
        <x:v>84.675</x:v>
      </x:c>
      <x:c r="V141" s="60" t="n">
        <x:v>85.1</x:v>
      </x:c>
      <x:c r="W141" s="60" t="n">
        <x:v>84</x:v>
      </x:c>
      <x:c r="X141" s="60" t="n">
        <x:v>85.1</x:v>
      </x:c>
      <x:c r="Y141" s="60" t="n">
        <x:v>83</x:v>
      </x:c>
      <x:c r="Z141" s="60" t="n">
        <x:v>85.1</x:v>
      </x:c>
      <x:c r="AA141" s="60" t="n">
        <x:v>84</x:v>
      </x:c>
      <x:c r="AB141" s="60" t="n">
        <x:v>13</x:v>
      </x:c>
      <x:c r="AC141" s="60" t="n">
        <x:f>ROUND(((0.30*V141+0.20*W141+0.25*X141+0.15*Y141+0.10*AA141)+(0.30*Z141+0.20*X141+0.20*W141+0.15*AA141+0.15*(100-AB141)))/2,2)</x:f>
        <x:v>84.73</x:v>
      </x:c>
      <x:c r="AD141" s="60" t="n">
        <x:v>85</x:v>
      </x:c>
      <x:c r="AE141" s="60" t="n">
        <x:v>84</x:v>
      </x:c>
      <x:c r="AF141" s="60" t="n">
        <x:v>85</x:v>
      </x:c>
      <x:c r="AG141" s="60" t="n">
        <x:v>83</x:v>
      </x:c>
      <x:c r="AH141" s="60" t="n">
        <x:v>85</x:v>
      </x:c>
      <x:c r="AI141" s="60" t="n">
        <x:v>84</x:v>
      </x:c>
      <x:c r="AJ141" s="60" t="n">
        <x:v>13</x:v>
      </x:c>
      <x:c r="AK141" s="60" t="n">
        <x:f>ROUND(((0.30*AD141+0.20*AE141+0.25*AF141+0.15*AG141+0.10*AI141)+(0.30*AH141+0.20*AF141+0.20*AE141+0.15*AI141+0.15*(100-AJ141)))/2,2)</x:f>
        <x:v>84.68</x:v>
      </x:c>
      <x:c r="AL141" s="60" t="n">
        <x:v>85</x:v>
      </x:c>
      <x:c r="AM141" s="60" t="n">
        <x:v>84</x:v>
      </x:c>
      <x:c r="AN141" s="60" t="n">
        <x:v>85.1</x:v>
      </x:c>
      <x:c r="AO141" s="60" t="n">
        <x:v>83</x:v>
      </x:c>
      <x:c r="AP141" s="60" t="n">
        <x:v>85</x:v>
      </x:c>
      <x:c r="AQ141" s="60" t="n">
        <x:v>84</x:v>
      </x:c>
      <x:c r="AR141" s="60" t="n">
        <x:v>13</x:v>
      </x:c>
      <x:c r="AS141" s="60" t="n">
        <x:f>ROUND(((0.30*AL141+0.20*AM141+0.25*AN141+0.15*AO141+0.10*AQ141)+(0.30*AP141+0.20*AN141+0.20*AM141+0.15*AQ141+0.15*(100-AR141)))/2,2)</x:f>
        <x:v>84.7</x:v>
      </x:c>
      <x:c r="AT141" s="60" t="n">
        <x:f>ROUND(AVERAGE(V141,AD141,AL141),1)</x:f>
        <x:v>85</x:v>
      </x:c>
      <x:c r="AU141" s="60" t="n">
        <x:f>ROUND(AVERAGE(W141,AE141,AM141),1)</x:f>
        <x:v>84</x:v>
      </x:c>
      <x:c r="AV141" s="60" t="n">
        <x:f>ROUND(AVERAGE(X141,AF141,AN141),1)</x:f>
        <x:v>85.1</x:v>
      </x:c>
      <x:c r="AW141" s="60" t="n">
        <x:f>ROUND(AVERAGE(Y141,AG141,AO141),1)</x:f>
        <x:v>83</x:v>
      </x:c>
      <x:c r="AX141" s="60" t="n">
        <x:f>ROUND(AVERAGE(Z141,AH141,AP141),1)</x:f>
        <x:v>85</x:v>
      </x:c>
      <x:c r="AY141" s="60" t="n">
        <x:f>ROUND(AVERAGE(AA141,AI141,AQ141),1)</x:f>
        <x:v>84</x:v>
      </x:c>
      <x:c r="AZ141" s="60" t="n">
        <x:f>ROUND(AVERAGE(AB141,AJ141,AR141),1)</x:f>
        <x:v>13</x:v>
      </x:c>
      <x:c r="BA141" s="59" t="n">
        <x:v>5</x:v>
      </x:c>
      <x:c r="BB141" s="60" t="n">
        <x:f>ROUND(0.30*AT141+0.20*AU141+0.25*AV141+0.15*AW141+0.10*AY141,2)</x:f>
        <x:v>84.43</x:v>
      </x:c>
      <x:c r="BC141" s="60" t="n">
        <x:f>ROUND(0.30*AX141+0.20*AV141+0.20*AU141+0.15*AY141+0.15*(100-AZ141),2)</x:f>
        <x:v>84.97</x:v>
      </x:c>
      <x:c r="BD141" s="60" t="n">
        <x:f>ROUND(AVERAGE(BB141,BC141),2)</x:f>
        <x:v>84.7</x:v>
      </x:c>
      <x:c r="BE141" s="60" t="n">
        <x:f>ROUND(BD141-U141,2)</x:f>
        <x:v>0.03</x:v>
      </x:c>
      <x:c r="BF141" s="60" t="n">
        <x:f>ROUND(STDEV.P(AC141,AK141,AS141),3)</x:f>
        <x:v>0.021</x:v>
      </x:c>
      <x:c r="BG141" s="59" t="str"/>
      <x:c r="BH141" s="59" t="str">
        <x:v>30%评分池轻量复核</x:v>
      </x:c>
      <x:c r="BI141" s="40" t="str">
        <x:v>三轮复核后与原表基本一致</x:v>
      </x:c>
    </x:row>
    <x:row r="142" ht="30" customHeight="1">
      <x:c r="A142" s="59" t="n">
        <x:v>141</x:v>
      </x:c>
      <x:c r="B142" s="59" t="n">
        <x:v>141</x:v>
      </x:c>
      <x:c r="C142" s="59" t="str">
        <x:v>2026-05</x:v>
      </x:c>
      <x:c r="D142" s="59" t="n">
        <x:v>89</x:v>
      </x:c>
      <x:c r="E142" s="59" t="str">
        <x:v>2605.30681</x:v>
      </x:c>
      <x:c r="F142" s="40" t="str">
        <x:v>On a structural acoustic model with logarithmic supercritical source terms</x:v>
      </x:c>
      <x:c r="G142" s="40" t="str">
        <x:v>Baowei Feng; Yanqiu Guo; Mohammad A. Rammaha</x:v>
      </x:c>
      <x:c r="H142" s="40" t="str">
        <x:v>Evolution equations</x:v>
      </x:c>
      <x:c r="I142" s="59" t="n">
        <x:v>34</x:v>
      </x:c>
      <x:c r="J142" s="40" t="str">
        <x:v>https://arxiv.org/abs/2605.30681</x:v>
      </x:c>
      <x:c r="K142" s="60" t="n">
        <x:v>84</x:v>
      </x:c>
      <x:c r="L142" s="60" t="n">
        <x:v>85</x:v>
      </x:c>
      <x:c r="M142" s="60" t="n">
        <x:v>86</x:v>
      </x:c>
      <x:c r="N142" s="60" t="n">
        <x:v>81</x:v>
      </x:c>
      <x:c r="O142" s="60" t="n">
        <x:v>86</x:v>
      </x:c>
      <x:c r="P142" s="60" t="n">
        <x:v>84</x:v>
      </x:c>
      <x:c r="Q142" s="60" t="n">
        <x:v>18</x:v>
      </x:c>
      <x:c r="R142" s="59" t="n">
        <x:v>7</x:v>
      </x:c>
      <x:c r="S142" s="60" t="n">
        <x:v>84.3</x:v>
      </x:c>
      <x:c r="T142" s="60" t="n">
        <x:v>84.9</x:v>
      </x:c>
      <x:c r="U142" s="60" t="n">
        <x:v>84.6</x:v>
      </x:c>
      <x:c r="V142" s="60" t="n">
        <x:v>84</x:v>
      </x:c>
      <x:c r="W142" s="60" t="n">
        <x:v>85</x:v>
      </x:c>
      <x:c r="X142" s="60" t="n">
        <x:v>86</x:v>
      </x:c>
      <x:c r="Y142" s="60" t="n">
        <x:v>81</x:v>
      </x:c>
      <x:c r="Z142" s="60" t="n">
        <x:v>86</x:v>
      </x:c>
      <x:c r="AA142" s="60" t="n">
        <x:v>84</x:v>
      </x:c>
      <x:c r="AB142" s="60" t="n">
        <x:v>18</x:v>
      </x:c>
      <x:c r="AC142" s="60" t="n">
        <x:f>ROUND(((0.30*V142+0.20*W142+0.25*X142+0.15*Y142+0.10*AA142)+(0.30*Z142+0.20*X142+0.20*W142+0.15*AA142+0.15*(100-AB142)))/2,2)</x:f>
        <x:v>84.58</x:v>
      </x:c>
      <x:c r="AD142" s="60" t="n">
        <x:v>84</x:v>
      </x:c>
      <x:c r="AE142" s="60" t="n">
        <x:v>85</x:v>
      </x:c>
      <x:c r="AF142" s="60" t="n">
        <x:v>86</x:v>
      </x:c>
      <x:c r="AG142" s="60" t="n">
        <x:v>81.1</x:v>
      </x:c>
      <x:c r="AH142" s="60" t="n">
        <x:v>86</x:v>
      </x:c>
      <x:c r="AI142" s="60" t="n">
        <x:v>84</x:v>
      </x:c>
      <x:c r="AJ142" s="60" t="n">
        <x:v>18</x:v>
      </x:c>
      <x:c r="AK142" s="60" t="n">
        <x:f>ROUND(((0.30*AD142+0.20*AE142+0.25*AF142+0.15*AG142+0.10*AI142)+(0.30*AH142+0.20*AF142+0.20*AE142+0.15*AI142+0.15*(100-AJ142)))/2,2)</x:f>
        <x:v>84.58</x:v>
      </x:c>
      <x:c r="AL142" s="60" t="n">
        <x:v>84</x:v>
      </x:c>
      <x:c r="AM142" s="60" t="n">
        <x:v>85</x:v>
      </x:c>
      <x:c r="AN142" s="60" t="n">
        <x:v>86</x:v>
      </x:c>
      <x:c r="AO142" s="60" t="n">
        <x:v>81</x:v>
      </x:c>
      <x:c r="AP142" s="60" t="n">
        <x:v>86</x:v>
      </x:c>
      <x:c r="AQ142" s="60" t="n">
        <x:v>84</x:v>
      </x:c>
      <x:c r="AR142" s="60" t="n">
        <x:v>18</x:v>
      </x:c>
      <x:c r="AS142" s="60" t="n">
        <x:f>ROUND(((0.30*AL142+0.20*AM142+0.25*AN142+0.15*AO142+0.10*AQ142)+(0.30*AP142+0.20*AN142+0.20*AM142+0.15*AQ142+0.15*(100-AR142)))/2,2)</x:f>
        <x:v>84.58</x:v>
      </x:c>
      <x:c r="AT142" s="60" t="n">
        <x:f>ROUND(AVERAGE(V142,AD142,AL142),1)</x:f>
        <x:v>84</x:v>
      </x:c>
      <x:c r="AU142" s="60" t="n">
        <x:f>ROUND(AVERAGE(W142,AE142,AM142),1)</x:f>
        <x:v>85</x:v>
      </x:c>
      <x:c r="AV142" s="60" t="n">
        <x:f>ROUND(AVERAGE(X142,AF142,AN142),1)</x:f>
        <x:v>86</x:v>
      </x:c>
      <x:c r="AW142" s="60" t="n">
        <x:f>ROUND(AVERAGE(Y142,AG142,AO142),1)</x:f>
        <x:v>81</x:v>
      </x:c>
      <x:c r="AX142" s="60" t="n">
        <x:f>ROUND(AVERAGE(Z142,AH142,AP142),1)</x:f>
        <x:v>86</x:v>
      </x:c>
      <x:c r="AY142" s="60" t="n">
        <x:f>ROUND(AVERAGE(AA142,AI142,AQ142),1)</x:f>
        <x:v>84</x:v>
      </x:c>
      <x:c r="AZ142" s="60" t="n">
        <x:f>ROUND(AVERAGE(AB142,AJ142,AR142),1)</x:f>
        <x:v>18</x:v>
      </x:c>
      <x:c r="BA142" s="59" t="n">
        <x:v>7</x:v>
      </x:c>
      <x:c r="BB142" s="60" t="n">
        <x:f>ROUND(0.30*AT142+0.20*AU142+0.25*AV142+0.15*AW142+0.10*AY142,2)</x:f>
        <x:v>84.25</x:v>
      </x:c>
      <x:c r="BC142" s="60" t="n">
        <x:f>ROUND(0.30*AX142+0.20*AV142+0.20*AU142+0.15*AY142+0.15*(100-AZ142),2)</x:f>
        <x:v>84.9</x:v>
      </x:c>
      <x:c r="BD142" s="60" t="n">
        <x:f>ROUND(AVERAGE(BB142,BC142),2)</x:f>
        <x:v>84.58</x:v>
      </x:c>
      <x:c r="BE142" s="60" t="n">
        <x:f>ROUND(BD142-U142,2)</x:f>
        <x:v>-0.02</x:v>
      </x:c>
      <x:c r="BF142" s="60" t="n">
        <x:f>ROUND(STDEV.P(AC142,AK142,AS142),3)</x:f>
        <x:v>0</x:v>
      </x:c>
      <x:c r="BG142" s="59" t="str"/>
      <x:c r="BH142" s="59" t="str">
        <x:v>30%评分池轻量复核</x:v>
      </x:c>
      <x:c r="BI142" s="40" t="str">
        <x:v>三轮复核后与原表基本一致</x:v>
      </x:c>
    </x:row>
    <x:row r="143" ht="30" customHeight="1">
      <x:c r="A143" s="59" t="n">
        <x:v>142</x:v>
      </x:c>
      <x:c r="B143" s="59" t="n">
        <x:v>142</x:v>
      </x:c>
      <x:c r="C143" s="59" t="str">
        <x:v>2026-05</x:v>
      </x:c>
      <x:c r="D143" s="59" t="n">
        <x:v>90</x:v>
      </x:c>
      <x:c r="E143" s="59" t="str">
        <x:v>2605.03920</x:v>
      </x:c>
      <x:c r="F143" s="40" t="str">
        <x:v>Linear instability of a Burgers-Hilbert traveling wave</x:v>
      </x:c>
      <x:c r="G143" s="40" t="str">
        <x:v>Angel Castro; Javier Gomez-Serrano; Miguel Pascual-Caballo</x:v>
      </x:c>
      <x:c r="H143" s="40" t="str">
        <x:v>Nonlocal waves / computation</x:v>
      </x:c>
      <x:c r="I143" s="59"/>
      <x:c r="J143" s="40" t="str">
        <x:v>https://arxiv.org/abs/2605.03920</x:v>
      </x:c>
      <x:c r="K143" s="60" t="n">
        <x:v>86</x:v>
      </x:c>
      <x:c r="L143" s="60" t="n">
        <x:v>87</x:v>
      </x:c>
      <x:c r="M143" s="60" t="n">
        <x:v>86</x:v>
      </x:c>
      <x:c r="N143" s="60" t="n">
        <x:v>82</x:v>
      </x:c>
      <x:c r="O143" s="60" t="n">
        <x:v>85</x:v>
      </x:c>
      <x:c r="P143" s="60" t="n">
        <x:v>82</x:v>
      </x:c>
      <x:c r="Q143" s="60" t="n">
        <x:v>28</x:v>
      </x:c>
      <x:c r="R143" s="59" t="n">
        <x:v>9</x:v>
      </x:c>
      <x:c r="S143" s="60" t="n">
        <x:v>85.2</x:v>
      </x:c>
      <x:c r="T143" s="60" t="n">
        <x:v>83.2</x:v>
      </x:c>
      <x:c r="U143" s="60" t="n">
        <x:v>84.2</x:v>
      </x:c>
      <x:c r="V143" s="60" t="n">
        <x:v>86</x:v>
      </x:c>
      <x:c r="W143" s="60" t="n">
        <x:v>87</x:v>
      </x:c>
      <x:c r="X143" s="60" t="n">
        <x:v>86</x:v>
      </x:c>
      <x:c r="Y143" s="60" t="n">
        <x:v>82</x:v>
      </x:c>
      <x:c r="Z143" s="60" t="n">
        <x:v>85</x:v>
      </x:c>
      <x:c r="AA143" s="60" t="n">
        <x:v>82</x:v>
      </x:c>
      <x:c r="AB143" s="60" t="n">
        <x:v>28</x:v>
      </x:c>
      <x:c r="AC143" s="60" t="n">
        <x:f>ROUND(((0.30*V143+0.20*W143+0.25*X143+0.15*Y143+0.10*AA143)+(0.30*Z143+0.20*X143+0.20*W143+0.15*AA143+0.15*(100-AB143)))/2,2)</x:f>
        <x:v>84.2</x:v>
      </x:c>
      <x:c r="AD143" s="60" t="n">
        <x:v>86</x:v>
      </x:c>
      <x:c r="AE143" s="60" t="n">
        <x:v>87</x:v>
      </x:c>
      <x:c r="AF143" s="60" t="n">
        <x:v>86</x:v>
      </x:c>
      <x:c r="AG143" s="60" t="n">
        <x:v>82.1</x:v>
      </x:c>
      <x:c r="AH143" s="60" t="n">
        <x:v>85</x:v>
      </x:c>
      <x:c r="AI143" s="60" t="n">
        <x:v>82</x:v>
      </x:c>
      <x:c r="AJ143" s="60" t="n">
        <x:v>28</x:v>
      </x:c>
      <x:c r="AK143" s="60" t="n">
        <x:f>ROUND(((0.30*AD143+0.20*AE143+0.25*AF143+0.15*AG143+0.10*AI143)+(0.30*AH143+0.20*AF143+0.20*AE143+0.15*AI143+0.15*(100-AJ143)))/2,2)</x:f>
        <x:v>84.21</x:v>
      </x:c>
      <x:c r="AL143" s="60" t="n">
        <x:v>86</x:v>
      </x:c>
      <x:c r="AM143" s="60" t="n">
        <x:v>87</x:v>
      </x:c>
      <x:c r="AN143" s="60" t="n">
        <x:v>85.6</x:v>
      </x:c>
      <x:c r="AO143" s="60" t="n">
        <x:v>82</x:v>
      </x:c>
      <x:c r="AP143" s="60" t="n">
        <x:v>84.6</x:v>
      </x:c>
      <x:c r="AQ143" s="60" t="n">
        <x:v>82</x:v>
      </x:c>
      <x:c r="AR143" s="60" t="n">
        <x:v>28</x:v>
      </x:c>
      <x:c r="AS143" s="60" t="n">
        <x:f>ROUND(((0.30*AL143+0.20*AM143+0.25*AN143+0.15*AO143+0.10*AQ143)+(0.30*AP143+0.20*AN143+0.20*AM143+0.15*AQ143+0.15*(100-AR143)))/2,2)</x:f>
        <x:v>84.05</x:v>
      </x:c>
      <x:c r="AT143" s="60" t="n">
        <x:f>ROUND(AVERAGE(V143,AD143,AL143),1)</x:f>
        <x:v>86</x:v>
      </x:c>
      <x:c r="AU143" s="60" t="n">
        <x:f>ROUND(AVERAGE(W143,AE143,AM143),1)</x:f>
        <x:v>87</x:v>
      </x:c>
      <x:c r="AV143" s="60" t="n">
        <x:f>ROUND(AVERAGE(X143,AF143,AN143),1)</x:f>
        <x:v>85.9</x:v>
      </x:c>
      <x:c r="AW143" s="60" t="n">
        <x:f>ROUND(AVERAGE(Y143,AG143,AO143),1)</x:f>
        <x:v>82</x:v>
      </x:c>
      <x:c r="AX143" s="60" t="n">
        <x:f>ROUND(AVERAGE(Z143,AH143,AP143),1)</x:f>
        <x:v>84.9</x:v>
      </x:c>
      <x:c r="AY143" s="60" t="n">
        <x:f>ROUND(AVERAGE(AA143,AI143,AQ143),1)</x:f>
        <x:v>82</x:v>
      </x:c>
      <x:c r="AZ143" s="60" t="n">
        <x:f>ROUND(AVERAGE(AB143,AJ143,AR143),1)</x:f>
        <x:v>28</x:v>
      </x:c>
      <x:c r="BA143" s="59" t="n">
        <x:v>9</x:v>
      </x:c>
      <x:c r="BB143" s="60" t="n">
        <x:f>ROUND(0.30*AT143+0.20*AU143+0.25*AV143+0.15*AW143+0.10*AY143,2)</x:f>
        <x:v>85.18</x:v>
      </x:c>
      <x:c r="BC143" s="60" t="n">
        <x:f>ROUND(0.30*AX143+0.20*AV143+0.20*AU143+0.15*AY143+0.15*(100-AZ143),2)</x:f>
        <x:v>83.15</x:v>
      </x:c>
      <x:c r="BD143" s="60" t="n">
        <x:f>ROUND(AVERAGE(BB143,BC143),2)</x:f>
        <x:v>84.17</x:v>
      </x:c>
      <x:c r="BE143" s="60" t="n">
        <x:f>ROUND(BD143-U143,2)</x:f>
        <x:v>-0.03</x:v>
      </x:c>
      <x:c r="BF143" s="60" t="n">
        <x:f>ROUND(STDEV.P(AC143,AK143,AS143),3)</x:f>
        <x:v>0.073</x:v>
      </x:c>
      <x:c r="BG143" s="59" t="str"/>
      <x:c r="BH143" s="59" t="str">
        <x:v>30%评分池轻量复核</x:v>
      </x:c>
      <x:c r="BI143" s="40" t="str">
        <x:v>三轮复核后与原表基本一致</x:v>
      </x:c>
    </x:row>
    <x:row r="144" ht="30" customHeight="1">
      <x:c r="A144" s="59" t="n">
        <x:v>143</x:v>
      </x:c>
      <x:c r="B144" s="59" t="n">
        <x:v>143</x:v>
      </x:c>
      <x:c r="C144" s="59" t="str">
        <x:v>2026-06</x:v>
      </x:c>
      <x:c r="D144" s="59" t="n">
        <x:v>53</x:v>
      </x:c>
      <x:c r="E144" s="59" t="str">
        <x:v>2606.07501</x:v>
      </x:c>
      <x:c r="F144" s="40" t="str">
        <x:v>On the non-uniqueness of solutions of the axi-symmetric swirl-free Navier-Stokes equations, I</x:v>
      </x:c>
      <x:c r="G144" s="40" t="str">
        <x:v>Alexandru D. Ionescu; Hao Jia; Stan Palasek</x:v>
      </x:c>
      <x:c r="H144" s="40" t="str">
        <x:v>fluid/kinetic PDE</x:v>
      </x:c>
      <x:c r="I144" s="59" t="n">
        <x:v>24</x:v>
      </x:c>
      <x:c r="J144" s="40" t="str">
        <x:v>https://arxiv.org/abs/2606.07501</x:v>
      </x:c>
      <x:c r="K144" s="60" t="n">
        <x:v>84</x:v>
      </x:c>
      <x:c r="L144" s="60" t="n">
        <x:v>84</x:v>
      </x:c>
      <x:c r="M144" s="60" t="n">
        <x:v>84</x:v>
      </x:c>
      <x:c r="N144" s="60" t="n">
        <x:v>83</x:v>
      </x:c>
      <x:c r="O144" s="60" t="n">
        <x:v>84</x:v>
      </x:c>
      <x:c r="P144" s="60" t="n">
        <x:v>83</x:v>
      </x:c>
      <x:c r="Q144" s="60" t="n">
        <x:v>13</x:v>
      </x:c>
      <x:c r="R144" s="59" t="n">
        <x:v>5</x:v>
      </x:c>
      <x:c r="S144" s="60" t="n">
        <x:v>83.75</x:v>
      </x:c>
      <x:c r="T144" s="60" t="n">
        <x:v>84.3</x:v>
      </x:c>
      <x:c r="U144" s="60" t="n">
        <x:v>84.025</x:v>
      </x:c>
      <x:c r="V144" s="60" t="n">
        <x:v>84.1</x:v>
      </x:c>
      <x:c r="W144" s="60" t="n">
        <x:v>84</x:v>
      </x:c>
      <x:c r="X144" s="60" t="n">
        <x:v>84.1</x:v>
      </x:c>
      <x:c r="Y144" s="60" t="n">
        <x:v>83</x:v>
      </x:c>
      <x:c r="Z144" s="60" t="n">
        <x:v>84.1</x:v>
      </x:c>
      <x:c r="AA144" s="60" t="n">
        <x:v>83</x:v>
      </x:c>
      <x:c r="AB144" s="60" t="n">
        <x:v>13</x:v>
      </x:c>
      <x:c r="AC144" s="60" t="n">
        <x:f>ROUND(((0.30*V144+0.20*W144+0.25*X144+0.15*Y144+0.10*AA144)+(0.30*Z144+0.20*X144+0.20*W144+0.15*AA144+0.15*(100-AB144)))/2,2)</x:f>
        <x:v>84.08</x:v>
      </x:c>
      <x:c r="AD144" s="60" t="n">
        <x:v>84</x:v>
      </x:c>
      <x:c r="AE144" s="60" t="n">
        <x:v>84</x:v>
      </x:c>
      <x:c r="AF144" s="60" t="n">
        <x:v>84</x:v>
      </x:c>
      <x:c r="AG144" s="60" t="n">
        <x:v>83</x:v>
      </x:c>
      <x:c r="AH144" s="60" t="n">
        <x:v>84</x:v>
      </x:c>
      <x:c r="AI144" s="60" t="n">
        <x:v>83</x:v>
      </x:c>
      <x:c r="AJ144" s="60" t="n">
        <x:v>13.4</x:v>
      </x:c>
      <x:c r="AK144" s="60" t="n">
        <x:f>ROUND(((0.30*AD144+0.20*AE144+0.25*AF144+0.15*AG144+0.10*AI144)+(0.30*AH144+0.20*AF144+0.20*AE144+0.15*AI144+0.15*(100-AJ144)))/2,2)</x:f>
        <x:v>84</x:v>
      </x:c>
      <x:c r="AL144" s="60" t="n">
        <x:v>84</x:v>
      </x:c>
      <x:c r="AM144" s="60" t="n">
        <x:v>84</x:v>
      </x:c>
      <x:c r="AN144" s="60" t="n">
        <x:v>84.1</x:v>
      </x:c>
      <x:c r="AO144" s="60" t="n">
        <x:v>83</x:v>
      </x:c>
      <x:c r="AP144" s="60" t="n">
        <x:v>84</x:v>
      </x:c>
      <x:c r="AQ144" s="60" t="n">
        <x:v>83</x:v>
      </x:c>
      <x:c r="AR144" s="60" t="n">
        <x:v>13</x:v>
      </x:c>
      <x:c r="AS144" s="60" t="n">
        <x:f>ROUND(((0.30*AL144+0.20*AM144+0.25*AN144+0.15*AO144+0.10*AQ144)+(0.30*AP144+0.20*AN144+0.20*AM144+0.15*AQ144+0.15*(100-AR144)))/2,2)</x:f>
        <x:v>84.05</x:v>
      </x:c>
      <x:c r="AT144" s="60" t="n">
        <x:f>ROUND(AVERAGE(V144,AD144,AL144),1)</x:f>
        <x:v>84</x:v>
      </x:c>
      <x:c r="AU144" s="60" t="n">
        <x:f>ROUND(AVERAGE(W144,AE144,AM144),1)</x:f>
        <x:v>84</x:v>
      </x:c>
      <x:c r="AV144" s="60" t="n">
        <x:f>ROUND(AVERAGE(X144,AF144,AN144),1)</x:f>
        <x:v>84.1</x:v>
      </x:c>
      <x:c r="AW144" s="60" t="n">
        <x:f>ROUND(AVERAGE(Y144,AG144,AO144),1)</x:f>
        <x:v>83</x:v>
      </x:c>
      <x:c r="AX144" s="60" t="n">
        <x:f>ROUND(AVERAGE(Z144,AH144,AP144),1)</x:f>
        <x:v>84</x:v>
      </x:c>
      <x:c r="AY144" s="60" t="n">
        <x:f>ROUND(AVERAGE(AA144,AI144,AQ144),1)</x:f>
        <x:v>83</x:v>
      </x:c>
      <x:c r="AZ144" s="60" t="n">
        <x:f>ROUND(AVERAGE(AB144,AJ144,AR144),1)</x:f>
        <x:v>13.1</x:v>
      </x:c>
      <x:c r="BA144" s="59" t="n">
        <x:v>5</x:v>
      </x:c>
      <x:c r="BB144" s="60" t="n">
        <x:f>ROUND(0.30*AT144+0.20*AU144+0.25*AV144+0.15*AW144+0.10*AY144,2)</x:f>
        <x:v>83.78</x:v>
      </x:c>
      <x:c r="BC144" s="60" t="n">
        <x:f>ROUND(0.30*AX144+0.20*AV144+0.20*AU144+0.15*AY144+0.15*(100-AZ144),2)</x:f>
        <x:v>84.31</x:v>
      </x:c>
      <x:c r="BD144" s="60" t="n">
        <x:f>ROUND(AVERAGE(BB144,BC144),2)</x:f>
        <x:v>84.05</x:v>
      </x:c>
      <x:c r="BE144" s="60" t="n">
        <x:f>ROUND(BD144-U144,2)</x:f>
        <x:v>0.02</x:v>
      </x:c>
      <x:c r="BF144" s="60" t="n">
        <x:f>ROUND(STDEV.P(AC144,AK144,AS144),3)</x:f>
        <x:v>0.033</x:v>
      </x:c>
      <x:c r="BG144" s="59" t="str"/>
      <x:c r="BH144" s="59" t="str">
        <x:v>30%评分池轻量复核</x:v>
      </x:c>
      <x:c r="BI144" s="40" t="str">
        <x:v>三轮复核后与原表基本一致</x:v>
      </x:c>
    </x:row>
    <x:row r="145" ht="30" customHeight="1">
      <x:c r="A145" s="59" t="n">
        <x:v>144</x:v>
      </x:c>
      <x:c r="B145" s="59" t="n">
        <x:v>144</x:v>
      </x:c>
      <x:c r="C145" s="59" t="str">
        <x:v>2026-06</x:v>
      </x:c>
      <x:c r="D145" s="59" t="n">
        <x:v>54</x:v>
      </x:c>
      <x:c r="E145" s="59" t="str">
        <x:v>2606.09555</x:v>
      </x:c>
      <x:c r="F145" s="40" t="str">
        <x:v>Sharp Quantitative Stability for the Affine p-Sobolev Inequality, Part I: The Case 2&lt;=p&lt;n</x:v>
      </x:c>
      <x:c r="G145" s="40" t="str">
        <x:v>Song Fan; Gui-Dong Li; Jianjun Zhang</x:v>
      </x:c>
      <x:c r="H145" s="40" t="str">
        <x:v>inequalities/function spaces</x:v>
      </x:c>
      <x:c r="I145" s="59"/>
      <x:c r="J145" s="40" t="str">
        <x:v>https://arxiv.org/abs/2606.09555</x:v>
      </x:c>
      <x:c r="K145" s="60" t="n">
        <x:v>84</x:v>
      </x:c>
      <x:c r="L145" s="60" t="n">
        <x:v>83</x:v>
      </x:c>
      <x:c r="M145" s="60" t="n">
        <x:v>83</x:v>
      </x:c>
      <x:c r="N145" s="60" t="n">
        <x:v>83</x:v>
      </x:c>
      <x:c r="O145" s="60" t="n">
        <x:v>83</x:v>
      </x:c>
      <x:c r="P145" s="60" t="n">
        <x:v>83</x:v>
      </x:c>
      <x:c r="Q145" s="60" t="n">
        <x:v>13</x:v>
      </x:c>
      <x:c r="R145" s="59" t="n">
        <x:v>5</x:v>
      </x:c>
      <x:c r="S145" s="60" t="n">
        <x:v>83.3</x:v>
      </x:c>
      <x:c r="T145" s="60" t="n">
        <x:v>83.6</x:v>
      </x:c>
      <x:c r="U145" s="60" t="n">
        <x:v>83.44999999999999</x:v>
      </x:c>
      <x:c r="V145" s="60" t="n">
        <x:v>84</x:v>
      </x:c>
      <x:c r="W145" s="60" t="n">
        <x:v>83</x:v>
      </x:c>
      <x:c r="X145" s="60" t="n">
        <x:v>83</x:v>
      </x:c>
      <x:c r="Y145" s="60" t="n">
        <x:v>83</x:v>
      </x:c>
      <x:c r="Z145" s="60" t="n">
        <x:v>83.1</x:v>
      </x:c>
      <x:c r="AA145" s="60" t="n">
        <x:v>83</x:v>
      </x:c>
      <x:c r="AB145" s="60" t="n">
        <x:v>13</x:v>
      </x:c>
      <x:c r="AC145" s="60" t="n">
        <x:f>ROUND(((0.30*V145+0.20*W145+0.25*X145+0.15*Y145+0.10*AA145)+(0.30*Z145+0.20*X145+0.20*W145+0.15*AA145+0.15*(100-AB145)))/2,2)</x:f>
        <x:v>83.47</x:v>
      </x:c>
      <x:c r="AD145" s="60" t="n">
        <x:v>84</x:v>
      </x:c>
      <x:c r="AE145" s="60" t="n">
        <x:v>83</x:v>
      </x:c>
      <x:c r="AF145" s="60" t="n">
        <x:v>83</x:v>
      </x:c>
      <x:c r="AG145" s="60" t="n">
        <x:v>83</x:v>
      </x:c>
      <x:c r="AH145" s="60" t="n">
        <x:v>83</x:v>
      </x:c>
      <x:c r="AI145" s="60" t="n">
        <x:v>83</x:v>
      </x:c>
      <x:c r="AJ145" s="60" t="n">
        <x:v>13</x:v>
      </x:c>
      <x:c r="AK145" s="60" t="n">
        <x:f>ROUND(((0.30*AD145+0.20*AE145+0.25*AF145+0.15*AG145+0.10*AI145)+(0.30*AH145+0.20*AF145+0.20*AE145+0.15*AI145+0.15*(100-AJ145)))/2,2)</x:f>
        <x:v>83.45</x:v>
      </x:c>
      <x:c r="AL145" s="60" t="n">
        <x:v>84</x:v>
      </x:c>
      <x:c r="AM145" s="60" t="n">
        <x:v>83</x:v>
      </x:c>
      <x:c r="AN145" s="60" t="n">
        <x:v>83</x:v>
      </x:c>
      <x:c r="AO145" s="60" t="n">
        <x:v>83</x:v>
      </x:c>
      <x:c r="AP145" s="60" t="n">
        <x:v>83.1</x:v>
      </x:c>
      <x:c r="AQ145" s="60" t="n">
        <x:v>83</x:v>
      </x:c>
      <x:c r="AR145" s="60" t="n">
        <x:v>13</x:v>
      </x:c>
      <x:c r="AS145" s="60" t="n">
        <x:f>ROUND(((0.30*AL145+0.20*AM145+0.25*AN145+0.15*AO145+0.10*AQ145)+(0.30*AP145+0.20*AN145+0.20*AM145+0.15*AQ145+0.15*(100-AR145)))/2,2)</x:f>
        <x:v>83.47</x:v>
      </x:c>
      <x:c r="AT145" s="60" t="n">
        <x:f>ROUND(AVERAGE(V145,AD145,AL145),1)</x:f>
        <x:v>84</x:v>
      </x:c>
      <x:c r="AU145" s="60" t="n">
        <x:f>ROUND(AVERAGE(W145,AE145,AM145),1)</x:f>
        <x:v>83</x:v>
      </x:c>
      <x:c r="AV145" s="60" t="n">
        <x:f>ROUND(AVERAGE(X145,AF145,AN145),1)</x:f>
        <x:v>83</x:v>
      </x:c>
      <x:c r="AW145" s="60" t="n">
        <x:f>ROUND(AVERAGE(Y145,AG145,AO145),1)</x:f>
        <x:v>83</x:v>
      </x:c>
      <x:c r="AX145" s="60" t="n">
        <x:f>ROUND(AVERAGE(Z145,AH145,AP145),1)</x:f>
        <x:v>83.1</x:v>
      </x:c>
      <x:c r="AY145" s="60" t="n">
        <x:f>ROUND(AVERAGE(AA145,AI145,AQ145),1)</x:f>
        <x:v>83</x:v>
      </x:c>
      <x:c r="AZ145" s="60" t="n">
        <x:f>ROUND(AVERAGE(AB145,AJ145,AR145),1)</x:f>
        <x:v>13</x:v>
      </x:c>
      <x:c r="BA145" s="59" t="n">
        <x:v>5</x:v>
      </x:c>
      <x:c r="BB145" s="60" t="n">
        <x:f>ROUND(0.30*AT145+0.20*AU145+0.25*AV145+0.15*AW145+0.10*AY145,2)</x:f>
        <x:v>83.3</x:v>
      </x:c>
      <x:c r="BC145" s="60" t="n">
        <x:f>ROUND(0.30*AX145+0.20*AV145+0.20*AU145+0.15*AY145+0.15*(100-AZ145),2)</x:f>
        <x:v>83.63</x:v>
      </x:c>
      <x:c r="BD145" s="60" t="n">
        <x:f>ROUND(AVERAGE(BB145,BC145),2)</x:f>
        <x:v>83.47</x:v>
      </x:c>
      <x:c r="BE145" s="60" t="n">
        <x:f>ROUND(BD145-U145,2)</x:f>
        <x:v>0.02</x:v>
      </x:c>
      <x:c r="BF145" s="60" t="n">
        <x:f>ROUND(STDEV.P(AC145,AK145,AS145),3)</x:f>
        <x:v>0.009</x:v>
      </x:c>
      <x:c r="BG145" s="59" t="str"/>
      <x:c r="BH145" s="59" t="str">
        <x:v>30%评分池轻量复核</x:v>
      </x:c>
      <x:c r="BI145" s="40" t="str">
        <x:v>系列/续篇按重叠性校准</x:v>
      </x:c>
    </x:row>
    <x:row r="146" ht="30" customHeight="1">
      <x:c r="A146" s="59" t="n">
        <x:v>145</x:v>
      </x:c>
      <x:c r="B146" s="59" t="n">
        <x:v>145</x:v>
      </x:c>
      <x:c r="C146" s="59" t="str">
        <x:v>2026-06</x:v>
      </x:c>
      <x:c r="D146" s="59" t="n">
        <x:v>55</x:v>
      </x:c>
      <x:c r="E146" s="59" t="str">
        <x:v>2606.05707</x:v>
      </x:c>
      <x:c r="F146" s="40" t="str">
        <x:v>Sharp mass-threshold for Dancer-type solutions of the focusing mass-critical NLS on R^d x T</x:v>
      </x:c>
      <x:c r="G146" s="40" t="str">
        <x:v>Yongming Luo</x:v>
      </x:c>
      <x:c r="H146" s="40" t="str">
        <x:v>dispersive PDE</x:v>
      </x:c>
      <x:c r="I146" s="59"/>
      <x:c r="J146" s="40" t="str">
        <x:v>https://arxiv.org/abs/2606.05707</x:v>
      </x:c>
      <x:c r="K146" s="60" t="n">
        <x:v>84</x:v>
      </x:c>
      <x:c r="L146" s="60" t="n">
        <x:v>83</x:v>
      </x:c>
      <x:c r="M146" s="60" t="n">
        <x:v>83</x:v>
      </x:c>
      <x:c r="N146" s="60" t="n">
        <x:v>82</x:v>
      </x:c>
      <x:c r="O146" s="60" t="n">
        <x:v>83</x:v>
      </x:c>
      <x:c r="P146" s="60" t="n">
        <x:v>83</x:v>
      </x:c>
      <x:c r="Q146" s="60" t="n">
        <x:v>13</x:v>
      </x:c>
      <x:c r="R146" s="59" t="n">
        <x:v>5</x:v>
      </x:c>
      <x:c r="S146" s="60" t="n">
        <x:v>83.14999999999999</x:v>
      </x:c>
      <x:c r="T146" s="60" t="n">
        <x:v>83.6</x:v>
      </x:c>
      <x:c r="U146" s="60" t="n">
        <x:v>83.375</x:v>
      </x:c>
      <x:c r="V146" s="60" t="n">
        <x:v>84</x:v>
      </x:c>
      <x:c r="W146" s="60" t="n">
        <x:v>83.1</x:v>
      </x:c>
      <x:c r="X146" s="60" t="n">
        <x:v>83</x:v>
      </x:c>
      <x:c r="Y146" s="60" t="n">
        <x:v>82.1</x:v>
      </x:c>
      <x:c r="Z146" s="60" t="n">
        <x:v>83.1</x:v>
      </x:c>
      <x:c r="AA146" s="60" t="n">
        <x:v>83</x:v>
      </x:c>
      <x:c r="AB146" s="60" t="n">
        <x:v>13</x:v>
      </x:c>
      <x:c r="AC146" s="60" t="n">
        <x:f>ROUND(((0.30*V146+0.20*W146+0.25*X146+0.15*Y146+0.10*AA146)+(0.30*Z146+0.20*X146+0.20*W146+0.15*AA146+0.15*(100-AB146)))/2,2)</x:f>
        <x:v>83.42</x:v>
      </x:c>
      <x:c r="AD146" s="60" t="n">
        <x:v>84</x:v>
      </x:c>
      <x:c r="AE146" s="60" t="n">
        <x:v>83.1</x:v>
      </x:c>
      <x:c r="AF146" s="60" t="n">
        <x:v>83</x:v>
      </x:c>
      <x:c r="AG146" s="60" t="n">
        <x:v>82.1</x:v>
      </x:c>
      <x:c r="AH146" s="60" t="n">
        <x:v>83</x:v>
      </x:c>
      <x:c r="AI146" s="60" t="n">
        <x:v>83</x:v>
      </x:c>
      <x:c r="AJ146" s="60" t="n">
        <x:v>13</x:v>
      </x:c>
      <x:c r="AK146" s="60" t="n">
        <x:f>ROUND(((0.30*AD146+0.20*AE146+0.25*AF146+0.15*AG146+0.10*AI146)+(0.30*AH146+0.20*AF146+0.20*AE146+0.15*AI146+0.15*(100-AJ146)))/2,2)</x:f>
        <x:v>83.4</x:v>
      </x:c>
      <x:c r="AL146" s="60" t="n">
        <x:v>84</x:v>
      </x:c>
      <x:c r="AM146" s="60" t="n">
        <x:v>83.1</x:v>
      </x:c>
      <x:c r="AN146" s="60" t="n">
        <x:v>83</x:v>
      </x:c>
      <x:c r="AO146" s="60" t="n">
        <x:v>82.1</x:v>
      </x:c>
      <x:c r="AP146" s="60" t="n">
        <x:v>83.1</x:v>
      </x:c>
      <x:c r="AQ146" s="60" t="n">
        <x:v>83</x:v>
      </x:c>
      <x:c r="AR146" s="60" t="n">
        <x:v>13</x:v>
      </x:c>
      <x:c r="AS146" s="60" t="n">
        <x:f>ROUND(((0.30*AL146+0.20*AM146+0.25*AN146+0.15*AO146+0.10*AQ146)+(0.30*AP146+0.20*AN146+0.20*AM146+0.15*AQ146+0.15*(100-AR146)))/2,2)</x:f>
        <x:v>83.42</x:v>
      </x:c>
      <x:c r="AT146" s="60" t="n">
        <x:f>ROUND(AVERAGE(V146,AD146,AL146),1)</x:f>
        <x:v>84</x:v>
      </x:c>
      <x:c r="AU146" s="60" t="n">
        <x:f>ROUND(AVERAGE(W146,AE146,AM146),1)</x:f>
        <x:v>83.1</x:v>
      </x:c>
      <x:c r="AV146" s="60" t="n">
        <x:f>ROUND(AVERAGE(X146,AF146,AN146),1)</x:f>
        <x:v>83</x:v>
      </x:c>
      <x:c r="AW146" s="60" t="n">
        <x:f>ROUND(AVERAGE(Y146,AG146,AO146),1)</x:f>
        <x:v>82.1</x:v>
      </x:c>
      <x:c r="AX146" s="60" t="n">
        <x:f>ROUND(AVERAGE(Z146,AH146,AP146),1)</x:f>
        <x:v>83.1</x:v>
      </x:c>
      <x:c r="AY146" s="60" t="n">
        <x:f>ROUND(AVERAGE(AA146,AI146,AQ146),1)</x:f>
        <x:v>83</x:v>
      </x:c>
      <x:c r="AZ146" s="60" t="n">
        <x:f>ROUND(AVERAGE(AB146,AJ146,AR146),1)</x:f>
        <x:v>13</x:v>
      </x:c>
      <x:c r="BA146" s="59" t="n">
        <x:v>5</x:v>
      </x:c>
      <x:c r="BB146" s="60" t="n">
        <x:f>ROUND(0.30*AT146+0.20*AU146+0.25*AV146+0.15*AW146+0.10*AY146,2)</x:f>
        <x:v>83.19</x:v>
      </x:c>
      <x:c r="BC146" s="60" t="n">
        <x:f>ROUND(0.30*AX146+0.20*AV146+0.20*AU146+0.15*AY146+0.15*(100-AZ146),2)</x:f>
        <x:v>83.65</x:v>
      </x:c>
      <x:c r="BD146" s="60" t="n">
        <x:f>ROUND(AVERAGE(BB146,BC146),2)</x:f>
        <x:v>83.42</x:v>
      </x:c>
      <x:c r="BE146" s="60" t="n">
        <x:f>ROUND(BD146-U146,2)</x:f>
        <x:v>0.05</x:v>
      </x:c>
      <x:c r="BF146" s="60" t="n">
        <x:f>ROUND(STDEV.P(AC146,AK146,AS146),3)</x:f>
        <x:v>0.009</x:v>
      </x:c>
      <x:c r="BG146" s="59" t="str"/>
      <x:c r="BH146" s="59" t="str">
        <x:v>30%评分池轻量复核</x:v>
      </x:c>
      <x:c r="BI146" s="40" t="str">
        <x:v>三轮复核后与原表基本一致</x:v>
      </x:c>
    </x:row>
    <x:row r="147" ht="30" customHeight="1">
      <x:c r="A147" s="59" t="n">
        <x:v>146</x:v>
      </x:c>
      <x:c r="B147" s="59" t="n">
        <x:v>146</x:v>
      </x:c>
      <x:c r="C147" s="59" t="str">
        <x:v>2026-06</x:v>
      </x:c>
      <x:c r="D147" s="59" t="n">
        <x:v>56</x:v>
      </x:c>
      <x:c r="E147" s="59" t="str">
        <x:v>2606.04407</x:v>
      </x:c>
      <x:c r="F147" s="40" t="str">
        <x:v>Exponential stability for the three-dimensional Navier-Stokes equations on negatively curved manifolds</x:v>
      </x:c>
      <x:c r="G147" s="40" t="str">
        <x:v>Zhi-Wei Wang; Samuel L. Braunstein</x:v>
      </x:c>
      <x:c r="H147" s="40" t="str">
        <x:v>fluid/kinetic PDE</x:v>
      </x:c>
      <x:c r="I147" s="59" t="n">
        <x:v>8</x:v>
      </x:c>
      <x:c r="J147" s="40" t="str">
        <x:v>https://arxiv.org/abs/2606.04407</x:v>
      </x:c>
      <x:c r="K147" s="60" t="n">
        <x:v>84</x:v>
      </x:c>
      <x:c r="L147" s="60" t="n">
        <x:v>82</x:v>
      </x:c>
      <x:c r="M147" s="60" t="n">
        <x:v>83</x:v>
      </x:c>
      <x:c r="N147" s="60" t="n">
        <x:v>82</x:v>
      </x:c>
      <x:c r="O147" s="60" t="n">
        <x:v>84</x:v>
      </x:c>
      <x:c r="P147" s="60" t="n">
        <x:v>83</x:v>
      </x:c>
      <x:c r="Q147" s="60" t="n">
        <x:v>13</x:v>
      </x:c>
      <x:c r="R147" s="59" t="n">
        <x:v>5</x:v>
      </x:c>
      <x:c r="S147" s="60" t="n">
        <x:v>82.95</x:v>
      </x:c>
      <x:c r="T147" s="60" t="n">
        <x:v>83.7</x:v>
      </x:c>
      <x:c r="U147" s="60" t="n">
        <x:v>83.325</x:v>
      </x:c>
      <x:c r="V147" s="60" t="n">
        <x:v>84.1</x:v>
      </x:c>
      <x:c r="W147" s="60" t="n">
        <x:v>82</x:v>
      </x:c>
      <x:c r="X147" s="60" t="n">
        <x:v>83.1</x:v>
      </x:c>
      <x:c r="Y147" s="60" t="n">
        <x:v>82</x:v>
      </x:c>
      <x:c r="Z147" s="60" t="n">
        <x:v>84.1</x:v>
      </x:c>
      <x:c r="AA147" s="60" t="n">
        <x:v>83</x:v>
      </x:c>
      <x:c r="AB147" s="60" t="n">
        <x:v>13</x:v>
      </x:c>
      <x:c r="AC147" s="60" t="n">
        <x:f>ROUND(((0.30*V147+0.20*W147+0.25*X147+0.15*Y147+0.10*AA147)+(0.30*Z147+0.20*X147+0.20*W147+0.15*AA147+0.15*(100-AB147)))/2,2)</x:f>
        <x:v>83.38</x:v>
      </x:c>
      <x:c r="AD147" s="60" t="n">
        <x:v>84</x:v>
      </x:c>
      <x:c r="AE147" s="60" t="n">
        <x:v>82</x:v>
      </x:c>
      <x:c r="AF147" s="60" t="n">
        <x:v>83</x:v>
      </x:c>
      <x:c r="AG147" s="60" t="n">
        <x:v>82</x:v>
      </x:c>
      <x:c r="AH147" s="60" t="n">
        <x:v>84</x:v>
      </x:c>
      <x:c r="AI147" s="60" t="n">
        <x:v>83</x:v>
      </x:c>
      <x:c r="AJ147" s="60" t="n">
        <x:v>13.4</x:v>
      </x:c>
      <x:c r="AK147" s="60" t="n">
        <x:f>ROUND(((0.30*AD147+0.20*AE147+0.25*AF147+0.15*AG147+0.10*AI147)+(0.30*AH147+0.20*AF147+0.20*AE147+0.15*AI147+0.15*(100-AJ147)))/2,2)</x:f>
        <x:v>83.3</x:v>
      </x:c>
      <x:c r="AL147" s="60" t="n">
        <x:v>84</x:v>
      </x:c>
      <x:c r="AM147" s="60" t="n">
        <x:v>82</x:v>
      </x:c>
      <x:c r="AN147" s="60" t="n">
        <x:v>83.1</x:v>
      </x:c>
      <x:c r="AO147" s="60" t="n">
        <x:v>82</x:v>
      </x:c>
      <x:c r="AP147" s="60" t="n">
        <x:v>84</x:v>
      </x:c>
      <x:c r="AQ147" s="60" t="n">
        <x:v>83</x:v>
      </x:c>
      <x:c r="AR147" s="60" t="n">
        <x:v>13.5</x:v>
      </x:c>
      <x:c r="AS147" s="60" t="n">
        <x:f>ROUND(((0.30*AL147+0.20*AM147+0.25*AN147+0.15*AO147+0.10*AQ147)+(0.30*AP147+0.20*AN147+0.20*AM147+0.15*AQ147+0.15*(100-AR147)))/2,2)</x:f>
        <x:v>83.31</x:v>
      </x:c>
      <x:c r="AT147" s="60" t="n">
        <x:f>ROUND(AVERAGE(V147,AD147,AL147),1)</x:f>
        <x:v>84</x:v>
      </x:c>
      <x:c r="AU147" s="60" t="n">
        <x:f>ROUND(AVERAGE(W147,AE147,AM147),1)</x:f>
        <x:v>82</x:v>
      </x:c>
      <x:c r="AV147" s="60" t="n">
        <x:f>ROUND(AVERAGE(X147,AF147,AN147),1)</x:f>
        <x:v>83.1</x:v>
      </x:c>
      <x:c r="AW147" s="60" t="n">
        <x:f>ROUND(AVERAGE(Y147,AG147,AO147),1)</x:f>
        <x:v>82</x:v>
      </x:c>
      <x:c r="AX147" s="60" t="n">
        <x:f>ROUND(AVERAGE(Z147,AH147,AP147),1)</x:f>
        <x:v>84</x:v>
      </x:c>
      <x:c r="AY147" s="60" t="n">
        <x:f>ROUND(AVERAGE(AA147,AI147,AQ147),1)</x:f>
        <x:v>83</x:v>
      </x:c>
      <x:c r="AZ147" s="60" t="n">
        <x:f>ROUND(AVERAGE(AB147,AJ147,AR147),1)</x:f>
        <x:v>13.3</x:v>
      </x:c>
      <x:c r="BA147" s="59" t="n">
        <x:v>5</x:v>
      </x:c>
      <x:c r="BB147" s="60" t="n">
        <x:f>ROUND(0.30*AT147+0.20*AU147+0.25*AV147+0.15*AW147+0.10*AY147,2)</x:f>
        <x:v>82.98</x:v>
      </x:c>
      <x:c r="BC147" s="60" t="n">
        <x:f>ROUND(0.30*AX147+0.20*AV147+0.20*AU147+0.15*AY147+0.15*(100-AZ147),2)</x:f>
        <x:v>83.68</x:v>
      </x:c>
      <x:c r="BD147" s="60" t="n">
        <x:f>ROUND(AVERAGE(BB147,BC147),2)</x:f>
        <x:v>83.33</x:v>
      </x:c>
      <x:c r="BE147" s="60" t="n">
        <x:f>ROUND(BD147-U147,2)</x:f>
        <x:v>0</x:v>
      </x:c>
      <x:c r="BF147" s="60" t="n">
        <x:f>ROUND(STDEV.P(AC147,AK147,AS147),3)</x:f>
        <x:v>0.036</x:v>
      </x:c>
      <x:c r="BG147" s="59" t="str"/>
      <x:c r="BH147" s="59" t="str">
        <x:v>30%评分池轻量复核</x:v>
      </x:c>
      <x:c r="BI147" s="40" t="str">
        <x:v>三轮复核后与原表基本一致</x:v>
      </x:c>
    </x:row>
    <x:row r="148" ht="30" customHeight="1">
      <x:c r="A148" s="59" t="n">
        <x:v>147</x:v>
      </x:c>
      <x:c r="B148" s="59" t="n">
        <x:v>147</x:v>
      </x:c>
      <x:c r="C148" s="59" t="str">
        <x:v>2026-06</x:v>
      </x:c>
      <x:c r="D148" s="59" t="n">
        <x:v>57</x:v>
      </x:c>
      <x:c r="E148" s="59" t="str">
        <x:v>2606.01762</x:v>
      </x:c>
      <x:c r="F148" s="40" t="str">
        <x:v>High-Velocity Inverse Scattering for Nonlinear Schrodinger Equations with Spatially Dependent Nonlinearities</x:v>
      </x:c>
      <x:c r="G148" s="40" t="str">
        <x:v>Satoshi Masaki; Yaxin Zhao</x:v>
      </x:c>
      <x:c r="H148" s="40" t="str">
        <x:v>inverse/scattering</x:v>
      </x:c>
      <x:c r="I148" s="59" t="n">
        <x:v>13</x:v>
      </x:c>
      <x:c r="J148" s="40" t="str">
        <x:v>https://arxiv.org/abs/2606.01762</x:v>
      </x:c>
      <x:c r="K148" s="60" t="n">
        <x:v>83</x:v>
      </x:c>
      <x:c r="L148" s="60" t="n">
        <x:v>83</x:v>
      </x:c>
      <x:c r="M148" s="60" t="n">
        <x:v>83</x:v>
      </x:c>
      <x:c r="N148" s="60" t="n">
        <x:v>82</x:v>
      </x:c>
      <x:c r="O148" s="60" t="n">
        <x:v>83</x:v>
      </x:c>
      <x:c r="P148" s="60" t="n">
        <x:v>83</x:v>
      </x:c>
      <x:c r="Q148" s="60" t="n">
        <x:v>13</x:v>
      </x:c>
      <x:c r="R148" s="59" t="n">
        <x:v>5</x:v>
      </x:c>
      <x:c r="S148" s="60" t="n">
        <x:v>82.85</x:v>
      </x:c>
      <x:c r="T148" s="60" t="n">
        <x:v>83.6</x:v>
      </x:c>
      <x:c r="U148" s="60" t="n">
        <x:v>83.225</x:v>
      </x:c>
      <x:c r="V148" s="60" t="n">
        <x:v>83</x:v>
      </x:c>
      <x:c r="W148" s="60" t="n">
        <x:v>83</x:v>
      </x:c>
      <x:c r="X148" s="60" t="n">
        <x:v>83</x:v>
      </x:c>
      <x:c r="Y148" s="60" t="n">
        <x:v>82</x:v>
      </x:c>
      <x:c r="Z148" s="60" t="n">
        <x:v>83</x:v>
      </x:c>
      <x:c r="AA148" s="60" t="n">
        <x:v>83</x:v>
      </x:c>
      <x:c r="AB148" s="60" t="n">
        <x:v>13</x:v>
      </x:c>
      <x:c r="AC148" s="60" t="n">
        <x:f>ROUND(((0.30*V148+0.20*W148+0.25*X148+0.15*Y148+0.10*AA148)+(0.30*Z148+0.20*X148+0.20*W148+0.15*AA148+0.15*(100-AB148)))/2,2)</x:f>
        <x:v>83.23</x:v>
      </x:c>
      <x:c r="AD148" s="60" t="n">
        <x:v>83</x:v>
      </x:c>
      <x:c r="AE148" s="60" t="n">
        <x:v>83</x:v>
      </x:c>
      <x:c r="AF148" s="60" t="n">
        <x:v>83</x:v>
      </x:c>
      <x:c r="AG148" s="60" t="n">
        <x:v>82</x:v>
      </x:c>
      <x:c r="AH148" s="60" t="n">
        <x:v>83</x:v>
      </x:c>
      <x:c r="AI148" s="60" t="n">
        <x:v>83</x:v>
      </x:c>
      <x:c r="AJ148" s="60" t="n">
        <x:v>13.4</x:v>
      </x:c>
      <x:c r="AK148" s="60" t="n">
        <x:f>ROUND(((0.30*AD148+0.20*AE148+0.25*AF148+0.15*AG148+0.10*AI148)+(0.30*AH148+0.20*AF148+0.20*AE148+0.15*AI148+0.15*(100-AJ148)))/2,2)</x:f>
        <x:v>83.2</x:v>
      </x:c>
      <x:c r="AL148" s="60" t="n">
        <x:v>83</x:v>
      </x:c>
      <x:c r="AM148" s="60" t="n">
        <x:v>83</x:v>
      </x:c>
      <x:c r="AN148" s="60" t="n">
        <x:v>83</x:v>
      </x:c>
      <x:c r="AO148" s="60" t="n">
        <x:v>82</x:v>
      </x:c>
      <x:c r="AP148" s="60" t="n">
        <x:v>83</x:v>
      </x:c>
      <x:c r="AQ148" s="60" t="n">
        <x:v>83</x:v>
      </x:c>
      <x:c r="AR148" s="60" t="n">
        <x:v>13.5</x:v>
      </x:c>
      <x:c r="AS148" s="60" t="n">
        <x:f>ROUND(((0.30*AL148+0.20*AM148+0.25*AN148+0.15*AO148+0.10*AQ148)+(0.30*AP148+0.20*AN148+0.20*AM148+0.15*AQ148+0.15*(100-AR148)))/2,2)</x:f>
        <x:v>83.19</x:v>
      </x:c>
      <x:c r="AT148" s="60" t="n">
        <x:f>ROUND(AVERAGE(V148,AD148,AL148),1)</x:f>
        <x:v>83</x:v>
      </x:c>
      <x:c r="AU148" s="60" t="n">
        <x:f>ROUND(AVERAGE(W148,AE148,AM148),1)</x:f>
        <x:v>83</x:v>
      </x:c>
      <x:c r="AV148" s="60" t="n">
        <x:f>ROUND(AVERAGE(X148,AF148,AN148),1)</x:f>
        <x:v>83</x:v>
      </x:c>
      <x:c r="AW148" s="60" t="n">
        <x:f>ROUND(AVERAGE(Y148,AG148,AO148),1)</x:f>
        <x:v>82</x:v>
      </x:c>
      <x:c r="AX148" s="60" t="n">
        <x:f>ROUND(AVERAGE(Z148,AH148,AP148),1)</x:f>
        <x:v>83</x:v>
      </x:c>
      <x:c r="AY148" s="60" t="n">
        <x:f>ROUND(AVERAGE(AA148,AI148,AQ148),1)</x:f>
        <x:v>83</x:v>
      </x:c>
      <x:c r="AZ148" s="60" t="n">
        <x:f>ROUND(AVERAGE(AB148,AJ148,AR148),1)</x:f>
        <x:v>13.3</x:v>
      </x:c>
      <x:c r="BA148" s="59" t="n">
        <x:v>5</x:v>
      </x:c>
      <x:c r="BB148" s="60" t="n">
        <x:f>ROUND(0.30*AT148+0.20*AU148+0.25*AV148+0.15*AW148+0.10*AY148,2)</x:f>
        <x:v>82.85</x:v>
      </x:c>
      <x:c r="BC148" s="60" t="n">
        <x:f>ROUND(0.30*AX148+0.20*AV148+0.20*AU148+0.15*AY148+0.15*(100-AZ148),2)</x:f>
        <x:v>83.56</x:v>
      </x:c>
      <x:c r="BD148" s="60" t="n">
        <x:f>ROUND(AVERAGE(BB148,BC148),2)</x:f>
        <x:v>83.21</x:v>
      </x:c>
      <x:c r="BE148" s="60" t="n">
        <x:f>ROUND(BD148-U148,2)</x:f>
        <x:v>-0.02</x:v>
      </x:c>
      <x:c r="BF148" s="60" t="n">
        <x:f>ROUND(STDEV.P(AC148,AK148,AS148),3)</x:f>
        <x:v>0.017</x:v>
      </x:c>
      <x:c r="BG148" s="59" t="str"/>
      <x:c r="BH148" s="59" t="str">
        <x:v>30%评分池轻量复核</x:v>
      </x:c>
      <x:c r="BI148" s="40" t="str">
        <x:v>三轮复核后与原表基本一致</x:v>
      </x:c>
    </x:row>
    <x:row r="149" ht="30" customHeight="1">
      <x:c r="A149" s="59" t="n">
        <x:v>148</x:v>
      </x:c>
      <x:c r="B149" s="59" t="n">
        <x:v>148</x:v>
      </x:c>
      <x:c r="C149" s="59" t="str">
        <x:v>2026-06</x:v>
      </x:c>
      <x:c r="D149" s="59" t="n">
        <x:v>58</x:v>
      </x:c>
      <x:c r="E149" s="59" t="str">
        <x:v>2606.08352</x:v>
      </x:c>
      <x:c r="F149" s="40" t="str">
        <x:v>Finite-Scale One-Component Regularity via Harmonic Pressure for the 3D Navier-Stokes Equations</x:v>
      </x:c>
      <x:c r="G149" s="40" t="str">
        <x:v>Runlong Yu</x:v>
      </x:c>
      <x:c r="H149" s="40" t="str">
        <x:v>fluid/kinetic PDE</x:v>
      </x:c>
      <x:c r="I149" s="59"/>
      <x:c r="J149" s="40" t="str">
        <x:v>https://arxiv.org/abs/2606.08352</x:v>
      </x:c>
      <x:c r="K149" s="60" t="n">
        <x:v>83</x:v>
      </x:c>
      <x:c r="L149" s="60" t="n">
        <x:v>82</x:v>
      </x:c>
      <x:c r="M149" s="60" t="n">
        <x:v>83</x:v>
      </x:c>
      <x:c r="N149" s="60" t="n">
        <x:v>81</x:v>
      </x:c>
      <x:c r="O149" s="60" t="n">
        <x:v>83</x:v>
      </x:c>
      <x:c r="P149" s="60" t="n">
        <x:v>83</x:v>
      </x:c>
      <x:c r="Q149" s="60" t="n">
        <x:v>13</x:v>
      </x:c>
      <x:c r="R149" s="59" t="n">
        <x:v>5</x:v>
      </x:c>
      <x:c r="S149" s="60" t="n">
        <x:v>82.5</x:v>
      </x:c>
      <x:c r="T149" s="60" t="n">
        <x:v>83.4</x:v>
      </x:c>
      <x:c r="U149" s="60" t="n">
        <x:v>82.95</x:v>
      </x:c>
      <x:c r="V149" s="60" t="n">
        <x:v>83.1</x:v>
      </x:c>
      <x:c r="W149" s="60" t="n">
        <x:v>82</x:v>
      </x:c>
      <x:c r="X149" s="60" t="n">
        <x:v>83.1</x:v>
      </x:c>
      <x:c r="Y149" s="60" t="n">
        <x:v>81</x:v>
      </x:c>
      <x:c r="Z149" s="60" t="n">
        <x:v>83.1</x:v>
      </x:c>
      <x:c r="AA149" s="60" t="n">
        <x:v>83</x:v>
      </x:c>
      <x:c r="AB149" s="60" t="n">
        <x:v>13</x:v>
      </x:c>
      <x:c r="AC149" s="60" t="n">
        <x:f>ROUND(((0.30*V149+0.20*W149+0.25*X149+0.15*Y149+0.10*AA149)+(0.30*Z149+0.20*X149+0.20*W149+0.15*AA149+0.15*(100-AB149)))/2,2)</x:f>
        <x:v>83</x:v>
      </x:c>
      <x:c r="AD149" s="60" t="n">
        <x:v>83</x:v>
      </x:c>
      <x:c r="AE149" s="60" t="n">
        <x:v>82</x:v>
      </x:c>
      <x:c r="AF149" s="60" t="n">
        <x:v>83</x:v>
      </x:c>
      <x:c r="AG149" s="60" t="n">
        <x:v>81</x:v>
      </x:c>
      <x:c r="AH149" s="60" t="n">
        <x:v>83</x:v>
      </x:c>
      <x:c r="AI149" s="60" t="n">
        <x:v>83</x:v>
      </x:c>
      <x:c r="AJ149" s="60" t="n">
        <x:v>13</x:v>
      </x:c>
      <x:c r="AK149" s="60" t="n">
        <x:f>ROUND(((0.30*AD149+0.20*AE149+0.25*AF149+0.15*AG149+0.10*AI149)+(0.30*AH149+0.20*AF149+0.20*AE149+0.15*AI149+0.15*(100-AJ149)))/2,2)</x:f>
        <x:v>82.95</x:v>
      </x:c>
      <x:c r="AL149" s="60" t="n">
        <x:v>83</x:v>
      </x:c>
      <x:c r="AM149" s="60" t="n">
        <x:v>82</x:v>
      </x:c>
      <x:c r="AN149" s="60" t="n">
        <x:v>83.1</x:v>
      </x:c>
      <x:c r="AO149" s="60" t="n">
        <x:v>81</x:v>
      </x:c>
      <x:c r="AP149" s="60" t="n">
        <x:v>83</x:v>
      </x:c>
      <x:c r="AQ149" s="60" t="n">
        <x:v>83</x:v>
      </x:c>
      <x:c r="AR149" s="60" t="n">
        <x:v>13</x:v>
      </x:c>
      <x:c r="AS149" s="60" t="n">
        <x:f>ROUND(((0.30*AL149+0.20*AM149+0.25*AN149+0.15*AO149+0.10*AQ149)+(0.30*AP149+0.20*AN149+0.20*AM149+0.15*AQ149+0.15*(100-AR149)))/2,2)</x:f>
        <x:v>82.97</x:v>
      </x:c>
      <x:c r="AT149" s="60" t="n">
        <x:f>ROUND(AVERAGE(V149,AD149,AL149),1)</x:f>
        <x:v>83</x:v>
      </x:c>
      <x:c r="AU149" s="60" t="n">
        <x:f>ROUND(AVERAGE(W149,AE149,AM149),1)</x:f>
        <x:v>82</x:v>
      </x:c>
      <x:c r="AV149" s="60" t="n">
        <x:f>ROUND(AVERAGE(X149,AF149,AN149),1)</x:f>
        <x:v>83.1</x:v>
      </x:c>
      <x:c r="AW149" s="60" t="n">
        <x:f>ROUND(AVERAGE(Y149,AG149,AO149),1)</x:f>
        <x:v>81</x:v>
      </x:c>
      <x:c r="AX149" s="60" t="n">
        <x:f>ROUND(AVERAGE(Z149,AH149,AP149),1)</x:f>
        <x:v>83</x:v>
      </x:c>
      <x:c r="AY149" s="60" t="n">
        <x:f>ROUND(AVERAGE(AA149,AI149,AQ149),1)</x:f>
        <x:v>83</x:v>
      </x:c>
      <x:c r="AZ149" s="60" t="n">
        <x:f>ROUND(AVERAGE(AB149,AJ149,AR149),1)</x:f>
        <x:v>13</x:v>
      </x:c>
      <x:c r="BA149" s="59" t="n">
        <x:v>5</x:v>
      </x:c>
      <x:c r="BB149" s="60" t="n">
        <x:f>ROUND(0.30*AT149+0.20*AU149+0.25*AV149+0.15*AW149+0.10*AY149,2)</x:f>
        <x:v>82.53</x:v>
      </x:c>
      <x:c r="BC149" s="60" t="n">
        <x:f>ROUND(0.30*AX149+0.20*AV149+0.20*AU149+0.15*AY149+0.15*(100-AZ149),2)</x:f>
        <x:v>83.42</x:v>
      </x:c>
      <x:c r="BD149" s="60" t="n">
        <x:f>ROUND(AVERAGE(BB149,BC149),2)</x:f>
        <x:v>82.98</x:v>
      </x:c>
      <x:c r="BE149" s="60" t="n">
        <x:f>ROUND(BD149-U149,2)</x:f>
        <x:v>0.03</x:v>
      </x:c>
      <x:c r="BF149" s="60" t="n">
        <x:f>ROUND(STDEV.P(AC149,AK149,AS149),3)</x:f>
        <x:v>0.021</x:v>
      </x:c>
      <x:c r="BG149" s="59" t="str"/>
      <x:c r="BH149" s="59" t="str">
        <x:v>30%评分池轻量复核</x:v>
      </x:c>
      <x:c r="BI149" s="40" t="str">
        <x:v>三轮复核后与原表基本一致</x:v>
      </x:c>
    </x:row>
    <x:row r="150" ht="30" customHeight="1">
      <x:c r="A150" s="59" t="n">
        <x:v>149</x:v>
      </x:c>
      <x:c r="B150" s="59" t="n">
        <x:v>149</x:v>
      </x:c>
      <x:c r="C150" s="59" t="str">
        <x:v>2026-06</x:v>
      </x:c>
      <x:c r="D150" s="59" t="n">
        <x:v>59</x:v>
      </x:c>
      <x:c r="E150" s="59" t="str">
        <x:v>2606.03542</x:v>
      </x:c>
      <x:c r="F150" s="40" t="str">
        <x:v>Eventual regularity and asymptotic behavior of Leray-Hopf weak solutions for the Hall-MHD system</x:v>
      </x:c>
      <x:c r="G150" s="40" t="str">
        <x:v>Jinwook Jung; Jaeyong Shin</x:v>
      </x:c>
      <x:c r="H150" s="40" t="str">
        <x:v>fluid/kinetic PDE</x:v>
      </x:c>
      <x:c r="I150" s="59" t="n">
        <x:v>27</x:v>
      </x:c>
      <x:c r="J150" s="40" t="str">
        <x:v>https://arxiv.org/abs/2606.03542</x:v>
      </x:c>
      <x:c r="K150" s="60" t="n">
        <x:v>82</x:v>
      </x:c>
      <x:c r="L150" s="60" t="n">
        <x:v>82</x:v>
      </x:c>
      <x:c r="M150" s="60" t="n">
        <x:v>83</x:v>
      </x:c>
      <x:c r="N150" s="60" t="n">
        <x:v>81</x:v>
      </x:c>
      <x:c r="O150" s="60" t="n">
        <x:v>83</x:v>
      </x:c>
      <x:c r="P150" s="60" t="n">
        <x:v>83</x:v>
      </x:c>
      <x:c r="Q150" s="60" t="n">
        <x:v>13</x:v>
      </x:c>
      <x:c r="R150" s="59" t="n">
        <x:v>5</x:v>
      </x:c>
      <x:c r="S150" s="60" t="n">
        <x:v>82.2</x:v>
      </x:c>
      <x:c r="T150" s="60" t="n">
        <x:v>83.4</x:v>
      </x:c>
      <x:c r="U150" s="60" t="n">
        <x:v>82.80000000000001</x:v>
      </x:c>
      <x:c r="V150" s="60" t="n">
        <x:v>82</x:v>
      </x:c>
      <x:c r="W150" s="60" t="n">
        <x:v>82</x:v>
      </x:c>
      <x:c r="X150" s="60" t="n">
        <x:v>83</x:v>
      </x:c>
      <x:c r="Y150" s="60" t="n">
        <x:v>81</x:v>
      </x:c>
      <x:c r="Z150" s="60" t="n">
        <x:v>83</x:v>
      </x:c>
      <x:c r="AA150" s="60" t="n">
        <x:v>83</x:v>
      </x:c>
      <x:c r="AB150" s="60" t="n">
        <x:v>13</x:v>
      </x:c>
      <x:c r="AC150" s="60" t="n">
        <x:f>ROUND(((0.30*V150+0.20*W150+0.25*X150+0.15*Y150+0.10*AA150)+(0.30*Z150+0.20*X150+0.20*W150+0.15*AA150+0.15*(100-AB150)))/2,2)</x:f>
        <x:v>82.8</x:v>
      </x:c>
      <x:c r="AD150" s="60" t="n">
        <x:v>82</x:v>
      </x:c>
      <x:c r="AE150" s="60" t="n">
        <x:v>82</x:v>
      </x:c>
      <x:c r="AF150" s="60" t="n">
        <x:v>83</x:v>
      </x:c>
      <x:c r="AG150" s="60" t="n">
        <x:v>81</x:v>
      </x:c>
      <x:c r="AH150" s="60" t="n">
        <x:v>83</x:v>
      </x:c>
      <x:c r="AI150" s="60" t="n">
        <x:v>83</x:v>
      </x:c>
      <x:c r="AJ150" s="60" t="n">
        <x:v>13</x:v>
      </x:c>
      <x:c r="AK150" s="60" t="n">
        <x:f>ROUND(((0.30*AD150+0.20*AE150+0.25*AF150+0.15*AG150+0.10*AI150)+(0.30*AH150+0.20*AF150+0.20*AE150+0.15*AI150+0.15*(100-AJ150)))/2,2)</x:f>
        <x:v>82.8</x:v>
      </x:c>
      <x:c r="AL150" s="60" t="n">
        <x:v>82</x:v>
      </x:c>
      <x:c r="AM150" s="60" t="n">
        <x:v>82</x:v>
      </x:c>
      <x:c r="AN150" s="60" t="n">
        <x:v>83</x:v>
      </x:c>
      <x:c r="AO150" s="60" t="n">
        <x:v>81</x:v>
      </x:c>
      <x:c r="AP150" s="60" t="n">
        <x:v>83</x:v>
      </x:c>
      <x:c r="AQ150" s="60" t="n">
        <x:v>83</x:v>
      </x:c>
      <x:c r="AR150" s="60" t="n">
        <x:v>13</x:v>
      </x:c>
      <x:c r="AS150" s="60" t="n">
        <x:f>ROUND(((0.30*AL150+0.20*AM150+0.25*AN150+0.15*AO150+0.10*AQ150)+(0.30*AP150+0.20*AN150+0.20*AM150+0.15*AQ150+0.15*(100-AR150)))/2,2)</x:f>
        <x:v>82.8</x:v>
      </x:c>
      <x:c r="AT150" s="60" t="n">
        <x:f>ROUND(AVERAGE(V150,AD150,AL150),1)</x:f>
        <x:v>82</x:v>
      </x:c>
      <x:c r="AU150" s="60" t="n">
        <x:f>ROUND(AVERAGE(W150,AE150,AM150),1)</x:f>
        <x:v>82</x:v>
      </x:c>
      <x:c r="AV150" s="60" t="n">
        <x:f>ROUND(AVERAGE(X150,AF150,AN150),1)</x:f>
        <x:v>83</x:v>
      </x:c>
      <x:c r="AW150" s="60" t="n">
        <x:f>ROUND(AVERAGE(Y150,AG150,AO150),1)</x:f>
        <x:v>81</x:v>
      </x:c>
      <x:c r="AX150" s="60" t="n">
        <x:f>ROUND(AVERAGE(Z150,AH150,AP150),1)</x:f>
        <x:v>83</x:v>
      </x:c>
      <x:c r="AY150" s="60" t="n">
        <x:f>ROUND(AVERAGE(AA150,AI150,AQ150),1)</x:f>
        <x:v>83</x:v>
      </x:c>
      <x:c r="AZ150" s="60" t="n">
        <x:f>ROUND(AVERAGE(AB150,AJ150,AR150),1)</x:f>
        <x:v>13</x:v>
      </x:c>
      <x:c r="BA150" s="59" t="n">
        <x:v>5</x:v>
      </x:c>
      <x:c r="BB150" s="60" t="n">
        <x:f>ROUND(0.30*AT150+0.20*AU150+0.25*AV150+0.15*AW150+0.10*AY150,2)</x:f>
        <x:v>82.2</x:v>
      </x:c>
      <x:c r="BC150" s="60" t="n">
        <x:f>ROUND(0.30*AX150+0.20*AV150+0.20*AU150+0.15*AY150+0.15*(100-AZ150),2)</x:f>
        <x:v>83.4</x:v>
      </x:c>
      <x:c r="BD150" s="60" t="n">
        <x:f>ROUND(AVERAGE(BB150,BC150),2)</x:f>
        <x:v>82.8</x:v>
      </x:c>
      <x:c r="BE150" s="60" t="n">
        <x:f>ROUND(BD150-U150,2)</x:f>
        <x:v>0</x:v>
      </x:c>
      <x:c r="BF150" s="60" t="n">
        <x:f>ROUND(STDEV.P(AC150,AK150,AS150),3)</x:f>
        <x:v>0</x:v>
      </x:c>
      <x:c r="BG150" s="59" t="str"/>
      <x:c r="BH150" s="59" t="str">
        <x:v>30%评分池轻量复核</x:v>
      </x:c>
      <x:c r="BI150" s="40" t="str">
        <x:v>三轮复核后与原表基本一致</x:v>
      </x:c>
    </x:row>
    <x:row r="151" ht="30" customHeight="1">
      <x:c r="A151" s="59" t="n">
        <x:v>150</x:v>
      </x:c>
      <x:c r="B151" s="59" t="n">
        <x:v>151</x:v>
      </x:c>
      <x:c r="C151" s="59" t="str">
        <x:v>2026-06</x:v>
      </x:c>
      <x:c r="D151" s="59" t="n">
        <x:v>60</x:v>
      </x:c>
      <x:c r="E151" s="59" t="str">
        <x:v>2606.01812</x:v>
      </x:c>
      <x:c r="F151" s="40" t="str">
        <x:v>Uniqueness of an Inverse Coefficient Problem for a Time-Fractional Damped Wave Equation from Boundary Measurements</x:v>
      </x:c>
      <x:c r="G151" s="40" t="str">
        <x:v>Kai Yu</x:v>
      </x:c>
      <x:c r="H151" s="40" t="str">
        <x:v>inverse/scattering</x:v>
      </x:c>
      <x:c r="I151" s="59"/>
      <x:c r="J151" s="40" t="str">
        <x:v>https://arxiv.org/abs/2606.01812</x:v>
      </x:c>
      <x:c r="K151" s="60" t="n">
        <x:v>82</x:v>
      </x:c>
      <x:c r="L151" s="60" t="n">
        <x:v>83</x:v>
      </x:c>
      <x:c r="M151" s="60" t="n">
        <x:v>83</x:v>
      </x:c>
      <x:c r="N151" s="60" t="n">
        <x:v>81</x:v>
      </x:c>
      <x:c r="O151" s="60" t="n">
        <x:v>82</x:v>
      </x:c>
      <x:c r="P151" s="60" t="n">
        <x:v>82</x:v>
      </x:c>
      <x:c r="Q151" s="60" t="n">
        <x:v>13</x:v>
      </x:c>
      <x:c r="R151" s="59" t="n">
        <x:v>5</x:v>
      </x:c>
      <x:c r="S151" s="60" t="n">
        <x:v>82.30000000000001</x:v>
      </x:c>
      <x:c r="T151" s="60" t="n">
        <x:v>83.15</x:v>
      </x:c>
      <x:c r="U151" s="60" t="n">
        <x:v>82.72500000000001</x:v>
      </x:c>
      <x:c r="V151" s="60" t="n">
        <x:v>82.1</x:v>
      </x:c>
      <x:c r="W151" s="60" t="n">
        <x:v>83</x:v>
      </x:c>
      <x:c r="X151" s="60" t="n">
        <x:v>83.1</x:v>
      </x:c>
      <x:c r="Y151" s="60" t="n">
        <x:v>81</x:v>
      </x:c>
      <x:c r="Z151" s="60" t="n">
        <x:v>82.1</x:v>
      </x:c>
      <x:c r="AA151" s="60" t="n">
        <x:v>82</x:v>
      </x:c>
      <x:c r="AB151" s="60" t="n">
        <x:v>13</x:v>
      </x:c>
      <x:c r="AC151" s="60" t="n">
        <x:f>ROUND(((0.30*V151+0.20*W151+0.25*X151+0.15*Y151+0.10*AA151)+(0.30*Z151+0.20*X151+0.20*W151+0.15*AA151+0.15*(100-AB151)))/2,2)</x:f>
        <x:v>82.78</x:v>
      </x:c>
      <x:c r="AD151" s="60" t="n">
        <x:v>82</x:v>
      </x:c>
      <x:c r="AE151" s="60" t="n">
        <x:v>83</x:v>
      </x:c>
      <x:c r="AF151" s="60" t="n">
        <x:v>83</x:v>
      </x:c>
      <x:c r="AG151" s="60" t="n">
        <x:v>81</x:v>
      </x:c>
      <x:c r="AH151" s="60" t="n">
        <x:v>82</x:v>
      </x:c>
      <x:c r="AI151" s="60" t="n">
        <x:v>82</x:v>
      </x:c>
      <x:c r="AJ151" s="60" t="n">
        <x:v>13</x:v>
      </x:c>
      <x:c r="AK151" s="60" t="n">
        <x:f>ROUND(((0.30*AD151+0.20*AE151+0.25*AF151+0.15*AG151+0.10*AI151)+(0.30*AH151+0.20*AF151+0.20*AE151+0.15*AI151+0.15*(100-AJ151)))/2,2)</x:f>
        <x:v>82.73</x:v>
      </x:c>
      <x:c r="AL151" s="60" t="n">
        <x:v>82</x:v>
      </x:c>
      <x:c r="AM151" s="60" t="n">
        <x:v>83</x:v>
      </x:c>
      <x:c r="AN151" s="60" t="n">
        <x:v>83.1</x:v>
      </x:c>
      <x:c r="AO151" s="60" t="n">
        <x:v>81</x:v>
      </x:c>
      <x:c r="AP151" s="60" t="n">
        <x:v>82</x:v>
      </x:c>
      <x:c r="AQ151" s="60" t="n">
        <x:v>82</x:v>
      </x:c>
      <x:c r="AR151" s="60" t="n">
        <x:v>13</x:v>
      </x:c>
      <x:c r="AS151" s="60" t="n">
        <x:f>ROUND(((0.30*AL151+0.20*AM151+0.25*AN151+0.15*AO151+0.10*AQ151)+(0.30*AP151+0.20*AN151+0.20*AM151+0.15*AQ151+0.15*(100-AR151)))/2,2)</x:f>
        <x:v>82.75</x:v>
      </x:c>
      <x:c r="AT151" s="60" t="n">
        <x:f>ROUND(AVERAGE(V151,AD151,AL151),1)</x:f>
        <x:v>82</x:v>
      </x:c>
      <x:c r="AU151" s="60" t="n">
        <x:f>ROUND(AVERAGE(W151,AE151,AM151),1)</x:f>
        <x:v>83</x:v>
      </x:c>
      <x:c r="AV151" s="60" t="n">
        <x:f>ROUND(AVERAGE(X151,AF151,AN151),1)</x:f>
        <x:v>83.1</x:v>
      </x:c>
      <x:c r="AW151" s="60" t="n">
        <x:f>ROUND(AVERAGE(Y151,AG151,AO151),1)</x:f>
        <x:v>81</x:v>
      </x:c>
      <x:c r="AX151" s="60" t="n">
        <x:f>ROUND(AVERAGE(Z151,AH151,AP151),1)</x:f>
        <x:v>82</x:v>
      </x:c>
      <x:c r="AY151" s="60" t="n">
        <x:f>ROUND(AVERAGE(AA151,AI151,AQ151),1)</x:f>
        <x:v>82</x:v>
      </x:c>
      <x:c r="AZ151" s="60" t="n">
        <x:f>ROUND(AVERAGE(AB151,AJ151,AR151),1)</x:f>
        <x:v>13</x:v>
      </x:c>
      <x:c r="BA151" s="59" t="n">
        <x:v>5</x:v>
      </x:c>
      <x:c r="BB151" s="60" t="n">
        <x:f>ROUND(0.30*AT151+0.20*AU151+0.25*AV151+0.15*AW151+0.10*AY151,2)</x:f>
        <x:v>82.33</x:v>
      </x:c>
      <x:c r="BC151" s="60" t="n">
        <x:f>ROUND(0.30*AX151+0.20*AV151+0.20*AU151+0.15*AY151+0.15*(100-AZ151),2)</x:f>
        <x:v>83.17</x:v>
      </x:c>
      <x:c r="BD151" s="60" t="n">
        <x:f>ROUND(AVERAGE(BB151,BC151),2)</x:f>
        <x:v>82.75</x:v>
      </x:c>
      <x:c r="BE151" s="60" t="n">
        <x:f>ROUND(BD151-U151,2)</x:f>
        <x:v>0.02</x:v>
      </x:c>
      <x:c r="BF151" s="60" t="n">
        <x:f>ROUND(STDEV.P(AC151,AK151,AS151),3)</x:f>
        <x:v>0.021</x:v>
      </x:c>
      <x:c r="BG151" s="59" t="str"/>
      <x:c r="BH151" s="59" t="str">
        <x:v>30%评分池轻量复核</x:v>
      </x:c>
      <x:c r="BI151" s="40" t="str">
        <x:v>三轮复核后与原表基本一致</x:v>
      </x:c>
    </x:row>
    <x:row r="152" ht="30" customHeight="1">
      <x:c r="A152" s="59" t="n">
        <x:v>151</x:v>
      </x:c>
      <x:c r="B152" s="59" t="n">
        <x:v>150</x:v>
      </x:c>
      <x:c r="C152" s="59" t="str">
        <x:v>2026-06</x:v>
      </x:c>
      <x:c r="D152" s="59" t="n">
        <x:v>60</x:v>
      </x:c>
      <x:c r="E152" s="59" t="str">
        <x:v>2606.08321</x:v>
      </x:c>
      <x:c r="F152" s="40" t="str">
        <x:v>Inverse scattering for focusing NLS with elliptic background and full soliton gas</x:v>
      </x:c>
      <x:c r="G152" s="40" t="str">
        <x:v>Tamara Grava; Robert Jenkins; Xiaofan Zhang; Zechuan Zhang</x:v>
      </x:c>
      <x:c r="H152" s="40" t="str">
        <x:v>inverse/scattering</x:v>
      </x:c>
      <x:c r="I152" s="59" t="n">
        <x:v>33</x:v>
      </x:c>
      <x:c r="J152" s="40" t="str">
        <x:v>https://arxiv.org/abs/2606.08321</x:v>
      </x:c>
      <x:c r="K152" s="60" t="n">
        <x:v>82</x:v>
      </x:c>
      <x:c r="L152" s="60" t="n">
        <x:v>83</x:v>
      </x:c>
      <x:c r="M152" s="60" t="n">
        <x:v>83</x:v>
      </x:c>
      <x:c r="N152" s="60" t="n">
        <x:v>81</x:v>
      </x:c>
      <x:c r="O152" s="60" t="n">
        <x:v>82</x:v>
      </x:c>
      <x:c r="P152" s="60" t="n">
        <x:v>82</x:v>
      </x:c>
      <x:c r="Q152" s="60" t="n">
        <x:v>13</x:v>
      </x:c>
      <x:c r="R152" s="59" t="n">
        <x:v>5</x:v>
      </x:c>
      <x:c r="S152" s="60" t="n">
        <x:v>82.30000000000001</x:v>
      </x:c>
      <x:c r="T152" s="60" t="n">
        <x:v>83.15</x:v>
      </x:c>
      <x:c r="U152" s="60" t="n">
        <x:v>82.72500000000001</x:v>
      </x:c>
      <x:c r="V152" s="60" t="n">
        <x:v>82</x:v>
      </x:c>
      <x:c r="W152" s="60" t="n">
        <x:v>83</x:v>
      </x:c>
      <x:c r="X152" s="60" t="n">
        <x:v>83</x:v>
      </x:c>
      <x:c r="Y152" s="60" t="n">
        <x:v>81</x:v>
      </x:c>
      <x:c r="Z152" s="60" t="n">
        <x:v>82</x:v>
      </x:c>
      <x:c r="AA152" s="60" t="n">
        <x:v>82</x:v>
      </x:c>
      <x:c r="AB152" s="60" t="n">
        <x:v>13</x:v>
      </x:c>
      <x:c r="AC152" s="60" t="n">
        <x:f>ROUND(((0.30*V152+0.20*W152+0.25*X152+0.15*Y152+0.10*AA152)+(0.30*Z152+0.20*X152+0.20*W152+0.15*AA152+0.15*(100-AB152)))/2,2)</x:f>
        <x:v>82.73</x:v>
      </x:c>
      <x:c r="AD152" s="60" t="n">
        <x:v>82</x:v>
      </x:c>
      <x:c r="AE152" s="60" t="n">
        <x:v>83</x:v>
      </x:c>
      <x:c r="AF152" s="60" t="n">
        <x:v>83</x:v>
      </x:c>
      <x:c r="AG152" s="60" t="n">
        <x:v>81</x:v>
      </x:c>
      <x:c r="AH152" s="60" t="n">
        <x:v>82</x:v>
      </x:c>
      <x:c r="AI152" s="60" t="n">
        <x:v>82</x:v>
      </x:c>
      <x:c r="AJ152" s="60" t="n">
        <x:v>13</x:v>
      </x:c>
      <x:c r="AK152" s="60" t="n">
        <x:f>ROUND(((0.30*AD152+0.20*AE152+0.25*AF152+0.15*AG152+0.10*AI152)+(0.30*AH152+0.20*AF152+0.20*AE152+0.15*AI152+0.15*(100-AJ152)))/2,2)</x:f>
        <x:v>82.73</x:v>
      </x:c>
      <x:c r="AL152" s="60" t="n">
        <x:v>82</x:v>
      </x:c>
      <x:c r="AM152" s="60" t="n">
        <x:v>83</x:v>
      </x:c>
      <x:c r="AN152" s="60" t="n">
        <x:v>83</x:v>
      </x:c>
      <x:c r="AO152" s="60" t="n">
        <x:v>81</x:v>
      </x:c>
      <x:c r="AP152" s="60" t="n">
        <x:v>82</x:v>
      </x:c>
      <x:c r="AQ152" s="60" t="n">
        <x:v>82</x:v>
      </x:c>
      <x:c r="AR152" s="60" t="n">
        <x:v>13</x:v>
      </x:c>
      <x:c r="AS152" s="60" t="n">
        <x:f>ROUND(((0.30*AL152+0.20*AM152+0.25*AN152+0.15*AO152+0.10*AQ152)+(0.30*AP152+0.20*AN152+0.20*AM152+0.15*AQ152+0.15*(100-AR152)))/2,2)</x:f>
        <x:v>82.73</x:v>
      </x:c>
      <x:c r="AT152" s="60" t="n">
        <x:f>ROUND(AVERAGE(V152,AD152,AL152),1)</x:f>
        <x:v>82</x:v>
      </x:c>
      <x:c r="AU152" s="60" t="n">
        <x:f>ROUND(AVERAGE(W152,AE152,AM152),1)</x:f>
        <x:v>83</x:v>
      </x:c>
      <x:c r="AV152" s="60" t="n">
        <x:f>ROUND(AVERAGE(X152,AF152,AN152),1)</x:f>
        <x:v>83</x:v>
      </x:c>
      <x:c r="AW152" s="60" t="n">
        <x:f>ROUND(AVERAGE(Y152,AG152,AO152),1)</x:f>
        <x:v>81</x:v>
      </x:c>
      <x:c r="AX152" s="60" t="n">
        <x:f>ROUND(AVERAGE(Z152,AH152,AP152),1)</x:f>
        <x:v>82</x:v>
      </x:c>
      <x:c r="AY152" s="60" t="n">
        <x:f>ROUND(AVERAGE(AA152,AI152,AQ152),1)</x:f>
        <x:v>82</x:v>
      </x:c>
      <x:c r="AZ152" s="60" t="n">
        <x:f>ROUND(AVERAGE(AB152,AJ152,AR152),1)</x:f>
        <x:v>13</x:v>
      </x:c>
      <x:c r="BA152" s="59" t="n">
        <x:v>5</x:v>
      </x:c>
      <x:c r="BB152" s="60" t="n">
        <x:f>ROUND(0.30*AT152+0.20*AU152+0.25*AV152+0.15*AW152+0.10*AY152,2)</x:f>
        <x:v>82.3</x:v>
      </x:c>
      <x:c r="BC152" s="60" t="n">
        <x:f>ROUND(0.30*AX152+0.20*AV152+0.20*AU152+0.15*AY152+0.15*(100-AZ152),2)</x:f>
        <x:v>83.15</x:v>
      </x:c>
      <x:c r="BD152" s="60" t="n">
        <x:f>ROUND(AVERAGE(BB152,BC152),2)</x:f>
        <x:v>82.73</x:v>
      </x:c>
      <x:c r="BE152" s="60" t="n">
        <x:f>ROUND(BD152-U152,2)</x:f>
        <x:v>0</x:v>
      </x:c>
      <x:c r="BF152" s="60" t="n">
        <x:f>ROUND(STDEV.P(AC152,AK152,AS152),3)</x:f>
        <x:v>0</x:v>
      </x:c>
      <x:c r="BG152" s="59" t="str"/>
      <x:c r="BH152" s="59" t="str">
        <x:v>30%评分池轻量复核</x:v>
      </x:c>
      <x:c r="BI152" s="40" t="str">
        <x:v>三轮复核后与原表基本一致</x:v>
      </x:c>
    </x:row>
    <x:row r="153" ht="30" customHeight="1">
      <x:c r="A153" s="59" t="n">
        <x:v>152</x:v>
      </x:c>
      <x:c r="B153" s="59" t="n">
        <x:v>153</x:v>
      </x:c>
      <x:c r="C153" s="59" t="str">
        <x:v>2026-06</x:v>
      </x:c>
      <x:c r="D153" s="59" t="n">
        <x:v>63</x:v>
      </x:c>
      <x:c r="E153" s="59" t="str">
        <x:v>2606.00594</x:v>
      </x:c>
      <x:c r="F153" s="40" t="str">
        <x:v>A Nonlocal p-Laplacian Interface Model with Sharp Interface</x:v>
      </x:c>
      <x:c r="G153" s="40" t="str">
        <x:v>Kehan Shi; Zuoqiang Shi; Tangjun Wang</x:v>
      </x:c>
      <x:c r="H153" s="40" t="str">
        <x:v>analysis/PDE</x:v>
      </x:c>
      <x:c r="I153" s="59"/>
      <x:c r="J153" s="40" t="str">
        <x:v>https://arxiv.org/abs/2606.00594</x:v>
      </x:c>
      <x:c r="K153" s="60" t="n">
        <x:v>83</x:v>
      </x:c>
      <x:c r="L153" s="60" t="n">
        <x:v>83</x:v>
      </x:c>
      <x:c r="M153" s="60" t="n">
        <x:v>82</x:v>
      </x:c>
      <x:c r="N153" s="60" t="n">
        <x:v>81</x:v>
      </x:c>
      <x:c r="O153" s="60" t="n">
        <x:v>82</x:v>
      </x:c>
      <x:c r="P153" s="60" t="n">
        <x:v>82</x:v>
      </x:c>
      <x:c r="Q153" s="60" t="n">
        <x:v>13</x:v>
      </x:c>
      <x:c r="R153" s="59" t="n">
        <x:v>5</x:v>
      </x:c>
      <x:c r="S153" s="60" t="n">
        <x:v>82.35000000000001</x:v>
      </x:c>
      <x:c r="T153" s="60" t="n">
        <x:v>82.95</x:v>
      </x:c>
      <x:c r="U153" s="60" t="n">
        <x:v>82.65</x:v>
      </x:c>
      <x:c r="V153" s="60" t="n">
        <x:v>83</x:v>
      </x:c>
      <x:c r="W153" s="60" t="n">
        <x:v>83.1</x:v>
      </x:c>
      <x:c r="X153" s="60" t="n">
        <x:v>82</x:v>
      </x:c>
      <x:c r="Y153" s="60" t="n">
        <x:v>81.1</x:v>
      </x:c>
      <x:c r="Z153" s="60" t="n">
        <x:v>82.1</x:v>
      </x:c>
      <x:c r="AA153" s="60" t="n">
        <x:v>82</x:v>
      </x:c>
      <x:c r="AB153" s="60" t="n">
        <x:v>13</x:v>
      </x:c>
      <x:c r="AC153" s="60" t="n">
        <x:f>ROUND(((0.30*V153+0.20*W153+0.25*X153+0.15*Y153+0.10*AA153)+(0.30*Z153+0.20*X153+0.20*W153+0.15*AA153+0.15*(100-AB153)))/2,2)</x:f>
        <x:v>82.69</x:v>
      </x:c>
      <x:c r="AD153" s="60" t="n">
        <x:v>83</x:v>
      </x:c>
      <x:c r="AE153" s="60" t="n">
        <x:v>83.1</x:v>
      </x:c>
      <x:c r="AF153" s="60" t="n">
        <x:v>82</x:v>
      </x:c>
      <x:c r="AG153" s="60" t="n">
        <x:v>81.1</x:v>
      </x:c>
      <x:c r="AH153" s="60" t="n">
        <x:v>82</x:v>
      </x:c>
      <x:c r="AI153" s="60" t="n">
        <x:v>82</x:v>
      </x:c>
      <x:c r="AJ153" s="60" t="n">
        <x:v>13</x:v>
      </x:c>
      <x:c r="AK153" s="60" t="n">
        <x:f>ROUND(((0.30*AD153+0.20*AE153+0.25*AF153+0.15*AG153+0.10*AI153)+(0.30*AH153+0.20*AF153+0.20*AE153+0.15*AI153+0.15*(100-AJ153)))/2,2)</x:f>
        <x:v>82.68</x:v>
      </x:c>
      <x:c r="AL153" s="60" t="n">
        <x:v>83</x:v>
      </x:c>
      <x:c r="AM153" s="60" t="n">
        <x:v>83.1</x:v>
      </x:c>
      <x:c r="AN153" s="60" t="n">
        <x:v>82</x:v>
      </x:c>
      <x:c r="AO153" s="60" t="n">
        <x:v>81.1</x:v>
      </x:c>
      <x:c r="AP153" s="60" t="n">
        <x:v>82.1</x:v>
      </x:c>
      <x:c r="AQ153" s="60" t="n">
        <x:v>82</x:v>
      </x:c>
      <x:c r="AR153" s="60" t="n">
        <x:v>13</x:v>
      </x:c>
      <x:c r="AS153" s="60" t="n">
        <x:f>ROUND(((0.30*AL153+0.20*AM153+0.25*AN153+0.15*AO153+0.10*AQ153)+(0.30*AP153+0.20*AN153+0.20*AM153+0.15*AQ153+0.15*(100-AR153)))/2,2)</x:f>
        <x:v>82.69</x:v>
      </x:c>
      <x:c r="AT153" s="60" t="n">
        <x:f>ROUND(AVERAGE(V153,AD153,AL153),1)</x:f>
        <x:v>83</x:v>
      </x:c>
      <x:c r="AU153" s="60" t="n">
        <x:f>ROUND(AVERAGE(W153,AE153,AM153),1)</x:f>
        <x:v>83.1</x:v>
      </x:c>
      <x:c r="AV153" s="60" t="n">
        <x:f>ROUND(AVERAGE(X153,AF153,AN153),1)</x:f>
        <x:v>82</x:v>
      </x:c>
      <x:c r="AW153" s="60" t="n">
        <x:f>ROUND(AVERAGE(Y153,AG153,AO153),1)</x:f>
        <x:v>81.1</x:v>
      </x:c>
      <x:c r="AX153" s="60" t="n">
        <x:f>ROUND(AVERAGE(Z153,AH153,AP153),1)</x:f>
        <x:v>82.1</x:v>
      </x:c>
      <x:c r="AY153" s="60" t="n">
        <x:f>ROUND(AVERAGE(AA153,AI153,AQ153),1)</x:f>
        <x:v>82</x:v>
      </x:c>
      <x:c r="AZ153" s="60" t="n">
        <x:f>ROUND(AVERAGE(AB153,AJ153,AR153),1)</x:f>
        <x:v>13</x:v>
      </x:c>
      <x:c r="BA153" s="59" t="n">
        <x:v>5</x:v>
      </x:c>
      <x:c r="BB153" s="60" t="n">
        <x:f>ROUND(0.30*AT153+0.20*AU153+0.25*AV153+0.15*AW153+0.10*AY153,2)</x:f>
        <x:v>82.39</x:v>
      </x:c>
      <x:c r="BC153" s="60" t="n">
        <x:f>ROUND(0.30*AX153+0.20*AV153+0.20*AU153+0.15*AY153+0.15*(100-AZ153),2)</x:f>
        <x:v>83</x:v>
      </x:c>
      <x:c r="BD153" s="60" t="n">
        <x:f>ROUND(AVERAGE(BB153,BC153),2)</x:f>
        <x:v>82.7</x:v>
      </x:c>
      <x:c r="BE153" s="60" t="n">
        <x:f>ROUND(BD153-U153,2)</x:f>
        <x:v>0.05</x:v>
      </x:c>
      <x:c r="BF153" s="60" t="n">
        <x:f>ROUND(STDEV.P(AC153,AK153,AS153),3)</x:f>
        <x:v>0.005</x:v>
      </x:c>
      <x:c r="BG153" s="59" t="str"/>
      <x:c r="BH153" s="59" t="str">
        <x:v>30%评分池轻量复核</x:v>
      </x:c>
      <x:c r="BI153" s="40" t="str">
        <x:v>三轮复核后与原表基本一致</x:v>
      </x:c>
    </x:row>
    <x:row r="154" ht="30" customHeight="1">
      <x:c r="A154" s="59" t="n">
        <x:v>153</x:v>
      </x:c>
      <x:c r="B154" s="59" t="n">
        <x:v>152</x:v>
      </x:c>
      <x:c r="C154" s="59" t="str">
        <x:v>2026-06</x:v>
      </x:c>
      <x:c r="D154" s="59" t="n">
        <x:v>62</x:v>
      </x:c>
      <x:c r="E154" s="59" t="str">
        <x:v>2606.15731</x:v>
      </x:c>
      <x:c r="F154" s="40" t="str">
        <x:v>Scattering and blow-up solutions to nonlinear Schrodinger equation beyond the threshold</x:v>
      </x:c>
      <x:c r="G154" s="40" t="str">
        <x:v>Masaru Hamano</x:v>
      </x:c>
      <x:c r="H154" s="40" t="str">
        <x:v>inverse/scattering</x:v>
      </x:c>
      <x:c r="I154" s="59" t="n">
        <x:v>24</x:v>
      </x:c>
      <x:c r="J154" s="40" t="str">
        <x:v>https://arxiv.org/abs/2606.15731</x:v>
      </x:c>
      <x:c r="K154" s="60" t="n">
        <x:v>82</x:v>
      </x:c>
      <x:c r="L154" s="60" t="n">
        <x:v>82</x:v>
      </x:c>
      <x:c r="M154" s="60" t="n">
        <x:v>83</x:v>
      </x:c>
      <x:c r="N154" s="60" t="n">
        <x:v>81</x:v>
      </x:c>
      <x:c r="O154" s="60" t="n">
        <x:v>83</x:v>
      </x:c>
      <x:c r="P154" s="60" t="n">
        <x:v>82</x:v>
      </x:c>
      <x:c r="Q154" s="60" t="n">
        <x:v>13</x:v>
      </x:c>
      <x:c r="R154" s="59" t="n">
        <x:v>5</x:v>
      </x:c>
      <x:c r="S154" s="60" t="n">
        <x:v>82.10000000000001</x:v>
      </x:c>
      <x:c r="T154" s="60" t="n">
        <x:v>83.25</x:v>
      </x:c>
      <x:c r="U154" s="60" t="n">
        <x:v>82.67500000000001</x:v>
      </x:c>
      <x:c r="V154" s="60" t="n">
        <x:v>82</x:v>
      </x:c>
      <x:c r="W154" s="60" t="n">
        <x:v>82</x:v>
      </x:c>
      <x:c r="X154" s="60" t="n">
        <x:v>83</x:v>
      </x:c>
      <x:c r="Y154" s="60" t="n">
        <x:v>81</x:v>
      </x:c>
      <x:c r="Z154" s="60" t="n">
        <x:v>83</x:v>
      </x:c>
      <x:c r="AA154" s="60" t="n">
        <x:v>82</x:v>
      </x:c>
      <x:c r="AB154" s="60" t="n">
        <x:v>13</x:v>
      </x:c>
      <x:c r="AC154" s="60" t="n">
        <x:f>ROUND(((0.30*V154+0.20*W154+0.25*X154+0.15*Y154+0.10*AA154)+(0.30*Z154+0.20*X154+0.20*W154+0.15*AA154+0.15*(100-AB154)))/2,2)</x:f>
        <x:v>82.68</x:v>
      </x:c>
      <x:c r="AD154" s="60" t="n">
        <x:v>82</x:v>
      </x:c>
      <x:c r="AE154" s="60" t="n">
        <x:v>82</x:v>
      </x:c>
      <x:c r="AF154" s="60" t="n">
        <x:v>83</x:v>
      </x:c>
      <x:c r="AG154" s="60" t="n">
        <x:v>81</x:v>
      </x:c>
      <x:c r="AH154" s="60" t="n">
        <x:v>83</x:v>
      </x:c>
      <x:c r="AI154" s="60" t="n">
        <x:v>82</x:v>
      </x:c>
      <x:c r="AJ154" s="60" t="n">
        <x:v>13.4</x:v>
      </x:c>
      <x:c r="AK154" s="60" t="n">
        <x:f>ROUND(((0.30*AD154+0.20*AE154+0.25*AF154+0.15*AG154+0.10*AI154)+(0.30*AH154+0.20*AF154+0.20*AE154+0.15*AI154+0.15*(100-AJ154)))/2,2)</x:f>
        <x:v>82.65</x:v>
      </x:c>
      <x:c r="AL154" s="60" t="n">
        <x:v>82</x:v>
      </x:c>
      <x:c r="AM154" s="60" t="n">
        <x:v>82</x:v>
      </x:c>
      <x:c r="AN154" s="60" t="n">
        <x:v>83</x:v>
      </x:c>
      <x:c r="AO154" s="60" t="n">
        <x:v>81</x:v>
      </x:c>
      <x:c r="AP154" s="60" t="n">
        <x:v>83</x:v>
      </x:c>
      <x:c r="AQ154" s="60" t="n">
        <x:v>82</x:v>
      </x:c>
      <x:c r="AR154" s="60" t="n">
        <x:v>13</x:v>
      </x:c>
      <x:c r="AS154" s="60" t="n">
        <x:f>ROUND(((0.30*AL154+0.20*AM154+0.25*AN154+0.15*AO154+0.10*AQ154)+(0.30*AP154+0.20*AN154+0.20*AM154+0.15*AQ154+0.15*(100-AR154)))/2,2)</x:f>
        <x:v>82.68</x:v>
      </x:c>
      <x:c r="AT154" s="60" t="n">
        <x:f>ROUND(AVERAGE(V154,AD154,AL154),1)</x:f>
        <x:v>82</x:v>
      </x:c>
      <x:c r="AU154" s="60" t="n">
        <x:f>ROUND(AVERAGE(W154,AE154,AM154),1)</x:f>
        <x:v>82</x:v>
      </x:c>
      <x:c r="AV154" s="60" t="n">
        <x:f>ROUND(AVERAGE(X154,AF154,AN154),1)</x:f>
        <x:v>83</x:v>
      </x:c>
      <x:c r="AW154" s="60" t="n">
        <x:f>ROUND(AVERAGE(Y154,AG154,AO154),1)</x:f>
        <x:v>81</x:v>
      </x:c>
      <x:c r="AX154" s="60" t="n">
        <x:f>ROUND(AVERAGE(Z154,AH154,AP154),1)</x:f>
        <x:v>83</x:v>
      </x:c>
      <x:c r="AY154" s="60" t="n">
        <x:f>ROUND(AVERAGE(AA154,AI154,AQ154),1)</x:f>
        <x:v>82</x:v>
      </x:c>
      <x:c r="AZ154" s="60" t="n">
        <x:f>ROUND(AVERAGE(AB154,AJ154,AR154),1)</x:f>
        <x:v>13.1</x:v>
      </x:c>
      <x:c r="BA154" s="59" t="n">
        <x:v>5</x:v>
      </x:c>
      <x:c r="BB154" s="60" t="n">
        <x:f>ROUND(0.30*AT154+0.20*AU154+0.25*AV154+0.15*AW154+0.10*AY154,2)</x:f>
        <x:v>82.1</x:v>
      </x:c>
      <x:c r="BC154" s="60" t="n">
        <x:f>ROUND(0.30*AX154+0.20*AV154+0.20*AU154+0.15*AY154+0.15*(100-AZ154),2)</x:f>
        <x:v>83.24</x:v>
      </x:c>
      <x:c r="BD154" s="60" t="n">
        <x:f>ROUND(AVERAGE(BB154,BC154),2)</x:f>
        <x:v>82.67</x:v>
      </x:c>
      <x:c r="BE154" s="60" t="n">
        <x:f>ROUND(BD154-U154,2)</x:f>
        <x:v>-0.01</x:v>
      </x:c>
      <x:c r="BF154" s="60" t="n">
        <x:f>ROUND(STDEV.P(AC154,AK154,AS154),3)</x:f>
        <x:v>0.014</x:v>
      </x:c>
      <x:c r="BG154" s="59" t="str"/>
      <x:c r="BH154" s="59" t="str">
        <x:v>30%评分池轻量复核</x:v>
      </x:c>
      <x:c r="BI154" s="40" t="str">
        <x:v>三轮复核后与原表基本一致</x:v>
      </x:c>
    </x:row>
    <x:row r="155" ht="30" customHeight="1">
      <x:c r="A155" s="59" t="n">
        <x:v>154</x:v>
      </x:c>
      <x:c r="B155" s="59" t="n">
        <x:v>155</x:v>
      </x:c>
      <x:c r="C155" s="59" t="str">
        <x:v>2026-06</x:v>
      </x:c>
      <x:c r="D155" s="59" t="n">
        <x:v>64</x:v>
      </x:c>
      <x:c r="E155" s="59" t="str">
        <x:v>2606.08924</x:v>
      </x:c>
      <x:c r="F155" s="40" t="str">
        <x:v>Strong Ill-posedness of the 2d Incompressible Euler Equation in Critical Besov Spaces</x:v>
      </x:c>
      <x:c r="G155" s="40" t="str">
        <x:v>Karim R. Shikh Khalil</x:v>
      </x:c>
      <x:c r="H155" s="40" t="str">
        <x:v>fluid/kinetic PDE</x:v>
      </x:c>
      <x:c r="I155" s="59"/>
      <x:c r="J155" s="40" t="str">
        <x:v>https://arxiv.org/abs/2606.08924</x:v>
      </x:c>
      <x:c r="K155" s="60" t="n">
        <x:v>83</x:v>
      </x:c>
      <x:c r="L155" s="60" t="n">
        <x:v>82</x:v>
      </x:c>
      <x:c r="M155" s="60" t="n">
        <x:v>82</x:v>
      </x:c>
      <x:c r="N155" s="60" t="n">
        <x:v>81</x:v>
      </x:c>
      <x:c r="O155" s="60" t="n">
        <x:v>83</x:v>
      </x:c>
      <x:c r="P155" s="60" t="n">
        <x:v>82</x:v>
      </x:c>
      <x:c r="Q155" s="60" t="n">
        <x:v>13</x:v>
      </x:c>
      <x:c r="R155" s="59" t="n">
        <x:v>5</x:v>
      </x:c>
      <x:c r="S155" s="60" t="n">
        <x:v>82.15</x:v>
      </x:c>
      <x:c r="T155" s="60" t="n">
        <x:v>83.05</x:v>
      </x:c>
      <x:c r="U155" s="60" t="n">
        <x:v>82.6</x:v>
      </x:c>
      <x:c r="V155" s="60" t="n">
        <x:v>83.1</x:v>
      </x:c>
      <x:c r="W155" s="60" t="n">
        <x:v>82</x:v>
      </x:c>
      <x:c r="X155" s="60" t="n">
        <x:v>82.1</x:v>
      </x:c>
      <x:c r="Y155" s="60" t="n">
        <x:v>81</x:v>
      </x:c>
      <x:c r="Z155" s="60" t="n">
        <x:v>83.1</x:v>
      </x:c>
      <x:c r="AA155" s="60" t="n">
        <x:v>82</x:v>
      </x:c>
      <x:c r="AB155" s="60" t="n">
        <x:v>13</x:v>
      </x:c>
      <x:c r="AC155" s="60" t="n">
        <x:f>ROUND(((0.30*V155+0.20*W155+0.25*X155+0.15*Y155+0.10*AA155)+(0.30*Z155+0.20*X155+0.20*W155+0.15*AA155+0.15*(100-AB155)))/2,2)</x:f>
        <x:v>82.65</x:v>
      </x:c>
      <x:c r="AD155" s="60" t="n">
        <x:v>83</x:v>
      </x:c>
      <x:c r="AE155" s="60" t="n">
        <x:v>82</x:v>
      </x:c>
      <x:c r="AF155" s="60" t="n">
        <x:v>82</x:v>
      </x:c>
      <x:c r="AG155" s="60" t="n">
        <x:v>81</x:v>
      </x:c>
      <x:c r="AH155" s="60" t="n">
        <x:v>83</x:v>
      </x:c>
      <x:c r="AI155" s="60" t="n">
        <x:v>82</x:v>
      </x:c>
      <x:c r="AJ155" s="60" t="n">
        <x:v>13</x:v>
      </x:c>
      <x:c r="AK155" s="60" t="n">
        <x:f>ROUND(((0.30*AD155+0.20*AE155+0.25*AF155+0.15*AG155+0.10*AI155)+(0.30*AH155+0.20*AF155+0.20*AE155+0.15*AI155+0.15*(100-AJ155)))/2,2)</x:f>
        <x:v>82.6</x:v>
      </x:c>
      <x:c r="AL155" s="60" t="n">
        <x:v>83</x:v>
      </x:c>
      <x:c r="AM155" s="60" t="n">
        <x:v>82</x:v>
      </x:c>
      <x:c r="AN155" s="60" t="n">
        <x:v>82.1</x:v>
      </x:c>
      <x:c r="AO155" s="60" t="n">
        <x:v>81</x:v>
      </x:c>
      <x:c r="AP155" s="60" t="n">
        <x:v>83</x:v>
      </x:c>
      <x:c r="AQ155" s="60" t="n">
        <x:v>82</x:v>
      </x:c>
      <x:c r="AR155" s="60" t="n">
        <x:v>13</x:v>
      </x:c>
      <x:c r="AS155" s="60" t="n">
        <x:f>ROUND(((0.30*AL155+0.20*AM155+0.25*AN155+0.15*AO155+0.10*AQ155)+(0.30*AP155+0.20*AN155+0.20*AM155+0.15*AQ155+0.15*(100-AR155)))/2,2)</x:f>
        <x:v>82.62</x:v>
      </x:c>
      <x:c r="AT155" s="60" t="n">
        <x:f>ROUND(AVERAGE(V155,AD155,AL155),1)</x:f>
        <x:v>83</x:v>
      </x:c>
      <x:c r="AU155" s="60" t="n">
        <x:f>ROUND(AVERAGE(W155,AE155,AM155),1)</x:f>
        <x:v>82</x:v>
      </x:c>
      <x:c r="AV155" s="60" t="n">
        <x:f>ROUND(AVERAGE(X155,AF155,AN155),1)</x:f>
        <x:v>82.1</x:v>
      </x:c>
      <x:c r="AW155" s="60" t="n">
        <x:f>ROUND(AVERAGE(Y155,AG155,AO155),1)</x:f>
        <x:v>81</x:v>
      </x:c>
      <x:c r="AX155" s="60" t="n">
        <x:f>ROUND(AVERAGE(Z155,AH155,AP155),1)</x:f>
        <x:v>83</x:v>
      </x:c>
      <x:c r="AY155" s="60" t="n">
        <x:f>ROUND(AVERAGE(AA155,AI155,AQ155),1)</x:f>
        <x:v>82</x:v>
      </x:c>
      <x:c r="AZ155" s="60" t="n">
        <x:f>ROUND(AVERAGE(AB155,AJ155,AR155),1)</x:f>
        <x:v>13</x:v>
      </x:c>
      <x:c r="BA155" s="59" t="n">
        <x:v>5</x:v>
      </x:c>
      <x:c r="BB155" s="60" t="n">
        <x:f>ROUND(0.30*AT155+0.20*AU155+0.25*AV155+0.15*AW155+0.10*AY155,2)</x:f>
        <x:v>82.18</x:v>
      </x:c>
      <x:c r="BC155" s="60" t="n">
        <x:f>ROUND(0.30*AX155+0.20*AV155+0.20*AU155+0.15*AY155+0.15*(100-AZ155),2)</x:f>
        <x:v>83.07</x:v>
      </x:c>
      <x:c r="BD155" s="60" t="n">
        <x:f>ROUND(AVERAGE(BB155,BC155),2)</x:f>
        <x:v>82.63</x:v>
      </x:c>
      <x:c r="BE155" s="60" t="n">
        <x:f>ROUND(BD155-U155,2)</x:f>
        <x:v>0.03</x:v>
      </x:c>
      <x:c r="BF155" s="60" t="n">
        <x:f>ROUND(STDEV.P(AC155,AK155,AS155),3)</x:f>
        <x:v>0.021</x:v>
      </x:c>
      <x:c r="BG155" s="59" t="str"/>
      <x:c r="BH155" s="59" t="str">
        <x:v>30%评分池轻量复核</x:v>
      </x:c>
      <x:c r="BI155" s="40" t="str">
        <x:v>三轮复核后与原表基本一致</x:v>
      </x:c>
    </x:row>
    <x:row r="156" ht="30" customHeight="1">
      <x:c r="A156" s="59" t="n">
        <x:v>155</x:v>
      </x:c>
      <x:c r="B156" s="59" t="n">
        <x:v>156</x:v>
      </x:c>
      <x:c r="C156" s="59" t="str">
        <x:v>2026-06</x:v>
      </x:c>
      <x:c r="D156" s="59" t="n">
        <x:v>65</x:v>
      </x:c>
      <x:c r="E156" s="59" t="str">
        <x:v>2606.01449</x:v>
      </x:c>
      <x:c r="F156" s="40" t="str">
        <x:v>Harnack inequality for superposition operators of mixed fractional order</x:v>
      </x:c>
      <x:c r="G156" s="40" t="str">
        <x:v>Souvik Bhowmick; Sekhar Ghosh; Vishvesh Kumar; R. Lakshmi</x:v>
      </x:c>
      <x:c r="H156" s="40" t="str">
        <x:v>elliptic/parabolic regularity</x:v>
      </x:c>
      <x:c r="I156" s="59"/>
      <x:c r="J156" s="40" t="str">
        <x:v>https://arxiv.org/abs/2606.01449</x:v>
      </x:c>
      <x:c r="K156" s="60" t="n">
        <x:v>82</x:v>
      </x:c>
      <x:c r="L156" s="60" t="n">
        <x:v>82</x:v>
      </x:c>
      <x:c r="M156" s="60" t="n">
        <x:v>82</x:v>
      </x:c>
      <x:c r="N156" s="60" t="n">
        <x:v>83</x:v>
      </x:c>
      <x:c r="O156" s="60" t="n">
        <x:v>82</x:v>
      </x:c>
      <x:c r="P156" s="60" t="n">
        <x:v>83</x:v>
      </x:c>
      <x:c r="Q156" s="60" t="n">
        <x:v>13</x:v>
      </x:c>
      <x:c r="R156" s="59" t="n">
        <x:v>5</x:v>
      </x:c>
      <x:c r="S156" s="60" t="n">
        <x:v>82.25</x:v>
      </x:c>
      <x:c r="T156" s="60" t="n">
        <x:v>82.9</x:v>
      </x:c>
      <x:c r="U156" s="60" t="n">
        <x:v>82.575</x:v>
      </x:c>
      <x:c r="V156" s="60" t="n">
        <x:v>82</x:v>
      </x:c>
      <x:c r="W156" s="60" t="n">
        <x:v>82.1</x:v>
      </x:c>
      <x:c r="X156" s="60" t="n">
        <x:v>82</x:v>
      </x:c>
      <x:c r="Y156" s="60" t="n">
        <x:v>83.1</x:v>
      </x:c>
      <x:c r="Z156" s="60" t="n">
        <x:v>82.1</x:v>
      </x:c>
      <x:c r="AA156" s="60" t="n">
        <x:v>83</x:v>
      </x:c>
      <x:c r="AB156" s="60" t="n">
        <x:v>13</x:v>
      </x:c>
      <x:c r="AC156" s="60" t="n">
        <x:f>ROUND(((0.30*V156+0.20*W156+0.25*X156+0.15*Y156+0.10*AA156)+(0.30*Z156+0.20*X156+0.20*W156+0.15*AA156+0.15*(100-AB156)))/2,2)</x:f>
        <x:v>82.62</x:v>
      </x:c>
      <x:c r="AD156" s="60" t="n">
        <x:v>82</x:v>
      </x:c>
      <x:c r="AE156" s="60" t="n">
        <x:v>82.1</x:v>
      </x:c>
      <x:c r="AF156" s="60" t="n">
        <x:v>82</x:v>
      </x:c>
      <x:c r="AG156" s="60" t="n">
        <x:v>83.1</x:v>
      </x:c>
      <x:c r="AH156" s="60" t="n">
        <x:v>82</x:v>
      </x:c>
      <x:c r="AI156" s="60" t="n">
        <x:v>83</x:v>
      </x:c>
      <x:c r="AJ156" s="60" t="n">
        <x:v>13</x:v>
      </x:c>
      <x:c r="AK156" s="60" t="n">
        <x:f>ROUND(((0.30*AD156+0.20*AE156+0.25*AF156+0.15*AG156+0.10*AI156)+(0.30*AH156+0.20*AF156+0.20*AE156+0.15*AI156+0.15*(100-AJ156)))/2,2)</x:f>
        <x:v>82.6</x:v>
      </x:c>
      <x:c r="AL156" s="60" t="n">
        <x:v>82</x:v>
      </x:c>
      <x:c r="AM156" s="60" t="n">
        <x:v>82.1</x:v>
      </x:c>
      <x:c r="AN156" s="60" t="n">
        <x:v>82</x:v>
      </x:c>
      <x:c r="AO156" s="60" t="n">
        <x:v>83.1</x:v>
      </x:c>
      <x:c r="AP156" s="60" t="n">
        <x:v>82.1</x:v>
      </x:c>
      <x:c r="AQ156" s="60" t="n">
        <x:v>83</x:v>
      </x:c>
      <x:c r="AR156" s="60" t="n">
        <x:v>13</x:v>
      </x:c>
      <x:c r="AS156" s="60" t="n">
        <x:f>ROUND(((0.30*AL156+0.20*AM156+0.25*AN156+0.15*AO156+0.10*AQ156)+(0.30*AP156+0.20*AN156+0.20*AM156+0.15*AQ156+0.15*(100-AR156)))/2,2)</x:f>
        <x:v>82.62</x:v>
      </x:c>
      <x:c r="AT156" s="60" t="n">
        <x:f>ROUND(AVERAGE(V156,AD156,AL156),1)</x:f>
        <x:v>82</x:v>
      </x:c>
      <x:c r="AU156" s="60" t="n">
        <x:f>ROUND(AVERAGE(W156,AE156,AM156),1)</x:f>
        <x:v>82.1</x:v>
      </x:c>
      <x:c r="AV156" s="60" t="n">
        <x:f>ROUND(AVERAGE(X156,AF156,AN156),1)</x:f>
        <x:v>82</x:v>
      </x:c>
      <x:c r="AW156" s="60" t="n">
        <x:f>ROUND(AVERAGE(Y156,AG156,AO156),1)</x:f>
        <x:v>83.1</x:v>
      </x:c>
      <x:c r="AX156" s="60" t="n">
        <x:f>ROUND(AVERAGE(Z156,AH156,AP156),1)</x:f>
        <x:v>82.1</x:v>
      </x:c>
      <x:c r="AY156" s="60" t="n">
        <x:f>ROUND(AVERAGE(AA156,AI156,AQ156),1)</x:f>
        <x:v>83</x:v>
      </x:c>
      <x:c r="AZ156" s="60" t="n">
        <x:f>ROUND(AVERAGE(AB156,AJ156,AR156),1)</x:f>
        <x:v>13</x:v>
      </x:c>
      <x:c r="BA156" s="59" t="n">
        <x:v>5</x:v>
      </x:c>
      <x:c r="BB156" s="60" t="n">
        <x:f>ROUND(0.30*AT156+0.20*AU156+0.25*AV156+0.15*AW156+0.10*AY156,2)</x:f>
        <x:v>82.29</x:v>
      </x:c>
      <x:c r="BC156" s="60" t="n">
        <x:f>ROUND(0.30*AX156+0.20*AV156+0.20*AU156+0.15*AY156+0.15*(100-AZ156),2)</x:f>
        <x:v>82.95</x:v>
      </x:c>
      <x:c r="BD156" s="60" t="n">
        <x:f>ROUND(AVERAGE(BB156,BC156),2)</x:f>
        <x:v>82.62</x:v>
      </x:c>
      <x:c r="BE156" s="60" t="n">
        <x:f>ROUND(BD156-U156,2)</x:f>
        <x:v>0.05</x:v>
      </x:c>
      <x:c r="BF156" s="60" t="n">
        <x:f>ROUND(STDEV.P(AC156,AK156,AS156),3)</x:f>
        <x:v>0.009</x:v>
      </x:c>
      <x:c r="BG156" s="59" t="str"/>
      <x:c r="BH156" s="59" t="str">
        <x:v>30%评分池轻量复核</x:v>
      </x:c>
      <x:c r="BI156" s="40" t="str">
        <x:v>三轮复核后与原表基本一致</x:v>
      </x:c>
    </x:row>
    <x:row r="157" ht="30" customHeight="1">
      <x:c r="A157" s="59" t="n">
        <x:v>156</x:v>
      </x:c>
      <x:c r="B157" s="59" t="n">
        <x:v>158</x:v>
      </x:c>
      <x:c r="C157" s="59" t="str">
        <x:v>2026-06</x:v>
      </x:c>
      <x:c r="D157" s="59" t="n">
        <x:v>66</x:v>
      </x:c>
      <x:c r="E157" s="59" t="str">
        <x:v>2606.01559</x:v>
      </x:c>
      <x:c r="F157" s="40" t="str">
        <x:v>Asymptotic stability of strong rarefaction waves to a parabolic-hyperbolic system arising from chemotaxis</x:v>
      </x:c>
      <x:c r="G157" s="40" t="str">
        <x:v>Sitong Liu; Jingyu Li</x:v>
      </x:c>
      <x:c r="H157" s="40" t="str">
        <x:v>homogenization/asymptotics</x:v>
      </x:c>
      <x:c r="I157" s="59"/>
      <x:c r="J157" s="40" t="str">
        <x:v>https://arxiv.org/abs/2606.01559</x:v>
      </x:c>
      <x:c r="K157" s="60" t="n">
        <x:v>82</x:v>
      </x:c>
      <x:c r="L157" s="60" t="n">
        <x:v>82</x:v>
      </x:c>
      <x:c r="M157" s="60" t="n">
        <x:v>83</x:v>
      </x:c>
      <x:c r="N157" s="60" t="n">
        <x:v>81</x:v>
      </x:c>
      <x:c r="O157" s="60" t="n">
        <x:v>82</x:v>
      </x:c>
      <x:c r="P157" s="60" t="n">
        <x:v>82</x:v>
      </x:c>
      <x:c r="Q157" s="60" t="n">
        <x:v>13</x:v>
      </x:c>
      <x:c r="R157" s="59" t="n">
        <x:v>5</x:v>
      </x:c>
      <x:c r="S157" s="60" t="n">
        <x:v>82.10000000000001</x:v>
      </x:c>
      <x:c r="T157" s="60" t="n">
        <x:v>82.95</x:v>
      </x:c>
      <x:c r="U157" s="60" t="n">
        <x:v>82.525</x:v>
      </x:c>
      <x:c r="V157" s="60" t="n">
        <x:v>82</x:v>
      </x:c>
      <x:c r="W157" s="60" t="n">
        <x:v>82.1</x:v>
      </x:c>
      <x:c r="X157" s="60" t="n">
        <x:v>83</x:v>
      </x:c>
      <x:c r="Y157" s="60" t="n">
        <x:v>81.1</x:v>
      </x:c>
      <x:c r="Z157" s="60" t="n">
        <x:v>82.1</x:v>
      </x:c>
      <x:c r="AA157" s="60" t="n">
        <x:v>82</x:v>
      </x:c>
      <x:c r="AB157" s="60" t="n">
        <x:v>13</x:v>
      </x:c>
      <x:c r="AC157" s="60" t="n">
        <x:f>ROUND(((0.30*V157+0.20*W157+0.25*X157+0.15*Y157+0.10*AA157)+(0.30*Z157+0.20*X157+0.20*W157+0.15*AA157+0.15*(100-AB157)))/2,2)</x:f>
        <x:v>82.57</x:v>
      </x:c>
      <x:c r="AD157" s="60" t="n">
        <x:v>82</x:v>
      </x:c>
      <x:c r="AE157" s="60" t="n">
        <x:v>82.1</x:v>
      </x:c>
      <x:c r="AF157" s="60" t="n">
        <x:v>83</x:v>
      </x:c>
      <x:c r="AG157" s="60" t="n">
        <x:v>81.1</x:v>
      </x:c>
      <x:c r="AH157" s="60" t="n">
        <x:v>82</x:v>
      </x:c>
      <x:c r="AI157" s="60" t="n">
        <x:v>82</x:v>
      </x:c>
      <x:c r="AJ157" s="60" t="n">
        <x:v>13</x:v>
      </x:c>
      <x:c r="AK157" s="60" t="n">
        <x:f>ROUND(((0.30*AD157+0.20*AE157+0.25*AF157+0.15*AG157+0.10*AI157)+(0.30*AH157+0.20*AF157+0.20*AE157+0.15*AI157+0.15*(100-AJ157)))/2,2)</x:f>
        <x:v>82.55</x:v>
      </x:c>
      <x:c r="AL157" s="60" t="n">
        <x:v>82</x:v>
      </x:c>
      <x:c r="AM157" s="60" t="n">
        <x:v>82.1</x:v>
      </x:c>
      <x:c r="AN157" s="60" t="n">
        <x:v>83</x:v>
      </x:c>
      <x:c r="AO157" s="60" t="n">
        <x:v>81.1</x:v>
      </x:c>
      <x:c r="AP157" s="60" t="n">
        <x:v>82.1</x:v>
      </x:c>
      <x:c r="AQ157" s="60" t="n">
        <x:v>82</x:v>
      </x:c>
      <x:c r="AR157" s="60" t="n">
        <x:v>13</x:v>
      </x:c>
      <x:c r="AS157" s="60" t="n">
        <x:f>ROUND(((0.30*AL157+0.20*AM157+0.25*AN157+0.15*AO157+0.10*AQ157)+(0.30*AP157+0.20*AN157+0.20*AM157+0.15*AQ157+0.15*(100-AR157)))/2,2)</x:f>
        <x:v>82.57</x:v>
      </x:c>
      <x:c r="AT157" s="60" t="n">
        <x:f>ROUND(AVERAGE(V157,AD157,AL157),1)</x:f>
        <x:v>82</x:v>
      </x:c>
      <x:c r="AU157" s="60" t="n">
        <x:f>ROUND(AVERAGE(W157,AE157,AM157),1)</x:f>
        <x:v>82.1</x:v>
      </x:c>
      <x:c r="AV157" s="60" t="n">
        <x:f>ROUND(AVERAGE(X157,AF157,AN157),1)</x:f>
        <x:v>83</x:v>
      </x:c>
      <x:c r="AW157" s="60" t="n">
        <x:f>ROUND(AVERAGE(Y157,AG157,AO157),1)</x:f>
        <x:v>81.1</x:v>
      </x:c>
      <x:c r="AX157" s="60" t="n">
        <x:f>ROUND(AVERAGE(Z157,AH157,AP157),1)</x:f>
        <x:v>82.1</x:v>
      </x:c>
      <x:c r="AY157" s="60" t="n">
        <x:f>ROUND(AVERAGE(AA157,AI157,AQ157),1)</x:f>
        <x:v>82</x:v>
      </x:c>
      <x:c r="AZ157" s="60" t="n">
        <x:f>ROUND(AVERAGE(AB157,AJ157,AR157),1)</x:f>
        <x:v>13</x:v>
      </x:c>
      <x:c r="BA157" s="59" t="n">
        <x:v>5</x:v>
      </x:c>
      <x:c r="BB157" s="60" t="n">
        <x:f>ROUND(0.30*AT157+0.20*AU157+0.25*AV157+0.15*AW157+0.10*AY157,2)</x:f>
        <x:v>82.14</x:v>
      </x:c>
      <x:c r="BC157" s="60" t="n">
        <x:f>ROUND(0.30*AX157+0.20*AV157+0.20*AU157+0.15*AY157+0.15*(100-AZ157),2)</x:f>
        <x:v>83</x:v>
      </x:c>
      <x:c r="BD157" s="60" t="n">
        <x:f>ROUND(AVERAGE(BB157,BC157),2)</x:f>
        <x:v>82.57</x:v>
      </x:c>
      <x:c r="BE157" s="60" t="n">
        <x:f>ROUND(BD157-U157,2)</x:f>
        <x:v>0.04</x:v>
      </x:c>
      <x:c r="BF157" s="60" t="n">
        <x:f>ROUND(STDEV.P(AC157,AK157,AS157),3)</x:f>
        <x:v>0.009</x:v>
      </x:c>
      <x:c r="BG157" s="59" t="str"/>
      <x:c r="BH157" s="59" t="str">
        <x:v>30%评分池轻量复核</x:v>
      </x:c>
      <x:c r="BI157" s="40" t="str">
        <x:v>三轮复核后与原表基本一致</x:v>
      </x:c>
    </x:row>
    <x:row r="158" ht="30" customHeight="1">
      <x:c r="A158" s="59" t="n">
        <x:v>157</x:v>
      </x:c>
      <x:c r="B158" s="59" t="n">
        <x:v>157</x:v>
      </x:c>
      <x:c r="C158" s="59" t="str">
        <x:v>2026-06</x:v>
      </x:c>
      <x:c r="D158" s="59" t="n">
        <x:v>66</x:v>
      </x:c>
      <x:c r="E158" s="59" t="str">
        <x:v>2606.02088</x:v>
      </x:c>
      <x:c r="F158" s="40" t="str">
        <x:v>Modified scattering type asymptotic behavior for a quadratic nonlinear Schrodinger system under the mass-resonance condition in two dimensions</x:v>
      </x:c>
      <x:c r="G158" s="40" t="str">
        <x:v>Satoshi Masaki; Kota Uriya</x:v>
      </x:c>
      <x:c r="H158" s="40" t="str">
        <x:v>homogenization/asymptotics</x:v>
      </x:c>
      <x:c r="I158" s="59" t="n">
        <x:v>18</x:v>
      </x:c>
      <x:c r="J158" s="40" t="str">
        <x:v>https://arxiv.org/abs/2606.02088</x:v>
      </x:c>
      <x:c r="K158" s="60" t="n">
        <x:v>82</x:v>
      </x:c>
      <x:c r="L158" s="60" t="n">
        <x:v>82</x:v>
      </x:c>
      <x:c r="M158" s="60" t="n">
        <x:v>83</x:v>
      </x:c>
      <x:c r="N158" s="60" t="n">
        <x:v>81</x:v>
      </x:c>
      <x:c r="O158" s="60" t="n">
        <x:v>82</x:v>
      </x:c>
      <x:c r="P158" s="60" t="n">
        <x:v>82</x:v>
      </x:c>
      <x:c r="Q158" s="60" t="n">
        <x:v>13</x:v>
      </x:c>
      <x:c r="R158" s="59" t="n">
        <x:v>5</x:v>
      </x:c>
      <x:c r="S158" s="60" t="n">
        <x:v>82.10000000000001</x:v>
      </x:c>
      <x:c r="T158" s="60" t="n">
        <x:v>82.95</x:v>
      </x:c>
      <x:c r="U158" s="60" t="n">
        <x:v>82.525</x:v>
      </x:c>
      <x:c r="V158" s="60" t="n">
        <x:v>82</x:v>
      </x:c>
      <x:c r="W158" s="60" t="n">
        <x:v>82.1</x:v>
      </x:c>
      <x:c r="X158" s="60" t="n">
        <x:v>83</x:v>
      </x:c>
      <x:c r="Y158" s="60" t="n">
        <x:v>81.1</x:v>
      </x:c>
      <x:c r="Z158" s="60" t="n">
        <x:v>82.1</x:v>
      </x:c>
      <x:c r="AA158" s="60" t="n">
        <x:v>82</x:v>
      </x:c>
      <x:c r="AB158" s="60" t="n">
        <x:v>13</x:v>
      </x:c>
      <x:c r="AC158" s="60" t="n">
        <x:f>ROUND(((0.30*V158+0.20*W158+0.25*X158+0.15*Y158+0.10*AA158)+(0.30*Z158+0.20*X158+0.20*W158+0.15*AA158+0.15*(100-AB158)))/2,2)</x:f>
        <x:v>82.57</x:v>
      </x:c>
      <x:c r="AD158" s="60" t="n">
        <x:v>82</x:v>
      </x:c>
      <x:c r="AE158" s="60" t="n">
        <x:v>82.1</x:v>
      </x:c>
      <x:c r="AF158" s="60" t="n">
        <x:v>83</x:v>
      </x:c>
      <x:c r="AG158" s="60" t="n">
        <x:v>81.1</x:v>
      </x:c>
      <x:c r="AH158" s="60" t="n">
        <x:v>82</x:v>
      </x:c>
      <x:c r="AI158" s="60" t="n">
        <x:v>82</x:v>
      </x:c>
      <x:c r="AJ158" s="60" t="n">
        <x:v>13.4</x:v>
      </x:c>
      <x:c r="AK158" s="60" t="n">
        <x:f>ROUND(((0.30*AD158+0.20*AE158+0.25*AF158+0.15*AG158+0.10*AI158)+(0.30*AH158+0.20*AF158+0.20*AE158+0.15*AI158+0.15*(100-AJ158)))/2,2)</x:f>
        <x:v>82.52</x:v>
      </x:c>
      <x:c r="AL158" s="60" t="n">
        <x:v>82</x:v>
      </x:c>
      <x:c r="AM158" s="60" t="n">
        <x:v>82.1</x:v>
      </x:c>
      <x:c r="AN158" s="60" t="n">
        <x:v>83</x:v>
      </x:c>
      <x:c r="AO158" s="60" t="n">
        <x:v>81.1</x:v>
      </x:c>
      <x:c r="AP158" s="60" t="n">
        <x:v>82.1</x:v>
      </x:c>
      <x:c r="AQ158" s="60" t="n">
        <x:v>82</x:v>
      </x:c>
      <x:c r="AR158" s="60" t="n">
        <x:v>13.5</x:v>
      </x:c>
      <x:c r="AS158" s="60" t="n">
        <x:f>ROUND(((0.30*AL158+0.20*AM158+0.25*AN158+0.15*AO158+0.10*AQ158)+(0.30*AP158+0.20*AN158+0.20*AM158+0.15*AQ158+0.15*(100-AR158)))/2,2)</x:f>
        <x:v>82.53</x:v>
      </x:c>
      <x:c r="AT158" s="60" t="n">
        <x:f>ROUND(AVERAGE(V158,AD158,AL158),1)</x:f>
        <x:v>82</x:v>
      </x:c>
      <x:c r="AU158" s="60" t="n">
        <x:f>ROUND(AVERAGE(W158,AE158,AM158),1)</x:f>
        <x:v>82.1</x:v>
      </x:c>
      <x:c r="AV158" s="60" t="n">
        <x:f>ROUND(AVERAGE(X158,AF158,AN158),1)</x:f>
        <x:v>83</x:v>
      </x:c>
      <x:c r="AW158" s="60" t="n">
        <x:f>ROUND(AVERAGE(Y158,AG158,AO158),1)</x:f>
        <x:v>81.1</x:v>
      </x:c>
      <x:c r="AX158" s="60" t="n">
        <x:f>ROUND(AVERAGE(Z158,AH158,AP158),1)</x:f>
        <x:v>82.1</x:v>
      </x:c>
      <x:c r="AY158" s="60" t="n">
        <x:f>ROUND(AVERAGE(AA158,AI158,AQ158),1)</x:f>
        <x:v>82</x:v>
      </x:c>
      <x:c r="AZ158" s="60" t="n">
        <x:f>ROUND(AVERAGE(AB158,AJ158,AR158),1)</x:f>
        <x:v>13.3</x:v>
      </x:c>
      <x:c r="BA158" s="59" t="n">
        <x:v>5</x:v>
      </x:c>
      <x:c r="BB158" s="60" t="n">
        <x:f>ROUND(0.30*AT158+0.20*AU158+0.25*AV158+0.15*AW158+0.10*AY158,2)</x:f>
        <x:v>82.14</x:v>
      </x:c>
      <x:c r="BC158" s="60" t="n">
        <x:f>ROUND(0.30*AX158+0.20*AV158+0.20*AU158+0.15*AY158+0.15*(100-AZ158),2)</x:f>
        <x:v>82.96</x:v>
      </x:c>
      <x:c r="BD158" s="60" t="n">
        <x:f>ROUND(AVERAGE(BB158,BC158),2)</x:f>
        <x:v>82.55</x:v>
      </x:c>
      <x:c r="BE158" s="60" t="n">
        <x:f>ROUND(BD158-U158,2)</x:f>
        <x:v>0.02</x:v>
      </x:c>
      <x:c r="BF158" s="60" t="n">
        <x:f>ROUND(STDEV.P(AC158,AK158,AS158),3)</x:f>
        <x:v>0.022</x:v>
      </x:c>
      <x:c r="BG158" s="59" t="str"/>
      <x:c r="BH158" s="59" t="str">
        <x:v>30%评分池轻量复核</x:v>
      </x:c>
      <x:c r="BI158" s="40" t="str">
        <x:v>三轮复核后与原表基本一致</x:v>
      </x:c>
    </x:row>
    <x:row r="159" ht="30" customHeight="1">
      <x:c r="A159" s="59" t="n">
        <x:v>158</x:v>
      </x:c>
      <x:c r="B159" s="59" t="n">
        <x:v>154</x:v>
      </x:c>
      <x:c r="C159" s="59" t="str">
        <x:v>2026-05</x:v>
      </x:c>
      <x:c r="D159" s="59" t="n">
        <x:v>91</x:v>
      </x:c>
      <x:c r="E159" s="59" t="str">
        <x:v>2605.04918</x:v>
      </x:c>
      <x:c r="F159" s="40" t="str">
        <x:v>Neural Discovery of Strichartz Extremizers</x:v>
      </x:c>
      <x:c r="G159" s="40" t="str">
        <x:v>Nicolas Valenzuela; Ricardo Freire; Claudio Munoz</x:v>
      </x:c>
      <x:c r="H159" s="40" t="str">
        <x:v>Dispersive PDE / AI discovery</x:v>
      </x:c>
      <x:c r="I159" s="59" t="n">
        <x:v>38</x:v>
      </x:c>
      <x:c r="J159" s="40" t="str">
        <x:v>https://arxiv.org/abs/2605.04918</x:v>
      </x:c>
      <x:c r="K159" s="60" t="n">
        <x:v>86</x:v>
      </x:c>
      <x:c r="L159" s="60" t="n">
        <x:v>89</x:v>
      </x:c>
      <x:c r="M159" s="60" t="n">
        <x:v>85</x:v>
      </x:c>
      <x:c r="N159" s="60" t="n">
        <x:v>86</x:v>
      </x:c>
      <x:c r="O159" s="60" t="n">
        <x:v>82</x:v>
      </x:c>
      <x:c r="P159" s="60" t="n">
        <x:v>82</x:v>
      </x:c>
      <x:c r="Q159" s="60" t="n">
        <x:v>50</x:v>
      </x:c>
      <x:c r="R159" s="59" t="n">
        <x:v>12</x:v>
      </x:c>
      <x:c r="S159" s="60" t="n">
        <x:v>86</x:v>
      </x:c>
      <x:c r="T159" s="60" t="n">
        <x:v>79.2</x:v>
      </x:c>
      <x:c r="U159" s="60" t="n">
        <x:v>82.6</x:v>
      </x:c>
      <x:c r="V159" s="60" t="n">
        <x:v>86</x:v>
      </x:c>
      <x:c r="W159" s="60" t="n">
        <x:v>89</x:v>
      </x:c>
      <x:c r="X159" s="60" t="n">
        <x:v>85</x:v>
      </x:c>
      <x:c r="Y159" s="60" t="n">
        <x:v>86</x:v>
      </x:c>
      <x:c r="Z159" s="60" t="n">
        <x:v>82</x:v>
      </x:c>
      <x:c r="AA159" s="60" t="n">
        <x:v>82</x:v>
      </x:c>
      <x:c r="AB159" s="60" t="n">
        <x:v>50</x:v>
      </x:c>
      <x:c r="AC159" s="60" t="n">
        <x:f>ROUND(((0.30*V159+0.20*W159+0.25*X159+0.15*Y159+0.10*AA159)+(0.30*Z159+0.20*X159+0.20*W159+0.15*AA159+0.15*(100-AB159)))/2,2)</x:f>
        <x:v>82.57</x:v>
      </x:c>
      <x:c r="AD159" s="60" t="n">
        <x:v>86</x:v>
      </x:c>
      <x:c r="AE159" s="60" t="n">
        <x:v>89</x:v>
      </x:c>
      <x:c r="AF159" s="60" t="n">
        <x:v>85</x:v>
      </x:c>
      <x:c r="AG159" s="60" t="n">
        <x:v>86</x:v>
      </x:c>
      <x:c r="AH159" s="60" t="n">
        <x:v>82</x:v>
      </x:c>
      <x:c r="AI159" s="60" t="n">
        <x:v>82</x:v>
      </x:c>
      <x:c r="AJ159" s="60" t="n">
        <x:v>50</x:v>
      </x:c>
      <x:c r="AK159" s="60" t="n">
        <x:f>ROUND(((0.30*AD159+0.20*AE159+0.25*AF159+0.15*AG159+0.10*AI159)+(0.30*AH159+0.20*AF159+0.20*AE159+0.15*AI159+0.15*(100-AJ159)))/2,2)</x:f>
        <x:v>82.57</x:v>
      </x:c>
      <x:c r="AL159" s="60" t="n">
        <x:v>86</x:v>
      </x:c>
      <x:c r="AM159" s="60" t="n">
        <x:v>89</x:v>
      </x:c>
      <x:c r="AN159" s="60" t="n">
        <x:v>84.6</x:v>
      </x:c>
      <x:c r="AO159" s="60" t="n">
        <x:v>86</x:v>
      </x:c>
      <x:c r="AP159" s="60" t="n">
        <x:v>81.6</x:v>
      </x:c>
      <x:c r="AQ159" s="60" t="n">
        <x:v>82</x:v>
      </x:c>
      <x:c r="AR159" s="60" t="n">
        <x:v>50</x:v>
      </x:c>
      <x:c r="AS159" s="60" t="n">
        <x:f>ROUND(((0.30*AL159+0.20*AM159+0.25*AN159+0.15*AO159+0.10*AQ159)+(0.30*AP159+0.20*AN159+0.20*AM159+0.15*AQ159+0.15*(100-AR159)))/2,2)</x:f>
        <x:v>82.43</x:v>
      </x:c>
      <x:c r="AT159" s="60" t="n">
        <x:f>ROUND(AVERAGE(V159,AD159,AL159),1)</x:f>
        <x:v>86</x:v>
      </x:c>
      <x:c r="AU159" s="60" t="n">
        <x:f>ROUND(AVERAGE(W159,AE159,AM159),1)</x:f>
        <x:v>89</x:v>
      </x:c>
      <x:c r="AV159" s="60" t="n">
        <x:f>ROUND(AVERAGE(X159,AF159,AN159),1)</x:f>
        <x:v>84.9</x:v>
      </x:c>
      <x:c r="AW159" s="60" t="n">
        <x:f>ROUND(AVERAGE(Y159,AG159,AO159),1)</x:f>
        <x:v>86</x:v>
      </x:c>
      <x:c r="AX159" s="60" t="n">
        <x:f>ROUND(AVERAGE(Z159,AH159,AP159),1)</x:f>
        <x:v>81.9</x:v>
      </x:c>
      <x:c r="AY159" s="60" t="n">
        <x:f>ROUND(AVERAGE(AA159,AI159,AQ159),1)</x:f>
        <x:v>82</x:v>
      </x:c>
      <x:c r="AZ159" s="60" t="n">
        <x:f>ROUND(AVERAGE(AB159,AJ159,AR159),1)</x:f>
        <x:v>50</x:v>
      </x:c>
      <x:c r="BA159" s="59" t="n">
        <x:v>12</x:v>
      </x:c>
      <x:c r="BB159" s="60" t="n">
        <x:f>ROUND(0.30*AT159+0.20*AU159+0.25*AV159+0.15*AW159+0.10*AY159,2)</x:f>
        <x:v>85.93</x:v>
      </x:c>
      <x:c r="BC159" s="60" t="n">
        <x:f>ROUND(0.30*AX159+0.20*AV159+0.20*AU159+0.15*AY159+0.15*(100-AZ159),2)</x:f>
        <x:v>79.15</x:v>
      </x:c>
      <x:c r="BD159" s="60" t="n">
        <x:f>ROUND(AVERAGE(BB159,BC159),2)</x:f>
        <x:v>82.54</x:v>
      </x:c>
      <x:c r="BE159" s="60" t="n">
        <x:f>ROUND(BD159-U159,2)</x:f>
        <x:v>-0.06</x:v>
      </x:c>
      <x:c r="BF159" s="60" t="n">
        <x:f>ROUND(STDEV.P(AC159,AK159,AS159),3)</x:f>
        <x:v>0.066</x:v>
      </x:c>
      <x:c r="BG159" s="59" t="str"/>
      <x:c r="BH159" s="59" t="str">
        <x:v>30%评分池轻量复核</x:v>
      </x:c>
      <x:c r="BI159" s="40" t="str">
        <x:v>三轮复核后与原表基本一致</x:v>
      </x:c>
    </x:row>
    <x:row r="160" ht="30" customHeight="1">
      <x:c r="A160" s="59" t="n">
        <x:v>159</x:v>
      </x:c>
      <x:c r="B160" s="59" t="n">
        <x:v>159</x:v>
      </x:c>
      <x:c r="C160" s="59" t="str">
        <x:v>2026-06</x:v>
      </x:c>
      <x:c r="D160" s="59" t="n">
        <x:v>68</x:v>
      </x:c>
      <x:c r="E160" s="59" t="str">
        <x:v>2606.03185</x:v>
      </x:c>
      <x:c r="F160" s="40" t="str">
        <x:v>Fractional Sobolev embeddings on noncommutative torus</x:v>
      </x:c>
      <x:c r="G160" s="40" t="str">
        <x:v>F. Sukochev; R. Tastankul; K. Tulenov; D. Zanin</x:v>
      </x:c>
      <x:c r="H160" s="40" t="str">
        <x:v>inequalities/function spaces</x:v>
      </x:c>
      <x:c r="I160" s="59" t="n">
        <x:v>30</x:v>
      </x:c>
      <x:c r="J160" s="40" t="str">
        <x:v>https://arxiv.org/abs/2606.03185</x:v>
      </x:c>
      <x:c r="K160" s="60" t="n">
        <x:v>82</x:v>
      </x:c>
      <x:c r="L160" s="60" t="n">
        <x:v>82</x:v>
      </x:c>
      <x:c r="M160" s="60" t="n">
        <x:v>82</x:v>
      </x:c>
      <x:c r="N160" s="60" t="n">
        <x:v>81</x:v>
      </x:c>
      <x:c r="O160" s="60" t="n">
        <x:v>82</x:v>
      </x:c>
      <x:c r="P160" s="60" t="n">
        <x:v>82</x:v>
      </x:c>
      <x:c r="Q160" s="60" t="n">
        <x:v>13</x:v>
      </x:c>
      <x:c r="R160" s="59" t="n">
        <x:v>5</x:v>
      </x:c>
      <x:c r="S160" s="60" t="n">
        <x:v>81.85000000000001</x:v>
      </x:c>
      <x:c r="T160" s="60" t="n">
        <x:v>82.75</x:v>
      </x:c>
      <x:c r="U160" s="60" t="n">
        <x:v>82.30000000000001</x:v>
      </x:c>
      <x:c r="V160" s="60" t="n">
        <x:v>82</x:v>
      </x:c>
      <x:c r="W160" s="60" t="n">
        <x:v>82</x:v>
      </x:c>
      <x:c r="X160" s="60" t="n">
        <x:v>82</x:v>
      </x:c>
      <x:c r="Y160" s="60" t="n">
        <x:v>81</x:v>
      </x:c>
      <x:c r="Z160" s="60" t="n">
        <x:v>82</x:v>
      </x:c>
      <x:c r="AA160" s="60" t="n">
        <x:v>82</x:v>
      </x:c>
      <x:c r="AB160" s="60" t="n">
        <x:v>13</x:v>
      </x:c>
      <x:c r="AC160" s="60" t="n">
        <x:f>ROUND(((0.30*V160+0.20*W160+0.25*X160+0.15*Y160+0.10*AA160)+(0.30*Z160+0.20*X160+0.20*W160+0.15*AA160+0.15*(100-AB160)))/2,2)</x:f>
        <x:v>82.3</x:v>
      </x:c>
      <x:c r="AD160" s="60" t="n">
        <x:v>82</x:v>
      </x:c>
      <x:c r="AE160" s="60" t="n">
        <x:v>82</x:v>
      </x:c>
      <x:c r="AF160" s="60" t="n">
        <x:v>82</x:v>
      </x:c>
      <x:c r="AG160" s="60" t="n">
        <x:v>81</x:v>
      </x:c>
      <x:c r="AH160" s="60" t="n">
        <x:v>82</x:v>
      </x:c>
      <x:c r="AI160" s="60" t="n">
        <x:v>82</x:v>
      </x:c>
      <x:c r="AJ160" s="60" t="n">
        <x:v>13</x:v>
      </x:c>
      <x:c r="AK160" s="60" t="n">
        <x:f>ROUND(((0.30*AD160+0.20*AE160+0.25*AF160+0.15*AG160+0.10*AI160)+(0.30*AH160+0.20*AF160+0.20*AE160+0.15*AI160+0.15*(100-AJ160)))/2,2)</x:f>
        <x:v>82.3</x:v>
      </x:c>
      <x:c r="AL160" s="60" t="n">
        <x:v>82</x:v>
      </x:c>
      <x:c r="AM160" s="60" t="n">
        <x:v>82</x:v>
      </x:c>
      <x:c r="AN160" s="60" t="n">
        <x:v>82</x:v>
      </x:c>
      <x:c r="AO160" s="60" t="n">
        <x:v>81</x:v>
      </x:c>
      <x:c r="AP160" s="60" t="n">
        <x:v>82</x:v>
      </x:c>
      <x:c r="AQ160" s="60" t="n">
        <x:v>82</x:v>
      </x:c>
      <x:c r="AR160" s="60" t="n">
        <x:v>13</x:v>
      </x:c>
      <x:c r="AS160" s="60" t="n">
        <x:f>ROUND(((0.30*AL160+0.20*AM160+0.25*AN160+0.15*AO160+0.10*AQ160)+(0.30*AP160+0.20*AN160+0.20*AM160+0.15*AQ160+0.15*(100-AR160)))/2,2)</x:f>
        <x:v>82.3</x:v>
      </x:c>
      <x:c r="AT160" s="60" t="n">
        <x:f>ROUND(AVERAGE(V160,AD160,AL160),1)</x:f>
        <x:v>82</x:v>
      </x:c>
      <x:c r="AU160" s="60" t="n">
        <x:f>ROUND(AVERAGE(W160,AE160,AM160),1)</x:f>
        <x:v>82</x:v>
      </x:c>
      <x:c r="AV160" s="60" t="n">
        <x:f>ROUND(AVERAGE(X160,AF160,AN160),1)</x:f>
        <x:v>82</x:v>
      </x:c>
      <x:c r="AW160" s="60" t="n">
        <x:f>ROUND(AVERAGE(Y160,AG160,AO160),1)</x:f>
        <x:v>81</x:v>
      </x:c>
      <x:c r="AX160" s="60" t="n">
        <x:f>ROUND(AVERAGE(Z160,AH160,AP160),1)</x:f>
        <x:v>82</x:v>
      </x:c>
      <x:c r="AY160" s="60" t="n">
        <x:f>ROUND(AVERAGE(AA160,AI160,AQ160),1)</x:f>
        <x:v>82</x:v>
      </x:c>
      <x:c r="AZ160" s="60" t="n">
        <x:f>ROUND(AVERAGE(AB160,AJ160,AR160),1)</x:f>
        <x:v>13</x:v>
      </x:c>
      <x:c r="BA160" s="59" t="n">
        <x:v>5</x:v>
      </x:c>
      <x:c r="BB160" s="60" t="n">
        <x:f>ROUND(0.30*AT160+0.20*AU160+0.25*AV160+0.15*AW160+0.10*AY160,2)</x:f>
        <x:v>81.85</x:v>
      </x:c>
      <x:c r="BC160" s="60" t="n">
        <x:f>ROUND(0.30*AX160+0.20*AV160+0.20*AU160+0.15*AY160+0.15*(100-AZ160),2)</x:f>
        <x:v>82.75</x:v>
      </x:c>
      <x:c r="BD160" s="60" t="n">
        <x:f>ROUND(AVERAGE(BB160,BC160),2)</x:f>
        <x:v>82.3</x:v>
      </x:c>
      <x:c r="BE160" s="60" t="n">
        <x:f>ROUND(BD160-U160,2)</x:f>
        <x:v>0</x:v>
      </x:c>
      <x:c r="BF160" s="60" t="n">
        <x:f>ROUND(STDEV.P(AC160,AK160,AS160),3)</x:f>
        <x:v>0</x:v>
      </x:c>
      <x:c r="BG160" s="59" t="str"/>
      <x:c r="BH160" s="59" t="str">
        <x:v>30%评分池轻量复核</x:v>
      </x:c>
      <x:c r="BI160" s="40" t="str">
        <x:v>三轮复核后与原表基本一致</x:v>
      </x:c>
    </x:row>
    <x:row r="161" ht="30" customHeight="1">
      <x:c r="A161" s="59" t="n">
        <x:v>160</x:v>
      </x:c>
      <x:c r="B161" s="59" t="n">
        <x:v>160</x:v>
      </x:c>
      <x:c r="C161" s="59" t="str">
        <x:v>2026-06</x:v>
      </x:c>
      <x:c r="D161" s="59" t="n">
        <x:v>69</x:v>
      </x:c>
      <x:c r="E161" s="59" t="str">
        <x:v>2606.12756</x:v>
      </x:c>
      <x:c r="F161" s="40" t="str">
        <x:v>Invisible Defect Cascades for Navier-Stokes Regularity</x:v>
      </x:c>
      <x:c r="G161" s="40" t="str">
        <x:v>Runlong Yu</x:v>
      </x:c>
      <x:c r="H161" s="40" t="str">
        <x:v>fluid/kinetic PDE</x:v>
      </x:c>
      <x:c r="I161" s="59"/>
      <x:c r="J161" s="40" t="str">
        <x:v>https://arxiv.org/abs/2606.12756</x:v>
      </x:c>
      <x:c r="K161" s="60" t="n">
        <x:v>82</x:v>
      </x:c>
      <x:c r="L161" s="60" t="n">
        <x:v>81</x:v>
      </x:c>
      <x:c r="M161" s="60" t="n">
        <x:v>82</x:v>
      </x:c>
      <x:c r="N161" s="60" t="n">
        <x:v>80</x:v>
      </x:c>
      <x:c r="O161" s="60" t="n">
        <x:v>82</x:v>
      </x:c>
      <x:c r="P161" s="60" t="n">
        <x:v>82</x:v>
      </x:c>
      <x:c r="Q161" s="60" t="n">
        <x:v>13</x:v>
      </x:c>
      <x:c r="R161" s="59" t="n">
        <x:v>5</x:v>
      </x:c>
      <x:c r="S161" s="60" t="n">
        <x:v>81.5</x:v>
      </x:c>
      <x:c r="T161" s="60" t="n">
        <x:v>82.55</x:v>
      </x:c>
      <x:c r="U161" s="60" t="n">
        <x:v>82.025</x:v>
      </x:c>
      <x:c r="V161" s="60" t="n">
        <x:v>82.1</x:v>
      </x:c>
      <x:c r="W161" s="60" t="n">
        <x:v>81</x:v>
      </x:c>
      <x:c r="X161" s="60" t="n">
        <x:v>82.1</x:v>
      </x:c>
      <x:c r="Y161" s="60" t="n">
        <x:v>80</x:v>
      </x:c>
      <x:c r="Z161" s="60" t="n">
        <x:v>82.1</x:v>
      </x:c>
      <x:c r="AA161" s="60" t="n">
        <x:v>82</x:v>
      </x:c>
      <x:c r="AB161" s="60" t="n">
        <x:v>13</x:v>
      </x:c>
      <x:c r="AC161" s="60" t="n">
        <x:f>ROUND(((0.30*V161+0.20*W161+0.25*X161+0.15*Y161+0.10*AA161)+(0.30*Z161+0.20*X161+0.20*W161+0.15*AA161+0.15*(100-AB161)))/2,2)</x:f>
        <x:v>82.08</x:v>
      </x:c>
      <x:c r="AD161" s="60" t="n">
        <x:v>82</x:v>
      </x:c>
      <x:c r="AE161" s="60" t="n">
        <x:v>81</x:v>
      </x:c>
      <x:c r="AF161" s="60" t="n">
        <x:v>82</x:v>
      </x:c>
      <x:c r="AG161" s="60" t="n">
        <x:v>80</x:v>
      </x:c>
      <x:c r="AH161" s="60" t="n">
        <x:v>82</x:v>
      </x:c>
      <x:c r="AI161" s="60" t="n">
        <x:v>82</x:v>
      </x:c>
      <x:c r="AJ161" s="60" t="n">
        <x:v>13</x:v>
      </x:c>
      <x:c r="AK161" s="60" t="n">
        <x:f>ROUND(((0.30*AD161+0.20*AE161+0.25*AF161+0.15*AG161+0.10*AI161)+(0.30*AH161+0.20*AF161+0.20*AE161+0.15*AI161+0.15*(100-AJ161)))/2,2)</x:f>
        <x:v>82.03</x:v>
      </x:c>
      <x:c r="AL161" s="60" t="n">
        <x:v>82</x:v>
      </x:c>
      <x:c r="AM161" s="60" t="n">
        <x:v>81</x:v>
      </x:c>
      <x:c r="AN161" s="60" t="n">
        <x:v>82.1</x:v>
      </x:c>
      <x:c r="AO161" s="60" t="n">
        <x:v>80</x:v>
      </x:c>
      <x:c r="AP161" s="60" t="n">
        <x:v>82</x:v>
      </x:c>
      <x:c r="AQ161" s="60" t="n">
        <x:v>82</x:v>
      </x:c>
      <x:c r="AR161" s="60" t="n">
        <x:v>13</x:v>
      </x:c>
      <x:c r="AS161" s="60" t="n">
        <x:f>ROUND(((0.30*AL161+0.20*AM161+0.25*AN161+0.15*AO161+0.10*AQ161)+(0.30*AP161+0.20*AN161+0.20*AM161+0.15*AQ161+0.15*(100-AR161)))/2,2)</x:f>
        <x:v>82.05</x:v>
      </x:c>
      <x:c r="AT161" s="60" t="n">
        <x:f>ROUND(AVERAGE(V161,AD161,AL161),1)</x:f>
        <x:v>82</x:v>
      </x:c>
      <x:c r="AU161" s="60" t="n">
        <x:f>ROUND(AVERAGE(W161,AE161,AM161),1)</x:f>
        <x:v>81</x:v>
      </x:c>
      <x:c r="AV161" s="60" t="n">
        <x:f>ROUND(AVERAGE(X161,AF161,AN161),1)</x:f>
        <x:v>82.1</x:v>
      </x:c>
      <x:c r="AW161" s="60" t="n">
        <x:f>ROUND(AVERAGE(Y161,AG161,AO161),1)</x:f>
        <x:v>80</x:v>
      </x:c>
      <x:c r="AX161" s="60" t="n">
        <x:f>ROUND(AVERAGE(Z161,AH161,AP161),1)</x:f>
        <x:v>82</x:v>
      </x:c>
      <x:c r="AY161" s="60" t="n">
        <x:f>ROUND(AVERAGE(AA161,AI161,AQ161),1)</x:f>
        <x:v>82</x:v>
      </x:c>
      <x:c r="AZ161" s="60" t="n">
        <x:f>ROUND(AVERAGE(AB161,AJ161,AR161),1)</x:f>
        <x:v>13</x:v>
      </x:c>
      <x:c r="BA161" s="59" t="n">
        <x:v>5</x:v>
      </x:c>
      <x:c r="BB161" s="60" t="n">
        <x:f>ROUND(0.30*AT161+0.20*AU161+0.25*AV161+0.15*AW161+0.10*AY161,2)</x:f>
        <x:v>81.52</x:v>
      </x:c>
      <x:c r="BC161" s="60" t="n">
        <x:f>ROUND(0.30*AX161+0.20*AV161+0.20*AU161+0.15*AY161+0.15*(100-AZ161),2)</x:f>
        <x:v>82.57</x:v>
      </x:c>
      <x:c r="BD161" s="60" t="n">
        <x:f>ROUND(AVERAGE(BB161,BC161),2)</x:f>
        <x:v>82.04</x:v>
      </x:c>
      <x:c r="BE161" s="60" t="n">
        <x:f>ROUND(BD161-U161,2)</x:f>
        <x:v>0.02</x:v>
      </x:c>
      <x:c r="BF161" s="60" t="n">
        <x:f>ROUND(STDEV.P(AC161,AK161,AS161),3)</x:f>
        <x:v>0.021</x:v>
      </x:c>
      <x:c r="BG161" s="59" t="str"/>
      <x:c r="BH161" s="59" t="str">
        <x:v>30%评分池轻量复核</x:v>
      </x:c>
      <x:c r="BI161" s="40" t="str">
        <x:v>三轮复核后与原表基本一致</x:v>
      </x:c>
    </x:row>
    <x:row r="162" ht="30" customHeight="1">
      <x:c r="A162" s="59" t="n">
        <x:v>161</x:v>
      </x:c>
      <x:c r="B162" s="59" t="n">
        <x:v>161</x:v>
      </x:c>
      <x:c r="C162" s="59" t="str">
        <x:v>2026-06</x:v>
      </x:c>
      <x:c r="D162" s="59" t="n">
        <x:v>69</x:v>
      </x:c>
      <x:c r="E162" s="59" t="str">
        <x:v>2606.11720</x:v>
      </x:c>
      <x:c r="F162" s="40" t="str">
        <x:v>Strict 2.5D Shadows for One-Component Navier-Stokes Regularity</x:v>
      </x:c>
      <x:c r="G162" s="40" t="str">
        <x:v>Runlong Yu</x:v>
      </x:c>
      <x:c r="H162" s="40" t="str">
        <x:v>fluid/kinetic PDE</x:v>
      </x:c>
      <x:c r="I162" s="59"/>
      <x:c r="J162" s="40" t="str">
        <x:v>https://arxiv.org/abs/2606.11720</x:v>
      </x:c>
      <x:c r="K162" s="60" t="n">
        <x:v>82</x:v>
      </x:c>
      <x:c r="L162" s="60" t="n">
        <x:v>81</x:v>
      </x:c>
      <x:c r="M162" s="60" t="n">
        <x:v>82</x:v>
      </x:c>
      <x:c r="N162" s="60" t="n">
        <x:v>80</x:v>
      </x:c>
      <x:c r="O162" s="60" t="n">
        <x:v>82</x:v>
      </x:c>
      <x:c r="P162" s="60" t="n">
        <x:v>82</x:v>
      </x:c>
      <x:c r="Q162" s="60" t="n">
        <x:v>13</x:v>
      </x:c>
      <x:c r="R162" s="59" t="n">
        <x:v>5</x:v>
      </x:c>
      <x:c r="S162" s="60" t="n">
        <x:v>81.5</x:v>
      </x:c>
      <x:c r="T162" s="60" t="n">
        <x:v>82.55</x:v>
      </x:c>
      <x:c r="U162" s="60" t="n">
        <x:v>82.025</x:v>
      </x:c>
      <x:c r="V162" s="60" t="n">
        <x:v>82.1</x:v>
      </x:c>
      <x:c r="W162" s="60" t="n">
        <x:v>81</x:v>
      </x:c>
      <x:c r="X162" s="60" t="n">
        <x:v>82.1</x:v>
      </x:c>
      <x:c r="Y162" s="60" t="n">
        <x:v>80</x:v>
      </x:c>
      <x:c r="Z162" s="60" t="n">
        <x:v>82.1</x:v>
      </x:c>
      <x:c r="AA162" s="60" t="n">
        <x:v>82</x:v>
      </x:c>
      <x:c r="AB162" s="60" t="n">
        <x:v>13</x:v>
      </x:c>
      <x:c r="AC162" s="60" t="n">
        <x:f>ROUND(((0.30*V162+0.20*W162+0.25*X162+0.15*Y162+0.10*AA162)+(0.30*Z162+0.20*X162+0.20*W162+0.15*AA162+0.15*(100-AB162)))/2,2)</x:f>
        <x:v>82.08</x:v>
      </x:c>
      <x:c r="AD162" s="60" t="n">
        <x:v>82</x:v>
      </x:c>
      <x:c r="AE162" s="60" t="n">
        <x:v>81</x:v>
      </x:c>
      <x:c r="AF162" s="60" t="n">
        <x:v>82</x:v>
      </x:c>
      <x:c r="AG162" s="60" t="n">
        <x:v>80</x:v>
      </x:c>
      <x:c r="AH162" s="60" t="n">
        <x:v>82</x:v>
      </x:c>
      <x:c r="AI162" s="60" t="n">
        <x:v>82</x:v>
      </x:c>
      <x:c r="AJ162" s="60" t="n">
        <x:v>13</x:v>
      </x:c>
      <x:c r="AK162" s="60" t="n">
        <x:f>ROUND(((0.30*AD162+0.20*AE162+0.25*AF162+0.15*AG162+0.10*AI162)+(0.30*AH162+0.20*AF162+0.20*AE162+0.15*AI162+0.15*(100-AJ162)))/2,2)</x:f>
        <x:v>82.03</x:v>
      </x:c>
      <x:c r="AL162" s="60" t="n">
        <x:v>82</x:v>
      </x:c>
      <x:c r="AM162" s="60" t="n">
        <x:v>81</x:v>
      </x:c>
      <x:c r="AN162" s="60" t="n">
        <x:v>82.1</x:v>
      </x:c>
      <x:c r="AO162" s="60" t="n">
        <x:v>80</x:v>
      </x:c>
      <x:c r="AP162" s="60" t="n">
        <x:v>82</x:v>
      </x:c>
      <x:c r="AQ162" s="60" t="n">
        <x:v>82</x:v>
      </x:c>
      <x:c r="AR162" s="60" t="n">
        <x:v>13</x:v>
      </x:c>
      <x:c r="AS162" s="60" t="n">
        <x:f>ROUND(((0.30*AL162+0.20*AM162+0.25*AN162+0.15*AO162+0.10*AQ162)+(0.30*AP162+0.20*AN162+0.20*AM162+0.15*AQ162+0.15*(100-AR162)))/2,2)</x:f>
        <x:v>82.05</x:v>
      </x:c>
      <x:c r="AT162" s="60" t="n">
        <x:f>ROUND(AVERAGE(V162,AD162,AL162),1)</x:f>
        <x:v>82</x:v>
      </x:c>
      <x:c r="AU162" s="60" t="n">
        <x:f>ROUND(AVERAGE(W162,AE162,AM162),1)</x:f>
        <x:v>81</x:v>
      </x:c>
      <x:c r="AV162" s="60" t="n">
        <x:f>ROUND(AVERAGE(X162,AF162,AN162),1)</x:f>
        <x:v>82.1</x:v>
      </x:c>
      <x:c r="AW162" s="60" t="n">
        <x:f>ROUND(AVERAGE(Y162,AG162,AO162),1)</x:f>
        <x:v>80</x:v>
      </x:c>
      <x:c r="AX162" s="60" t="n">
        <x:f>ROUND(AVERAGE(Z162,AH162,AP162),1)</x:f>
        <x:v>82</x:v>
      </x:c>
      <x:c r="AY162" s="60" t="n">
        <x:f>ROUND(AVERAGE(AA162,AI162,AQ162),1)</x:f>
        <x:v>82</x:v>
      </x:c>
      <x:c r="AZ162" s="60" t="n">
        <x:f>ROUND(AVERAGE(AB162,AJ162,AR162),1)</x:f>
        <x:v>13</x:v>
      </x:c>
      <x:c r="BA162" s="59" t="n">
        <x:v>5</x:v>
      </x:c>
      <x:c r="BB162" s="60" t="n">
        <x:f>ROUND(0.30*AT162+0.20*AU162+0.25*AV162+0.15*AW162+0.10*AY162,2)</x:f>
        <x:v>81.52</x:v>
      </x:c>
      <x:c r="BC162" s="60" t="n">
        <x:f>ROUND(0.30*AX162+0.20*AV162+0.20*AU162+0.15*AY162+0.15*(100-AZ162),2)</x:f>
        <x:v>82.57</x:v>
      </x:c>
      <x:c r="BD162" s="60" t="n">
        <x:f>ROUND(AVERAGE(BB162,BC162),2)</x:f>
        <x:v>82.04</x:v>
      </x:c>
      <x:c r="BE162" s="60" t="n">
        <x:f>ROUND(BD162-U162,2)</x:f>
        <x:v>0.02</x:v>
      </x:c>
      <x:c r="BF162" s="60" t="n">
        <x:f>ROUND(STDEV.P(AC162,AK162,AS162),3)</x:f>
        <x:v>0.021</x:v>
      </x:c>
      <x:c r="BG162" s="59" t="str"/>
      <x:c r="BH162" s="59" t="str">
        <x:v>30%评分池轻量复核</x:v>
      </x:c>
      <x:c r="BI162" s="40" t="str">
        <x:v>三轮复核后与原表基本一致</x:v>
      </x:c>
    </x:row>
    <x:row r="163" ht="30" customHeight="1">
      <x:c r="A163" s="59" t="n">
        <x:v>162</x:v>
      </x:c>
      <x:c r="B163" s="59" t="n">
        <x:v>162</x:v>
      </x:c>
      <x:c r="C163" s="59" t="str">
        <x:v>2026-06</x:v>
      </x:c>
      <x:c r="D163" s="59" t="n">
        <x:v>69</x:v>
      </x:c>
      <x:c r="E163" s="59" t="str">
        <x:v>2606.11575</x:v>
      </x:c>
      <x:c r="F163" s="40" t="str">
        <x:v>Pressure effects on critical scaling and global low-regularity solutions for compressible Navier-Stokes system</x:v>
      </x:c>
      <x:c r="G163" s="40" t="str">
        <x:v>Lin Xu; Xin Zhong</x:v>
      </x:c>
      <x:c r="H163" s="40" t="str">
        <x:v>fluid/kinetic PDE</x:v>
      </x:c>
      <x:c r="I163" s="59"/>
      <x:c r="J163" s="40" t="str">
        <x:v>https://arxiv.org/abs/2606.11575</x:v>
      </x:c>
      <x:c r="K163" s="60" t="n">
        <x:v>82</x:v>
      </x:c>
      <x:c r="L163" s="60" t="n">
        <x:v>81</x:v>
      </x:c>
      <x:c r="M163" s="60" t="n">
        <x:v>82</x:v>
      </x:c>
      <x:c r="N163" s="60" t="n">
        <x:v>80</x:v>
      </x:c>
      <x:c r="O163" s="60" t="n">
        <x:v>82</x:v>
      </x:c>
      <x:c r="P163" s="60" t="n">
        <x:v>82</x:v>
      </x:c>
      <x:c r="Q163" s="60" t="n">
        <x:v>13</x:v>
      </x:c>
      <x:c r="R163" s="59" t="n">
        <x:v>5</x:v>
      </x:c>
      <x:c r="S163" s="60" t="n">
        <x:v>81.5</x:v>
      </x:c>
      <x:c r="T163" s="60" t="n">
        <x:v>82.55</x:v>
      </x:c>
      <x:c r="U163" s="60" t="n">
        <x:v>82.025</x:v>
      </x:c>
      <x:c r="V163" s="60" t="n">
        <x:v>82.1</x:v>
      </x:c>
      <x:c r="W163" s="60" t="n">
        <x:v>81</x:v>
      </x:c>
      <x:c r="X163" s="60" t="n">
        <x:v>82.1</x:v>
      </x:c>
      <x:c r="Y163" s="60" t="n">
        <x:v>80</x:v>
      </x:c>
      <x:c r="Z163" s="60" t="n">
        <x:v>82.1</x:v>
      </x:c>
      <x:c r="AA163" s="60" t="n">
        <x:v>82</x:v>
      </x:c>
      <x:c r="AB163" s="60" t="n">
        <x:v>13</x:v>
      </x:c>
      <x:c r="AC163" s="60" t="n">
        <x:f>ROUND(((0.30*V163+0.20*W163+0.25*X163+0.15*Y163+0.10*AA163)+(0.30*Z163+0.20*X163+0.20*W163+0.15*AA163+0.15*(100-AB163)))/2,2)</x:f>
        <x:v>82.08</x:v>
      </x:c>
      <x:c r="AD163" s="60" t="n">
        <x:v>82</x:v>
      </x:c>
      <x:c r="AE163" s="60" t="n">
        <x:v>81</x:v>
      </x:c>
      <x:c r="AF163" s="60" t="n">
        <x:v>82</x:v>
      </x:c>
      <x:c r="AG163" s="60" t="n">
        <x:v>80</x:v>
      </x:c>
      <x:c r="AH163" s="60" t="n">
        <x:v>82</x:v>
      </x:c>
      <x:c r="AI163" s="60" t="n">
        <x:v>82</x:v>
      </x:c>
      <x:c r="AJ163" s="60" t="n">
        <x:v>13</x:v>
      </x:c>
      <x:c r="AK163" s="60" t="n">
        <x:f>ROUND(((0.30*AD163+0.20*AE163+0.25*AF163+0.15*AG163+0.10*AI163)+(0.30*AH163+0.20*AF163+0.20*AE163+0.15*AI163+0.15*(100-AJ163)))/2,2)</x:f>
        <x:v>82.03</x:v>
      </x:c>
      <x:c r="AL163" s="60" t="n">
        <x:v>82</x:v>
      </x:c>
      <x:c r="AM163" s="60" t="n">
        <x:v>81</x:v>
      </x:c>
      <x:c r="AN163" s="60" t="n">
        <x:v>82.1</x:v>
      </x:c>
      <x:c r="AO163" s="60" t="n">
        <x:v>80</x:v>
      </x:c>
      <x:c r="AP163" s="60" t="n">
        <x:v>82</x:v>
      </x:c>
      <x:c r="AQ163" s="60" t="n">
        <x:v>82</x:v>
      </x:c>
      <x:c r="AR163" s="60" t="n">
        <x:v>13</x:v>
      </x:c>
      <x:c r="AS163" s="60" t="n">
        <x:f>ROUND(((0.30*AL163+0.20*AM163+0.25*AN163+0.15*AO163+0.10*AQ163)+(0.30*AP163+0.20*AN163+0.20*AM163+0.15*AQ163+0.15*(100-AR163)))/2,2)</x:f>
        <x:v>82.05</x:v>
      </x:c>
      <x:c r="AT163" s="60" t="n">
        <x:f>ROUND(AVERAGE(V163,AD163,AL163),1)</x:f>
        <x:v>82</x:v>
      </x:c>
      <x:c r="AU163" s="60" t="n">
        <x:f>ROUND(AVERAGE(W163,AE163,AM163),1)</x:f>
        <x:v>81</x:v>
      </x:c>
      <x:c r="AV163" s="60" t="n">
        <x:f>ROUND(AVERAGE(X163,AF163,AN163),1)</x:f>
        <x:v>82.1</x:v>
      </x:c>
      <x:c r="AW163" s="60" t="n">
        <x:f>ROUND(AVERAGE(Y163,AG163,AO163),1)</x:f>
        <x:v>80</x:v>
      </x:c>
      <x:c r="AX163" s="60" t="n">
        <x:f>ROUND(AVERAGE(Z163,AH163,AP163),1)</x:f>
        <x:v>82</x:v>
      </x:c>
      <x:c r="AY163" s="60" t="n">
        <x:f>ROUND(AVERAGE(AA163,AI163,AQ163),1)</x:f>
        <x:v>82</x:v>
      </x:c>
      <x:c r="AZ163" s="60" t="n">
        <x:f>ROUND(AVERAGE(AB163,AJ163,AR163),1)</x:f>
        <x:v>13</x:v>
      </x:c>
      <x:c r="BA163" s="59" t="n">
        <x:v>5</x:v>
      </x:c>
      <x:c r="BB163" s="60" t="n">
        <x:f>ROUND(0.30*AT163+0.20*AU163+0.25*AV163+0.15*AW163+0.10*AY163,2)</x:f>
        <x:v>81.52</x:v>
      </x:c>
      <x:c r="BC163" s="60" t="n">
        <x:f>ROUND(0.30*AX163+0.20*AV163+0.20*AU163+0.15*AY163+0.15*(100-AZ163),2)</x:f>
        <x:v>82.57</x:v>
      </x:c>
      <x:c r="BD163" s="60" t="n">
        <x:f>ROUND(AVERAGE(BB163,BC163),2)</x:f>
        <x:v>82.04</x:v>
      </x:c>
      <x:c r="BE163" s="60" t="n">
        <x:f>ROUND(BD163-U163,2)</x:f>
        <x:v>0.02</x:v>
      </x:c>
      <x:c r="BF163" s="60" t="n">
        <x:f>ROUND(STDEV.P(AC163,AK163,AS163),3)</x:f>
        <x:v>0.021</x:v>
      </x:c>
      <x:c r="BG163" s="59" t="str"/>
      <x:c r="BH163" s="59" t="str">
        <x:v>30%评分池轻量复核</x:v>
      </x:c>
      <x:c r="BI163" s="40" t="str">
        <x:v>三轮复核后与原表基本一致</x:v>
      </x:c>
    </x:row>
    <x:row r="164" ht="30" customHeight="1">
      <x:c r="A164" s="59" t="n">
        <x:v>163</x:v>
      </x:c>
      <x:c r="B164" s="59" t="n">
        <x:v>163</x:v>
      </x:c>
      <x:c r="C164" s="59" t="str">
        <x:v>2026-06</x:v>
      </x:c>
      <x:c r="D164" s="59" t="n">
        <x:v>72</x:v>
      </x:c>
      <x:c r="E164" s="59" t="str">
        <x:v>2606.09185</x:v>
      </x:c>
      <x:c r="F164" s="40" t="str">
        <x:v>Global Mild solutions for fractional Navier-Stokes-Boussinesq equations in critical Fourier-Herz-Lorentz spaces</x:v>
      </x:c>
      <x:c r="G164" s="40" t="str">
        <x:v>Diego Chamorro; Maxence Mansais</x:v>
      </x:c>
      <x:c r="H164" s="40" t="str">
        <x:v>fluid/kinetic PDE</x:v>
      </x:c>
      <x:c r="I164" s="59"/>
      <x:c r="J164" s="40" t="str">
        <x:v>https://arxiv.org/abs/2606.09185</x:v>
      </x:c>
      <x:c r="K164" s="60" t="n">
        <x:v>82</x:v>
      </x:c>
      <x:c r="L164" s="60" t="n">
        <x:v>81</x:v>
      </x:c>
      <x:c r="M164" s="60" t="n">
        <x:v>82</x:v>
      </x:c>
      <x:c r="N164" s="60" t="n">
        <x:v>80</x:v>
      </x:c>
      <x:c r="O164" s="60" t="n">
        <x:v>82</x:v>
      </x:c>
      <x:c r="P164" s="60" t="n">
        <x:v>81</x:v>
      </x:c>
      <x:c r="Q164" s="60" t="n">
        <x:v>13</x:v>
      </x:c>
      <x:c r="R164" s="59" t="n">
        <x:v>5</x:v>
      </x:c>
      <x:c r="S164" s="60" t="n">
        <x:v>81.39999999999999</x:v>
      </x:c>
      <x:c r="T164" s="60" t="n">
        <x:v>82.4</x:v>
      </x:c>
      <x:c r="U164" s="60" t="n">
        <x:v>81.9</x:v>
      </x:c>
      <x:c r="V164" s="60" t="n">
        <x:v>82.1</x:v>
      </x:c>
      <x:c r="W164" s="60" t="n">
        <x:v>81</x:v>
      </x:c>
      <x:c r="X164" s="60" t="n">
        <x:v>82.1</x:v>
      </x:c>
      <x:c r="Y164" s="60" t="n">
        <x:v>80</x:v>
      </x:c>
      <x:c r="Z164" s="60" t="n">
        <x:v>82.1</x:v>
      </x:c>
      <x:c r="AA164" s="60" t="n">
        <x:v>81</x:v>
      </x:c>
      <x:c r="AB164" s="60" t="n">
        <x:v>13</x:v>
      </x:c>
      <x:c r="AC164" s="60" t="n">
        <x:f>ROUND(((0.30*V164+0.20*W164+0.25*X164+0.15*Y164+0.10*AA164)+(0.30*Z164+0.20*X164+0.20*W164+0.15*AA164+0.15*(100-AB164)))/2,2)</x:f>
        <x:v>81.95</x:v>
      </x:c>
      <x:c r="AD164" s="60" t="n">
        <x:v>82</x:v>
      </x:c>
      <x:c r="AE164" s="60" t="n">
        <x:v>81</x:v>
      </x:c>
      <x:c r="AF164" s="60" t="n">
        <x:v>82</x:v>
      </x:c>
      <x:c r="AG164" s="60" t="n">
        <x:v>80</x:v>
      </x:c>
      <x:c r="AH164" s="60" t="n">
        <x:v>82</x:v>
      </x:c>
      <x:c r="AI164" s="60" t="n">
        <x:v>81</x:v>
      </x:c>
      <x:c r="AJ164" s="60" t="n">
        <x:v>13</x:v>
      </x:c>
      <x:c r="AK164" s="60" t="n">
        <x:f>ROUND(((0.30*AD164+0.20*AE164+0.25*AF164+0.15*AG164+0.10*AI164)+(0.30*AH164+0.20*AF164+0.20*AE164+0.15*AI164+0.15*(100-AJ164)))/2,2)</x:f>
        <x:v>81.9</x:v>
      </x:c>
      <x:c r="AL164" s="60" t="n">
        <x:v>82</x:v>
      </x:c>
      <x:c r="AM164" s="60" t="n">
        <x:v>81</x:v>
      </x:c>
      <x:c r="AN164" s="60" t="n">
        <x:v>82.1</x:v>
      </x:c>
      <x:c r="AO164" s="60" t="n">
        <x:v>80</x:v>
      </x:c>
      <x:c r="AP164" s="60" t="n">
        <x:v>82</x:v>
      </x:c>
      <x:c r="AQ164" s="60" t="n">
        <x:v>81</x:v>
      </x:c>
      <x:c r="AR164" s="60" t="n">
        <x:v>13</x:v>
      </x:c>
      <x:c r="AS164" s="60" t="n">
        <x:f>ROUND(((0.30*AL164+0.20*AM164+0.25*AN164+0.15*AO164+0.10*AQ164)+(0.30*AP164+0.20*AN164+0.20*AM164+0.15*AQ164+0.15*(100-AR164)))/2,2)</x:f>
        <x:v>81.92</x:v>
      </x:c>
      <x:c r="AT164" s="60" t="n">
        <x:f>ROUND(AVERAGE(V164,AD164,AL164),1)</x:f>
        <x:v>82</x:v>
      </x:c>
      <x:c r="AU164" s="60" t="n">
        <x:f>ROUND(AVERAGE(W164,AE164,AM164),1)</x:f>
        <x:v>81</x:v>
      </x:c>
      <x:c r="AV164" s="60" t="n">
        <x:f>ROUND(AVERAGE(X164,AF164,AN164),1)</x:f>
        <x:v>82.1</x:v>
      </x:c>
      <x:c r="AW164" s="60" t="n">
        <x:f>ROUND(AVERAGE(Y164,AG164,AO164),1)</x:f>
        <x:v>80</x:v>
      </x:c>
      <x:c r="AX164" s="60" t="n">
        <x:f>ROUND(AVERAGE(Z164,AH164,AP164),1)</x:f>
        <x:v>82</x:v>
      </x:c>
      <x:c r="AY164" s="60" t="n">
        <x:f>ROUND(AVERAGE(AA164,AI164,AQ164),1)</x:f>
        <x:v>81</x:v>
      </x:c>
      <x:c r="AZ164" s="60" t="n">
        <x:f>ROUND(AVERAGE(AB164,AJ164,AR164),1)</x:f>
        <x:v>13</x:v>
      </x:c>
      <x:c r="BA164" s="59" t="n">
        <x:v>5</x:v>
      </x:c>
      <x:c r="BB164" s="60" t="n">
        <x:f>ROUND(0.30*AT164+0.20*AU164+0.25*AV164+0.15*AW164+0.10*AY164,2)</x:f>
        <x:v>81.42</x:v>
      </x:c>
      <x:c r="BC164" s="60" t="n">
        <x:f>ROUND(0.30*AX164+0.20*AV164+0.20*AU164+0.15*AY164+0.15*(100-AZ164),2)</x:f>
        <x:v>82.42</x:v>
      </x:c>
      <x:c r="BD164" s="60" t="n">
        <x:f>ROUND(AVERAGE(BB164,BC164),2)</x:f>
        <x:v>81.92</x:v>
      </x:c>
      <x:c r="BE164" s="60" t="n">
        <x:f>ROUND(BD164-U164,2)</x:f>
        <x:v>0.02</x:v>
      </x:c>
      <x:c r="BF164" s="60" t="n">
        <x:f>ROUND(STDEV.P(AC164,AK164,AS164),3)</x:f>
        <x:v>0.021</x:v>
      </x:c>
      <x:c r="BG164" s="59" t="str"/>
      <x:c r="BH164" s="59" t="str">
        <x:v>30%评分池轻量复核</x:v>
      </x:c>
      <x:c r="BI164" s="40" t="str">
        <x:v>三轮复核后与原表基本一致</x:v>
      </x:c>
    </x:row>
    <x:row r="165" ht="30" customHeight="1">
      <x:c r="A165" s="59" t="n">
        <x:v>164</x:v>
      </x:c>
      <x:c r="B165" s="59" t="n">
        <x:v>164</x:v>
      </x:c>
      <x:c r="C165" s="59" t="str">
        <x:v>2026-06</x:v>
      </x:c>
      <x:c r="D165" s="59" t="n">
        <x:v>72</x:v>
      </x:c>
      <x:c r="E165" s="59" t="str">
        <x:v>2606.04809</x:v>
      </x:c>
      <x:c r="F165" s="40" t="str">
        <x:v>Steady compressible Navier-Stokes-Fourier system with general temperature dependent viscosities and hard sphere pressure law</x:v>
      </x:c>
      <x:c r="G165" s="40" t="str">
        <x:v>Zhengguang Guo; Milan Pokorny</x:v>
      </x:c>
      <x:c r="H165" s="40" t="str">
        <x:v>fluid/kinetic PDE</x:v>
      </x:c>
      <x:c r="I165" s="59"/>
      <x:c r="J165" s="40" t="str">
        <x:v>https://arxiv.org/abs/2606.04809</x:v>
      </x:c>
      <x:c r="K165" s="60" t="n">
        <x:v>82</x:v>
      </x:c>
      <x:c r="L165" s="60" t="n">
        <x:v>81</x:v>
      </x:c>
      <x:c r="M165" s="60" t="n">
        <x:v>82</x:v>
      </x:c>
      <x:c r="N165" s="60" t="n">
        <x:v>80</x:v>
      </x:c>
      <x:c r="O165" s="60" t="n">
        <x:v>82</x:v>
      </x:c>
      <x:c r="P165" s="60" t="n">
        <x:v>81</x:v>
      </x:c>
      <x:c r="Q165" s="60" t="n">
        <x:v>13</x:v>
      </x:c>
      <x:c r="R165" s="59" t="n">
        <x:v>5</x:v>
      </x:c>
      <x:c r="S165" s="60" t="n">
        <x:v>81.39999999999999</x:v>
      </x:c>
      <x:c r="T165" s="60" t="n">
        <x:v>82.4</x:v>
      </x:c>
      <x:c r="U165" s="60" t="n">
        <x:v>81.9</x:v>
      </x:c>
      <x:c r="V165" s="60" t="n">
        <x:v>82.1</x:v>
      </x:c>
      <x:c r="W165" s="60" t="n">
        <x:v>81</x:v>
      </x:c>
      <x:c r="X165" s="60" t="n">
        <x:v>82.1</x:v>
      </x:c>
      <x:c r="Y165" s="60" t="n">
        <x:v>80</x:v>
      </x:c>
      <x:c r="Z165" s="60" t="n">
        <x:v>82.1</x:v>
      </x:c>
      <x:c r="AA165" s="60" t="n">
        <x:v>81</x:v>
      </x:c>
      <x:c r="AB165" s="60" t="n">
        <x:v>13</x:v>
      </x:c>
      <x:c r="AC165" s="60" t="n">
        <x:f>ROUND(((0.30*V165+0.20*W165+0.25*X165+0.15*Y165+0.10*AA165)+(0.30*Z165+0.20*X165+0.20*W165+0.15*AA165+0.15*(100-AB165)))/2,2)</x:f>
        <x:v>81.95</x:v>
      </x:c>
      <x:c r="AD165" s="60" t="n">
        <x:v>82</x:v>
      </x:c>
      <x:c r="AE165" s="60" t="n">
        <x:v>81</x:v>
      </x:c>
      <x:c r="AF165" s="60" t="n">
        <x:v>82</x:v>
      </x:c>
      <x:c r="AG165" s="60" t="n">
        <x:v>80</x:v>
      </x:c>
      <x:c r="AH165" s="60" t="n">
        <x:v>82</x:v>
      </x:c>
      <x:c r="AI165" s="60" t="n">
        <x:v>81</x:v>
      </x:c>
      <x:c r="AJ165" s="60" t="n">
        <x:v>13</x:v>
      </x:c>
      <x:c r="AK165" s="60" t="n">
        <x:f>ROUND(((0.30*AD165+0.20*AE165+0.25*AF165+0.15*AG165+0.10*AI165)+(0.30*AH165+0.20*AF165+0.20*AE165+0.15*AI165+0.15*(100-AJ165)))/2,2)</x:f>
        <x:v>81.9</x:v>
      </x:c>
      <x:c r="AL165" s="60" t="n">
        <x:v>82</x:v>
      </x:c>
      <x:c r="AM165" s="60" t="n">
        <x:v>81</x:v>
      </x:c>
      <x:c r="AN165" s="60" t="n">
        <x:v>82.1</x:v>
      </x:c>
      <x:c r="AO165" s="60" t="n">
        <x:v>80</x:v>
      </x:c>
      <x:c r="AP165" s="60" t="n">
        <x:v>82</x:v>
      </x:c>
      <x:c r="AQ165" s="60" t="n">
        <x:v>81</x:v>
      </x:c>
      <x:c r="AR165" s="60" t="n">
        <x:v>13</x:v>
      </x:c>
      <x:c r="AS165" s="60" t="n">
        <x:f>ROUND(((0.30*AL165+0.20*AM165+0.25*AN165+0.15*AO165+0.10*AQ165)+(0.30*AP165+0.20*AN165+0.20*AM165+0.15*AQ165+0.15*(100-AR165)))/2,2)</x:f>
        <x:v>81.92</x:v>
      </x:c>
      <x:c r="AT165" s="60" t="n">
        <x:f>ROUND(AVERAGE(V165,AD165,AL165),1)</x:f>
        <x:v>82</x:v>
      </x:c>
      <x:c r="AU165" s="60" t="n">
        <x:f>ROUND(AVERAGE(W165,AE165,AM165),1)</x:f>
        <x:v>81</x:v>
      </x:c>
      <x:c r="AV165" s="60" t="n">
        <x:f>ROUND(AVERAGE(X165,AF165,AN165),1)</x:f>
        <x:v>82.1</x:v>
      </x:c>
      <x:c r="AW165" s="60" t="n">
        <x:f>ROUND(AVERAGE(Y165,AG165,AO165),1)</x:f>
        <x:v>80</x:v>
      </x:c>
      <x:c r="AX165" s="60" t="n">
        <x:f>ROUND(AVERAGE(Z165,AH165,AP165),1)</x:f>
        <x:v>82</x:v>
      </x:c>
      <x:c r="AY165" s="60" t="n">
        <x:f>ROUND(AVERAGE(AA165,AI165,AQ165),1)</x:f>
        <x:v>81</x:v>
      </x:c>
      <x:c r="AZ165" s="60" t="n">
        <x:f>ROUND(AVERAGE(AB165,AJ165,AR165),1)</x:f>
        <x:v>13</x:v>
      </x:c>
      <x:c r="BA165" s="59" t="n">
        <x:v>5</x:v>
      </x:c>
      <x:c r="BB165" s="60" t="n">
        <x:f>ROUND(0.30*AT165+0.20*AU165+0.25*AV165+0.15*AW165+0.10*AY165,2)</x:f>
        <x:v>81.42</x:v>
      </x:c>
      <x:c r="BC165" s="60" t="n">
        <x:f>ROUND(0.30*AX165+0.20*AV165+0.20*AU165+0.15*AY165+0.15*(100-AZ165),2)</x:f>
        <x:v>82.42</x:v>
      </x:c>
      <x:c r="BD165" s="60" t="n">
        <x:f>ROUND(AVERAGE(BB165,BC165),2)</x:f>
        <x:v>81.92</x:v>
      </x:c>
      <x:c r="BE165" s="60" t="n">
        <x:f>ROUND(BD165-U165,2)</x:f>
        <x:v>0.02</x:v>
      </x:c>
      <x:c r="BF165" s="60" t="n">
        <x:f>ROUND(STDEV.P(AC165,AK165,AS165),3)</x:f>
        <x:v>0.021</x:v>
      </x:c>
      <x:c r="BG165" s="59" t="str"/>
      <x:c r="BH165" s="59" t="str">
        <x:v>30%评分池轻量复核</x:v>
      </x:c>
      <x:c r="BI165" s="40" t="str">
        <x:v>三轮复核后与原表基本一致</x:v>
      </x:c>
    </x:row>
    <x:row r="166" ht="30" customHeight="1">
      <x:c r="A166" s="59" t="n">
        <x:v>165</x:v>
      </x:c>
      <x:c r="B166" s="59" t="n">
        <x:v>165</x:v>
      </x:c>
      <x:c r="C166" s="59" t="str">
        <x:v>2026-06</x:v>
      </x:c>
      <x:c r="D166" s="59" t="n">
        <x:v>72</x:v>
      </x:c>
      <x:c r="E166" s="59" t="str">
        <x:v>2606.04403</x:v>
      </x:c>
      <x:c r="F166" s="40" t="str">
        <x:v>Well-posedness and vanishing rotational limit for the rotating incompressible Navier-Stokes equations in hybrid Besov space</x:v>
      </x:c>
      <x:c r="G166" s="40" t="str">
        <x:v>Zihua Guo; Zihao Song; Minghua Yang</x:v>
      </x:c>
      <x:c r="H166" s="40" t="str">
        <x:v>fluid/kinetic PDE</x:v>
      </x:c>
      <x:c r="I166" s="59" t="n">
        <x:v>13</x:v>
      </x:c>
      <x:c r="J166" s="40" t="str">
        <x:v>https://arxiv.org/abs/2606.04403</x:v>
      </x:c>
      <x:c r="K166" s="60" t="n">
        <x:v>82</x:v>
      </x:c>
      <x:c r="L166" s="60" t="n">
        <x:v>81</x:v>
      </x:c>
      <x:c r="M166" s="60" t="n">
        <x:v>82</x:v>
      </x:c>
      <x:c r="N166" s="60" t="n">
        <x:v>80</x:v>
      </x:c>
      <x:c r="O166" s="60" t="n">
        <x:v>82</x:v>
      </x:c>
      <x:c r="P166" s="60" t="n">
        <x:v>81</x:v>
      </x:c>
      <x:c r="Q166" s="60" t="n">
        <x:v>13</x:v>
      </x:c>
      <x:c r="R166" s="59" t="n">
        <x:v>5</x:v>
      </x:c>
      <x:c r="S166" s="60" t="n">
        <x:v>81.39999999999999</x:v>
      </x:c>
      <x:c r="T166" s="60" t="n">
        <x:v>82.4</x:v>
      </x:c>
      <x:c r="U166" s="60" t="n">
        <x:v>81.9</x:v>
      </x:c>
      <x:c r="V166" s="60" t="n">
        <x:v>82.1</x:v>
      </x:c>
      <x:c r="W166" s="60" t="n">
        <x:v>81</x:v>
      </x:c>
      <x:c r="X166" s="60" t="n">
        <x:v>82.1</x:v>
      </x:c>
      <x:c r="Y166" s="60" t="n">
        <x:v>80</x:v>
      </x:c>
      <x:c r="Z166" s="60" t="n">
        <x:v>82.1</x:v>
      </x:c>
      <x:c r="AA166" s="60" t="n">
        <x:v>81</x:v>
      </x:c>
      <x:c r="AB166" s="60" t="n">
        <x:v>13</x:v>
      </x:c>
      <x:c r="AC166" s="60" t="n">
        <x:f>ROUND(((0.30*V166+0.20*W166+0.25*X166+0.15*Y166+0.10*AA166)+(0.30*Z166+0.20*X166+0.20*W166+0.15*AA166+0.15*(100-AB166)))/2,2)</x:f>
        <x:v>81.95</x:v>
      </x:c>
      <x:c r="AD166" s="60" t="n">
        <x:v>82</x:v>
      </x:c>
      <x:c r="AE166" s="60" t="n">
        <x:v>81</x:v>
      </x:c>
      <x:c r="AF166" s="60" t="n">
        <x:v>82</x:v>
      </x:c>
      <x:c r="AG166" s="60" t="n">
        <x:v>80</x:v>
      </x:c>
      <x:c r="AH166" s="60" t="n">
        <x:v>82</x:v>
      </x:c>
      <x:c r="AI166" s="60" t="n">
        <x:v>81</x:v>
      </x:c>
      <x:c r="AJ166" s="60" t="n">
        <x:v>13.4</x:v>
      </x:c>
      <x:c r="AK166" s="60" t="n">
        <x:f>ROUND(((0.30*AD166+0.20*AE166+0.25*AF166+0.15*AG166+0.10*AI166)+(0.30*AH166+0.20*AF166+0.20*AE166+0.15*AI166+0.15*(100-AJ166)))/2,2)</x:f>
        <x:v>81.87</x:v>
      </x:c>
      <x:c r="AL166" s="60" t="n">
        <x:v>82</x:v>
      </x:c>
      <x:c r="AM166" s="60" t="n">
        <x:v>81</x:v>
      </x:c>
      <x:c r="AN166" s="60" t="n">
        <x:v>82.1</x:v>
      </x:c>
      <x:c r="AO166" s="60" t="n">
        <x:v>80</x:v>
      </x:c>
      <x:c r="AP166" s="60" t="n">
        <x:v>82</x:v>
      </x:c>
      <x:c r="AQ166" s="60" t="n">
        <x:v>81</x:v>
      </x:c>
      <x:c r="AR166" s="60" t="n">
        <x:v>13.5</x:v>
      </x:c>
      <x:c r="AS166" s="60" t="n">
        <x:f>ROUND(((0.30*AL166+0.20*AM166+0.25*AN166+0.15*AO166+0.10*AQ166)+(0.30*AP166+0.20*AN166+0.20*AM166+0.15*AQ166+0.15*(100-AR166)))/2,2)</x:f>
        <x:v>81.88</x:v>
      </x:c>
      <x:c r="AT166" s="60" t="n">
        <x:f>ROUND(AVERAGE(V166,AD166,AL166),1)</x:f>
        <x:v>82</x:v>
      </x:c>
      <x:c r="AU166" s="60" t="n">
        <x:f>ROUND(AVERAGE(W166,AE166,AM166),1)</x:f>
        <x:v>81</x:v>
      </x:c>
      <x:c r="AV166" s="60" t="n">
        <x:f>ROUND(AVERAGE(X166,AF166,AN166),1)</x:f>
        <x:v>82.1</x:v>
      </x:c>
      <x:c r="AW166" s="60" t="n">
        <x:f>ROUND(AVERAGE(Y166,AG166,AO166),1)</x:f>
        <x:v>80</x:v>
      </x:c>
      <x:c r="AX166" s="60" t="n">
        <x:f>ROUND(AVERAGE(Z166,AH166,AP166),1)</x:f>
        <x:v>82</x:v>
      </x:c>
      <x:c r="AY166" s="60" t="n">
        <x:f>ROUND(AVERAGE(AA166,AI166,AQ166),1)</x:f>
        <x:v>81</x:v>
      </x:c>
      <x:c r="AZ166" s="60" t="n">
        <x:f>ROUND(AVERAGE(AB166,AJ166,AR166),1)</x:f>
        <x:v>13.3</x:v>
      </x:c>
      <x:c r="BA166" s="59" t="n">
        <x:v>5</x:v>
      </x:c>
      <x:c r="BB166" s="60" t="n">
        <x:f>ROUND(0.30*AT166+0.20*AU166+0.25*AV166+0.15*AW166+0.10*AY166,2)</x:f>
        <x:v>81.42</x:v>
      </x:c>
      <x:c r="BC166" s="60" t="n">
        <x:f>ROUND(0.30*AX166+0.20*AV166+0.20*AU166+0.15*AY166+0.15*(100-AZ166),2)</x:f>
        <x:v>82.38</x:v>
      </x:c>
      <x:c r="BD166" s="60" t="n">
        <x:f>ROUND(AVERAGE(BB166,BC166),2)</x:f>
        <x:v>81.9</x:v>
      </x:c>
      <x:c r="BE166" s="60" t="n">
        <x:f>ROUND(BD166-U166,2)</x:f>
        <x:v>0</x:v>
      </x:c>
      <x:c r="BF166" s="60" t="n">
        <x:f>ROUND(STDEV.P(AC166,AK166,AS166),3)</x:f>
        <x:v>0.036</x:v>
      </x:c>
      <x:c r="BG166" s="59" t="str"/>
      <x:c r="BH166" s="59" t="str">
        <x:v>30%评分池轻量复核</x:v>
      </x:c>
      <x:c r="BI166" s="40" t="str">
        <x:v>三轮复核后与原表基本一致</x:v>
      </x:c>
    </x:row>
    <x:row r="167" ht="30" customHeight="1">
      <x:c r="A167" s="59" t="n">
        <x:v>166</x:v>
      </x:c>
      <x:c r="B167" s="59" t="n">
        <x:v>166</x:v>
      </x:c>
      <x:c r="C167" s="59" t="str">
        <x:v>2026-06</x:v>
      </x:c>
      <x:c r="D167" s="59" t="n">
        <x:v>75</x:v>
      </x:c>
      <x:c r="E167" s="59" t="str">
        <x:v>2606.06166</x:v>
      </x:c>
      <x:c r="F167" s="40" t="str">
        <x:v>Optimal decay for waves damped by superellipses</x:v>
      </x:c>
      <x:c r="G167" s="40" t="str">
        <x:v>B. Achammer; Perry Kleinhenz</x:v>
      </x:c>
      <x:c r="H167" s="40" t="str">
        <x:v>dispersive PDE</x:v>
      </x:c>
      <x:c r="I167" s="59" t="n">
        <x:v>14</x:v>
      </x:c>
      <x:c r="J167" s="40" t="str">
        <x:v>https://arxiv.org/abs/2606.06166</x:v>
      </x:c>
      <x:c r="K167" s="60" t="n">
        <x:v>81</x:v>
      </x:c>
      <x:c r="L167" s="60" t="n">
        <x:v>82</x:v>
      </x:c>
      <x:c r="M167" s="60" t="n">
        <x:v>82</x:v>
      </x:c>
      <x:c r="N167" s="60" t="n">
        <x:v>80</x:v>
      </x:c>
      <x:c r="O167" s="60" t="n">
        <x:v>81</x:v>
      </x:c>
      <x:c r="P167" s="60" t="n">
        <x:v>81</x:v>
      </x:c>
      <x:c r="Q167" s="60" t="n">
        <x:v>13</x:v>
      </x:c>
      <x:c r="R167" s="59" t="n">
        <x:v>5</x:v>
      </x:c>
      <x:c r="S167" s="60" t="n">
        <x:v>81.3</x:v>
      </x:c>
      <x:c r="T167" s="60" t="n">
        <x:v>82.30000000000001</x:v>
      </x:c>
      <x:c r="U167" s="60" t="n">
        <x:v>81.80000000000001</x:v>
      </x:c>
      <x:c r="V167" s="60" t="n">
        <x:v>81</x:v>
      </x:c>
      <x:c r="W167" s="60" t="n">
        <x:v>82</x:v>
      </x:c>
      <x:c r="X167" s="60" t="n">
        <x:v>82</x:v>
      </x:c>
      <x:c r="Y167" s="60" t="n">
        <x:v>80</x:v>
      </x:c>
      <x:c r="Z167" s="60" t="n">
        <x:v>81</x:v>
      </x:c>
      <x:c r="AA167" s="60" t="n">
        <x:v>81</x:v>
      </x:c>
      <x:c r="AB167" s="60" t="n">
        <x:v>13</x:v>
      </x:c>
      <x:c r="AC167" s="60" t="n">
        <x:f>ROUND(((0.30*V167+0.20*W167+0.25*X167+0.15*Y167+0.10*AA167)+(0.30*Z167+0.20*X167+0.20*W167+0.15*AA167+0.15*(100-AB167)))/2,2)</x:f>
        <x:v>81.8</x:v>
      </x:c>
      <x:c r="AD167" s="60" t="n">
        <x:v>81</x:v>
      </x:c>
      <x:c r="AE167" s="60" t="n">
        <x:v>82</x:v>
      </x:c>
      <x:c r="AF167" s="60" t="n">
        <x:v>82</x:v>
      </x:c>
      <x:c r="AG167" s="60" t="n">
        <x:v>80</x:v>
      </x:c>
      <x:c r="AH167" s="60" t="n">
        <x:v>81</x:v>
      </x:c>
      <x:c r="AI167" s="60" t="n">
        <x:v>81</x:v>
      </x:c>
      <x:c r="AJ167" s="60" t="n">
        <x:v>13.4</x:v>
      </x:c>
      <x:c r="AK167" s="60" t="n">
        <x:f>ROUND(((0.30*AD167+0.20*AE167+0.25*AF167+0.15*AG167+0.10*AI167)+(0.30*AH167+0.20*AF167+0.20*AE167+0.15*AI167+0.15*(100-AJ167)))/2,2)</x:f>
        <x:v>81.77</x:v>
      </x:c>
      <x:c r="AL167" s="60" t="n">
        <x:v>81</x:v>
      </x:c>
      <x:c r="AM167" s="60" t="n">
        <x:v>82</x:v>
      </x:c>
      <x:c r="AN167" s="60" t="n">
        <x:v>82</x:v>
      </x:c>
      <x:c r="AO167" s="60" t="n">
        <x:v>80</x:v>
      </x:c>
      <x:c r="AP167" s="60" t="n">
        <x:v>81</x:v>
      </x:c>
      <x:c r="AQ167" s="60" t="n">
        <x:v>81</x:v>
      </x:c>
      <x:c r="AR167" s="60" t="n">
        <x:v>13.5</x:v>
      </x:c>
      <x:c r="AS167" s="60" t="n">
        <x:f>ROUND(((0.30*AL167+0.20*AM167+0.25*AN167+0.15*AO167+0.10*AQ167)+(0.30*AP167+0.20*AN167+0.20*AM167+0.15*AQ167+0.15*(100-AR167)))/2,2)</x:f>
        <x:v>81.76</x:v>
      </x:c>
      <x:c r="AT167" s="60" t="n">
        <x:f>ROUND(AVERAGE(V167,AD167,AL167),1)</x:f>
        <x:v>81</x:v>
      </x:c>
      <x:c r="AU167" s="60" t="n">
        <x:f>ROUND(AVERAGE(W167,AE167,AM167),1)</x:f>
        <x:v>82</x:v>
      </x:c>
      <x:c r="AV167" s="60" t="n">
        <x:f>ROUND(AVERAGE(X167,AF167,AN167),1)</x:f>
        <x:v>82</x:v>
      </x:c>
      <x:c r="AW167" s="60" t="n">
        <x:f>ROUND(AVERAGE(Y167,AG167,AO167),1)</x:f>
        <x:v>80</x:v>
      </x:c>
      <x:c r="AX167" s="60" t="n">
        <x:f>ROUND(AVERAGE(Z167,AH167,AP167),1)</x:f>
        <x:v>81</x:v>
      </x:c>
      <x:c r="AY167" s="60" t="n">
        <x:f>ROUND(AVERAGE(AA167,AI167,AQ167),1)</x:f>
        <x:v>81</x:v>
      </x:c>
      <x:c r="AZ167" s="60" t="n">
        <x:f>ROUND(AVERAGE(AB167,AJ167,AR167),1)</x:f>
        <x:v>13.3</x:v>
      </x:c>
      <x:c r="BA167" s="59" t="n">
        <x:v>5</x:v>
      </x:c>
      <x:c r="BB167" s="60" t="n">
        <x:f>ROUND(0.30*AT167+0.20*AU167+0.25*AV167+0.15*AW167+0.10*AY167,2)</x:f>
        <x:v>81.3</x:v>
      </x:c>
      <x:c r="BC167" s="60" t="n">
        <x:f>ROUND(0.30*AX167+0.20*AV167+0.20*AU167+0.15*AY167+0.15*(100-AZ167),2)</x:f>
        <x:v>82.26</x:v>
      </x:c>
      <x:c r="BD167" s="60" t="n">
        <x:f>ROUND(AVERAGE(BB167,BC167),2)</x:f>
        <x:v>81.78</x:v>
      </x:c>
      <x:c r="BE167" s="60" t="n">
        <x:f>ROUND(BD167-U167,2)</x:f>
        <x:v>-0.02</x:v>
      </x:c>
      <x:c r="BF167" s="60" t="n">
        <x:f>ROUND(STDEV.P(AC167,AK167,AS167),3)</x:f>
        <x:v>0.017</x:v>
      </x:c>
      <x:c r="BG167" s="59" t="str"/>
      <x:c r="BH167" s="59" t="str">
        <x:v>30%评分池轻量复核</x:v>
      </x:c>
      <x:c r="BI167" s="40" t="str">
        <x:v>三轮复核后与原表基本一致</x:v>
      </x:c>
    </x:row>
    <x:row r="168" ht="30" customHeight="1">
      <x:c r="A168" s="59" t="n">
        <x:v>167</x:v>
      </x:c>
      <x:c r="B168" s="59" t="n">
        <x:v>167</x:v>
      </x:c>
      <x:c r="C168" s="59" t="str">
        <x:v>2026-06</x:v>
      </x:c>
      <x:c r="D168" s="59" t="n">
        <x:v>76</x:v>
      </x:c>
      <x:c r="E168" s="59" t="str">
        <x:v>2606.00905</x:v>
      </x:c>
      <x:c r="F168" s="40" t="str">
        <x:v>On the wave equation with logarithmic damping: wellposedness, blow-up and numerical analysis</x:v>
      </x:c>
      <x:c r="G168" s="40" t="str">
        <x:v>Salim Messaoudi; Mohammad Kafini; Mostafa Zahri</x:v>
      </x:c>
      <x:c r="H168" s="40" t="str">
        <x:v>dispersive PDE</x:v>
      </x:c>
      <x:c r="I168" s="59" t="n">
        <x:v>22</x:v>
      </x:c>
      <x:c r="J168" s="40" t="str">
        <x:v>https://arxiv.org/abs/2606.00905</x:v>
      </x:c>
      <x:c r="K168" s="60" t="n">
        <x:v>81</x:v>
      </x:c>
      <x:c r="L168" s="60" t="n">
        <x:v>81</x:v>
      </x:c>
      <x:c r="M168" s="60" t="n">
        <x:v>82</x:v>
      </x:c>
      <x:c r="N168" s="60" t="n">
        <x:v>81</x:v>
      </x:c>
      <x:c r="O168" s="60" t="n">
        <x:v>82</x:v>
      </x:c>
      <x:c r="P168" s="60" t="n">
        <x:v>81</x:v>
      </x:c>
      <x:c r="Q168" s="60" t="n">
        <x:v>14</x:v>
      </x:c>
      <x:c r="R168" s="59" t="n">
        <x:v>5</x:v>
      </x:c>
      <x:c r="S168" s="60" t="n">
        <x:v>81.25</x:v>
      </x:c>
      <x:c r="T168" s="60" t="n">
        <x:v>82.25000000000001</x:v>
      </x:c>
      <x:c r="U168" s="60" t="n">
        <x:v>81.75</x:v>
      </x:c>
      <x:c r="V168" s="60" t="n">
        <x:v>81.1</x:v>
      </x:c>
      <x:c r="W168" s="60" t="n">
        <x:v>81</x:v>
      </x:c>
      <x:c r="X168" s="60" t="n">
        <x:v>82.1</x:v>
      </x:c>
      <x:c r="Y168" s="60" t="n">
        <x:v>81</x:v>
      </x:c>
      <x:c r="Z168" s="60" t="n">
        <x:v>82.1</x:v>
      </x:c>
      <x:c r="AA168" s="60" t="n">
        <x:v>81</x:v>
      </x:c>
      <x:c r="AB168" s="60" t="n">
        <x:v>14</x:v>
      </x:c>
      <x:c r="AC168" s="60" t="n">
        <x:f>ROUND(((0.30*V168+0.20*W168+0.25*X168+0.15*Y168+0.10*AA168)+(0.30*Z168+0.20*X168+0.20*W168+0.15*AA168+0.15*(100-AB168)))/2,2)</x:f>
        <x:v>81.8</x:v>
      </x:c>
      <x:c r="AD168" s="60" t="n">
        <x:v>81</x:v>
      </x:c>
      <x:c r="AE168" s="60" t="n">
        <x:v>81</x:v>
      </x:c>
      <x:c r="AF168" s="60" t="n">
        <x:v>82</x:v>
      </x:c>
      <x:c r="AG168" s="60" t="n">
        <x:v>81</x:v>
      </x:c>
      <x:c r="AH168" s="60" t="n">
        <x:v>82</x:v>
      </x:c>
      <x:c r="AI168" s="60" t="n">
        <x:v>81</x:v>
      </x:c>
      <x:c r="AJ168" s="60" t="n">
        <x:v>14.4</x:v>
      </x:c>
      <x:c r="AK168" s="60" t="n">
        <x:f>ROUND(((0.30*AD168+0.20*AE168+0.25*AF168+0.15*AG168+0.10*AI168)+(0.30*AH168+0.20*AF168+0.20*AE168+0.15*AI168+0.15*(100-AJ168)))/2,2)</x:f>
        <x:v>81.72</x:v>
      </x:c>
      <x:c r="AL168" s="60" t="n">
        <x:v>81</x:v>
      </x:c>
      <x:c r="AM168" s="60" t="n">
        <x:v>81</x:v>
      </x:c>
      <x:c r="AN168" s="60" t="n">
        <x:v>82.1</x:v>
      </x:c>
      <x:c r="AO168" s="60" t="n">
        <x:v>81</x:v>
      </x:c>
      <x:c r="AP168" s="60" t="n">
        <x:v>82</x:v>
      </x:c>
      <x:c r="AQ168" s="60" t="n">
        <x:v>81</x:v>
      </x:c>
      <x:c r="AR168" s="60" t="n">
        <x:v>14</x:v>
      </x:c>
      <x:c r="AS168" s="60" t="n">
        <x:f>ROUND(((0.30*AL168+0.20*AM168+0.25*AN168+0.15*AO168+0.10*AQ168)+(0.30*AP168+0.20*AN168+0.20*AM168+0.15*AQ168+0.15*(100-AR168)))/2,2)</x:f>
        <x:v>81.77</x:v>
      </x:c>
      <x:c r="AT168" s="60" t="n">
        <x:f>ROUND(AVERAGE(V168,AD168,AL168),1)</x:f>
        <x:v>81</x:v>
      </x:c>
      <x:c r="AU168" s="60" t="n">
        <x:f>ROUND(AVERAGE(W168,AE168,AM168),1)</x:f>
        <x:v>81</x:v>
      </x:c>
      <x:c r="AV168" s="60" t="n">
        <x:f>ROUND(AVERAGE(X168,AF168,AN168),1)</x:f>
        <x:v>82.1</x:v>
      </x:c>
      <x:c r="AW168" s="60" t="n">
        <x:f>ROUND(AVERAGE(Y168,AG168,AO168),1)</x:f>
        <x:v>81</x:v>
      </x:c>
      <x:c r="AX168" s="60" t="n">
        <x:f>ROUND(AVERAGE(Z168,AH168,AP168),1)</x:f>
        <x:v>82</x:v>
      </x:c>
      <x:c r="AY168" s="60" t="n">
        <x:f>ROUND(AVERAGE(AA168,AI168,AQ168),1)</x:f>
        <x:v>81</x:v>
      </x:c>
      <x:c r="AZ168" s="60" t="n">
        <x:f>ROUND(AVERAGE(AB168,AJ168,AR168),1)</x:f>
        <x:v>14.1</x:v>
      </x:c>
      <x:c r="BA168" s="59" t="n">
        <x:v>5</x:v>
      </x:c>
      <x:c r="BB168" s="60" t="n">
        <x:f>ROUND(0.30*AT168+0.20*AU168+0.25*AV168+0.15*AW168+0.10*AY168,2)</x:f>
        <x:v>81.27</x:v>
      </x:c>
      <x:c r="BC168" s="60" t="n">
        <x:f>ROUND(0.30*AX168+0.20*AV168+0.20*AU168+0.15*AY168+0.15*(100-AZ168),2)</x:f>
        <x:v>82.26</x:v>
      </x:c>
      <x:c r="BD168" s="60" t="n">
        <x:f>ROUND(AVERAGE(BB168,BC168),2)</x:f>
        <x:v>81.77</x:v>
      </x:c>
      <x:c r="BE168" s="60" t="n">
        <x:f>ROUND(BD168-U168,2)</x:f>
        <x:v>0.02</x:v>
      </x:c>
      <x:c r="BF168" s="60" t="n">
        <x:f>ROUND(STDEV.P(AC168,AK168,AS168),3)</x:f>
        <x:v>0.033</x:v>
      </x:c>
      <x:c r="BG168" s="59" t="str"/>
      <x:c r="BH168" s="59" t="str">
        <x:v>30%评分池轻量复核</x:v>
      </x:c>
      <x:c r="BI168" s="40" t="str">
        <x:v>三轮复核后与原表基本一致</x:v>
      </x:c>
    </x:row>
    <x:row r="169" ht="30" customHeight="1">
      <x:c r="A169" s="59" t="n">
        <x:v>168</x:v>
      </x:c>
      <x:c r="B169" s="59" t="n">
        <x:v>168</x:v>
      </x:c>
      <x:c r="C169" s="59" t="str">
        <x:v>2026-06</x:v>
      </x:c>
      <x:c r="D169" s="59" t="n">
        <x:v>77</x:v>
      </x:c>
      <x:c r="E169" s="59" t="str">
        <x:v>2606.08134</x:v>
      </x:c>
      <x:c r="F169" s="40" t="str">
        <x:v>Homogenization in fractional phase transitions at the critical scale</x:v>
      </x:c>
      <x:c r="G169" s="40" t="str">
        <x:v>Andrea Braides; Abdilaziz Zoir Ugli Komilov</x:v>
      </x:c>
      <x:c r="H169" s="40" t="str">
        <x:v>homogenization/asymptotics</x:v>
      </x:c>
      <x:c r="I169" s="59"/>
      <x:c r="J169" s="40" t="str">
        <x:v>https://arxiv.org/abs/2606.08134</x:v>
      </x:c>
      <x:c r="K169" s="60" t="n">
        <x:v>81</x:v>
      </x:c>
      <x:c r="L169" s="60" t="n">
        <x:v>81</x:v>
      </x:c>
      <x:c r="M169" s="60" t="n">
        <x:v>82</x:v>
      </x:c>
      <x:c r="N169" s="60" t="n">
        <x:v>81</x:v>
      </x:c>
      <x:c r="O169" s="60" t="n">
        <x:v>81</x:v>
      </x:c>
      <x:c r="P169" s="60" t="n">
        <x:v>81</x:v>
      </x:c>
      <x:c r="Q169" s="60" t="n">
        <x:v>13</x:v>
      </x:c>
      <x:c r="R169" s="59" t="n">
        <x:v>5</x:v>
      </x:c>
      <x:c r="S169" s="60" t="n">
        <x:v>81.25</x:v>
      </x:c>
      <x:c r="T169" s="60" t="n">
        <x:v>82.10000000000001</x:v>
      </x:c>
      <x:c r="U169" s="60" t="n">
        <x:v>81.67500000000001</x:v>
      </x:c>
      <x:c r="V169" s="60" t="n">
        <x:v>81</x:v>
      </x:c>
      <x:c r="W169" s="60" t="n">
        <x:v>81.1</x:v>
      </x:c>
      <x:c r="X169" s="60" t="n">
        <x:v>82</x:v>
      </x:c>
      <x:c r="Y169" s="60" t="n">
        <x:v>81.1</x:v>
      </x:c>
      <x:c r="Z169" s="60" t="n">
        <x:v>81.1</x:v>
      </x:c>
      <x:c r="AA169" s="60" t="n">
        <x:v>81</x:v>
      </x:c>
      <x:c r="AB169" s="60" t="n">
        <x:v>13</x:v>
      </x:c>
      <x:c r="AC169" s="60" t="n">
        <x:f>ROUND(((0.30*V169+0.20*W169+0.25*X169+0.15*Y169+0.10*AA169)+(0.30*Z169+0.20*X169+0.20*W169+0.15*AA169+0.15*(100-AB169)))/2,2)</x:f>
        <x:v>81.72</x:v>
      </x:c>
      <x:c r="AD169" s="60" t="n">
        <x:v>81</x:v>
      </x:c>
      <x:c r="AE169" s="60" t="n">
        <x:v>81.1</x:v>
      </x:c>
      <x:c r="AF169" s="60" t="n">
        <x:v>82</x:v>
      </x:c>
      <x:c r="AG169" s="60" t="n">
        <x:v>81.1</x:v>
      </x:c>
      <x:c r="AH169" s="60" t="n">
        <x:v>81</x:v>
      </x:c>
      <x:c r="AI169" s="60" t="n">
        <x:v>81</x:v>
      </x:c>
      <x:c r="AJ169" s="60" t="n">
        <x:v>13</x:v>
      </x:c>
      <x:c r="AK169" s="60" t="n">
        <x:f>ROUND(((0.30*AD169+0.20*AE169+0.25*AF169+0.15*AG169+0.10*AI169)+(0.30*AH169+0.20*AF169+0.20*AE169+0.15*AI169+0.15*(100-AJ169)))/2,2)</x:f>
        <x:v>81.7</x:v>
      </x:c>
      <x:c r="AL169" s="60" t="n">
        <x:v>81</x:v>
      </x:c>
      <x:c r="AM169" s="60" t="n">
        <x:v>81.1</x:v>
      </x:c>
      <x:c r="AN169" s="60" t="n">
        <x:v>82</x:v>
      </x:c>
      <x:c r="AO169" s="60" t="n">
        <x:v>81.1</x:v>
      </x:c>
      <x:c r="AP169" s="60" t="n">
        <x:v>81.1</x:v>
      </x:c>
      <x:c r="AQ169" s="60" t="n">
        <x:v>81</x:v>
      </x:c>
      <x:c r="AR169" s="60" t="n">
        <x:v>13</x:v>
      </x:c>
      <x:c r="AS169" s="60" t="n">
        <x:f>ROUND(((0.30*AL169+0.20*AM169+0.25*AN169+0.15*AO169+0.10*AQ169)+(0.30*AP169+0.20*AN169+0.20*AM169+0.15*AQ169+0.15*(100-AR169)))/2,2)</x:f>
        <x:v>81.72</x:v>
      </x:c>
      <x:c r="AT169" s="60" t="n">
        <x:f>ROUND(AVERAGE(V169,AD169,AL169),1)</x:f>
        <x:v>81</x:v>
      </x:c>
      <x:c r="AU169" s="60" t="n">
        <x:f>ROUND(AVERAGE(W169,AE169,AM169),1)</x:f>
        <x:v>81.1</x:v>
      </x:c>
      <x:c r="AV169" s="60" t="n">
        <x:f>ROUND(AVERAGE(X169,AF169,AN169),1)</x:f>
        <x:v>82</x:v>
      </x:c>
      <x:c r="AW169" s="60" t="n">
        <x:f>ROUND(AVERAGE(Y169,AG169,AO169),1)</x:f>
        <x:v>81.1</x:v>
      </x:c>
      <x:c r="AX169" s="60" t="n">
        <x:f>ROUND(AVERAGE(Z169,AH169,AP169),1)</x:f>
        <x:v>81.1</x:v>
      </x:c>
      <x:c r="AY169" s="60" t="n">
        <x:f>ROUND(AVERAGE(AA169,AI169,AQ169),1)</x:f>
        <x:v>81</x:v>
      </x:c>
      <x:c r="AZ169" s="60" t="n">
        <x:f>ROUND(AVERAGE(AB169,AJ169,AR169),1)</x:f>
        <x:v>13</x:v>
      </x:c>
      <x:c r="BA169" s="59" t="n">
        <x:v>5</x:v>
      </x:c>
      <x:c r="BB169" s="60" t="n">
        <x:f>ROUND(0.30*AT169+0.20*AU169+0.25*AV169+0.15*AW169+0.10*AY169,2)</x:f>
        <x:v>81.29</x:v>
      </x:c>
      <x:c r="BC169" s="60" t="n">
        <x:f>ROUND(0.30*AX169+0.20*AV169+0.20*AU169+0.15*AY169+0.15*(100-AZ169),2)</x:f>
        <x:v>82.15</x:v>
      </x:c>
      <x:c r="BD169" s="60" t="n">
        <x:f>ROUND(AVERAGE(BB169,BC169),2)</x:f>
        <x:v>81.72</x:v>
      </x:c>
      <x:c r="BE169" s="60" t="n">
        <x:f>ROUND(BD169-U169,2)</x:f>
        <x:v>0.04</x:v>
      </x:c>
      <x:c r="BF169" s="60" t="n">
        <x:f>ROUND(STDEV.P(AC169,AK169,AS169),3)</x:f>
        <x:v>0.009</x:v>
      </x:c>
      <x:c r="BG169" s="59" t="str"/>
      <x:c r="BH169" s="59" t="str">
        <x:v>30%评分池轻量复核</x:v>
      </x:c>
      <x:c r="BI169" s="40" t="str">
        <x:v>三轮复核后与原表基本一致</x:v>
      </x:c>
    </x:row>
    <x:row r="170" ht="30" customHeight="1">
      <x:c r="A170" s="59" t="n">
        <x:v>169</x:v>
      </x:c>
      <x:c r="B170" s="59" t="n">
        <x:v>170</x:v>
      </x:c>
      <x:c r="C170" s="59" t="str">
        <x:v>2026-06</x:v>
      </x:c>
      <x:c r="D170" s="59" t="n">
        <x:v>78</x:v>
      </x:c>
      <x:c r="E170" s="59" t="str">
        <x:v>2606.04693</x:v>
      </x:c>
      <x:c r="F170" s="40" t="str">
        <x:v>Global large smooth solutions and overdamped limits for the damped isothermal Euler-Poisson system</x:v>
      </x:c>
      <x:c r="G170" s="40" t="str">
        <x:v>Young-Pil Choi; Jinwook Jung</x:v>
      </x:c>
      <x:c r="H170" s="40" t="str">
        <x:v>fluid/kinetic PDE</x:v>
      </x:c>
      <x:c r="I170" s="59"/>
      <x:c r="J170" s="40" t="str">
        <x:v>https://arxiv.org/abs/2606.04693</x:v>
      </x:c>
      <x:c r="K170" s="60" t="n">
        <x:v>82</x:v>
      </x:c>
      <x:c r="L170" s="60" t="n">
        <x:v>81</x:v>
      </x:c>
      <x:c r="M170" s="60" t="n">
        <x:v>81</x:v>
      </x:c>
      <x:c r="N170" s="60" t="n">
        <x:v>80</x:v>
      </x:c>
      <x:c r="O170" s="60" t="n">
        <x:v>82</x:v>
      </x:c>
      <x:c r="P170" s="60" t="n">
        <x:v>81</x:v>
      </x:c>
      <x:c r="Q170" s="60" t="n">
        <x:v>13</x:v>
      </x:c>
      <x:c r="R170" s="59" t="n">
        <x:v>5</x:v>
      </x:c>
      <x:c r="S170" s="60" t="n">
        <x:v>81.14999999999999</x:v>
      </x:c>
      <x:c r="T170" s="60" t="n">
        <x:v>82.2</x:v>
      </x:c>
      <x:c r="U170" s="60" t="n">
        <x:v>81.675</x:v>
      </x:c>
      <x:c r="V170" s="60" t="n">
        <x:v>82.1</x:v>
      </x:c>
      <x:c r="W170" s="60" t="n">
        <x:v>81</x:v>
      </x:c>
      <x:c r="X170" s="60" t="n">
        <x:v>81.1</x:v>
      </x:c>
      <x:c r="Y170" s="60" t="n">
        <x:v>80</x:v>
      </x:c>
      <x:c r="Z170" s="60" t="n">
        <x:v>82.1</x:v>
      </x:c>
      <x:c r="AA170" s="60" t="n">
        <x:v>81</x:v>
      </x:c>
      <x:c r="AB170" s="60" t="n">
        <x:v>13</x:v>
      </x:c>
      <x:c r="AC170" s="60" t="n">
        <x:f>ROUND(((0.30*V170+0.20*W170+0.25*X170+0.15*Y170+0.10*AA170)+(0.30*Z170+0.20*X170+0.20*W170+0.15*AA170+0.15*(100-AB170)))/2,2)</x:f>
        <x:v>81.73</x:v>
      </x:c>
      <x:c r="AD170" s="60" t="n">
        <x:v>82</x:v>
      </x:c>
      <x:c r="AE170" s="60" t="n">
        <x:v>81</x:v>
      </x:c>
      <x:c r="AF170" s="60" t="n">
        <x:v>81</x:v>
      </x:c>
      <x:c r="AG170" s="60" t="n">
        <x:v>80</x:v>
      </x:c>
      <x:c r="AH170" s="60" t="n">
        <x:v>82</x:v>
      </x:c>
      <x:c r="AI170" s="60" t="n">
        <x:v>81</x:v>
      </x:c>
      <x:c r="AJ170" s="60" t="n">
        <x:v>13</x:v>
      </x:c>
      <x:c r="AK170" s="60" t="n">
        <x:f>ROUND(((0.30*AD170+0.20*AE170+0.25*AF170+0.15*AG170+0.10*AI170)+(0.30*AH170+0.20*AF170+0.20*AE170+0.15*AI170+0.15*(100-AJ170)))/2,2)</x:f>
        <x:v>81.68</x:v>
      </x:c>
      <x:c r="AL170" s="60" t="n">
        <x:v>82</x:v>
      </x:c>
      <x:c r="AM170" s="60" t="n">
        <x:v>81</x:v>
      </x:c>
      <x:c r="AN170" s="60" t="n">
        <x:v>81.1</x:v>
      </x:c>
      <x:c r="AO170" s="60" t="n">
        <x:v>80</x:v>
      </x:c>
      <x:c r="AP170" s="60" t="n">
        <x:v>82</x:v>
      </x:c>
      <x:c r="AQ170" s="60" t="n">
        <x:v>81</x:v>
      </x:c>
      <x:c r="AR170" s="60" t="n">
        <x:v>13</x:v>
      </x:c>
      <x:c r="AS170" s="60" t="n">
        <x:f>ROUND(((0.30*AL170+0.20*AM170+0.25*AN170+0.15*AO170+0.10*AQ170)+(0.30*AP170+0.20*AN170+0.20*AM170+0.15*AQ170+0.15*(100-AR170)))/2,2)</x:f>
        <x:v>81.7</x:v>
      </x:c>
      <x:c r="AT170" s="60" t="n">
        <x:f>ROUND(AVERAGE(V170,AD170,AL170),1)</x:f>
        <x:v>82</x:v>
      </x:c>
      <x:c r="AU170" s="60" t="n">
        <x:f>ROUND(AVERAGE(W170,AE170,AM170),1)</x:f>
        <x:v>81</x:v>
      </x:c>
      <x:c r="AV170" s="60" t="n">
        <x:f>ROUND(AVERAGE(X170,AF170,AN170),1)</x:f>
        <x:v>81.1</x:v>
      </x:c>
      <x:c r="AW170" s="60" t="n">
        <x:f>ROUND(AVERAGE(Y170,AG170,AO170),1)</x:f>
        <x:v>80</x:v>
      </x:c>
      <x:c r="AX170" s="60" t="n">
        <x:f>ROUND(AVERAGE(Z170,AH170,AP170),1)</x:f>
        <x:v>82</x:v>
      </x:c>
      <x:c r="AY170" s="60" t="n">
        <x:f>ROUND(AVERAGE(AA170,AI170,AQ170),1)</x:f>
        <x:v>81</x:v>
      </x:c>
      <x:c r="AZ170" s="60" t="n">
        <x:f>ROUND(AVERAGE(AB170,AJ170,AR170),1)</x:f>
        <x:v>13</x:v>
      </x:c>
      <x:c r="BA170" s="59" t="n">
        <x:v>5</x:v>
      </x:c>
      <x:c r="BB170" s="60" t="n">
        <x:f>ROUND(0.30*AT170+0.20*AU170+0.25*AV170+0.15*AW170+0.10*AY170,2)</x:f>
        <x:v>81.17</x:v>
      </x:c>
      <x:c r="BC170" s="60" t="n">
        <x:f>ROUND(0.30*AX170+0.20*AV170+0.20*AU170+0.15*AY170+0.15*(100-AZ170),2)</x:f>
        <x:v>82.22</x:v>
      </x:c>
      <x:c r="BD170" s="60" t="n">
        <x:f>ROUND(AVERAGE(BB170,BC170),2)</x:f>
        <x:v>81.69</x:v>
      </x:c>
      <x:c r="BE170" s="60" t="n">
        <x:f>ROUND(BD170-U170,2)</x:f>
        <x:v>0.02</x:v>
      </x:c>
      <x:c r="BF170" s="60" t="n">
        <x:f>ROUND(STDEV.P(AC170,AK170,AS170),3)</x:f>
        <x:v>0.021</x:v>
      </x:c>
      <x:c r="BG170" s="59" t="str"/>
      <x:c r="BH170" s="59" t="str">
        <x:v>30%评分池轻量复核</x:v>
      </x:c>
      <x:c r="BI170" s="40" t="str">
        <x:v>三轮复核后与原表基本一致</x:v>
      </x:c>
    </x:row>
    <x:row r="171" ht="30" customHeight="1">
      <x:c r="A171" s="59" t="n">
        <x:v>170</x:v>
      </x:c>
      <x:c r="B171" s="59" t="n">
        <x:v>169</x:v>
      </x:c>
      <x:c r="C171" s="59" t="str">
        <x:v>2026-06</x:v>
      </x:c>
      <x:c r="D171" s="59" t="n">
        <x:v>78</x:v>
      </x:c>
      <x:c r="E171" s="59" t="str">
        <x:v>2606.04785</x:v>
      </x:c>
      <x:c r="F171" s="40" t="str">
        <x:v>Entropic solutions to the 1D pressureless Euler system with nonlocal interactions</x:v>
      </x:c>
      <x:c r="G171" s="40" t="str">
        <x:v>Trevor M. Leslie; Changhui Tan</x:v>
      </x:c>
      <x:c r="H171" s="40" t="str">
        <x:v>fluid/kinetic PDE</x:v>
      </x:c>
      <x:c r="I171" s="59" t="n">
        <x:v>21</x:v>
      </x:c>
      <x:c r="J171" s="40" t="str">
        <x:v>https://arxiv.org/abs/2606.04785</x:v>
      </x:c>
      <x:c r="K171" s="60" t="n">
        <x:v>82</x:v>
      </x:c>
      <x:c r="L171" s="60" t="n">
        <x:v>81</x:v>
      </x:c>
      <x:c r="M171" s="60" t="n">
        <x:v>81</x:v>
      </x:c>
      <x:c r="N171" s="60" t="n">
        <x:v>80</x:v>
      </x:c>
      <x:c r="O171" s="60" t="n">
        <x:v>82</x:v>
      </x:c>
      <x:c r="P171" s="60" t="n">
        <x:v>81</x:v>
      </x:c>
      <x:c r="Q171" s="60" t="n">
        <x:v>13</x:v>
      </x:c>
      <x:c r="R171" s="59" t="n">
        <x:v>5</x:v>
      </x:c>
      <x:c r="S171" s="60" t="n">
        <x:v>81.14999999999999</x:v>
      </x:c>
      <x:c r="T171" s="60" t="n">
        <x:v>82.2</x:v>
      </x:c>
      <x:c r="U171" s="60" t="n">
        <x:v>81.675</x:v>
      </x:c>
      <x:c r="V171" s="60" t="n">
        <x:v>82.1</x:v>
      </x:c>
      <x:c r="W171" s="60" t="n">
        <x:v>81</x:v>
      </x:c>
      <x:c r="X171" s="60" t="n">
        <x:v>81.1</x:v>
      </x:c>
      <x:c r="Y171" s="60" t="n">
        <x:v>80</x:v>
      </x:c>
      <x:c r="Z171" s="60" t="n">
        <x:v>82.1</x:v>
      </x:c>
      <x:c r="AA171" s="60" t="n">
        <x:v>81</x:v>
      </x:c>
      <x:c r="AB171" s="60" t="n">
        <x:v>13</x:v>
      </x:c>
      <x:c r="AC171" s="60" t="n">
        <x:f>ROUND(((0.30*V171+0.20*W171+0.25*X171+0.15*Y171+0.10*AA171)+(0.30*Z171+0.20*X171+0.20*W171+0.15*AA171+0.15*(100-AB171)))/2,2)</x:f>
        <x:v>81.73</x:v>
      </x:c>
      <x:c r="AD171" s="60" t="n">
        <x:v>82</x:v>
      </x:c>
      <x:c r="AE171" s="60" t="n">
        <x:v>81</x:v>
      </x:c>
      <x:c r="AF171" s="60" t="n">
        <x:v>81</x:v>
      </x:c>
      <x:c r="AG171" s="60" t="n">
        <x:v>80</x:v>
      </x:c>
      <x:c r="AH171" s="60" t="n">
        <x:v>82</x:v>
      </x:c>
      <x:c r="AI171" s="60" t="n">
        <x:v>81</x:v>
      </x:c>
      <x:c r="AJ171" s="60" t="n">
        <x:v>13.4</x:v>
      </x:c>
      <x:c r="AK171" s="60" t="n">
        <x:f>ROUND(((0.30*AD171+0.20*AE171+0.25*AF171+0.15*AG171+0.10*AI171)+(0.30*AH171+0.20*AF171+0.20*AE171+0.15*AI171+0.15*(100-AJ171)))/2,2)</x:f>
        <x:v>81.65</x:v>
      </x:c>
      <x:c r="AL171" s="60" t="n">
        <x:v>82</x:v>
      </x:c>
      <x:c r="AM171" s="60" t="n">
        <x:v>81</x:v>
      </x:c>
      <x:c r="AN171" s="60" t="n">
        <x:v>81.1</x:v>
      </x:c>
      <x:c r="AO171" s="60" t="n">
        <x:v>80</x:v>
      </x:c>
      <x:c r="AP171" s="60" t="n">
        <x:v>82</x:v>
      </x:c>
      <x:c r="AQ171" s="60" t="n">
        <x:v>81</x:v>
      </x:c>
      <x:c r="AR171" s="60" t="n">
        <x:v>13</x:v>
      </x:c>
      <x:c r="AS171" s="60" t="n">
        <x:f>ROUND(((0.30*AL171+0.20*AM171+0.25*AN171+0.15*AO171+0.10*AQ171)+(0.30*AP171+0.20*AN171+0.20*AM171+0.15*AQ171+0.15*(100-AR171)))/2,2)</x:f>
        <x:v>81.7</x:v>
      </x:c>
      <x:c r="AT171" s="60" t="n">
        <x:f>ROUND(AVERAGE(V171,AD171,AL171),1)</x:f>
        <x:v>82</x:v>
      </x:c>
      <x:c r="AU171" s="60" t="n">
        <x:f>ROUND(AVERAGE(W171,AE171,AM171),1)</x:f>
        <x:v>81</x:v>
      </x:c>
      <x:c r="AV171" s="60" t="n">
        <x:f>ROUND(AVERAGE(X171,AF171,AN171),1)</x:f>
        <x:v>81.1</x:v>
      </x:c>
      <x:c r="AW171" s="60" t="n">
        <x:f>ROUND(AVERAGE(Y171,AG171,AO171),1)</x:f>
        <x:v>80</x:v>
      </x:c>
      <x:c r="AX171" s="60" t="n">
        <x:f>ROUND(AVERAGE(Z171,AH171,AP171),1)</x:f>
        <x:v>82</x:v>
      </x:c>
      <x:c r="AY171" s="60" t="n">
        <x:f>ROUND(AVERAGE(AA171,AI171,AQ171),1)</x:f>
        <x:v>81</x:v>
      </x:c>
      <x:c r="AZ171" s="60" t="n">
        <x:f>ROUND(AVERAGE(AB171,AJ171,AR171),1)</x:f>
        <x:v>13.1</x:v>
      </x:c>
      <x:c r="BA171" s="59" t="n">
        <x:v>5</x:v>
      </x:c>
      <x:c r="BB171" s="60" t="n">
        <x:f>ROUND(0.30*AT171+0.20*AU171+0.25*AV171+0.15*AW171+0.10*AY171,2)</x:f>
        <x:v>81.17</x:v>
      </x:c>
      <x:c r="BC171" s="60" t="n">
        <x:f>ROUND(0.30*AX171+0.20*AV171+0.20*AU171+0.15*AY171+0.15*(100-AZ171),2)</x:f>
        <x:v>82.21</x:v>
      </x:c>
      <x:c r="BD171" s="60" t="n">
        <x:f>ROUND(AVERAGE(BB171,BC171),2)</x:f>
        <x:v>81.69</x:v>
      </x:c>
      <x:c r="BE171" s="60" t="n">
        <x:f>ROUND(BD171-U171,2)</x:f>
        <x:v>0.02</x:v>
      </x:c>
      <x:c r="BF171" s="60" t="n">
        <x:f>ROUND(STDEV.P(AC171,AK171,AS171),3)</x:f>
        <x:v>0.033</x:v>
      </x:c>
      <x:c r="BG171" s="59" t="str"/>
      <x:c r="BH171" s="59" t="str">
        <x:v>30%评分池轻量复核</x:v>
      </x:c>
      <x:c r="BI171" s="40" t="str">
        <x:v>三轮复核后与原表基本一致</x:v>
      </x:c>
    </x:row>
    <x:row r="172" ht="30" customHeight="1">
      <x:c r="A172" s="59" t="n">
        <x:v>171</x:v>
      </x:c>
      <x:c r="B172" s="59" t="n">
        <x:v>171</x:v>
      </x:c>
      <x:c r="C172" s="59" t="str">
        <x:v>2026-06</x:v>
      </x:c>
      <x:c r="D172" s="59" t="n">
        <x:v>80</x:v>
      </x:c>
      <x:c r="E172" s="59" t="str">
        <x:v>2606.15657</x:v>
      </x:c>
      <x:c r="F172" s="40" t="str">
        <x:v>Semi-wave and sharp estimates of propagation for monostable free boundary problems in time-periodic environment</x:v>
      </x:c>
      <x:c r="G172" s="40" t="str">
        <x:v>Yihong Du; Zhuo Ma</x:v>
      </x:c>
      <x:c r="H172" s="40" t="str">
        <x:v>geometric analysis</x:v>
      </x:c>
      <x:c r="I172" s="59"/>
      <x:c r="J172" s="40" t="str">
        <x:v>https://arxiv.org/abs/2606.15657</x:v>
      </x:c>
      <x:c r="K172" s="60" t="n">
        <x:v>82</x:v>
      </x:c>
      <x:c r="L172" s="60" t="n">
        <x:v>81</x:v>
      </x:c>
      <x:c r="M172" s="60" t="n">
        <x:v>81</x:v>
      </x:c>
      <x:c r="N172" s="60" t="n">
        <x:v>81</x:v>
      </x:c>
      <x:c r="O172" s="60" t="n">
        <x:v>81</x:v>
      </x:c>
      <x:c r="P172" s="60" t="n">
        <x:v>81</x:v>
      </x:c>
      <x:c r="Q172" s="60" t="n">
        <x:v>13</x:v>
      </x:c>
      <x:c r="R172" s="59" t="n">
        <x:v>5</x:v>
      </x:c>
      <x:c r="S172" s="60" t="n">
        <x:v>81.3</x:v>
      </x:c>
      <x:c r="T172" s="60" t="n">
        <x:v>81.9</x:v>
      </x:c>
      <x:c r="U172" s="60" t="n">
        <x:v>81.6</x:v>
      </x:c>
      <x:c r="V172" s="60" t="n">
        <x:v>82</x:v>
      </x:c>
      <x:c r="W172" s="60" t="n">
        <x:v>81.1</x:v>
      </x:c>
      <x:c r="X172" s="60" t="n">
        <x:v>81</x:v>
      </x:c>
      <x:c r="Y172" s="60" t="n">
        <x:v>81.1</x:v>
      </x:c>
      <x:c r="Z172" s="60" t="n">
        <x:v>81.1</x:v>
      </x:c>
      <x:c r="AA172" s="60" t="n">
        <x:v>81</x:v>
      </x:c>
      <x:c r="AB172" s="60" t="n">
        <x:v>13</x:v>
      </x:c>
      <x:c r="AC172" s="60" t="n">
        <x:f>ROUND(((0.30*V172+0.20*W172+0.25*X172+0.15*Y172+0.10*AA172)+(0.30*Z172+0.20*X172+0.20*W172+0.15*AA172+0.15*(100-AB172)))/2,2)</x:f>
        <x:v>81.64</x:v>
      </x:c>
      <x:c r="AD172" s="60" t="n">
        <x:v>82</x:v>
      </x:c>
      <x:c r="AE172" s="60" t="n">
        <x:v>81.1</x:v>
      </x:c>
      <x:c r="AF172" s="60" t="n">
        <x:v>81</x:v>
      </x:c>
      <x:c r="AG172" s="60" t="n">
        <x:v>81.1</x:v>
      </x:c>
      <x:c r="AH172" s="60" t="n">
        <x:v>81</x:v>
      </x:c>
      <x:c r="AI172" s="60" t="n">
        <x:v>81</x:v>
      </x:c>
      <x:c r="AJ172" s="60" t="n">
        <x:v>13</x:v>
      </x:c>
      <x:c r="AK172" s="60" t="n">
        <x:f>ROUND(((0.30*AD172+0.20*AE172+0.25*AF172+0.15*AG172+0.10*AI172)+(0.30*AH172+0.20*AF172+0.20*AE172+0.15*AI172+0.15*(100-AJ172)))/2,2)</x:f>
        <x:v>81.63</x:v>
      </x:c>
      <x:c r="AL172" s="60" t="n">
        <x:v>82</x:v>
      </x:c>
      <x:c r="AM172" s="60" t="n">
        <x:v>81.1</x:v>
      </x:c>
      <x:c r="AN172" s="60" t="n">
        <x:v>81</x:v>
      </x:c>
      <x:c r="AO172" s="60" t="n">
        <x:v>81.1</x:v>
      </x:c>
      <x:c r="AP172" s="60" t="n">
        <x:v>81.1</x:v>
      </x:c>
      <x:c r="AQ172" s="60" t="n">
        <x:v>81</x:v>
      </x:c>
      <x:c r="AR172" s="60" t="n">
        <x:v>13</x:v>
      </x:c>
      <x:c r="AS172" s="60" t="n">
        <x:f>ROUND(((0.30*AL172+0.20*AM172+0.25*AN172+0.15*AO172+0.10*AQ172)+(0.30*AP172+0.20*AN172+0.20*AM172+0.15*AQ172+0.15*(100-AR172)))/2,2)</x:f>
        <x:v>81.64</x:v>
      </x:c>
      <x:c r="AT172" s="60" t="n">
        <x:f>ROUND(AVERAGE(V172,AD172,AL172),1)</x:f>
        <x:v>82</x:v>
      </x:c>
      <x:c r="AU172" s="60" t="n">
        <x:f>ROUND(AVERAGE(W172,AE172,AM172),1)</x:f>
        <x:v>81.1</x:v>
      </x:c>
      <x:c r="AV172" s="60" t="n">
        <x:f>ROUND(AVERAGE(X172,AF172,AN172),1)</x:f>
        <x:v>81</x:v>
      </x:c>
      <x:c r="AW172" s="60" t="n">
        <x:f>ROUND(AVERAGE(Y172,AG172,AO172),1)</x:f>
        <x:v>81.1</x:v>
      </x:c>
      <x:c r="AX172" s="60" t="n">
        <x:f>ROUND(AVERAGE(Z172,AH172,AP172),1)</x:f>
        <x:v>81.1</x:v>
      </x:c>
      <x:c r="AY172" s="60" t="n">
        <x:f>ROUND(AVERAGE(AA172,AI172,AQ172),1)</x:f>
        <x:v>81</x:v>
      </x:c>
      <x:c r="AZ172" s="60" t="n">
        <x:f>ROUND(AVERAGE(AB172,AJ172,AR172),1)</x:f>
        <x:v>13</x:v>
      </x:c>
      <x:c r="BA172" s="59" t="n">
        <x:v>5</x:v>
      </x:c>
      <x:c r="BB172" s="60" t="n">
        <x:f>ROUND(0.30*AT172+0.20*AU172+0.25*AV172+0.15*AW172+0.10*AY172,2)</x:f>
        <x:v>81.33</x:v>
      </x:c>
      <x:c r="BC172" s="60" t="n">
        <x:f>ROUND(0.30*AX172+0.20*AV172+0.20*AU172+0.15*AY172+0.15*(100-AZ172),2)</x:f>
        <x:v>81.95</x:v>
      </x:c>
      <x:c r="BD172" s="60" t="n">
        <x:f>ROUND(AVERAGE(BB172,BC172),2)</x:f>
        <x:v>81.64</x:v>
      </x:c>
      <x:c r="BE172" s="60" t="n">
        <x:f>ROUND(BD172-U172,2)</x:f>
        <x:v>0.04</x:v>
      </x:c>
      <x:c r="BF172" s="60" t="n">
        <x:f>ROUND(STDEV.P(AC172,AK172,AS172),3)</x:f>
        <x:v>0.005</x:v>
      </x:c>
      <x:c r="BG172" s="59" t="str"/>
      <x:c r="BH172" s="59" t="str">
        <x:v>30%评分池轻量复核</x:v>
      </x:c>
      <x:c r="BI172" s="40" t="str">
        <x:v>三轮复核后与原表基本一致</x:v>
      </x:c>
    </x:row>
    <x:row r="173" ht="30" customHeight="1">
      <x:c r="A173" s="59" t="n">
        <x:v>172</x:v>
      </x:c>
      <x:c r="B173" s="59" t="n">
        <x:v>172</x:v>
      </x:c>
      <x:c r="C173" s="59" t="str">
        <x:v>2026-06</x:v>
      </x:c>
      <x:c r="D173" s="59" t="n">
        <x:v>81</x:v>
      </x:c>
      <x:c r="E173" s="59" t="str">
        <x:v>2606.04951</x:v>
      </x:c>
      <x:c r="F173" s="40" t="str">
        <x:v>Pleijel's theorem for a class of degenerate elliptic operators</x:v>
      </x:c>
      <x:c r="G173" s="40" t="str">
        <x:v>Rupert L. Frank; Bernard Helffer</x:v>
      </x:c>
      <x:c r="H173" s="40" t="str">
        <x:v>analysis/PDE</x:v>
      </x:c>
      <x:c r="I173" s="59" t="n">
        <x:v>34</x:v>
      </x:c>
      <x:c r="J173" s="40" t="str">
        <x:v>https://arxiv.org/abs/2606.04951</x:v>
      </x:c>
      <x:c r="K173" s="60" t="n">
        <x:v>81</x:v>
      </x:c>
      <x:c r="L173" s="60" t="n">
        <x:v>81</x:v>
      </x:c>
      <x:c r="M173" s="60" t="n">
        <x:v>81</x:v>
      </x:c>
      <x:c r="N173" s="60" t="n">
        <x:v>80</x:v>
      </x:c>
      <x:c r="O173" s="60" t="n">
        <x:v>81</x:v>
      </x:c>
      <x:c r="P173" s="60" t="n">
        <x:v>81</x:v>
      </x:c>
      <x:c r="Q173" s="60" t="n">
        <x:v>13</x:v>
      </x:c>
      <x:c r="R173" s="59" t="n">
        <x:v>5</x:v>
      </x:c>
      <x:c r="S173" s="60" t="n">
        <x:v>80.85</x:v>
      </x:c>
      <x:c r="T173" s="60" t="n">
        <x:v>81.9</x:v>
      </x:c>
      <x:c r="U173" s="60" t="n">
        <x:v>81.375</x:v>
      </x:c>
      <x:c r="V173" s="60" t="n">
        <x:v>81</x:v>
      </x:c>
      <x:c r="W173" s="60" t="n">
        <x:v>81</x:v>
      </x:c>
      <x:c r="X173" s="60" t="n">
        <x:v>81</x:v>
      </x:c>
      <x:c r="Y173" s="60" t="n">
        <x:v>79.9</x:v>
      </x:c>
      <x:c r="Z173" s="60" t="n">
        <x:v>81</x:v>
      </x:c>
      <x:c r="AA173" s="60" t="n">
        <x:v>81</x:v>
      </x:c>
      <x:c r="AB173" s="60" t="n">
        <x:v>13</x:v>
      </x:c>
      <x:c r="AC173" s="60" t="n">
        <x:f>ROUND(((0.30*V173+0.20*W173+0.25*X173+0.15*Y173+0.10*AA173)+(0.30*Z173+0.20*X173+0.20*W173+0.15*AA173+0.15*(100-AB173)))/2,2)</x:f>
        <x:v>81.37</x:v>
      </x:c>
      <x:c r="AD173" s="60" t="n">
        <x:v>81</x:v>
      </x:c>
      <x:c r="AE173" s="60" t="n">
        <x:v>81</x:v>
      </x:c>
      <x:c r="AF173" s="60" t="n">
        <x:v>81</x:v>
      </x:c>
      <x:c r="AG173" s="60" t="n">
        <x:v>79.9</x:v>
      </x:c>
      <x:c r="AH173" s="60" t="n">
        <x:v>81</x:v>
      </x:c>
      <x:c r="AI173" s="60" t="n">
        <x:v>81</x:v>
      </x:c>
      <x:c r="AJ173" s="60" t="n">
        <x:v>13</x:v>
      </x:c>
      <x:c r="AK173" s="60" t="n">
        <x:f>ROUND(((0.30*AD173+0.20*AE173+0.25*AF173+0.15*AG173+0.10*AI173)+(0.30*AH173+0.20*AF173+0.20*AE173+0.15*AI173+0.15*(100-AJ173)))/2,2)</x:f>
        <x:v>81.37</x:v>
      </x:c>
      <x:c r="AL173" s="60" t="n">
        <x:v>81</x:v>
      </x:c>
      <x:c r="AM173" s="60" t="n">
        <x:v>81</x:v>
      </x:c>
      <x:c r="AN173" s="60" t="n">
        <x:v>81</x:v>
      </x:c>
      <x:c r="AO173" s="60" t="n">
        <x:v>79.9</x:v>
      </x:c>
      <x:c r="AP173" s="60" t="n">
        <x:v>81</x:v>
      </x:c>
      <x:c r="AQ173" s="60" t="n">
        <x:v>81</x:v>
      </x:c>
      <x:c r="AR173" s="60" t="n">
        <x:v>13</x:v>
      </x:c>
      <x:c r="AS173" s="60" t="n">
        <x:f>ROUND(((0.30*AL173+0.20*AM173+0.25*AN173+0.15*AO173+0.10*AQ173)+(0.30*AP173+0.20*AN173+0.20*AM173+0.15*AQ173+0.15*(100-AR173)))/2,2)</x:f>
        <x:v>81.37</x:v>
      </x:c>
      <x:c r="AT173" s="60" t="n">
        <x:f>ROUND(AVERAGE(V173,AD173,AL173),1)</x:f>
        <x:v>81</x:v>
      </x:c>
      <x:c r="AU173" s="60" t="n">
        <x:f>ROUND(AVERAGE(W173,AE173,AM173),1)</x:f>
        <x:v>81</x:v>
      </x:c>
      <x:c r="AV173" s="60" t="n">
        <x:f>ROUND(AVERAGE(X173,AF173,AN173),1)</x:f>
        <x:v>81</x:v>
      </x:c>
      <x:c r="AW173" s="60" t="n">
        <x:f>ROUND(AVERAGE(Y173,AG173,AO173),1)</x:f>
        <x:v>79.9</x:v>
      </x:c>
      <x:c r="AX173" s="60" t="n">
        <x:f>ROUND(AVERAGE(Z173,AH173,AP173),1)</x:f>
        <x:v>81</x:v>
      </x:c>
      <x:c r="AY173" s="60" t="n">
        <x:f>ROUND(AVERAGE(AA173,AI173,AQ173),1)</x:f>
        <x:v>81</x:v>
      </x:c>
      <x:c r="AZ173" s="60" t="n">
        <x:f>ROUND(AVERAGE(AB173,AJ173,AR173),1)</x:f>
        <x:v>13</x:v>
      </x:c>
      <x:c r="BA173" s="59" t="n">
        <x:v>5</x:v>
      </x:c>
      <x:c r="BB173" s="60" t="n">
        <x:f>ROUND(0.30*AT173+0.20*AU173+0.25*AV173+0.15*AW173+0.10*AY173,2)</x:f>
        <x:v>80.83</x:v>
      </x:c>
      <x:c r="BC173" s="60" t="n">
        <x:f>ROUND(0.30*AX173+0.20*AV173+0.20*AU173+0.15*AY173+0.15*(100-AZ173),2)</x:f>
        <x:v>81.9</x:v>
      </x:c>
      <x:c r="BD173" s="60" t="n">
        <x:f>ROUND(AVERAGE(BB173,BC173),2)</x:f>
        <x:v>81.37</x:v>
      </x:c>
      <x:c r="BE173" s="60" t="n">
        <x:f>ROUND(BD173-U173,2)</x:f>
        <x:v>0</x:v>
      </x:c>
      <x:c r="BF173" s="60" t="n">
        <x:f>ROUND(STDEV.P(AC173,AK173,AS173),3)</x:f>
        <x:v>0</x:v>
      </x:c>
      <x:c r="BG173" s="59" t="str"/>
      <x:c r="BH173" s="59" t="str">
        <x:v>30%评分池轻量复核</x:v>
      </x:c>
      <x:c r="BI173" s="40" t="str">
        <x:v>范围偏专门，广度轻微回调</x:v>
      </x:c>
    </x:row>
    <x:row r="174" ht="30" customHeight="1">
      <x:c r="A174" s="59" t="n">
        <x:v>173</x:v>
      </x:c>
      <x:c r="B174" s="59" t="n">
        <x:v>175</x:v>
      </x:c>
      <x:c r="C174" s="59" t="str">
        <x:v>2026-06</x:v>
      </x:c>
      <x:c r="D174" s="59" t="n">
        <x:v>82</x:v>
      </x:c>
      <x:c r="E174" s="59" t="str">
        <x:v>2606.00623</x:v>
      </x:c>
      <x:c r="F174" s="40" t="str">
        <x:v>Large time intrinsic growth and asymptotic behavior for the classical Timoshenko system</x:v>
      </x:c>
      <x:c r="G174" s="40" t="str">
        <x:v>Wenhui Chen</x:v>
      </x:c>
      <x:c r="H174" s="40" t="str">
        <x:v>homogenization/asymptotics</x:v>
      </x:c>
      <x:c r="I174" s="59"/>
      <x:c r="J174" s="40" t="str">
        <x:v>https://arxiv.org/abs/2606.00623</x:v>
      </x:c>
      <x:c r="K174" s="60" t="n">
        <x:v>81</x:v>
      </x:c>
      <x:c r="L174" s="60" t="n">
        <x:v>80</x:v>
      </x:c>
      <x:c r="M174" s="60" t="n">
        <x:v>81</x:v>
      </x:c>
      <x:c r="N174" s="60" t="n">
        <x:v>80</x:v>
      </x:c>
      <x:c r="O174" s="60" t="n">
        <x:v>81</x:v>
      </x:c>
      <x:c r="P174" s="60" t="n">
        <x:v>81</x:v>
      </x:c>
      <x:c r="Q174" s="60" t="n">
        <x:v>13</x:v>
      </x:c>
      <x:c r="R174" s="59" t="n">
        <x:v>5</x:v>
      </x:c>
      <x:c r="S174" s="60" t="n">
        <x:v>80.64999999999999</x:v>
      </x:c>
      <x:c r="T174" s="60" t="n">
        <x:v>81.7</x:v>
      </x:c>
      <x:c r="U174" s="60" t="n">
        <x:v>81.175</x:v>
      </x:c>
      <x:c r="V174" s="60" t="n">
        <x:v>81</x:v>
      </x:c>
      <x:c r="W174" s="60" t="n">
        <x:v>80.1</x:v>
      </x:c>
      <x:c r="X174" s="60" t="n">
        <x:v>81</x:v>
      </x:c>
      <x:c r="Y174" s="60" t="n">
        <x:v>80.1</x:v>
      </x:c>
      <x:c r="Z174" s="60" t="n">
        <x:v>81.1</x:v>
      </x:c>
      <x:c r="AA174" s="60" t="n">
        <x:v>81</x:v>
      </x:c>
      <x:c r="AB174" s="60" t="n">
        <x:v>13</x:v>
      </x:c>
      <x:c r="AC174" s="60" t="n">
        <x:f>ROUND(((0.30*V174+0.20*W174+0.25*X174+0.15*Y174+0.10*AA174)+(0.30*Z174+0.20*X174+0.20*W174+0.15*AA174+0.15*(100-AB174)))/2,2)</x:f>
        <x:v>81.22</x:v>
      </x:c>
      <x:c r="AD174" s="60" t="n">
        <x:v>81</x:v>
      </x:c>
      <x:c r="AE174" s="60" t="n">
        <x:v>80.1</x:v>
      </x:c>
      <x:c r="AF174" s="60" t="n">
        <x:v>81</x:v>
      </x:c>
      <x:c r="AG174" s="60" t="n">
        <x:v>80.1</x:v>
      </x:c>
      <x:c r="AH174" s="60" t="n">
        <x:v>81</x:v>
      </x:c>
      <x:c r="AI174" s="60" t="n">
        <x:v>81</x:v>
      </x:c>
      <x:c r="AJ174" s="60" t="n">
        <x:v>13</x:v>
      </x:c>
      <x:c r="AK174" s="60" t="n">
        <x:f>ROUND(((0.30*AD174+0.20*AE174+0.25*AF174+0.15*AG174+0.10*AI174)+(0.30*AH174+0.20*AF174+0.20*AE174+0.15*AI174+0.15*(100-AJ174)))/2,2)</x:f>
        <x:v>81.2</x:v>
      </x:c>
      <x:c r="AL174" s="60" t="n">
        <x:v>81</x:v>
      </x:c>
      <x:c r="AM174" s="60" t="n">
        <x:v>80.1</x:v>
      </x:c>
      <x:c r="AN174" s="60" t="n">
        <x:v>81</x:v>
      </x:c>
      <x:c r="AO174" s="60" t="n">
        <x:v>80.1</x:v>
      </x:c>
      <x:c r="AP174" s="60" t="n">
        <x:v>81.1</x:v>
      </x:c>
      <x:c r="AQ174" s="60" t="n">
        <x:v>81</x:v>
      </x:c>
      <x:c r="AR174" s="60" t="n">
        <x:v>13</x:v>
      </x:c>
      <x:c r="AS174" s="60" t="n">
        <x:f>ROUND(((0.30*AL174+0.20*AM174+0.25*AN174+0.15*AO174+0.10*AQ174)+(0.30*AP174+0.20*AN174+0.20*AM174+0.15*AQ174+0.15*(100-AR174)))/2,2)</x:f>
        <x:v>81.22</x:v>
      </x:c>
      <x:c r="AT174" s="60" t="n">
        <x:f>ROUND(AVERAGE(V174,AD174,AL174),1)</x:f>
        <x:v>81</x:v>
      </x:c>
      <x:c r="AU174" s="60" t="n">
        <x:f>ROUND(AVERAGE(W174,AE174,AM174),1)</x:f>
        <x:v>80.1</x:v>
      </x:c>
      <x:c r="AV174" s="60" t="n">
        <x:f>ROUND(AVERAGE(X174,AF174,AN174),1)</x:f>
        <x:v>81</x:v>
      </x:c>
      <x:c r="AW174" s="60" t="n">
        <x:f>ROUND(AVERAGE(Y174,AG174,AO174),1)</x:f>
        <x:v>80.1</x:v>
      </x:c>
      <x:c r="AX174" s="60" t="n">
        <x:f>ROUND(AVERAGE(Z174,AH174,AP174),1)</x:f>
        <x:v>81.1</x:v>
      </x:c>
      <x:c r="AY174" s="60" t="n">
        <x:f>ROUND(AVERAGE(AA174,AI174,AQ174),1)</x:f>
        <x:v>81</x:v>
      </x:c>
      <x:c r="AZ174" s="60" t="n">
        <x:f>ROUND(AVERAGE(AB174,AJ174,AR174),1)</x:f>
        <x:v>13</x:v>
      </x:c>
      <x:c r="BA174" s="59" t="n">
        <x:v>5</x:v>
      </x:c>
      <x:c r="BB174" s="60" t="n">
        <x:f>ROUND(0.30*AT174+0.20*AU174+0.25*AV174+0.15*AW174+0.10*AY174,2)</x:f>
        <x:v>80.68</x:v>
      </x:c>
      <x:c r="BC174" s="60" t="n">
        <x:f>ROUND(0.30*AX174+0.20*AV174+0.20*AU174+0.15*AY174+0.15*(100-AZ174),2)</x:f>
        <x:v>81.75</x:v>
      </x:c>
      <x:c r="BD174" s="60" t="n">
        <x:f>ROUND(AVERAGE(BB174,BC174),2)</x:f>
        <x:v>81.22</x:v>
      </x:c>
      <x:c r="BE174" s="60" t="n">
        <x:f>ROUND(BD174-U174,2)</x:f>
        <x:v>0.05</x:v>
      </x:c>
      <x:c r="BF174" s="60" t="n">
        <x:f>ROUND(STDEV.P(AC174,AK174,AS174),3)</x:f>
        <x:v>0.009</x:v>
      </x:c>
      <x:c r="BG174" s="59" t="str"/>
      <x:c r="BH174" s="59" t="str">
        <x:v>30%评分池轻量复核</x:v>
      </x:c>
      <x:c r="BI174" s="40" t="str">
        <x:v>三轮复核后与原表基本一致</x:v>
      </x:c>
    </x:row>
    <x:row r="175" ht="30" customHeight="1">
      <x:c r="A175" s="59" t="n">
        <x:v>174</x:v>
      </x:c>
      <x:c r="B175" s="59" t="n">
        <x:v>173</x:v>
      </x:c>
      <x:c r="C175" s="59" t="str">
        <x:v>2026-06</x:v>
      </x:c>
      <x:c r="D175" s="59" t="n">
        <x:v>82</x:v>
      </x:c>
      <x:c r="E175" s="59" t="str">
        <x:v>2606.06463</x:v>
      </x:c>
      <x:c r="F175" s="40" t="str">
        <x:v>Large data scattering for the defocusing k-dispersion generalized Benjamin-Ono equation in the energy space</x:v>
      </x:c>
      <x:c r="G175" s="40" t="str">
        <x:v>Luccas Campos; Felipe Linares; Thyago S. R. Santos</x:v>
      </x:c>
      <x:c r="H175" s="40" t="str">
        <x:v>inverse/scattering</x:v>
      </x:c>
      <x:c r="I175" s="59" t="n">
        <x:v>33</x:v>
      </x:c>
      <x:c r="J175" s="40" t="str">
        <x:v>https://arxiv.org/abs/2606.06463</x:v>
      </x:c>
      <x:c r="K175" s="60" t="n">
        <x:v>81</x:v>
      </x:c>
      <x:c r="L175" s="60" t="n">
        <x:v>80</x:v>
      </x:c>
      <x:c r="M175" s="60" t="n">
        <x:v>81</x:v>
      </x:c>
      <x:c r="N175" s="60" t="n">
        <x:v>80</x:v>
      </x:c>
      <x:c r="O175" s="60" t="n">
        <x:v>81</x:v>
      </x:c>
      <x:c r="P175" s="60" t="n">
        <x:v>81</x:v>
      </x:c>
      <x:c r="Q175" s="60" t="n">
        <x:v>13</x:v>
      </x:c>
      <x:c r="R175" s="59" t="n">
        <x:v>5</x:v>
      </x:c>
      <x:c r="S175" s="60" t="n">
        <x:v>80.64999999999999</x:v>
      </x:c>
      <x:c r="T175" s="60" t="n">
        <x:v>81.7</x:v>
      </x:c>
      <x:c r="U175" s="60" t="n">
        <x:v>81.175</x:v>
      </x:c>
      <x:c r="V175" s="60" t="n">
        <x:v>81</x:v>
      </x:c>
      <x:c r="W175" s="60" t="n">
        <x:v>80</x:v>
      </x:c>
      <x:c r="X175" s="60" t="n">
        <x:v>81</x:v>
      </x:c>
      <x:c r="Y175" s="60" t="n">
        <x:v>80</x:v>
      </x:c>
      <x:c r="Z175" s="60" t="n">
        <x:v>81</x:v>
      </x:c>
      <x:c r="AA175" s="60" t="n">
        <x:v>81</x:v>
      </x:c>
      <x:c r="AB175" s="60" t="n">
        <x:v>13</x:v>
      </x:c>
      <x:c r="AC175" s="60" t="n">
        <x:f>ROUND(((0.30*V175+0.20*W175+0.25*X175+0.15*Y175+0.10*AA175)+(0.30*Z175+0.20*X175+0.20*W175+0.15*AA175+0.15*(100-AB175)))/2,2)</x:f>
        <x:v>81.18</x:v>
      </x:c>
      <x:c r="AD175" s="60" t="n">
        <x:v>81</x:v>
      </x:c>
      <x:c r="AE175" s="60" t="n">
        <x:v>80</x:v>
      </x:c>
      <x:c r="AF175" s="60" t="n">
        <x:v>81</x:v>
      </x:c>
      <x:c r="AG175" s="60" t="n">
        <x:v>80</x:v>
      </x:c>
      <x:c r="AH175" s="60" t="n">
        <x:v>81</x:v>
      </x:c>
      <x:c r="AI175" s="60" t="n">
        <x:v>81</x:v>
      </x:c>
      <x:c r="AJ175" s="60" t="n">
        <x:v>13</x:v>
      </x:c>
      <x:c r="AK175" s="60" t="n">
        <x:f>ROUND(((0.30*AD175+0.20*AE175+0.25*AF175+0.15*AG175+0.10*AI175)+(0.30*AH175+0.20*AF175+0.20*AE175+0.15*AI175+0.15*(100-AJ175)))/2,2)</x:f>
        <x:v>81.18</x:v>
      </x:c>
      <x:c r="AL175" s="60" t="n">
        <x:v>81</x:v>
      </x:c>
      <x:c r="AM175" s="60" t="n">
        <x:v>80</x:v>
      </x:c>
      <x:c r="AN175" s="60" t="n">
        <x:v>81</x:v>
      </x:c>
      <x:c r="AO175" s="60" t="n">
        <x:v>80</x:v>
      </x:c>
      <x:c r="AP175" s="60" t="n">
        <x:v>81</x:v>
      </x:c>
      <x:c r="AQ175" s="60" t="n">
        <x:v>81</x:v>
      </x:c>
      <x:c r="AR175" s="60" t="n">
        <x:v>13</x:v>
      </x:c>
      <x:c r="AS175" s="60" t="n">
        <x:f>ROUND(((0.30*AL175+0.20*AM175+0.25*AN175+0.15*AO175+0.10*AQ175)+(0.30*AP175+0.20*AN175+0.20*AM175+0.15*AQ175+0.15*(100-AR175)))/2,2)</x:f>
        <x:v>81.18</x:v>
      </x:c>
      <x:c r="AT175" s="60" t="n">
        <x:f>ROUND(AVERAGE(V175,AD175,AL175),1)</x:f>
        <x:v>81</x:v>
      </x:c>
      <x:c r="AU175" s="60" t="n">
        <x:f>ROUND(AVERAGE(W175,AE175,AM175),1)</x:f>
        <x:v>80</x:v>
      </x:c>
      <x:c r="AV175" s="60" t="n">
        <x:f>ROUND(AVERAGE(X175,AF175,AN175),1)</x:f>
        <x:v>81</x:v>
      </x:c>
      <x:c r="AW175" s="60" t="n">
        <x:f>ROUND(AVERAGE(Y175,AG175,AO175),1)</x:f>
        <x:v>80</x:v>
      </x:c>
      <x:c r="AX175" s="60" t="n">
        <x:f>ROUND(AVERAGE(Z175,AH175,AP175),1)</x:f>
        <x:v>81</x:v>
      </x:c>
      <x:c r="AY175" s="60" t="n">
        <x:f>ROUND(AVERAGE(AA175,AI175,AQ175),1)</x:f>
        <x:v>81</x:v>
      </x:c>
      <x:c r="AZ175" s="60" t="n">
        <x:f>ROUND(AVERAGE(AB175,AJ175,AR175),1)</x:f>
        <x:v>13</x:v>
      </x:c>
      <x:c r="BA175" s="59" t="n">
        <x:v>5</x:v>
      </x:c>
      <x:c r="BB175" s="60" t="n">
        <x:f>ROUND(0.30*AT175+0.20*AU175+0.25*AV175+0.15*AW175+0.10*AY175,2)</x:f>
        <x:v>80.65</x:v>
      </x:c>
      <x:c r="BC175" s="60" t="n">
        <x:f>ROUND(0.30*AX175+0.20*AV175+0.20*AU175+0.15*AY175+0.15*(100-AZ175),2)</x:f>
        <x:v>81.7</x:v>
      </x:c>
      <x:c r="BD175" s="60" t="n">
        <x:f>ROUND(AVERAGE(BB175,BC175),2)</x:f>
        <x:v>81.18</x:v>
      </x:c>
      <x:c r="BE175" s="60" t="n">
        <x:f>ROUND(BD175-U175,2)</x:f>
        <x:v>0.01</x:v>
      </x:c>
      <x:c r="BF175" s="60" t="n">
        <x:f>ROUND(STDEV.P(AC175,AK175,AS175),3)</x:f>
        <x:v>0</x:v>
      </x:c>
      <x:c r="BG175" s="59" t="str"/>
      <x:c r="BH175" s="59" t="str">
        <x:v>30%评分池轻量复核</x:v>
      </x:c>
      <x:c r="BI175" s="40" t="str">
        <x:v>三轮复核后与原表基本一致</x:v>
      </x:c>
    </x:row>
    <x:row r="176" ht="30" customHeight="1">
      <x:c r="A176" s="59" t="n">
        <x:v>175</x:v>
      </x:c>
      <x:c r="B176" s="59" t="n">
        <x:v>174</x:v>
      </x:c>
      <x:c r="C176" s="59" t="str">
        <x:v>2026-06</x:v>
      </x:c>
      <x:c r="D176" s="59" t="n">
        <x:v>82</x:v>
      </x:c>
      <x:c r="E176" s="59" t="str">
        <x:v>2606.01618</x:v>
      </x:c>
      <x:c r="F176" s="40" t="str">
        <x:v>Stability of N-soliton solutions for modified Camassa-Holm equation</x:v>
      </x:c>
      <x:c r="G176" s="40" t="str">
        <x:v>Zhen Lu; Fei Tang; Shou-Fu Tian</x:v>
      </x:c>
      <x:c r="H176" s="40" t="str">
        <x:v>analysis/PDE</x:v>
      </x:c>
      <x:c r="I176" s="59"/>
      <x:c r="J176" s="40" t="str">
        <x:v>https://arxiv.org/abs/2606.01618</x:v>
      </x:c>
      <x:c r="K176" s="60" t="n">
        <x:v>81</x:v>
      </x:c>
      <x:c r="L176" s="60" t="n">
        <x:v>80</x:v>
      </x:c>
      <x:c r="M176" s="60" t="n">
        <x:v>81</x:v>
      </x:c>
      <x:c r="N176" s="60" t="n">
        <x:v>80</x:v>
      </x:c>
      <x:c r="O176" s="60" t="n">
        <x:v>81</x:v>
      </x:c>
      <x:c r="P176" s="60" t="n">
        <x:v>81</x:v>
      </x:c>
      <x:c r="Q176" s="60" t="n">
        <x:v>13</x:v>
      </x:c>
      <x:c r="R176" s="59" t="n">
        <x:v>5</x:v>
      </x:c>
      <x:c r="S176" s="60" t="n">
        <x:v>80.64999999999999</x:v>
      </x:c>
      <x:c r="T176" s="60" t="n">
        <x:v>81.7</x:v>
      </x:c>
      <x:c r="U176" s="60" t="n">
        <x:v>81.175</x:v>
      </x:c>
      <x:c r="V176" s="60" t="n">
        <x:v>81</x:v>
      </x:c>
      <x:c r="W176" s="60" t="n">
        <x:v>80</x:v>
      </x:c>
      <x:c r="X176" s="60" t="n">
        <x:v>81</x:v>
      </x:c>
      <x:c r="Y176" s="60" t="n">
        <x:v>80</x:v>
      </x:c>
      <x:c r="Z176" s="60" t="n">
        <x:v>81</x:v>
      </x:c>
      <x:c r="AA176" s="60" t="n">
        <x:v>81</x:v>
      </x:c>
      <x:c r="AB176" s="60" t="n">
        <x:v>13</x:v>
      </x:c>
      <x:c r="AC176" s="60" t="n">
        <x:f>ROUND(((0.30*V176+0.20*W176+0.25*X176+0.15*Y176+0.10*AA176)+(0.30*Z176+0.20*X176+0.20*W176+0.15*AA176+0.15*(100-AB176)))/2,2)</x:f>
        <x:v>81.18</x:v>
      </x:c>
      <x:c r="AD176" s="60" t="n">
        <x:v>81</x:v>
      </x:c>
      <x:c r="AE176" s="60" t="n">
        <x:v>80</x:v>
      </x:c>
      <x:c r="AF176" s="60" t="n">
        <x:v>81</x:v>
      </x:c>
      <x:c r="AG176" s="60" t="n">
        <x:v>80</x:v>
      </x:c>
      <x:c r="AH176" s="60" t="n">
        <x:v>81</x:v>
      </x:c>
      <x:c r="AI176" s="60" t="n">
        <x:v>81</x:v>
      </x:c>
      <x:c r="AJ176" s="60" t="n">
        <x:v>13</x:v>
      </x:c>
      <x:c r="AK176" s="60" t="n">
        <x:f>ROUND(((0.30*AD176+0.20*AE176+0.25*AF176+0.15*AG176+0.10*AI176)+(0.30*AH176+0.20*AF176+0.20*AE176+0.15*AI176+0.15*(100-AJ176)))/2,2)</x:f>
        <x:v>81.18</x:v>
      </x:c>
      <x:c r="AL176" s="60" t="n">
        <x:v>81</x:v>
      </x:c>
      <x:c r="AM176" s="60" t="n">
        <x:v>80</x:v>
      </x:c>
      <x:c r="AN176" s="60" t="n">
        <x:v>81</x:v>
      </x:c>
      <x:c r="AO176" s="60" t="n">
        <x:v>80</x:v>
      </x:c>
      <x:c r="AP176" s="60" t="n">
        <x:v>81</x:v>
      </x:c>
      <x:c r="AQ176" s="60" t="n">
        <x:v>81</x:v>
      </x:c>
      <x:c r="AR176" s="60" t="n">
        <x:v>13</x:v>
      </x:c>
      <x:c r="AS176" s="60" t="n">
        <x:f>ROUND(((0.30*AL176+0.20*AM176+0.25*AN176+0.15*AO176+0.10*AQ176)+(0.30*AP176+0.20*AN176+0.20*AM176+0.15*AQ176+0.15*(100-AR176)))/2,2)</x:f>
        <x:v>81.18</x:v>
      </x:c>
      <x:c r="AT176" s="60" t="n">
        <x:f>ROUND(AVERAGE(V176,AD176,AL176),1)</x:f>
        <x:v>81</x:v>
      </x:c>
      <x:c r="AU176" s="60" t="n">
        <x:f>ROUND(AVERAGE(W176,AE176,AM176),1)</x:f>
        <x:v>80</x:v>
      </x:c>
      <x:c r="AV176" s="60" t="n">
        <x:f>ROUND(AVERAGE(X176,AF176,AN176),1)</x:f>
        <x:v>81</x:v>
      </x:c>
      <x:c r="AW176" s="60" t="n">
        <x:f>ROUND(AVERAGE(Y176,AG176,AO176),1)</x:f>
        <x:v>80</x:v>
      </x:c>
      <x:c r="AX176" s="60" t="n">
        <x:f>ROUND(AVERAGE(Z176,AH176,AP176),1)</x:f>
        <x:v>81</x:v>
      </x:c>
      <x:c r="AY176" s="60" t="n">
        <x:f>ROUND(AVERAGE(AA176,AI176,AQ176),1)</x:f>
        <x:v>81</x:v>
      </x:c>
      <x:c r="AZ176" s="60" t="n">
        <x:f>ROUND(AVERAGE(AB176,AJ176,AR176),1)</x:f>
        <x:v>13</x:v>
      </x:c>
      <x:c r="BA176" s="59" t="n">
        <x:v>5</x:v>
      </x:c>
      <x:c r="BB176" s="60" t="n">
        <x:f>ROUND(0.30*AT176+0.20*AU176+0.25*AV176+0.15*AW176+0.10*AY176,2)</x:f>
        <x:v>80.65</x:v>
      </x:c>
      <x:c r="BC176" s="60" t="n">
        <x:f>ROUND(0.30*AX176+0.20*AV176+0.20*AU176+0.15*AY176+0.15*(100-AZ176),2)</x:f>
        <x:v>81.7</x:v>
      </x:c>
      <x:c r="BD176" s="60" t="n">
        <x:f>ROUND(AVERAGE(BB176,BC176),2)</x:f>
        <x:v>81.18</x:v>
      </x:c>
      <x:c r="BE176" s="60" t="n">
        <x:f>ROUND(BD176-U176,2)</x:f>
        <x:v>0.01</x:v>
      </x:c>
      <x:c r="BF176" s="60" t="n">
        <x:f>ROUND(STDEV.P(AC176,AK176,AS176),3)</x:f>
        <x:v>0</x:v>
      </x:c>
      <x:c r="BG176" s="59" t="str"/>
      <x:c r="BH176" s="59" t="str">
        <x:v>30%评分池轻量复核</x:v>
      </x:c>
      <x:c r="BI176" s="40" t="str">
        <x:v>三轮复核后与原表基本一致</x:v>
      </x:c>
    </x:row>
    <x:row r="177" ht="30" customHeight="1">
      <x:c r="A177" s="59" t="n">
        <x:v>176</x:v>
      </x:c>
      <x:c r="B177" s="59" t="n">
        <x:v>176</x:v>
      </x:c>
      <x:c r="C177" s="59" t="str">
        <x:v>2026-06</x:v>
      </x:c>
      <x:c r="D177" s="59" t="n">
        <x:v>82</x:v>
      </x:c>
      <x:c r="E177" s="59" t="str">
        <x:v>2606.00534</x:v>
      </x:c>
      <x:c r="F177" s="40" t="str">
        <x:v>Analytical Solutions of 3D Maxwell's Equations via Infinite-Order Curl-Operator Expansions</x:v>
      </x:c>
      <x:c r="G177" s="40" t="str">
        <x:v>David Wei Ge</x:v>
      </x:c>
      <x:c r="H177" s="40" t="str">
        <x:v>analysis/PDE</x:v>
      </x:c>
      <x:c r="I177" s="59" t="n">
        <x:v>54</x:v>
      </x:c>
      <x:c r="J177" s="40" t="str">
        <x:v>https://arxiv.org/abs/2606.00534</x:v>
      </x:c>
      <x:c r="K177" s="60" t="n">
        <x:v>81</x:v>
      </x:c>
      <x:c r="L177" s="60" t="n">
        <x:v>80</x:v>
      </x:c>
      <x:c r="M177" s="60" t="n">
        <x:v>81</x:v>
      </x:c>
      <x:c r="N177" s="60" t="n">
        <x:v>80</x:v>
      </x:c>
      <x:c r="O177" s="60" t="n">
        <x:v>81</x:v>
      </x:c>
      <x:c r="P177" s="60" t="n">
        <x:v>81</x:v>
      </x:c>
      <x:c r="Q177" s="60" t="n">
        <x:v>13</x:v>
      </x:c>
      <x:c r="R177" s="59" t="n">
        <x:v>5</x:v>
      </x:c>
      <x:c r="S177" s="60" t="n">
        <x:v>80.64999999999999</x:v>
      </x:c>
      <x:c r="T177" s="60" t="n">
        <x:v>81.7</x:v>
      </x:c>
      <x:c r="U177" s="60" t="n">
        <x:v>81.175</x:v>
      </x:c>
      <x:c r="V177" s="60" t="n">
        <x:v>81</x:v>
      </x:c>
      <x:c r="W177" s="60" t="n">
        <x:v>80</x:v>
      </x:c>
      <x:c r="X177" s="60" t="n">
        <x:v>81</x:v>
      </x:c>
      <x:c r="Y177" s="60" t="n">
        <x:v>80</x:v>
      </x:c>
      <x:c r="Z177" s="60" t="n">
        <x:v>81</x:v>
      </x:c>
      <x:c r="AA177" s="60" t="n">
        <x:v>81</x:v>
      </x:c>
      <x:c r="AB177" s="60" t="n">
        <x:v>13</x:v>
      </x:c>
      <x:c r="AC177" s="60" t="n">
        <x:f>ROUND(((0.30*V177+0.20*W177+0.25*X177+0.15*Y177+0.10*AA177)+(0.30*Z177+0.20*X177+0.20*W177+0.15*AA177+0.15*(100-AB177)))/2,2)</x:f>
        <x:v>81.18</x:v>
      </x:c>
      <x:c r="AD177" s="60" t="n">
        <x:v>81</x:v>
      </x:c>
      <x:c r="AE177" s="60" t="n">
        <x:v>80</x:v>
      </x:c>
      <x:c r="AF177" s="60" t="n">
        <x:v>81</x:v>
      </x:c>
      <x:c r="AG177" s="60" t="n">
        <x:v>80</x:v>
      </x:c>
      <x:c r="AH177" s="60" t="n">
        <x:v>81</x:v>
      </x:c>
      <x:c r="AI177" s="60" t="n">
        <x:v>81</x:v>
      </x:c>
      <x:c r="AJ177" s="60" t="n">
        <x:v>13</x:v>
      </x:c>
      <x:c r="AK177" s="60" t="n">
        <x:f>ROUND(((0.30*AD177+0.20*AE177+0.25*AF177+0.15*AG177+0.10*AI177)+(0.30*AH177+0.20*AF177+0.20*AE177+0.15*AI177+0.15*(100-AJ177)))/2,2)</x:f>
        <x:v>81.18</x:v>
      </x:c>
      <x:c r="AL177" s="60" t="n">
        <x:v>81</x:v>
      </x:c>
      <x:c r="AM177" s="60" t="n">
        <x:v>80</x:v>
      </x:c>
      <x:c r="AN177" s="60" t="n">
        <x:v>81</x:v>
      </x:c>
      <x:c r="AO177" s="60" t="n">
        <x:v>80</x:v>
      </x:c>
      <x:c r="AP177" s="60" t="n">
        <x:v>81</x:v>
      </x:c>
      <x:c r="AQ177" s="60" t="n">
        <x:v>81</x:v>
      </x:c>
      <x:c r="AR177" s="60" t="n">
        <x:v>13</x:v>
      </x:c>
      <x:c r="AS177" s="60" t="n">
        <x:f>ROUND(((0.30*AL177+0.20*AM177+0.25*AN177+0.15*AO177+0.10*AQ177)+(0.30*AP177+0.20*AN177+0.20*AM177+0.15*AQ177+0.15*(100-AR177)))/2,2)</x:f>
        <x:v>81.18</x:v>
      </x:c>
      <x:c r="AT177" s="60" t="n">
        <x:f>ROUND(AVERAGE(V177,AD177,AL177),1)</x:f>
        <x:v>81</x:v>
      </x:c>
      <x:c r="AU177" s="60" t="n">
        <x:f>ROUND(AVERAGE(W177,AE177,AM177),1)</x:f>
        <x:v>80</x:v>
      </x:c>
      <x:c r="AV177" s="60" t="n">
        <x:f>ROUND(AVERAGE(X177,AF177,AN177),1)</x:f>
        <x:v>81</x:v>
      </x:c>
      <x:c r="AW177" s="60" t="n">
        <x:f>ROUND(AVERAGE(Y177,AG177,AO177),1)</x:f>
        <x:v>80</x:v>
      </x:c>
      <x:c r="AX177" s="60" t="n">
        <x:f>ROUND(AVERAGE(Z177,AH177,AP177),1)</x:f>
        <x:v>81</x:v>
      </x:c>
      <x:c r="AY177" s="60" t="n">
        <x:f>ROUND(AVERAGE(AA177,AI177,AQ177),1)</x:f>
        <x:v>81</x:v>
      </x:c>
      <x:c r="AZ177" s="60" t="n">
        <x:f>ROUND(AVERAGE(AB177,AJ177,AR177),1)</x:f>
        <x:v>13</x:v>
      </x:c>
      <x:c r="BA177" s="59" t="n">
        <x:v>5</x:v>
      </x:c>
      <x:c r="BB177" s="60" t="n">
        <x:f>ROUND(0.30*AT177+0.20*AU177+0.25*AV177+0.15*AW177+0.10*AY177,2)</x:f>
        <x:v>80.65</x:v>
      </x:c>
      <x:c r="BC177" s="60" t="n">
        <x:f>ROUND(0.30*AX177+0.20*AV177+0.20*AU177+0.15*AY177+0.15*(100-AZ177),2)</x:f>
        <x:v>81.7</x:v>
      </x:c>
      <x:c r="BD177" s="60" t="n">
        <x:f>ROUND(AVERAGE(BB177,BC177),2)</x:f>
        <x:v>81.18</x:v>
      </x:c>
      <x:c r="BE177" s="60" t="n">
        <x:f>ROUND(BD177-U177,2)</x:f>
        <x:v>0.01</x:v>
      </x:c>
      <x:c r="BF177" s="60" t="n">
        <x:f>ROUND(STDEV.P(AC177,AK177,AS177),3)</x:f>
        <x:v>0</x:v>
      </x:c>
      <x:c r="BG177" s="59" t="str"/>
      <x:c r="BH177" s="59" t="str">
        <x:v>30%评分池轻量复核</x:v>
      </x:c>
      <x:c r="BI177" s="40" t="str">
        <x:v>三轮复核后与原表基本一致</x:v>
      </x:c>
    </x:row>
    <x:row r="178" ht="30" customHeight="1">
      <x:c r="A178" s="59" t="n">
        <x:v>177</x:v>
      </x:c>
      <x:c r="B178" s="59" t="n">
        <x:v>177</x:v>
      </x:c>
      <x:c r="C178" s="59" t="str">
        <x:v>2026-06</x:v>
      </x:c>
      <x:c r="D178" s="59" t="n">
        <x:v>86</x:v>
      </x:c>
      <x:c r="E178" s="59" t="str">
        <x:v>2606.30022</x:v>
      </x:c>
      <x:c r="F178" s="40" t="str">
        <x:v>Multiphase formulation of the Vlasov-Navier-Stokes equations</x:v>
      </x:c>
      <x:c r="G178" s="40" t="str">
        <x:v>Valentin Lemarie</x:v>
      </x:c>
      <x:c r="H178" s="40" t="str">
        <x:v>fluid/kinetic PDE</x:v>
      </x:c>
      <x:c r="I178" s="59"/>
      <x:c r="J178" s="40" t="str">
        <x:v>https://arxiv.org/abs/2606.30022</x:v>
      </x:c>
      <x:c r="K178" s="60" t="n">
        <x:v>81</x:v>
      </x:c>
      <x:c r="L178" s="60" t="n">
        <x:v>80</x:v>
      </x:c>
      <x:c r="M178" s="60" t="n">
        <x:v>81</x:v>
      </x:c>
      <x:c r="N178" s="60" t="n">
        <x:v>80</x:v>
      </x:c>
      <x:c r="O178" s="60" t="n">
        <x:v>81</x:v>
      </x:c>
      <x:c r="P178" s="60" t="n">
        <x:v>80</x:v>
      </x:c>
      <x:c r="Q178" s="60" t="n">
        <x:v>13</x:v>
      </x:c>
      <x:c r="R178" s="59" t="n">
        <x:v>5</x:v>
      </x:c>
      <x:c r="S178" s="60" t="n">
        <x:v>80.55</x:v>
      </x:c>
      <x:c r="T178" s="60" t="n">
        <x:v>81.55</x:v>
      </x:c>
      <x:c r="U178" s="60" t="n">
        <x:v>81.05</x:v>
      </x:c>
      <x:c r="V178" s="60" t="n">
        <x:v>81.1</x:v>
      </x:c>
      <x:c r="W178" s="60" t="n">
        <x:v>80</x:v>
      </x:c>
      <x:c r="X178" s="60" t="n">
        <x:v>81.1</x:v>
      </x:c>
      <x:c r="Y178" s="60" t="n">
        <x:v>80</x:v>
      </x:c>
      <x:c r="Z178" s="60" t="n">
        <x:v>81.1</x:v>
      </x:c>
      <x:c r="AA178" s="60" t="n">
        <x:v>80</x:v>
      </x:c>
      <x:c r="AB178" s="60" t="n">
        <x:v>13</x:v>
      </x:c>
      <x:c r="AC178" s="60" t="n">
        <x:f>ROUND(((0.30*V178+0.20*W178+0.25*X178+0.15*Y178+0.10*AA178)+(0.30*Z178+0.20*X178+0.20*W178+0.15*AA178+0.15*(100-AB178)))/2,2)</x:f>
        <x:v>81.1</x:v>
      </x:c>
      <x:c r="AD178" s="60" t="n">
        <x:v>81</x:v>
      </x:c>
      <x:c r="AE178" s="60" t="n">
        <x:v>80</x:v>
      </x:c>
      <x:c r="AF178" s="60" t="n">
        <x:v>81</x:v>
      </x:c>
      <x:c r="AG178" s="60" t="n">
        <x:v>80</x:v>
      </x:c>
      <x:c r="AH178" s="60" t="n">
        <x:v>81</x:v>
      </x:c>
      <x:c r="AI178" s="60" t="n">
        <x:v>80</x:v>
      </x:c>
      <x:c r="AJ178" s="60" t="n">
        <x:v>13</x:v>
      </x:c>
      <x:c r="AK178" s="60" t="n">
        <x:f>ROUND(((0.30*AD178+0.20*AE178+0.25*AF178+0.15*AG178+0.10*AI178)+(0.30*AH178+0.20*AF178+0.20*AE178+0.15*AI178+0.15*(100-AJ178)))/2,2)</x:f>
        <x:v>81.05</x:v>
      </x:c>
      <x:c r="AL178" s="60" t="n">
        <x:v>81</x:v>
      </x:c>
      <x:c r="AM178" s="60" t="n">
        <x:v>80</x:v>
      </x:c>
      <x:c r="AN178" s="60" t="n">
        <x:v>81.1</x:v>
      </x:c>
      <x:c r="AO178" s="60" t="n">
        <x:v>80</x:v>
      </x:c>
      <x:c r="AP178" s="60" t="n">
        <x:v>81</x:v>
      </x:c>
      <x:c r="AQ178" s="60" t="n">
        <x:v>80</x:v>
      </x:c>
      <x:c r="AR178" s="60" t="n">
        <x:v>13</x:v>
      </x:c>
      <x:c r="AS178" s="60" t="n">
        <x:f>ROUND(((0.30*AL178+0.20*AM178+0.25*AN178+0.15*AO178+0.10*AQ178)+(0.30*AP178+0.20*AN178+0.20*AM178+0.15*AQ178+0.15*(100-AR178)))/2,2)</x:f>
        <x:v>81.07</x:v>
      </x:c>
      <x:c r="AT178" s="60" t="n">
        <x:f>ROUND(AVERAGE(V178,AD178,AL178),1)</x:f>
        <x:v>81</x:v>
      </x:c>
      <x:c r="AU178" s="60" t="n">
        <x:f>ROUND(AVERAGE(W178,AE178,AM178),1)</x:f>
        <x:v>80</x:v>
      </x:c>
      <x:c r="AV178" s="60" t="n">
        <x:f>ROUND(AVERAGE(X178,AF178,AN178),1)</x:f>
        <x:v>81.1</x:v>
      </x:c>
      <x:c r="AW178" s="60" t="n">
        <x:f>ROUND(AVERAGE(Y178,AG178,AO178),1)</x:f>
        <x:v>80</x:v>
      </x:c>
      <x:c r="AX178" s="60" t="n">
        <x:f>ROUND(AVERAGE(Z178,AH178,AP178),1)</x:f>
        <x:v>81</x:v>
      </x:c>
      <x:c r="AY178" s="60" t="n">
        <x:f>ROUND(AVERAGE(AA178,AI178,AQ178),1)</x:f>
        <x:v>80</x:v>
      </x:c>
      <x:c r="AZ178" s="60" t="n">
        <x:f>ROUND(AVERAGE(AB178,AJ178,AR178),1)</x:f>
        <x:v>13</x:v>
      </x:c>
      <x:c r="BA178" s="59" t="n">
        <x:v>5</x:v>
      </x:c>
      <x:c r="BB178" s="60" t="n">
        <x:f>ROUND(0.30*AT178+0.20*AU178+0.25*AV178+0.15*AW178+0.10*AY178,2)</x:f>
        <x:v>80.57</x:v>
      </x:c>
      <x:c r="BC178" s="60" t="n">
        <x:f>ROUND(0.30*AX178+0.20*AV178+0.20*AU178+0.15*AY178+0.15*(100-AZ178),2)</x:f>
        <x:v>81.57</x:v>
      </x:c>
      <x:c r="BD178" s="60" t="n">
        <x:f>ROUND(AVERAGE(BB178,BC178),2)</x:f>
        <x:v>81.07</x:v>
      </x:c>
      <x:c r="BE178" s="60" t="n">
        <x:f>ROUND(BD178-U178,2)</x:f>
        <x:v>0.02</x:v>
      </x:c>
      <x:c r="BF178" s="60" t="n">
        <x:f>ROUND(STDEV.P(AC178,AK178,AS178),3)</x:f>
        <x:v>0.021</x:v>
      </x:c>
      <x:c r="BG178" s="59" t="str"/>
      <x:c r="BH178" s="59" t="str">
        <x:v>30%评分池轻量复核</x:v>
      </x:c>
      <x:c r="BI178" s="40" t="str">
        <x:v>三轮复核后与原表基本一致</x:v>
      </x:c>
    </x:row>
    <x:row r="179" ht="30" customHeight="1">
      <x:c r="A179" s="59" t="n">
        <x:v>178</x:v>
      </x:c>
      <x:c r="B179" s="59" t="n">
        <x:v>178</x:v>
      </x:c>
      <x:c r="C179" s="59" t="str">
        <x:v>2026-06</x:v>
      </x:c>
      <x:c r="D179" s="59" t="n">
        <x:v>86</x:v>
      </x:c>
      <x:c r="E179" s="59" t="str">
        <x:v>2606.09808</x:v>
      </x:c>
      <x:c r="F179" s="40" t="str">
        <x:v>High Mach number limit of the compressible Navier-Stokes equations in critical Besov spaces</x:v>
      </x:c>
      <x:c r="G179" s="40" t="str">
        <x:v>Jinkai Ni; Zhipeng Zhang</x:v>
      </x:c>
      <x:c r="H179" s="40" t="str">
        <x:v>fluid/kinetic PDE</x:v>
      </x:c>
      <x:c r="I179" s="59" t="n">
        <x:v>30</x:v>
      </x:c>
      <x:c r="J179" s="40" t="str">
        <x:v>https://arxiv.org/abs/2606.09808</x:v>
      </x:c>
      <x:c r="K179" s="60" t="n">
        <x:v>81</x:v>
      </x:c>
      <x:c r="L179" s="60" t="n">
        <x:v>80</x:v>
      </x:c>
      <x:c r="M179" s="60" t="n">
        <x:v>81</x:v>
      </x:c>
      <x:c r="N179" s="60" t="n">
        <x:v>80</x:v>
      </x:c>
      <x:c r="O179" s="60" t="n">
        <x:v>81</x:v>
      </x:c>
      <x:c r="P179" s="60" t="n">
        <x:v>80</x:v>
      </x:c>
      <x:c r="Q179" s="60" t="n">
        <x:v>13</x:v>
      </x:c>
      <x:c r="R179" s="59" t="n">
        <x:v>5</x:v>
      </x:c>
      <x:c r="S179" s="60" t="n">
        <x:v>80.55</x:v>
      </x:c>
      <x:c r="T179" s="60" t="n">
        <x:v>81.55</x:v>
      </x:c>
      <x:c r="U179" s="60" t="n">
        <x:v>81.05</x:v>
      </x:c>
      <x:c r="V179" s="60" t="n">
        <x:v>81.1</x:v>
      </x:c>
      <x:c r="W179" s="60" t="n">
        <x:v>80</x:v>
      </x:c>
      <x:c r="X179" s="60" t="n">
        <x:v>81.1</x:v>
      </x:c>
      <x:c r="Y179" s="60" t="n">
        <x:v>80</x:v>
      </x:c>
      <x:c r="Z179" s="60" t="n">
        <x:v>81.1</x:v>
      </x:c>
      <x:c r="AA179" s="60" t="n">
        <x:v>80</x:v>
      </x:c>
      <x:c r="AB179" s="60" t="n">
        <x:v>13</x:v>
      </x:c>
      <x:c r="AC179" s="60" t="n">
        <x:f>ROUND(((0.30*V179+0.20*W179+0.25*X179+0.15*Y179+0.10*AA179)+(0.30*Z179+0.20*X179+0.20*W179+0.15*AA179+0.15*(100-AB179)))/2,2)</x:f>
        <x:v>81.1</x:v>
      </x:c>
      <x:c r="AD179" s="60" t="n">
        <x:v>81</x:v>
      </x:c>
      <x:c r="AE179" s="60" t="n">
        <x:v>80</x:v>
      </x:c>
      <x:c r="AF179" s="60" t="n">
        <x:v>81</x:v>
      </x:c>
      <x:c r="AG179" s="60" t="n">
        <x:v>80</x:v>
      </x:c>
      <x:c r="AH179" s="60" t="n">
        <x:v>81</x:v>
      </x:c>
      <x:c r="AI179" s="60" t="n">
        <x:v>80</x:v>
      </x:c>
      <x:c r="AJ179" s="60" t="n">
        <x:v>13</x:v>
      </x:c>
      <x:c r="AK179" s="60" t="n">
        <x:f>ROUND(((0.30*AD179+0.20*AE179+0.25*AF179+0.15*AG179+0.10*AI179)+(0.30*AH179+0.20*AF179+0.20*AE179+0.15*AI179+0.15*(100-AJ179)))/2,2)</x:f>
        <x:v>81.05</x:v>
      </x:c>
      <x:c r="AL179" s="60" t="n">
        <x:v>81</x:v>
      </x:c>
      <x:c r="AM179" s="60" t="n">
        <x:v>80</x:v>
      </x:c>
      <x:c r="AN179" s="60" t="n">
        <x:v>81.1</x:v>
      </x:c>
      <x:c r="AO179" s="60" t="n">
        <x:v>80</x:v>
      </x:c>
      <x:c r="AP179" s="60" t="n">
        <x:v>81</x:v>
      </x:c>
      <x:c r="AQ179" s="60" t="n">
        <x:v>80</x:v>
      </x:c>
      <x:c r="AR179" s="60" t="n">
        <x:v>13</x:v>
      </x:c>
      <x:c r="AS179" s="60" t="n">
        <x:f>ROUND(((0.30*AL179+0.20*AM179+0.25*AN179+0.15*AO179+0.10*AQ179)+(0.30*AP179+0.20*AN179+0.20*AM179+0.15*AQ179+0.15*(100-AR179)))/2,2)</x:f>
        <x:v>81.07</x:v>
      </x:c>
      <x:c r="AT179" s="60" t="n">
        <x:f>ROUND(AVERAGE(V179,AD179,AL179),1)</x:f>
        <x:v>81</x:v>
      </x:c>
      <x:c r="AU179" s="60" t="n">
        <x:f>ROUND(AVERAGE(W179,AE179,AM179),1)</x:f>
        <x:v>80</x:v>
      </x:c>
      <x:c r="AV179" s="60" t="n">
        <x:f>ROUND(AVERAGE(X179,AF179,AN179),1)</x:f>
        <x:v>81.1</x:v>
      </x:c>
      <x:c r="AW179" s="60" t="n">
        <x:f>ROUND(AVERAGE(Y179,AG179,AO179),1)</x:f>
        <x:v>80</x:v>
      </x:c>
      <x:c r="AX179" s="60" t="n">
        <x:f>ROUND(AVERAGE(Z179,AH179,AP179),1)</x:f>
        <x:v>81</x:v>
      </x:c>
      <x:c r="AY179" s="60" t="n">
        <x:f>ROUND(AVERAGE(AA179,AI179,AQ179),1)</x:f>
        <x:v>80</x:v>
      </x:c>
      <x:c r="AZ179" s="60" t="n">
        <x:f>ROUND(AVERAGE(AB179,AJ179,AR179),1)</x:f>
        <x:v>13</x:v>
      </x:c>
      <x:c r="BA179" s="59" t="n">
        <x:v>5</x:v>
      </x:c>
      <x:c r="BB179" s="60" t="n">
        <x:f>ROUND(0.30*AT179+0.20*AU179+0.25*AV179+0.15*AW179+0.10*AY179,2)</x:f>
        <x:v>80.57</x:v>
      </x:c>
      <x:c r="BC179" s="60" t="n">
        <x:f>ROUND(0.30*AX179+0.20*AV179+0.20*AU179+0.15*AY179+0.15*(100-AZ179),2)</x:f>
        <x:v>81.57</x:v>
      </x:c>
      <x:c r="BD179" s="60" t="n">
        <x:f>ROUND(AVERAGE(BB179,BC179),2)</x:f>
        <x:v>81.07</x:v>
      </x:c>
      <x:c r="BE179" s="60" t="n">
        <x:f>ROUND(BD179-U179,2)</x:f>
        <x:v>0.02</x:v>
      </x:c>
      <x:c r="BF179" s="60" t="n">
        <x:f>ROUND(STDEV.P(AC179,AK179,AS179),3)</x:f>
        <x:v>0.021</x:v>
      </x:c>
      <x:c r="BG179" s="59" t="str"/>
      <x:c r="BH179" s="59" t="str">
        <x:v>30%评分池轻量复核</x:v>
      </x:c>
      <x:c r="BI179" s="40" t="str">
        <x:v>三轮复核后与原表基本一致</x:v>
      </x:c>
    </x:row>
    <x:row r="180" ht="30" customHeight="1">
      <x:c r="A180" s="59" t="n">
        <x:v>179</x:v>
      </x:c>
      <x:c r="B180" s="59" t="n">
        <x:v>179</x:v>
      </x:c>
      <x:c r="C180" s="59" t="str">
        <x:v>2026-06</x:v>
      </x:c>
      <x:c r="D180" s="59" t="n">
        <x:v>86</x:v>
      </x:c>
      <x:c r="E180" s="59" t="str">
        <x:v>2606.08877</x:v>
      </x:c>
      <x:c r="F180" s="40" t="str">
        <x:v>On product estimates in Besov-Morrey spaces and stationary solutions for the Hall-MHD and Navier-Stokes systems</x:v>
      </x:c>
      <x:c r="G180" s="40" t="str">
        <x:v>Lucas C. F. Ferreira; Rafael P. da Silva</x:v>
      </x:c>
      <x:c r="H180" s="40" t="str">
        <x:v>fluid/kinetic PDE</x:v>
      </x:c>
      <x:c r="I180" s="59" t="n">
        <x:v>26</x:v>
      </x:c>
      <x:c r="J180" s="40" t="str">
        <x:v>https://arxiv.org/abs/2606.08877</x:v>
      </x:c>
      <x:c r="K180" s="60" t="n">
        <x:v>81</x:v>
      </x:c>
      <x:c r="L180" s="60" t="n">
        <x:v>80</x:v>
      </x:c>
      <x:c r="M180" s="60" t="n">
        <x:v>81</x:v>
      </x:c>
      <x:c r="N180" s="60" t="n">
        <x:v>80</x:v>
      </x:c>
      <x:c r="O180" s="60" t="n">
        <x:v>81</x:v>
      </x:c>
      <x:c r="P180" s="60" t="n">
        <x:v>80</x:v>
      </x:c>
      <x:c r="Q180" s="60" t="n">
        <x:v>13</x:v>
      </x:c>
      <x:c r="R180" s="59" t="n">
        <x:v>5</x:v>
      </x:c>
      <x:c r="S180" s="60" t="n">
        <x:v>80.55</x:v>
      </x:c>
      <x:c r="T180" s="60" t="n">
        <x:v>81.55</x:v>
      </x:c>
      <x:c r="U180" s="60" t="n">
        <x:v>81.05</x:v>
      </x:c>
      <x:c r="V180" s="60" t="n">
        <x:v>81</x:v>
      </x:c>
      <x:c r="W180" s="60" t="n">
        <x:v>80</x:v>
      </x:c>
      <x:c r="X180" s="60" t="n">
        <x:v>81.1</x:v>
      </x:c>
      <x:c r="Y180" s="60" t="n">
        <x:v>79.9</x:v>
      </x:c>
      <x:c r="Z180" s="60" t="n">
        <x:v>81.1</x:v>
      </x:c>
      <x:c r="AA180" s="60" t="n">
        <x:v>80</x:v>
      </x:c>
      <x:c r="AB180" s="60" t="n">
        <x:v>13</x:v>
      </x:c>
      <x:c r="AC180" s="60" t="n">
        <x:f>ROUND(((0.30*V180+0.20*W180+0.25*X180+0.15*Y180+0.10*AA180)+(0.30*Z180+0.20*X180+0.20*W180+0.15*AA180+0.15*(100-AB180)))/2,2)</x:f>
        <x:v>81.08</x:v>
      </x:c>
      <x:c r="AD180" s="60" t="n">
        <x:v>81</x:v>
      </x:c>
      <x:c r="AE180" s="60" t="n">
        <x:v>80</x:v>
      </x:c>
      <x:c r="AF180" s="60" t="n">
        <x:v>81</x:v>
      </x:c>
      <x:c r="AG180" s="60" t="n">
        <x:v>79.9</x:v>
      </x:c>
      <x:c r="AH180" s="60" t="n">
        <x:v>81</x:v>
      </x:c>
      <x:c r="AI180" s="60" t="n">
        <x:v>80</x:v>
      </x:c>
      <x:c r="AJ180" s="60" t="n">
        <x:v>13</x:v>
      </x:c>
      <x:c r="AK180" s="60" t="n">
        <x:f>ROUND(((0.30*AD180+0.20*AE180+0.25*AF180+0.15*AG180+0.10*AI180)+(0.30*AH180+0.20*AF180+0.20*AE180+0.15*AI180+0.15*(100-AJ180)))/2,2)</x:f>
        <x:v>81.04</x:v>
      </x:c>
      <x:c r="AL180" s="60" t="n">
        <x:v>81</x:v>
      </x:c>
      <x:c r="AM180" s="60" t="n">
        <x:v>80</x:v>
      </x:c>
      <x:c r="AN180" s="60" t="n">
        <x:v>81.1</x:v>
      </x:c>
      <x:c r="AO180" s="60" t="n">
        <x:v>79.9</x:v>
      </x:c>
      <x:c r="AP180" s="60" t="n">
        <x:v>81</x:v>
      </x:c>
      <x:c r="AQ180" s="60" t="n">
        <x:v>80</x:v>
      </x:c>
      <x:c r="AR180" s="60" t="n">
        <x:v>13</x:v>
      </x:c>
      <x:c r="AS180" s="60" t="n">
        <x:f>ROUND(((0.30*AL180+0.20*AM180+0.25*AN180+0.15*AO180+0.10*AQ180)+(0.30*AP180+0.20*AN180+0.20*AM180+0.15*AQ180+0.15*(100-AR180)))/2,2)</x:f>
        <x:v>81.07</x:v>
      </x:c>
      <x:c r="AT180" s="60" t="n">
        <x:f>ROUND(AVERAGE(V180,AD180,AL180),1)</x:f>
        <x:v>81</x:v>
      </x:c>
      <x:c r="AU180" s="60" t="n">
        <x:f>ROUND(AVERAGE(W180,AE180,AM180),1)</x:f>
        <x:v>80</x:v>
      </x:c>
      <x:c r="AV180" s="60" t="n">
        <x:f>ROUND(AVERAGE(X180,AF180,AN180),1)</x:f>
        <x:v>81.1</x:v>
      </x:c>
      <x:c r="AW180" s="60" t="n">
        <x:f>ROUND(AVERAGE(Y180,AG180,AO180),1)</x:f>
        <x:v>79.9</x:v>
      </x:c>
      <x:c r="AX180" s="60" t="n">
        <x:f>ROUND(AVERAGE(Z180,AH180,AP180),1)</x:f>
        <x:v>81</x:v>
      </x:c>
      <x:c r="AY180" s="60" t="n">
        <x:f>ROUND(AVERAGE(AA180,AI180,AQ180),1)</x:f>
        <x:v>80</x:v>
      </x:c>
      <x:c r="AZ180" s="60" t="n">
        <x:f>ROUND(AVERAGE(AB180,AJ180,AR180),1)</x:f>
        <x:v>13</x:v>
      </x:c>
      <x:c r="BA180" s="59" t="n">
        <x:v>5</x:v>
      </x:c>
      <x:c r="BB180" s="60" t="n">
        <x:f>ROUND(0.30*AT180+0.20*AU180+0.25*AV180+0.15*AW180+0.10*AY180,2)</x:f>
        <x:v>80.56</x:v>
      </x:c>
      <x:c r="BC180" s="60" t="n">
        <x:f>ROUND(0.30*AX180+0.20*AV180+0.20*AU180+0.15*AY180+0.15*(100-AZ180),2)</x:f>
        <x:v>81.57</x:v>
      </x:c>
      <x:c r="BD180" s="60" t="n">
        <x:f>ROUND(AVERAGE(BB180,BC180),2)</x:f>
        <x:v>81.07</x:v>
      </x:c>
      <x:c r="BE180" s="60" t="n">
        <x:f>ROUND(BD180-U180,2)</x:f>
        <x:v>0.02</x:v>
      </x:c>
      <x:c r="BF180" s="60" t="n">
        <x:f>ROUND(STDEV.P(AC180,AK180,AS180),3)</x:f>
        <x:v>0.017</x:v>
      </x:c>
      <x:c r="BG180" s="59" t="str"/>
      <x:c r="BH180" s="59" t="str">
        <x:v>30%评分池轻量复核</x:v>
      </x:c>
      <x:c r="BI180" s="40" t="str">
        <x:v>范围偏专门，广度轻微回调</x:v>
      </x:c>
    </x:row>
    <x:row r="181" ht="30" customHeight="1">
      <x:c r="A181" s="59" t="n">
        <x:v>180</x:v>
      </x:c>
      <x:c r="B181" s="59" t="n">
        <x:v>180</x:v>
      </x:c>
      <x:c r="C181" s="59" t="str">
        <x:v>2026-06</x:v>
      </x:c>
      <x:c r="D181" s="59" t="n">
        <x:v>89</x:v>
      </x:c>
      <x:c r="E181" s="59" t="str">
        <x:v>2606.07875</x:v>
      </x:c>
      <x:c r="F181" s="40" t="str">
        <x:v>Hypothetical Singularity of 3D Navier-Stokes in Clay Institute set up Reduces to Axisymmetric with Swirl class</x:v>
      </x:c>
      <x:c r="G181" s="40" t="str">
        <x:v>Rishad Shahmurov</x:v>
      </x:c>
      <x:c r="H181" s="40" t="str">
        <x:v>fluid/kinetic PDE</x:v>
      </x:c>
      <x:c r="I181" s="59"/>
      <x:c r="J181" s="40" t="str">
        <x:v>https://arxiv.org/abs/2606.07875</x:v>
      </x:c>
      <x:c r="K181" s="60" t="n">
        <x:v>81</x:v>
      </x:c>
      <x:c r="L181" s="60" t="n">
        <x:v>80</x:v>
      </x:c>
      <x:c r="M181" s="60" t="n">
        <x:v>81</x:v>
      </x:c>
      <x:c r="N181" s="60" t="n">
        <x:v>79</x:v>
      </x:c>
      <x:c r="O181" s="60" t="n">
        <x:v>81</x:v>
      </x:c>
      <x:c r="P181" s="60" t="n">
        <x:v>80</x:v>
      </x:c>
      <x:c r="Q181" s="60" t="n">
        <x:v>13</x:v>
      </x:c>
      <x:c r="R181" s="59" t="n">
        <x:v>5</x:v>
      </x:c>
      <x:c r="S181" s="60" t="n">
        <x:v>80.39999999999999</x:v>
      </x:c>
      <x:c r="T181" s="60" t="n">
        <x:v>81.55</x:v>
      </x:c>
      <x:c r="U181" s="60" t="n">
        <x:v>80.975</x:v>
      </x:c>
      <x:c r="V181" s="60" t="n">
        <x:v>81.1</x:v>
      </x:c>
      <x:c r="W181" s="60" t="n">
        <x:v>80</x:v>
      </x:c>
      <x:c r="X181" s="60" t="n">
        <x:v>81.1</x:v>
      </x:c>
      <x:c r="Y181" s="60" t="n">
        <x:v>79</x:v>
      </x:c>
      <x:c r="Z181" s="60" t="n">
        <x:v>81.1</x:v>
      </x:c>
      <x:c r="AA181" s="60" t="n">
        <x:v>80</x:v>
      </x:c>
      <x:c r="AB181" s="60" t="n">
        <x:v>13</x:v>
      </x:c>
      <x:c r="AC181" s="60" t="n">
        <x:f>ROUND(((0.30*V181+0.20*W181+0.25*X181+0.15*Y181+0.10*AA181)+(0.30*Z181+0.20*X181+0.20*W181+0.15*AA181+0.15*(100-AB181)))/2,2)</x:f>
        <x:v>81.03</x:v>
      </x:c>
      <x:c r="AD181" s="60" t="n">
        <x:v>81</x:v>
      </x:c>
      <x:c r="AE181" s="60" t="n">
        <x:v>80</x:v>
      </x:c>
      <x:c r="AF181" s="60" t="n">
        <x:v>81</x:v>
      </x:c>
      <x:c r="AG181" s="60" t="n">
        <x:v>79</x:v>
      </x:c>
      <x:c r="AH181" s="60" t="n">
        <x:v>81</x:v>
      </x:c>
      <x:c r="AI181" s="60" t="n">
        <x:v>80</x:v>
      </x:c>
      <x:c r="AJ181" s="60" t="n">
        <x:v>13</x:v>
      </x:c>
      <x:c r="AK181" s="60" t="n">
        <x:f>ROUND(((0.30*AD181+0.20*AE181+0.25*AF181+0.15*AG181+0.10*AI181)+(0.30*AH181+0.20*AF181+0.20*AE181+0.15*AI181+0.15*(100-AJ181)))/2,2)</x:f>
        <x:v>80.97</x:v>
      </x:c>
      <x:c r="AL181" s="60" t="n">
        <x:v>81</x:v>
      </x:c>
      <x:c r="AM181" s="60" t="n">
        <x:v>80</x:v>
      </x:c>
      <x:c r="AN181" s="60" t="n">
        <x:v>81.1</x:v>
      </x:c>
      <x:c r="AO181" s="60" t="n">
        <x:v>79</x:v>
      </x:c>
      <x:c r="AP181" s="60" t="n">
        <x:v>81</x:v>
      </x:c>
      <x:c r="AQ181" s="60" t="n">
        <x:v>80</x:v>
      </x:c>
      <x:c r="AR181" s="60" t="n">
        <x:v>13</x:v>
      </x:c>
      <x:c r="AS181" s="60" t="n">
        <x:f>ROUND(((0.30*AL181+0.20*AM181+0.25*AN181+0.15*AO181+0.10*AQ181)+(0.30*AP181+0.20*AN181+0.20*AM181+0.15*AQ181+0.15*(100-AR181)))/2,2)</x:f>
        <x:v>81</x:v>
      </x:c>
      <x:c r="AT181" s="60" t="n">
        <x:f>ROUND(AVERAGE(V181,AD181,AL181),1)</x:f>
        <x:v>81</x:v>
      </x:c>
      <x:c r="AU181" s="60" t="n">
        <x:f>ROUND(AVERAGE(W181,AE181,AM181),1)</x:f>
        <x:v>80</x:v>
      </x:c>
      <x:c r="AV181" s="60" t="n">
        <x:f>ROUND(AVERAGE(X181,AF181,AN181),1)</x:f>
        <x:v>81.1</x:v>
      </x:c>
      <x:c r="AW181" s="60" t="n">
        <x:f>ROUND(AVERAGE(Y181,AG181,AO181),1)</x:f>
        <x:v>79</x:v>
      </x:c>
      <x:c r="AX181" s="60" t="n">
        <x:f>ROUND(AVERAGE(Z181,AH181,AP181),1)</x:f>
        <x:v>81</x:v>
      </x:c>
      <x:c r="AY181" s="60" t="n">
        <x:f>ROUND(AVERAGE(AA181,AI181,AQ181),1)</x:f>
        <x:v>80</x:v>
      </x:c>
      <x:c r="AZ181" s="60" t="n">
        <x:f>ROUND(AVERAGE(AB181,AJ181,AR181),1)</x:f>
        <x:v>13</x:v>
      </x:c>
      <x:c r="BA181" s="59" t="n">
        <x:v>5</x:v>
      </x:c>
      <x:c r="BB181" s="60" t="n">
        <x:f>ROUND(0.30*AT181+0.20*AU181+0.25*AV181+0.15*AW181+0.10*AY181,2)</x:f>
        <x:v>80.43</x:v>
      </x:c>
      <x:c r="BC181" s="60" t="n">
        <x:f>ROUND(0.30*AX181+0.20*AV181+0.20*AU181+0.15*AY181+0.15*(100-AZ181),2)</x:f>
        <x:v>81.57</x:v>
      </x:c>
      <x:c r="BD181" s="60" t="n">
        <x:f>ROUND(AVERAGE(BB181,BC181),2)</x:f>
        <x:v>81</x:v>
      </x:c>
      <x:c r="BE181" s="60" t="n">
        <x:f>ROUND(BD181-U181,2)</x:f>
        <x:v>0.03</x:v>
      </x:c>
      <x:c r="BF181" s="60" t="n">
        <x:f>ROUND(STDEV.P(AC181,AK181,AS181),3)</x:f>
        <x:v>0.024</x:v>
      </x:c>
      <x:c r="BG181" s="59" t="str"/>
      <x:c r="BH181" s="59" t="str">
        <x:v>30%评分池轻量复核</x:v>
      </x:c>
      <x:c r="BI181" s="40" t="str">
        <x:v>三轮复核后与原表基本一致</x:v>
      </x:c>
    </x:row>
    <x:row r="182" ht="30" customHeight="1">
      <x:c r="A182" s="59" t="n">
        <x:v>181</x:v>
      </x:c>
      <x:c r="B182" s="59" t="n">
        <x:v>181</x:v>
      </x:c>
      <x:c r="C182" s="59" t="str">
        <x:v>2026-06</x:v>
      </x:c>
      <x:c r="D182" s="59" t="n">
        <x:v>89</x:v>
      </x:c>
      <x:c r="E182" s="59" t="str">
        <x:v>2606.07423</x:v>
      </x:c>
      <x:c r="F182" s="40" t="str">
        <x:v>Invariant measures for the one-dimensional stochastic Navier-Stokes-Korteweg equations</x:v>
      </x:c>
      <x:c r="G182" s="40" t="str">
        <x:v>Donatella Donatelli; Lorenzo Pescatore; Stefano Spirito</x:v>
      </x:c>
      <x:c r="H182" s="40" t="str">
        <x:v>fluid/kinetic PDE</x:v>
      </x:c>
      <x:c r="I182" s="59"/>
      <x:c r="J182" s="40" t="str">
        <x:v>https://arxiv.org/abs/2606.07423</x:v>
      </x:c>
      <x:c r="K182" s="60" t="n">
        <x:v>81</x:v>
      </x:c>
      <x:c r="L182" s="60" t="n">
        <x:v>80</x:v>
      </x:c>
      <x:c r="M182" s="60" t="n">
        <x:v>81</x:v>
      </x:c>
      <x:c r="N182" s="60" t="n">
        <x:v>79</x:v>
      </x:c>
      <x:c r="O182" s="60" t="n">
        <x:v>81</x:v>
      </x:c>
      <x:c r="P182" s="60" t="n">
        <x:v>80</x:v>
      </x:c>
      <x:c r="Q182" s="60" t="n">
        <x:v>13</x:v>
      </x:c>
      <x:c r="R182" s="59" t="n">
        <x:v>5</x:v>
      </x:c>
      <x:c r="S182" s="60" t="n">
        <x:v>80.39999999999999</x:v>
      </x:c>
      <x:c r="T182" s="60" t="n">
        <x:v>81.55</x:v>
      </x:c>
      <x:c r="U182" s="60" t="n">
        <x:v>80.975</x:v>
      </x:c>
      <x:c r="V182" s="60" t="n">
        <x:v>81.1</x:v>
      </x:c>
      <x:c r="W182" s="60" t="n">
        <x:v>80</x:v>
      </x:c>
      <x:c r="X182" s="60" t="n">
        <x:v>81.1</x:v>
      </x:c>
      <x:c r="Y182" s="60" t="n">
        <x:v>79</x:v>
      </x:c>
      <x:c r="Z182" s="60" t="n">
        <x:v>81.1</x:v>
      </x:c>
      <x:c r="AA182" s="60" t="n">
        <x:v>80</x:v>
      </x:c>
      <x:c r="AB182" s="60" t="n">
        <x:v>13</x:v>
      </x:c>
      <x:c r="AC182" s="60" t="n">
        <x:f>ROUND(((0.30*V182+0.20*W182+0.25*X182+0.15*Y182+0.10*AA182)+(0.30*Z182+0.20*X182+0.20*W182+0.15*AA182+0.15*(100-AB182)))/2,2)</x:f>
        <x:v>81.03</x:v>
      </x:c>
      <x:c r="AD182" s="60" t="n">
        <x:v>81</x:v>
      </x:c>
      <x:c r="AE182" s="60" t="n">
        <x:v>80</x:v>
      </x:c>
      <x:c r="AF182" s="60" t="n">
        <x:v>81</x:v>
      </x:c>
      <x:c r="AG182" s="60" t="n">
        <x:v>79</x:v>
      </x:c>
      <x:c r="AH182" s="60" t="n">
        <x:v>81</x:v>
      </x:c>
      <x:c r="AI182" s="60" t="n">
        <x:v>80</x:v>
      </x:c>
      <x:c r="AJ182" s="60" t="n">
        <x:v>13</x:v>
      </x:c>
      <x:c r="AK182" s="60" t="n">
        <x:f>ROUND(((0.30*AD182+0.20*AE182+0.25*AF182+0.15*AG182+0.10*AI182)+(0.30*AH182+0.20*AF182+0.20*AE182+0.15*AI182+0.15*(100-AJ182)))/2,2)</x:f>
        <x:v>80.97</x:v>
      </x:c>
      <x:c r="AL182" s="60" t="n">
        <x:v>81</x:v>
      </x:c>
      <x:c r="AM182" s="60" t="n">
        <x:v>80</x:v>
      </x:c>
      <x:c r="AN182" s="60" t="n">
        <x:v>81.1</x:v>
      </x:c>
      <x:c r="AO182" s="60" t="n">
        <x:v>79</x:v>
      </x:c>
      <x:c r="AP182" s="60" t="n">
        <x:v>81</x:v>
      </x:c>
      <x:c r="AQ182" s="60" t="n">
        <x:v>80</x:v>
      </x:c>
      <x:c r="AR182" s="60" t="n">
        <x:v>13</x:v>
      </x:c>
      <x:c r="AS182" s="60" t="n">
        <x:f>ROUND(((0.30*AL182+0.20*AM182+0.25*AN182+0.15*AO182+0.10*AQ182)+(0.30*AP182+0.20*AN182+0.20*AM182+0.15*AQ182+0.15*(100-AR182)))/2,2)</x:f>
        <x:v>81</x:v>
      </x:c>
      <x:c r="AT182" s="60" t="n">
        <x:f>ROUND(AVERAGE(V182,AD182,AL182),1)</x:f>
        <x:v>81</x:v>
      </x:c>
      <x:c r="AU182" s="60" t="n">
        <x:f>ROUND(AVERAGE(W182,AE182,AM182),1)</x:f>
        <x:v>80</x:v>
      </x:c>
      <x:c r="AV182" s="60" t="n">
        <x:f>ROUND(AVERAGE(X182,AF182,AN182),1)</x:f>
        <x:v>81.1</x:v>
      </x:c>
      <x:c r="AW182" s="60" t="n">
        <x:f>ROUND(AVERAGE(Y182,AG182,AO182),1)</x:f>
        <x:v>79</x:v>
      </x:c>
      <x:c r="AX182" s="60" t="n">
        <x:f>ROUND(AVERAGE(Z182,AH182,AP182),1)</x:f>
        <x:v>81</x:v>
      </x:c>
      <x:c r="AY182" s="60" t="n">
        <x:f>ROUND(AVERAGE(AA182,AI182,AQ182),1)</x:f>
        <x:v>80</x:v>
      </x:c>
      <x:c r="AZ182" s="60" t="n">
        <x:f>ROUND(AVERAGE(AB182,AJ182,AR182),1)</x:f>
        <x:v>13</x:v>
      </x:c>
      <x:c r="BA182" s="59" t="n">
        <x:v>5</x:v>
      </x:c>
      <x:c r="BB182" s="60" t="n">
        <x:f>ROUND(0.30*AT182+0.20*AU182+0.25*AV182+0.15*AW182+0.10*AY182,2)</x:f>
        <x:v>80.43</x:v>
      </x:c>
      <x:c r="BC182" s="60" t="n">
        <x:f>ROUND(0.30*AX182+0.20*AV182+0.20*AU182+0.15*AY182+0.15*(100-AZ182),2)</x:f>
        <x:v>81.57</x:v>
      </x:c>
      <x:c r="BD182" s="60" t="n">
        <x:f>ROUND(AVERAGE(BB182,BC182),2)</x:f>
        <x:v>81</x:v>
      </x:c>
      <x:c r="BE182" s="60" t="n">
        <x:f>ROUND(BD182-U182,2)</x:f>
        <x:v>0.03</x:v>
      </x:c>
      <x:c r="BF182" s="60" t="n">
        <x:f>ROUND(STDEV.P(AC182,AK182,AS182),3)</x:f>
        <x:v>0.024</x:v>
      </x:c>
      <x:c r="BG182" s="59" t="str"/>
      <x:c r="BH182" s="59" t="str">
        <x:v>30%评分池轻量复核</x:v>
      </x:c>
      <x:c r="BI182" s="40" t="str">
        <x:v>三轮复核后与原表基本一致</x:v>
      </x:c>
    </x:row>
    <x:row r="183" ht="30" customHeight="1">
      <x:c r="A183" s="59" t="n">
        <x:v>182</x:v>
      </x:c>
      <x:c r="B183" s="59" t="n">
        <x:v>182</x:v>
      </x:c>
      <x:c r="C183" s="59" t="str">
        <x:v>2026-06</x:v>
      </x:c>
      <x:c r="D183" s="59" t="n">
        <x:v>91</x:v>
      </x:c>
      <x:c r="E183" s="59" t="str">
        <x:v>2606.07223</x:v>
      </x:c>
      <x:c r="F183" s="40" t="str">
        <x:v>Homogenization of regularized Oldroyd-type fluids</x:v>
      </x:c>
      <x:c r="G183" s="40" t="str">
        <x:v>Florian Oschmann; Jonas Sauer</x:v>
      </x:c>
      <x:c r="H183" s="40" t="str">
        <x:v>fluid/kinetic PDE</x:v>
      </x:c>
      <x:c r="I183" s="59"/>
      <x:c r="J183" s="40" t="str">
        <x:v>https://arxiv.org/abs/2606.07223</x:v>
      </x:c>
      <x:c r="K183" s="60" t="n">
        <x:v>80</x:v>
      </x:c>
      <x:c r="L183" s="60" t="n">
        <x:v>80</x:v>
      </x:c>
      <x:c r="M183" s="60" t="n">
        <x:v>81</x:v>
      </x:c>
      <x:c r="N183" s="60" t="n">
        <x:v>81</x:v>
      </x:c>
      <x:c r="O183" s="60" t="n">
        <x:v>80</x:v>
      </x:c>
      <x:c r="P183" s="60" t="n">
        <x:v>81</x:v>
      </x:c>
      <x:c r="Q183" s="60" t="n">
        <x:v>13</x:v>
      </x:c>
      <x:c r="R183" s="59" t="n">
        <x:v>5</x:v>
      </x:c>
      <x:c r="S183" s="60" t="n">
        <x:v>80.5</x:v>
      </x:c>
      <x:c r="T183" s="60" t="n">
        <x:v>81.4</x:v>
      </x:c>
      <x:c r="U183" s="60" t="n">
        <x:v>80.95</x:v>
      </x:c>
      <x:c r="V183" s="60" t="n">
        <x:v>80</x:v>
      </x:c>
      <x:c r="W183" s="60" t="n">
        <x:v>80.1</x:v>
      </x:c>
      <x:c r="X183" s="60" t="n">
        <x:v>81</x:v>
      </x:c>
      <x:c r="Y183" s="60" t="n">
        <x:v>81.1</x:v>
      </x:c>
      <x:c r="Z183" s="60" t="n">
        <x:v>80.1</x:v>
      </x:c>
      <x:c r="AA183" s="60" t="n">
        <x:v>81</x:v>
      </x:c>
      <x:c r="AB183" s="60" t="n">
        <x:v>13</x:v>
      </x:c>
      <x:c r="AC183" s="60" t="n">
        <x:f>ROUND(((0.30*V183+0.20*W183+0.25*X183+0.15*Y183+0.10*AA183)+(0.30*Z183+0.20*X183+0.20*W183+0.15*AA183+0.15*(100-AB183)))/2,2)</x:f>
        <x:v>80.99</x:v>
      </x:c>
      <x:c r="AD183" s="60" t="n">
        <x:v>80</x:v>
      </x:c>
      <x:c r="AE183" s="60" t="n">
        <x:v>80.1</x:v>
      </x:c>
      <x:c r="AF183" s="60" t="n">
        <x:v>81</x:v>
      </x:c>
      <x:c r="AG183" s="60" t="n">
        <x:v>81.1</x:v>
      </x:c>
      <x:c r="AH183" s="60" t="n">
        <x:v>80</x:v>
      </x:c>
      <x:c r="AI183" s="60" t="n">
        <x:v>81</x:v>
      </x:c>
      <x:c r="AJ183" s="60" t="n">
        <x:v>13</x:v>
      </x:c>
      <x:c r="AK183" s="60" t="n">
        <x:f>ROUND(((0.30*AD183+0.20*AE183+0.25*AF183+0.15*AG183+0.10*AI183)+(0.30*AH183+0.20*AF183+0.20*AE183+0.15*AI183+0.15*(100-AJ183)))/2,2)</x:f>
        <x:v>80.98</x:v>
      </x:c>
      <x:c r="AL183" s="60" t="n">
        <x:v>80</x:v>
      </x:c>
      <x:c r="AM183" s="60" t="n">
        <x:v>80.1</x:v>
      </x:c>
      <x:c r="AN183" s="60" t="n">
        <x:v>81</x:v>
      </x:c>
      <x:c r="AO183" s="60" t="n">
        <x:v>81.1</x:v>
      </x:c>
      <x:c r="AP183" s="60" t="n">
        <x:v>80.1</x:v>
      </x:c>
      <x:c r="AQ183" s="60" t="n">
        <x:v>81</x:v>
      </x:c>
      <x:c r="AR183" s="60" t="n">
        <x:v>13</x:v>
      </x:c>
      <x:c r="AS183" s="60" t="n">
        <x:f>ROUND(((0.30*AL183+0.20*AM183+0.25*AN183+0.15*AO183+0.10*AQ183)+(0.30*AP183+0.20*AN183+0.20*AM183+0.15*AQ183+0.15*(100-AR183)))/2,2)</x:f>
        <x:v>80.99</x:v>
      </x:c>
      <x:c r="AT183" s="60" t="n">
        <x:f>ROUND(AVERAGE(V183,AD183,AL183),1)</x:f>
        <x:v>80</x:v>
      </x:c>
      <x:c r="AU183" s="60" t="n">
        <x:f>ROUND(AVERAGE(W183,AE183,AM183),1)</x:f>
        <x:v>80.1</x:v>
      </x:c>
      <x:c r="AV183" s="60" t="n">
        <x:f>ROUND(AVERAGE(X183,AF183,AN183),1)</x:f>
        <x:v>81</x:v>
      </x:c>
      <x:c r="AW183" s="60" t="n">
        <x:f>ROUND(AVERAGE(Y183,AG183,AO183),1)</x:f>
        <x:v>81.1</x:v>
      </x:c>
      <x:c r="AX183" s="60" t="n">
        <x:f>ROUND(AVERAGE(Z183,AH183,AP183),1)</x:f>
        <x:v>80.1</x:v>
      </x:c>
      <x:c r="AY183" s="60" t="n">
        <x:f>ROUND(AVERAGE(AA183,AI183,AQ183),1)</x:f>
        <x:v>81</x:v>
      </x:c>
      <x:c r="AZ183" s="60" t="n">
        <x:f>ROUND(AVERAGE(AB183,AJ183,AR183),1)</x:f>
        <x:v>13</x:v>
      </x:c>
      <x:c r="BA183" s="59" t="n">
        <x:v>5</x:v>
      </x:c>
      <x:c r="BB183" s="60" t="n">
        <x:f>ROUND(0.30*AT183+0.20*AU183+0.25*AV183+0.15*AW183+0.10*AY183,2)</x:f>
        <x:v>80.54</x:v>
      </x:c>
      <x:c r="BC183" s="60" t="n">
        <x:f>ROUND(0.30*AX183+0.20*AV183+0.20*AU183+0.15*AY183+0.15*(100-AZ183),2)</x:f>
        <x:v>81.45</x:v>
      </x:c>
      <x:c r="BD183" s="60" t="n">
        <x:f>ROUND(AVERAGE(BB183,BC183),2)</x:f>
        <x:v>81</x:v>
      </x:c>
      <x:c r="BE183" s="60" t="n">
        <x:f>ROUND(BD183-U183,2)</x:f>
        <x:v>0.05</x:v>
      </x:c>
      <x:c r="BF183" s="60" t="n">
        <x:f>ROUND(STDEV.P(AC183,AK183,AS183),3)</x:f>
        <x:v>0.005</x:v>
      </x:c>
      <x:c r="BG183" s="59" t="str"/>
      <x:c r="BH183" s="59" t="str">
        <x:v>30%评分池轻量复核</x:v>
      </x:c>
      <x:c r="BI183" s="40" t="str">
        <x:v>三轮复核后与原表基本一致</x:v>
      </x:c>
    </x:row>
    <x:row r="184" ht="30" customHeight="1">
      <x:c r="A184" s="59" t="n">
        <x:v>183</x:v>
      </x:c>
      <x:c r="B184" s="59" t="n">
        <x:v>183</x:v>
      </x:c>
      <x:c r="C184" s="59" t="str">
        <x:v>2026-06</x:v>
      </x:c>
      <x:c r="D184" s="59" t="n">
        <x:v>92</x:v>
      </x:c>
      <x:c r="E184" s="59" t="str">
        <x:v>2606.07236</x:v>
      </x:c>
      <x:c r="F184" s="40" t="str">
        <x:v>Moving One-Component Regularity Criteria for the 3D Incompressible MHD Equations</x:v>
      </x:c>
      <x:c r="G184" s="40" t="str">
        <x:v>Maotuo Guo</x:v>
      </x:c>
      <x:c r="H184" s="40" t="str">
        <x:v>fluid/kinetic PDE</x:v>
      </x:c>
      <x:c r="I184" s="59"/>
      <x:c r="J184" s="40" t="str">
        <x:v>https://arxiv.org/abs/2606.07236</x:v>
      </x:c>
      <x:c r="K184" s="60" t="n">
        <x:v>80</x:v>
      </x:c>
      <x:c r="L184" s="60" t="n">
        <x:v>80</x:v>
      </x:c>
      <x:c r="M184" s="60" t="n">
        <x:v>81</x:v>
      </x:c>
      <x:c r="N184" s="60" t="n">
        <x:v>79</x:v>
      </x:c>
      <x:c r="O184" s="60" t="n">
        <x:v>81</x:v>
      </x:c>
      <x:c r="P184" s="60" t="n">
        <x:v>81</x:v>
      </x:c>
      <x:c r="Q184" s="60" t="n">
        <x:v>13</x:v>
      </x:c>
      <x:c r="R184" s="59" t="n">
        <x:v>5</x:v>
      </x:c>
      <x:c r="S184" s="60" t="n">
        <x:v>80.19999999999999</x:v>
      </x:c>
      <x:c r="T184" s="60" t="n">
        <x:v>81.7</x:v>
      </x:c>
      <x:c r="U184" s="60" t="n">
        <x:v>80.94999999999999</x:v>
      </x:c>
      <x:c r="V184" s="60" t="n">
        <x:v>80</x:v>
      </x:c>
      <x:c r="W184" s="60" t="n">
        <x:v>80</x:v>
      </x:c>
      <x:c r="X184" s="60" t="n">
        <x:v>81</x:v>
      </x:c>
      <x:c r="Y184" s="60" t="n">
        <x:v>79</x:v>
      </x:c>
      <x:c r="Z184" s="60" t="n">
        <x:v>81</x:v>
      </x:c>
      <x:c r="AA184" s="60" t="n">
        <x:v>81</x:v>
      </x:c>
      <x:c r="AB184" s="60" t="n">
        <x:v>13</x:v>
      </x:c>
      <x:c r="AC184" s="60" t="n">
        <x:f>ROUND(((0.30*V184+0.20*W184+0.25*X184+0.15*Y184+0.10*AA184)+(0.30*Z184+0.20*X184+0.20*W184+0.15*AA184+0.15*(100-AB184)))/2,2)</x:f>
        <x:v>80.95</x:v>
      </x:c>
      <x:c r="AD184" s="60" t="n">
        <x:v>80</x:v>
      </x:c>
      <x:c r="AE184" s="60" t="n">
        <x:v>80</x:v>
      </x:c>
      <x:c r="AF184" s="60" t="n">
        <x:v>81</x:v>
      </x:c>
      <x:c r="AG184" s="60" t="n">
        <x:v>79</x:v>
      </x:c>
      <x:c r="AH184" s="60" t="n">
        <x:v>81</x:v>
      </x:c>
      <x:c r="AI184" s="60" t="n">
        <x:v>81</x:v>
      </x:c>
      <x:c r="AJ184" s="60" t="n">
        <x:v>13</x:v>
      </x:c>
      <x:c r="AK184" s="60" t="n">
        <x:f>ROUND(((0.30*AD184+0.20*AE184+0.25*AF184+0.15*AG184+0.10*AI184)+(0.30*AH184+0.20*AF184+0.20*AE184+0.15*AI184+0.15*(100-AJ184)))/2,2)</x:f>
        <x:v>80.95</x:v>
      </x:c>
      <x:c r="AL184" s="60" t="n">
        <x:v>80</x:v>
      </x:c>
      <x:c r="AM184" s="60" t="n">
        <x:v>80</x:v>
      </x:c>
      <x:c r="AN184" s="60" t="n">
        <x:v>81</x:v>
      </x:c>
      <x:c r="AO184" s="60" t="n">
        <x:v>79</x:v>
      </x:c>
      <x:c r="AP184" s="60" t="n">
        <x:v>81</x:v>
      </x:c>
      <x:c r="AQ184" s="60" t="n">
        <x:v>81</x:v>
      </x:c>
      <x:c r="AR184" s="60" t="n">
        <x:v>13</x:v>
      </x:c>
      <x:c r="AS184" s="60" t="n">
        <x:f>ROUND(((0.30*AL184+0.20*AM184+0.25*AN184+0.15*AO184+0.10*AQ184)+(0.30*AP184+0.20*AN184+0.20*AM184+0.15*AQ184+0.15*(100-AR184)))/2,2)</x:f>
        <x:v>80.95</x:v>
      </x:c>
      <x:c r="AT184" s="60" t="n">
        <x:f>ROUND(AVERAGE(V184,AD184,AL184),1)</x:f>
        <x:v>80</x:v>
      </x:c>
      <x:c r="AU184" s="60" t="n">
        <x:f>ROUND(AVERAGE(W184,AE184,AM184),1)</x:f>
        <x:v>80</x:v>
      </x:c>
      <x:c r="AV184" s="60" t="n">
        <x:f>ROUND(AVERAGE(X184,AF184,AN184),1)</x:f>
        <x:v>81</x:v>
      </x:c>
      <x:c r="AW184" s="60" t="n">
        <x:f>ROUND(AVERAGE(Y184,AG184,AO184),1)</x:f>
        <x:v>79</x:v>
      </x:c>
      <x:c r="AX184" s="60" t="n">
        <x:f>ROUND(AVERAGE(Z184,AH184,AP184),1)</x:f>
        <x:v>81</x:v>
      </x:c>
      <x:c r="AY184" s="60" t="n">
        <x:f>ROUND(AVERAGE(AA184,AI184,AQ184),1)</x:f>
        <x:v>81</x:v>
      </x:c>
      <x:c r="AZ184" s="60" t="n">
        <x:f>ROUND(AVERAGE(AB184,AJ184,AR184),1)</x:f>
        <x:v>13</x:v>
      </x:c>
      <x:c r="BA184" s="59" t="n">
        <x:v>5</x:v>
      </x:c>
      <x:c r="BB184" s="60" t="n">
        <x:f>ROUND(0.30*AT184+0.20*AU184+0.25*AV184+0.15*AW184+0.10*AY184,2)</x:f>
        <x:v>80.2</x:v>
      </x:c>
      <x:c r="BC184" s="60" t="n">
        <x:f>ROUND(0.30*AX184+0.20*AV184+0.20*AU184+0.15*AY184+0.15*(100-AZ184),2)</x:f>
        <x:v>81.7</x:v>
      </x:c>
      <x:c r="BD184" s="60" t="n">
        <x:f>ROUND(AVERAGE(BB184,BC184),2)</x:f>
        <x:v>80.95</x:v>
      </x:c>
      <x:c r="BE184" s="60" t="n">
        <x:f>ROUND(BD184-U184,2)</x:f>
        <x:v>0</x:v>
      </x:c>
      <x:c r="BF184" s="60" t="n">
        <x:f>ROUND(STDEV.P(AC184,AK184,AS184),3)</x:f>
        <x:v>0</x:v>
      </x:c>
      <x:c r="BG184" s="59" t="str"/>
      <x:c r="BH184" s="59" t="str">
        <x:v>30%评分池轻量复核</x:v>
      </x:c>
      <x:c r="BI184" s="40" t="str">
        <x:v>三轮复核后与原表基本一致</x:v>
      </x:c>
    </x:row>
    <x:row r="185" ht="30" customHeight="1">
      <x:c r="A185" s="59" t="n">
        <x:v>184</x:v>
      </x:c>
      <x:c r="B185" s="59" t="n">
        <x:v>184</x:v>
      </x:c>
      <x:c r="C185" s="59" t="str">
        <x:v>2026-06</x:v>
      </x:c>
      <x:c r="D185" s="59" t="n">
        <x:v>92</x:v>
      </x:c>
      <x:c r="E185" s="59" t="str">
        <x:v>2606.07203</x:v>
      </x:c>
      <x:c r="F185" s="40" t="str">
        <x:v>Gradient Regularity for Fully Nonlinear Equations with Variable Degeneracy and Hamiltonian Lower-Order Terms</x:v>
      </x:c>
      <x:c r="G185" s="40" t="str">
        <x:v>Gleiciano Cosmo; Rafael R. Costa; Diego Marcon</x:v>
      </x:c>
      <x:c r="H185" s="40" t="str">
        <x:v>elliptic/parabolic regularity</x:v>
      </x:c>
      <x:c r="I185" s="59"/>
      <x:c r="J185" s="40" t="str">
        <x:v>https://arxiv.org/abs/2606.07203</x:v>
      </x:c>
      <x:c r="K185" s="60" t="n">
        <x:v>80</x:v>
      </x:c>
      <x:c r="L185" s="60" t="n">
        <x:v>80</x:v>
      </x:c>
      <x:c r="M185" s="60" t="n">
        <x:v>81</x:v>
      </x:c>
      <x:c r="N185" s="60" t="n">
        <x:v>79</x:v>
      </x:c>
      <x:c r="O185" s="60" t="n">
        <x:v>81</x:v>
      </x:c>
      <x:c r="P185" s="60" t="n">
        <x:v>81</x:v>
      </x:c>
      <x:c r="Q185" s="60" t="n">
        <x:v>13</x:v>
      </x:c>
      <x:c r="R185" s="59" t="n">
        <x:v>5</x:v>
      </x:c>
      <x:c r="S185" s="60" t="n">
        <x:v>80.19999999999999</x:v>
      </x:c>
      <x:c r="T185" s="60" t="n">
        <x:v>81.7</x:v>
      </x:c>
      <x:c r="U185" s="60" t="n">
        <x:v>80.94999999999999</x:v>
      </x:c>
      <x:c r="V185" s="60" t="n">
        <x:v>80</x:v>
      </x:c>
      <x:c r="W185" s="60" t="n">
        <x:v>80</x:v>
      </x:c>
      <x:c r="X185" s="60" t="n">
        <x:v>81</x:v>
      </x:c>
      <x:c r="Y185" s="60" t="n">
        <x:v>79</x:v>
      </x:c>
      <x:c r="Z185" s="60" t="n">
        <x:v>81</x:v>
      </x:c>
      <x:c r="AA185" s="60" t="n">
        <x:v>81</x:v>
      </x:c>
      <x:c r="AB185" s="60" t="n">
        <x:v>13</x:v>
      </x:c>
      <x:c r="AC185" s="60" t="n">
        <x:f>ROUND(((0.30*V185+0.20*W185+0.25*X185+0.15*Y185+0.10*AA185)+(0.30*Z185+0.20*X185+0.20*W185+0.15*AA185+0.15*(100-AB185)))/2,2)</x:f>
        <x:v>80.95</x:v>
      </x:c>
      <x:c r="AD185" s="60" t="n">
        <x:v>80</x:v>
      </x:c>
      <x:c r="AE185" s="60" t="n">
        <x:v>80</x:v>
      </x:c>
      <x:c r="AF185" s="60" t="n">
        <x:v>81</x:v>
      </x:c>
      <x:c r="AG185" s="60" t="n">
        <x:v>79</x:v>
      </x:c>
      <x:c r="AH185" s="60" t="n">
        <x:v>81</x:v>
      </x:c>
      <x:c r="AI185" s="60" t="n">
        <x:v>81</x:v>
      </x:c>
      <x:c r="AJ185" s="60" t="n">
        <x:v>13</x:v>
      </x:c>
      <x:c r="AK185" s="60" t="n">
        <x:f>ROUND(((0.30*AD185+0.20*AE185+0.25*AF185+0.15*AG185+0.10*AI185)+(0.30*AH185+0.20*AF185+0.20*AE185+0.15*AI185+0.15*(100-AJ185)))/2,2)</x:f>
        <x:v>80.95</x:v>
      </x:c>
      <x:c r="AL185" s="60" t="n">
        <x:v>80</x:v>
      </x:c>
      <x:c r="AM185" s="60" t="n">
        <x:v>80</x:v>
      </x:c>
      <x:c r="AN185" s="60" t="n">
        <x:v>81</x:v>
      </x:c>
      <x:c r="AO185" s="60" t="n">
        <x:v>79</x:v>
      </x:c>
      <x:c r="AP185" s="60" t="n">
        <x:v>81</x:v>
      </x:c>
      <x:c r="AQ185" s="60" t="n">
        <x:v>81</x:v>
      </x:c>
      <x:c r="AR185" s="60" t="n">
        <x:v>13</x:v>
      </x:c>
      <x:c r="AS185" s="60" t="n">
        <x:f>ROUND(((0.30*AL185+0.20*AM185+0.25*AN185+0.15*AO185+0.10*AQ185)+(0.30*AP185+0.20*AN185+0.20*AM185+0.15*AQ185+0.15*(100-AR185)))/2,2)</x:f>
        <x:v>80.95</x:v>
      </x:c>
      <x:c r="AT185" s="60" t="n">
        <x:f>ROUND(AVERAGE(V185,AD185,AL185),1)</x:f>
        <x:v>80</x:v>
      </x:c>
      <x:c r="AU185" s="60" t="n">
        <x:f>ROUND(AVERAGE(W185,AE185,AM185),1)</x:f>
        <x:v>80</x:v>
      </x:c>
      <x:c r="AV185" s="60" t="n">
        <x:f>ROUND(AVERAGE(X185,AF185,AN185),1)</x:f>
        <x:v>81</x:v>
      </x:c>
      <x:c r="AW185" s="60" t="n">
        <x:f>ROUND(AVERAGE(Y185,AG185,AO185),1)</x:f>
        <x:v>79</x:v>
      </x:c>
      <x:c r="AX185" s="60" t="n">
        <x:f>ROUND(AVERAGE(Z185,AH185,AP185),1)</x:f>
        <x:v>81</x:v>
      </x:c>
      <x:c r="AY185" s="60" t="n">
        <x:f>ROUND(AVERAGE(AA185,AI185,AQ185),1)</x:f>
        <x:v>81</x:v>
      </x:c>
      <x:c r="AZ185" s="60" t="n">
        <x:f>ROUND(AVERAGE(AB185,AJ185,AR185),1)</x:f>
        <x:v>13</x:v>
      </x:c>
      <x:c r="BA185" s="59" t="n">
        <x:v>5</x:v>
      </x:c>
      <x:c r="BB185" s="60" t="n">
        <x:f>ROUND(0.30*AT185+0.20*AU185+0.25*AV185+0.15*AW185+0.10*AY185,2)</x:f>
        <x:v>80.2</x:v>
      </x:c>
      <x:c r="BC185" s="60" t="n">
        <x:f>ROUND(0.30*AX185+0.20*AV185+0.20*AU185+0.15*AY185+0.15*(100-AZ185),2)</x:f>
        <x:v>81.7</x:v>
      </x:c>
      <x:c r="BD185" s="60" t="n">
        <x:f>ROUND(AVERAGE(BB185,BC185),2)</x:f>
        <x:v>80.95</x:v>
      </x:c>
      <x:c r="BE185" s="60" t="n">
        <x:f>ROUND(BD185-U185,2)</x:f>
        <x:v>0</x:v>
      </x:c>
      <x:c r="BF185" s="60" t="n">
        <x:f>ROUND(STDEV.P(AC185,AK185,AS185),3)</x:f>
        <x:v>0</x:v>
      </x:c>
      <x:c r="BG185" s="59" t="str"/>
      <x:c r="BH185" s="59" t="str">
        <x:v>30%评分池轻量复核</x:v>
      </x:c>
      <x:c r="BI185" s="40" t="str">
        <x:v>三轮复核后与原表基本一致</x:v>
      </x:c>
    </x:row>
    <x:row r="186" ht="30" customHeight="1">
      <x:c r="A186" s="59" t="n">
        <x:v>185</x:v>
      </x:c>
      <x:c r="B186" s="59" t="n">
        <x:v>185</x:v>
      </x:c>
      <x:c r="C186" s="59" t="str">
        <x:v>2026-06</x:v>
      </x:c>
      <x:c r="D186" s="59" t="n">
        <x:v>94</x:v>
      </x:c>
      <x:c r="E186" s="59" t="str">
        <x:v>2606.06654</x:v>
      </x:c>
      <x:c r="F186" s="40" t="str">
        <x:v>Euler Immersion</x:v>
      </x:c>
      <x:c r="G186" s="40" t="str">
        <x:v>Igor Kukavica; Amjad Tuffaha; Qi Xu</x:v>
      </x:c>
      <x:c r="H186" s="40" t="str">
        <x:v>fluid/kinetic PDE</x:v>
      </x:c>
      <x:c r="I186" s="59"/>
      <x:c r="J186" s="40" t="str">
        <x:v>https://arxiv.org/abs/2606.06654</x:v>
      </x:c>
      <x:c r="K186" s="60" t="n">
        <x:v>81</x:v>
      </x:c>
      <x:c r="L186" s="60" t="n">
        <x:v>80</x:v>
      </x:c>
      <x:c r="M186" s="60" t="n">
        <x:v>80</x:v>
      </x:c>
      <x:c r="N186" s="60" t="n">
        <x:v>80</x:v>
      </x:c>
      <x:c r="O186" s="60" t="n">
        <x:v>81</x:v>
      </x:c>
      <x:c r="P186" s="60" t="n">
        <x:v>80</x:v>
      </x:c>
      <x:c r="Q186" s="60" t="n">
        <x:v>13</x:v>
      </x:c>
      <x:c r="R186" s="59" t="n">
        <x:v>5</x:v>
      </x:c>
      <x:c r="S186" s="60" t="n">
        <x:v>80.3</x:v>
      </x:c>
      <x:c r="T186" s="60" t="n">
        <x:v>81.35</x:v>
      </x:c>
      <x:c r="U186" s="60" t="n">
        <x:v>80.82499999999999</x:v>
      </x:c>
      <x:c r="V186" s="60" t="n">
        <x:v>81.1</x:v>
      </x:c>
      <x:c r="W186" s="60" t="n">
        <x:v>80</x:v>
      </x:c>
      <x:c r="X186" s="60" t="n">
        <x:v>80.1</x:v>
      </x:c>
      <x:c r="Y186" s="60" t="n">
        <x:v>80</x:v>
      </x:c>
      <x:c r="Z186" s="60" t="n">
        <x:v>81.1</x:v>
      </x:c>
      <x:c r="AA186" s="60" t="n">
        <x:v>80</x:v>
      </x:c>
      <x:c r="AB186" s="60" t="n">
        <x:v>13</x:v>
      </x:c>
      <x:c r="AC186" s="60" t="n">
        <x:f>ROUND(((0.30*V186+0.20*W186+0.25*X186+0.15*Y186+0.10*AA186)+(0.30*Z186+0.20*X186+0.20*W186+0.15*AA186+0.15*(100-AB186)))/2,2)</x:f>
        <x:v>80.88</x:v>
      </x:c>
      <x:c r="AD186" s="60" t="n">
        <x:v>81</x:v>
      </x:c>
      <x:c r="AE186" s="60" t="n">
        <x:v>80</x:v>
      </x:c>
      <x:c r="AF186" s="60" t="n">
        <x:v>80</x:v>
      </x:c>
      <x:c r="AG186" s="60" t="n">
        <x:v>80</x:v>
      </x:c>
      <x:c r="AH186" s="60" t="n">
        <x:v>81</x:v>
      </x:c>
      <x:c r="AI186" s="60" t="n">
        <x:v>80</x:v>
      </x:c>
      <x:c r="AJ186" s="60" t="n">
        <x:v>13</x:v>
      </x:c>
      <x:c r="AK186" s="60" t="n">
        <x:f>ROUND(((0.30*AD186+0.20*AE186+0.25*AF186+0.15*AG186+0.10*AI186)+(0.30*AH186+0.20*AF186+0.20*AE186+0.15*AI186+0.15*(100-AJ186)))/2,2)</x:f>
        <x:v>80.82</x:v>
      </x:c>
      <x:c r="AL186" s="60" t="n">
        <x:v>81</x:v>
      </x:c>
      <x:c r="AM186" s="60" t="n">
        <x:v>80</x:v>
      </x:c>
      <x:c r="AN186" s="60" t="n">
        <x:v>80.1</x:v>
      </x:c>
      <x:c r="AO186" s="60" t="n">
        <x:v>80</x:v>
      </x:c>
      <x:c r="AP186" s="60" t="n">
        <x:v>81</x:v>
      </x:c>
      <x:c r="AQ186" s="60" t="n">
        <x:v>80</x:v>
      </x:c>
      <x:c r="AR186" s="60" t="n">
        <x:v>13</x:v>
      </x:c>
      <x:c r="AS186" s="60" t="n">
        <x:f>ROUND(((0.30*AL186+0.20*AM186+0.25*AN186+0.15*AO186+0.10*AQ186)+(0.30*AP186+0.20*AN186+0.20*AM186+0.15*AQ186+0.15*(100-AR186)))/2,2)</x:f>
        <x:v>80.85</x:v>
      </x:c>
      <x:c r="AT186" s="60" t="n">
        <x:f>ROUND(AVERAGE(V186,AD186,AL186),1)</x:f>
        <x:v>81</x:v>
      </x:c>
      <x:c r="AU186" s="60" t="n">
        <x:f>ROUND(AVERAGE(W186,AE186,AM186),1)</x:f>
        <x:v>80</x:v>
      </x:c>
      <x:c r="AV186" s="60" t="n">
        <x:f>ROUND(AVERAGE(X186,AF186,AN186),1)</x:f>
        <x:v>80.1</x:v>
      </x:c>
      <x:c r="AW186" s="60" t="n">
        <x:f>ROUND(AVERAGE(Y186,AG186,AO186),1)</x:f>
        <x:v>80</x:v>
      </x:c>
      <x:c r="AX186" s="60" t="n">
        <x:f>ROUND(AVERAGE(Z186,AH186,AP186),1)</x:f>
        <x:v>81</x:v>
      </x:c>
      <x:c r="AY186" s="60" t="n">
        <x:f>ROUND(AVERAGE(AA186,AI186,AQ186),1)</x:f>
        <x:v>80</x:v>
      </x:c>
      <x:c r="AZ186" s="60" t="n">
        <x:f>ROUND(AVERAGE(AB186,AJ186,AR186),1)</x:f>
        <x:v>13</x:v>
      </x:c>
      <x:c r="BA186" s="59" t="n">
        <x:v>5</x:v>
      </x:c>
      <x:c r="BB186" s="60" t="n">
        <x:f>ROUND(0.30*AT186+0.20*AU186+0.25*AV186+0.15*AW186+0.10*AY186,2)</x:f>
        <x:v>80.32</x:v>
      </x:c>
      <x:c r="BC186" s="60" t="n">
        <x:f>ROUND(0.30*AX186+0.20*AV186+0.20*AU186+0.15*AY186+0.15*(100-AZ186),2)</x:f>
        <x:v>81.37</x:v>
      </x:c>
      <x:c r="BD186" s="60" t="n">
        <x:f>ROUND(AVERAGE(BB186,BC186),2)</x:f>
        <x:v>80.85</x:v>
      </x:c>
      <x:c r="BE186" s="60" t="n">
        <x:f>ROUND(BD186-U186,2)</x:f>
        <x:v>0.03</x:v>
      </x:c>
      <x:c r="BF186" s="60" t="n">
        <x:f>ROUND(STDEV.P(AC186,AK186,AS186),3)</x:f>
        <x:v>0.024</x:v>
      </x:c>
      <x:c r="BG186" s="59" t="str"/>
      <x:c r="BH186" s="59" t="str">
        <x:v>30%评分池轻量复核</x:v>
      </x:c>
      <x:c r="BI186" s="40" t="str">
        <x:v>三轮复核后与原表基本一致</x:v>
      </x:c>
    </x:row>
    <x:row r="187" ht="30" customHeight="1">
      <x:c r="A187" s="59" t="n">
        <x:v>186</x:v>
      </x:c>
      <x:c r="B187" s="59" t="n">
        <x:v>186</x:v>
      </x:c>
      <x:c r="C187" s="59" t="str">
        <x:v>2026-06</x:v>
      </x:c>
      <x:c r="D187" s="59" t="n">
        <x:v>95</x:v>
      </x:c>
      <x:c r="E187" s="59" t="str">
        <x:v>2606.08257</x:v>
      </x:c>
      <x:c r="F187" s="40" t="str">
        <x:v>Infinity-harmonic functions in the plane: Regularity by injectivity</x:v>
      </x:c>
      <x:c r="G187" s="40" t="str">
        <x:v>Karl K. Brustad</x:v>
      </x:c>
      <x:c r="H187" s="40" t="str">
        <x:v>elliptic/parabolic regularity</x:v>
      </x:c>
      <x:c r="I187" s="59"/>
      <x:c r="J187" s="40" t="str">
        <x:v>https://arxiv.org/abs/2606.08257</x:v>
      </x:c>
      <x:c r="K187" s="60" t="n">
        <x:v>80</x:v>
      </x:c>
      <x:c r="L187" s="60" t="n">
        <x:v>80</x:v>
      </x:c>
      <x:c r="M187" s="60" t="n">
        <x:v>81</x:v>
      </x:c>
      <x:c r="N187" s="60" t="n">
        <x:v>79</x:v>
      </x:c>
      <x:c r="O187" s="60" t="n">
        <x:v>81</x:v>
      </x:c>
      <x:c r="P187" s="60" t="n">
        <x:v>80</x:v>
      </x:c>
      <x:c r="Q187" s="60" t="n">
        <x:v>13</x:v>
      </x:c>
      <x:c r="R187" s="59" t="n">
        <x:v>5</x:v>
      </x:c>
      <x:c r="S187" s="60" t="n">
        <x:v>80.1</x:v>
      </x:c>
      <x:c r="T187" s="60" t="n">
        <x:v>81.55</x:v>
      </x:c>
      <x:c r="U187" s="60" t="n">
        <x:v>80.82499999999999</x:v>
      </x:c>
      <x:c r="V187" s="60" t="n">
        <x:v>80</x:v>
      </x:c>
      <x:c r="W187" s="60" t="n">
        <x:v>80</x:v>
      </x:c>
      <x:c r="X187" s="60" t="n">
        <x:v>81</x:v>
      </x:c>
      <x:c r="Y187" s="60" t="n">
        <x:v>79</x:v>
      </x:c>
      <x:c r="Z187" s="60" t="n">
        <x:v>81</x:v>
      </x:c>
      <x:c r="AA187" s="60" t="n">
        <x:v>80</x:v>
      </x:c>
      <x:c r="AB187" s="60" t="n">
        <x:v>13</x:v>
      </x:c>
      <x:c r="AC187" s="60" t="n">
        <x:f>ROUND(((0.30*V187+0.20*W187+0.25*X187+0.15*Y187+0.10*AA187)+(0.30*Z187+0.20*X187+0.20*W187+0.15*AA187+0.15*(100-AB187)))/2,2)</x:f>
        <x:v>80.82</x:v>
      </x:c>
      <x:c r="AD187" s="60" t="n">
        <x:v>80</x:v>
      </x:c>
      <x:c r="AE187" s="60" t="n">
        <x:v>80</x:v>
      </x:c>
      <x:c r="AF187" s="60" t="n">
        <x:v>81</x:v>
      </x:c>
      <x:c r="AG187" s="60" t="n">
        <x:v>79</x:v>
      </x:c>
      <x:c r="AH187" s="60" t="n">
        <x:v>81</x:v>
      </x:c>
      <x:c r="AI187" s="60" t="n">
        <x:v>80</x:v>
      </x:c>
      <x:c r="AJ187" s="60" t="n">
        <x:v>13</x:v>
      </x:c>
      <x:c r="AK187" s="60" t="n">
        <x:f>ROUND(((0.30*AD187+0.20*AE187+0.25*AF187+0.15*AG187+0.10*AI187)+(0.30*AH187+0.20*AF187+0.20*AE187+0.15*AI187+0.15*(100-AJ187)))/2,2)</x:f>
        <x:v>80.82</x:v>
      </x:c>
      <x:c r="AL187" s="60" t="n">
        <x:v>80</x:v>
      </x:c>
      <x:c r="AM187" s="60" t="n">
        <x:v>80</x:v>
      </x:c>
      <x:c r="AN187" s="60" t="n">
        <x:v>81</x:v>
      </x:c>
      <x:c r="AO187" s="60" t="n">
        <x:v>79</x:v>
      </x:c>
      <x:c r="AP187" s="60" t="n">
        <x:v>81</x:v>
      </x:c>
      <x:c r="AQ187" s="60" t="n">
        <x:v>80</x:v>
      </x:c>
      <x:c r="AR187" s="60" t="n">
        <x:v>13</x:v>
      </x:c>
      <x:c r="AS187" s="60" t="n">
        <x:f>ROUND(((0.30*AL187+0.20*AM187+0.25*AN187+0.15*AO187+0.10*AQ187)+(0.30*AP187+0.20*AN187+0.20*AM187+0.15*AQ187+0.15*(100-AR187)))/2,2)</x:f>
        <x:v>80.82</x:v>
      </x:c>
      <x:c r="AT187" s="60" t="n">
        <x:f>ROUND(AVERAGE(V187,AD187,AL187),1)</x:f>
        <x:v>80</x:v>
      </x:c>
      <x:c r="AU187" s="60" t="n">
        <x:f>ROUND(AVERAGE(W187,AE187,AM187),1)</x:f>
        <x:v>80</x:v>
      </x:c>
      <x:c r="AV187" s="60" t="n">
        <x:f>ROUND(AVERAGE(X187,AF187,AN187),1)</x:f>
        <x:v>81</x:v>
      </x:c>
      <x:c r="AW187" s="60" t="n">
        <x:f>ROUND(AVERAGE(Y187,AG187,AO187),1)</x:f>
        <x:v>79</x:v>
      </x:c>
      <x:c r="AX187" s="60" t="n">
        <x:f>ROUND(AVERAGE(Z187,AH187,AP187),1)</x:f>
        <x:v>81</x:v>
      </x:c>
      <x:c r="AY187" s="60" t="n">
        <x:f>ROUND(AVERAGE(AA187,AI187,AQ187),1)</x:f>
        <x:v>80</x:v>
      </x:c>
      <x:c r="AZ187" s="60" t="n">
        <x:f>ROUND(AVERAGE(AB187,AJ187,AR187),1)</x:f>
        <x:v>13</x:v>
      </x:c>
      <x:c r="BA187" s="59" t="n">
        <x:v>5</x:v>
      </x:c>
      <x:c r="BB187" s="60" t="n">
        <x:f>ROUND(0.30*AT187+0.20*AU187+0.25*AV187+0.15*AW187+0.10*AY187,2)</x:f>
        <x:v>80.1</x:v>
      </x:c>
      <x:c r="BC187" s="60" t="n">
        <x:f>ROUND(0.30*AX187+0.20*AV187+0.20*AU187+0.15*AY187+0.15*(100-AZ187),2)</x:f>
        <x:v>81.55</x:v>
      </x:c>
      <x:c r="BD187" s="60" t="n">
        <x:f>ROUND(AVERAGE(BB187,BC187),2)</x:f>
        <x:v>80.82</x:v>
      </x:c>
      <x:c r="BE187" s="60" t="n">
        <x:f>ROUND(BD187-U187,2)</x:f>
        <x:v>0</x:v>
      </x:c>
      <x:c r="BF187" s="60" t="n">
        <x:f>ROUND(STDEV.P(AC187,AK187,AS187),3)</x:f>
        <x:v>0</x:v>
      </x:c>
      <x:c r="BG187" s="59" t="str"/>
      <x:c r="BH187" s="59" t="str">
        <x:v>30%评分池轻量复核</x:v>
      </x:c>
      <x:c r="BI187" s="40" t="str">
        <x:v>三轮复核后与原表基本一致</x:v>
      </x:c>
    </x:row>
    <x:row r="188" ht="30" customHeight="1">
      <x:c r="A188" s="59" t="n">
        <x:v>187</x:v>
      </x:c>
      <x:c r="B188" s="59" t="n">
        <x:v>187</x:v>
      </x:c>
      <x:c r="C188" s="59" t="str">
        <x:v>2026-06</x:v>
      </x:c>
      <x:c r="D188" s="59" t="n">
        <x:v>96</x:v>
      </x:c>
      <x:c r="E188" s="59" t="str">
        <x:v>2606.11159</x:v>
      </x:c>
      <x:c r="F188" s="40" t="str">
        <x:v>Unidirectional Entropic Solutions of the Pressureless Euler Alignment System</x:v>
      </x:c>
      <x:c r="G188" s="40" t="str">
        <x:v>Joshua O. Adeleke; Trevor M. Leslie</x:v>
      </x:c>
      <x:c r="H188" s="40" t="str">
        <x:v>fluid/kinetic PDE</x:v>
      </x:c>
      <x:c r="I188" s="59" t="n">
        <x:v>32</x:v>
      </x:c>
      <x:c r="J188" s="40" t="str">
        <x:v>https://arxiv.org/abs/2606.11159</x:v>
      </x:c>
      <x:c r="K188" s="60" t="n">
        <x:v>81</x:v>
      </x:c>
      <x:c r="L188" s="60" t="n">
        <x:v>80</x:v>
      </x:c>
      <x:c r="M188" s="60" t="n">
        <x:v>80</x:v>
      </x:c>
      <x:c r="N188" s="60" t="n">
        <x:v>79</x:v>
      </x:c>
      <x:c r="O188" s="60" t="n">
        <x:v>81</x:v>
      </x:c>
      <x:c r="P188" s="60" t="n">
        <x:v>80</x:v>
      </x:c>
      <x:c r="Q188" s="60" t="n">
        <x:v>13</x:v>
      </x:c>
      <x:c r="R188" s="59" t="n">
        <x:v>5</x:v>
      </x:c>
      <x:c r="S188" s="60" t="n">
        <x:v>80.14999999999999</x:v>
      </x:c>
      <x:c r="T188" s="60" t="n">
        <x:v>81.35</x:v>
      </x:c>
      <x:c r="U188" s="60" t="n">
        <x:v>80.75</x:v>
      </x:c>
      <x:c r="V188" s="60" t="n">
        <x:v>81.1</x:v>
      </x:c>
      <x:c r="W188" s="60" t="n">
        <x:v>80</x:v>
      </x:c>
      <x:c r="X188" s="60" t="n">
        <x:v>80.1</x:v>
      </x:c>
      <x:c r="Y188" s="60" t="n">
        <x:v>79</x:v>
      </x:c>
      <x:c r="Z188" s="60" t="n">
        <x:v>81.1</x:v>
      </x:c>
      <x:c r="AA188" s="60" t="n">
        <x:v>80</x:v>
      </x:c>
      <x:c r="AB188" s="60" t="n">
        <x:v>13</x:v>
      </x:c>
      <x:c r="AC188" s="60" t="n">
        <x:f>ROUND(((0.30*V188+0.20*W188+0.25*X188+0.15*Y188+0.10*AA188)+(0.30*Z188+0.20*X188+0.20*W188+0.15*AA188+0.15*(100-AB188)))/2,2)</x:f>
        <x:v>80.8</x:v>
      </x:c>
      <x:c r="AD188" s="60" t="n">
        <x:v>81</x:v>
      </x:c>
      <x:c r="AE188" s="60" t="n">
        <x:v>80</x:v>
      </x:c>
      <x:c r="AF188" s="60" t="n">
        <x:v>80</x:v>
      </x:c>
      <x:c r="AG188" s="60" t="n">
        <x:v>79</x:v>
      </x:c>
      <x:c r="AH188" s="60" t="n">
        <x:v>81</x:v>
      </x:c>
      <x:c r="AI188" s="60" t="n">
        <x:v>80</x:v>
      </x:c>
      <x:c r="AJ188" s="60" t="n">
        <x:v>13</x:v>
      </x:c>
      <x:c r="AK188" s="60" t="n">
        <x:f>ROUND(((0.30*AD188+0.20*AE188+0.25*AF188+0.15*AG188+0.10*AI188)+(0.30*AH188+0.20*AF188+0.20*AE188+0.15*AI188+0.15*(100-AJ188)))/2,2)</x:f>
        <x:v>80.75</x:v>
      </x:c>
      <x:c r="AL188" s="60" t="n">
        <x:v>81</x:v>
      </x:c>
      <x:c r="AM188" s="60" t="n">
        <x:v>80</x:v>
      </x:c>
      <x:c r="AN188" s="60" t="n">
        <x:v>80.1</x:v>
      </x:c>
      <x:c r="AO188" s="60" t="n">
        <x:v>79</x:v>
      </x:c>
      <x:c r="AP188" s="60" t="n">
        <x:v>81</x:v>
      </x:c>
      <x:c r="AQ188" s="60" t="n">
        <x:v>80</x:v>
      </x:c>
      <x:c r="AR188" s="60" t="n">
        <x:v>13</x:v>
      </x:c>
      <x:c r="AS188" s="60" t="n">
        <x:f>ROUND(((0.30*AL188+0.20*AM188+0.25*AN188+0.15*AO188+0.10*AQ188)+(0.30*AP188+0.20*AN188+0.20*AM188+0.15*AQ188+0.15*(100-AR188)))/2,2)</x:f>
        <x:v>80.77</x:v>
      </x:c>
      <x:c r="AT188" s="60" t="n">
        <x:f>ROUND(AVERAGE(V188,AD188,AL188),1)</x:f>
        <x:v>81</x:v>
      </x:c>
      <x:c r="AU188" s="60" t="n">
        <x:f>ROUND(AVERAGE(W188,AE188,AM188),1)</x:f>
        <x:v>80</x:v>
      </x:c>
      <x:c r="AV188" s="60" t="n">
        <x:f>ROUND(AVERAGE(X188,AF188,AN188),1)</x:f>
        <x:v>80.1</x:v>
      </x:c>
      <x:c r="AW188" s="60" t="n">
        <x:f>ROUND(AVERAGE(Y188,AG188,AO188),1)</x:f>
        <x:v>79</x:v>
      </x:c>
      <x:c r="AX188" s="60" t="n">
        <x:f>ROUND(AVERAGE(Z188,AH188,AP188),1)</x:f>
        <x:v>81</x:v>
      </x:c>
      <x:c r="AY188" s="60" t="n">
        <x:f>ROUND(AVERAGE(AA188,AI188,AQ188),1)</x:f>
        <x:v>80</x:v>
      </x:c>
      <x:c r="AZ188" s="60" t="n">
        <x:f>ROUND(AVERAGE(AB188,AJ188,AR188),1)</x:f>
        <x:v>13</x:v>
      </x:c>
      <x:c r="BA188" s="59" t="n">
        <x:v>5</x:v>
      </x:c>
      <x:c r="BB188" s="60" t="n">
        <x:f>ROUND(0.30*AT188+0.20*AU188+0.25*AV188+0.15*AW188+0.10*AY188,2)</x:f>
        <x:v>80.18</x:v>
      </x:c>
      <x:c r="BC188" s="60" t="n">
        <x:f>ROUND(0.30*AX188+0.20*AV188+0.20*AU188+0.15*AY188+0.15*(100-AZ188),2)</x:f>
        <x:v>81.37</x:v>
      </x:c>
      <x:c r="BD188" s="60" t="n">
        <x:f>ROUND(AVERAGE(BB188,BC188),2)</x:f>
        <x:v>80.78</x:v>
      </x:c>
      <x:c r="BE188" s="60" t="n">
        <x:f>ROUND(BD188-U188,2)</x:f>
        <x:v>0.03</x:v>
      </x:c>
      <x:c r="BF188" s="60" t="n">
        <x:f>ROUND(STDEV.P(AC188,AK188,AS188),3)</x:f>
        <x:v>0.021</x:v>
      </x:c>
      <x:c r="BG188" s="59" t="str"/>
      <x:c r="BH188" s="59" t="str">
        <x:v>30%评分池轻量复核</x:v>
      </x:c>
      <x:c r="BI188" s="40" t="str">
        <x:v>三轮复核后与原表基本一致</x:v>
      </x:c>
    </x:row>
    <x:row r="189" ht="30" customHeight="1">
      <x:c r="A189" s="59" t="n">
        <x:v>188</x:v>
      </x:c>
      <x:c r="B189" s="59" t="n">
        <x:v>188</x:v>
      </x:c>
      <x:c r="C189" s="59" t="str">
        <x:v>2026-06</x:v>
      </x:c>
      <x:c r="D189" s="59" t="n">
        <x:v>97</x:v>
      </x:c>
      <x:c r="E189" s="59" t="str">
        <x:v>2606.05990</x:v>
      </x:c>
      <x:c r="F189" s="40" t="str">
        <x:v>A Pohozaev-type neck proof of a conditional Harnack inequality in the critical p-Laplacian setting</x:v>
      </x:c>
      <x:c r="G189" s="40" t="str">
        <x:v>Guolin Qin; Yi Ru-Ya Zhang</x:v>
      </x:c>
      <x:c r="H189" s="40" t="str">
        <x:v>elliptic/parabolic regularity</x:v>
      </x:c>
      <x:c r="I189" s="59" t="n">
        <x:v>26</x:v>
      </x:c>
      <x:c r="J189" s="40" t="str">
        <x:v>https://arxiv.org/abs/2606.05990</x:v>
      </x:c>
      <x:c r="K189" s="60" t="n">
        <x:v>80</x:v>
      </x:c>
      <x:c r="L189" s="60" t="n">
        <x:v>80</x:v>
      </x:c>
      <x:c r="M189" s="60" t="n">
        <x:v>80</x:v>
      </x:c>
      <x:c r="N189" s="60" t="n">
        <x:v>81</x:v>
      </x:c>
      <x:c r="O189" s="60" t="n">
        <x:v>80</x:v>
      </x:c>
      <x:c r="P189" s="60" t="n">
        <x:v>81</x:v>
      </x:c>
      <x:c r="Q189" s="60" t="n">
        <x:v>13</x:v>
      </x:c>
      <x:c r="R189" s="59" t="n">
        <x:v>5</x:v>
      </x:c>
      <x:c r="S189" s="60" t="n">
        <x:v>80.25</x:v>
      </x:c>
      <x:c r="T189" s="60" t="n">
        <x:v>81.2</x:v>
      </x:c>
      <x:c r="U189" s="60" t="n">
        <x:v>80.725</x:v>
      </x:c>
      <x:c r="V189" s="60" t="n">
        <x:v>80</x:v>
      </x:c>
      <x:c r="W189" s="60" t="n">
        <x:v>80.1</x:v>
      </x:c>
      <x:c r="X189" s="60" t="n">
        <x:v>80</x:v>
      </x:c>
      <x:c r="Y189" s="60" t="n">
        <x:v>81.1</x:v>
      </x:c>
      <x:c r="Z189" s="60" t="n">
        <x:v>80.1</x:v>
      </x:c>
      <x:c r="AA189" s="60" t="n">
        <x:v>81</x:v>
      </x:c>
      <x:c r="AB189" s="60" t="n">
        <x:v>13</x:v>
      </x:c>
      <x:c r="AC189" s="60" t="n">
        <x:f>ROUND(((0.30*V189+0.20*W189+0.25*X189+0.15*Y189+0.10*AA189)+(0.30*Z189+0.20*X189+0.20*W189+0.15*AA189+0.15*(100-AB189)))/2,2)</x:f>
        <x:v>80.77</x:v>
      </x:c>
      <x:c r="AD189" s="60" t="n">
        <x:v>80</x:v>
      </x:c>
      <x:c r="AE189" s="60" t="n">
        <x:v>80.1</x:v>
      </x:c>
      <x:c r="AF189" s="60" t="n">
        <x:v>80</x:v>
      </x:c>
      <x:c r="AG189" s="60" t="n">
        <x:v>81.1</x:v>
      </x:c>
      <x:c r="AH189" s="60" t="n">
        <x:v>80</x:v>
      </x:c>
      <x:c r="AI189" s="60" t="n">
        <x:v>81</x:v>
      </x:c>
      <x:c r="AJ189" s="60" t="n">
        <x:v>13</x:v>
      </x:c>
      <x:c r="AK189" s="60" t="n">
        <x:f>ROUND(((0.30*AD189+0.20*AE189+0.25*AF189+0.15*AG189+0.10*AI189)+(0.30*AH189+0.20*AF189+0.20*AE189+0.15*AI189+0.15*(100-AJ189)))/2,2)</x:f>
        <x:v>80.75</x:v>
      </x:c>
      <x:c r="AL189" s="60" t="n">
        <x:v>80</x:v>
      </x:c>
      <x:c r="AM189" s="60" t="n">
        <x:v>80.1</x:v>
      </x:c>
      <x:c r="AN189" s="60" t="n">
        <x:v>80</x:v>
      </x:c>
      <x:c r="AO189" s="60" t="n">
        <x:v>81.1</x:v>
      </x:c>
      <x:c r="AP189" s="60" t="n">
        <x:v>80.1</x:v>
      </x:c>
      <x:c r="AQ189" s="60" t="n">
        <x:v>81</x:v>
      </x:c>
      <x:c r="AR189" s="60" t="n">
        <x:v>13</x:v>
      </x:c>
      <x:c r="AS189" s="60" t="n">
        <x:f>ROUND(((0.30*AL189+0.20*AM189+0.25*AN189+0.15*AO189+0.10*AQ189)+(0.30*AP189+0.20*AN189+0.20*AM189+0.15*AQ189+0.15*(100-AR189)))/2,2)</x:f>
        <x:v>80.77</x:v>
      </x:c>
      <x:c r="AT189" s="60" t="n">
        <x:f>ROUND(AVERAGE(V189,AD189,AL189),1)</x:f>
        <x:v>80</x:v>
      </x:c>
      <x:c r="AU189" s="60" t="n">
        <x:f>ROUND(AVERAGE(W189,AE189,AM189),1)</x:f>
        <x:v>80.1</x:v>
      </x:c>
      <x:c r="AV189" s="60" t="n">
        <x:f>ROUND(AVERAGE(X189,AF189,AN189),1)</x:f>
        <x:v>80</x:v>
      </x:c>
      <x:c r="AW189" s="60" t="n">
        <x:f>ROUND(AVERAGE(Y189,AG189,AO189),1)</x:f>
        <x:v>81.1</x:v>
      </x:c>
      <x:c r="AX189" s="60" t="n">
        <x:f>ROUND(AVERAGE(Z189,AH189,AP189),1)</x:f>
        <x:v>80.1</x:v>
      </x:c>
      <x:c r="AY189" s="60" t="n">
        <x:f>ROUND(AVERAGE(AA189,AI189,AQ189),1)</x:f>
        <x:v>81</x:v>
      </x:c>
      <x:c r="AZ189" s="60" t="n">
        <x:f>ROUND(AVERAGE(AB189,AJ189,AR189),1)</x:f>
        <x:v>13</x:v>
      </x:c>
      <x:c r="BA189" s="59" t="n">
        <x:v>5</x:v>
      </x:c>
      <x:c r="BB189" s="60" t="n">
        <x:f>ROUND(0.30*AT189+0.20*AU189+0.25*AV189+0.15*AW189+0.10*AY189,2)</x:f>
        <x:v>80.29</x:v>
      </x:c>
      <x:c r="BC189" s="60" t="n">
        <x:f>ROUND(0.30*AX189+0.20*AV189+0.20*AU189+0.15*AY189+0.15*(100-AZ189),2)</x:f>
        <x:v>81.25</x:v>
      </x:c>
      <x:c r="BD189" s="60" t="n">
        <x:f>ROUND(AVERAGE(BB189,BC189),2)</x:f>
        <x:v>80.77</x:v>
      </x:c>
      <x:c r="BE189" s="60" t="n">
        <x:f>ROUND(BD189-U189,2)</x:f>
        <x:v>0.05</x:v>
      </x:c>
      <x:c r="BF189" s="60" t="n">
        <x:f>ROUND(STDEV.P(AC189,AK189,AS189),3)</x:f>
        <x:v>0.009</x:v>
      </x:c>
      <x:c r="BG189" s="59" t="str"/>
      <x:c r="BH189" s="59" t="str">
        <x:v>30%评分池轻量复核</x:v>
      </x:c>
      <x:c r="BI189" s="40" t="str">
        <x:v>三轮复核后与原表基本一致</x:v>
      </x:c>
    </x:row>
    <x:row r="190" ht="30" customHeight="1">
      <x:c r="A190" s="59" t="n">
        <x:v>189</x:v>
      </x:c>
      <x:c r="B190" s="59" t="n">
        <x:v>189</x:v>
      </x:c>
      <x:c r="C190" s="59" t="str">
        <x:v>2026-06</x:v>
      </x:c>
      <x:c r="D190" s="59" t="n">
        <x:v>98</x:v>
      </x:c>
      <x:c r="E190" s="59" t="str">
        <x:v>2606.06488</x:v>
      </x:c>
      <x:c r="F190" s="40" t="str">
        <x:v>Homeomorphic modified wave operators for the Vlasov-Poisson system</x:v>
      </x:c>
      <x:c r="G190" s="40" t="str">
        <x:v>Leo Bigorgne</x:v>
      </x:c>
      <x:c r="H190" s="40" t="str">
        <x:v>fluid/kinetic PDE</x:v>
      </x:c>
      <x:c r="I190" s="59"/>
      <x:c r="J190" s="40" t="str">
        <x:v>https://arxiv.org/abs/2606.06488</x:v>
      </x:c>
      <x:c r="K190" s="60" t="n">
        <x:v>80</x:v>
      </x:c>
      <x:c r="L190" s="60" t="n">
        <x:v>80</x:v>
      </x:c>
      <x:c r="M190" s="60" t="n">
        <x:v>81</x:v>
      </x:c>
      <x:c r="N190" s="60" t="n">
        <x:v>79</x:v>
      </x:c>
      <x:c r="O190" s="60" t="n">
        <x:v>80</x:v>
      </x:c>
      <x:c r="P190" s="60" t="n">
        <x:v>80</x:v>
      </x:c>
      <x:c r="Q190" s="60" t="n">
        <x:v>13</x:v>
      </x:c>
      <x:c r="R190" s="59" t="n">
        <x:v>5</x:v>
      </x:c>
      <x:c r="S190" s="60" t="n">
        <x:v>80.1</x:v>
      </x:c>
      <x:c r="T190" s="60" t="n">
        <x:v>81.25</x:v>
      </x:c>
      <x:c r="U190" s="60" t="n">
        <x:v>80.675</x:v>
      </x:c>
      <x:c r="V190" s="60" t="n">
        <x:v>80</x:v>
      </x:c>
      <x:c r="W190" s="60" t="n">
        <x:v>80</x:v>
      </x:c>
      <x:c r="X190" s="60" t="n">
        <x:v>81</x:v>
      </x:c>
      <x:c r="Y190" s="60" t="n">
        <x:v>79</x:v>
      </x:c>
      <x:c r="Z190" s="60" t="n">
        <x:v>80</x:v>
      </x:c>
      <x:c r="AA190" s="60" t="n">
        <x:v>80</x:v>
      </x:c>
      <x:c r="AB190" s="60" t="n">
        <x:v>13</x:v>
      </x:c>
      <x:c r="AC190" s="60" t="n">
        <x:f>ROUND(((0.30*V190+0.20*W190+0.25*X190+0.15*Y190+0.10*AA190)+(0.30*Z190+0.20*X190+0.20*W190+0.15*AA190+0.15*(100-AB190)))/2,2)</x:f>
        <x:v>80.68</x:v>
      </x:c>
      <x:c r="AD190" s="60" t="n">
        <x:v>80</x:v>
      </x:c>
      <x:c r="AE190" s="60" t="n">
        <x:v>80</x:v>
      </x:c>
      <x:c r="AF190" s="60" t="n">
        <x:v>81</x:v>
      </x:c>
      <x:c r="AG190" s="60" t="n">
        <x:v>79</x:v>
      </x:c>
      <x:c r="AH190" s="60" t="n">
        <x:v>80</x:v>
      </x:c>
      <x:c r="AI190" s="60" t="n">
        <x:v>80</x:v>
      </x:c>
      <x:c r="AJ190" s="60" t="n">
        <x:v>13</x:v>
      </x:c>
      <x:c r="AK190" s="60" t="n">
        <x:f>ROUND(((0.30*AD190+0.20*AE190+0.25*AF190+0.15*AG190+0.10*AI190)+(0.30*AH190+0.20*AF190+0.20*AE190+0.15*AI190+0.15*(100-AJ190)))/2,2)</x:f>
        <x:v>80.68</x:v>
      </x:c>
      <x:c r="AL190" s="60" t="n">
        <x:v>80</x:v>
      </x:c>
      <x:c r="AM190" s="60" t="n">
        <x:v>80</x:v>
      </x:c>
      <x:c r="AN190" s="60" t="n">
        <x:v>81</x:v>
      </x:c>
      <x:c r="AO190" s="60" t="n">
        <x:v>79</x:v>
      </x:c>
      <x:c r="AP190" s="60" t="n">
        <x:v>80</x:v>
      </x:c>
      <x:c r="AQ190" s="60" t="n">
        <x:v>80</x:v>
      </x:c>
      <x:c r="AR190" s="60" t="n">
        <x:v>13</x:v>
      </x:c>
      <x:c r="AS190" s="60" t="n">
        <x:f>ROUND(((0.30*AL190+0.20*AM190+0.25*AN190+0.15*AO190+0.10*AQ190)+(0.30*AP190+0.20*AN190+0.20*AM190+0.15*AQ190+0.15*(100-AR190)))/2,2)</x:f>
        <x:v>80.68</x:v>
      </x:c>
      <x:c r="AT190" s="60" t="n">
        <x:f>ROUND(AVERAGE(V190,AD190,AL190),1)</x:f>
        <x:v>80</x:v>
      </x:c>
      <x:c r="AU190" s="60" t="n">
        <x:f>ROUND(AVERAGE(W190,AE190,AM190),1)</x:f>
        <x:v>80</x:v>
      </x:c>
      <x:c r="AV190" s="60" t="n">
        <x:f>ROUND(AVERAGE(X190,AF190,AN190),1)</x:f>
        <x:v>81</x:v>
      </x:c>
      <x:c r="AW190" s="60" t="n">
        <x:f>ROUND(AVERAGE(Y190,AG190,AO190),1)</x:f>
        <x:v>79</x:v>
      </x:c>
      <x:c r="AX190" s="60" t="n">
        <x:f>ROUND(AVERAGE(Z190,AH190,AP190),1)</x:f>
        <x:v>80</x:v>
      </x:c>
      <x:c r="AY190" s="60" t="n">
        <x:f>ROUND(AVERAGE(AA190,AI190,AQ190),1)</x:f>
        <x:v>80</x:v>
      </x:c>
      <x:c r="AZ190" s="60" t="n">
        <x:f>ROUND(AVERAGE(AB190,AJ190,AR190),1)</x:f>
        <x:v>13</x:v>
      </x:c>
      <x:c r="BA190" s="59" t="n">
        <x:v>5</x:v>
      </x:c>
      <x:c r="BB190" s="60" t="n">
        <x:f>ROUND(0.30*AT190+0.20*AU190+0.25*AV190+0.15*AW190+0.10*AY190,2)</x:f>
        <x:v>80.1</x:v>
      </x:c>
      <x:c r="BC190" s="60" t="n">
        <x:f>ROUND(0.30*AX190+0.20*AV190+0.20*AU190+0.15*AY190+0.15*(100-AZ190),2)</x:f>
        <x:v>81.25</x:v>
      </x:c>
      <x:c r="BD190" s="60" t="n">
        <x:f>ROUND(AVERAGE(BB190,BC190),2)</x:f>
        <x:v>80.68</x:v>
      </x:c>
      <x:c r="BE190" s="60" t="n">
        <x:f>ROUND(BD190-U190,2)</x:f>
        <x:v>0.01</x:v>
      </x:c>
      <x:c r="BF190" s="60" t="n">
        <x:f>ROUND(STDEV.P(AC190,AK190,AS190),3)</x:f>
        <x:v>0</x:v>
      </x:c>
      <x:c r="BG190" s="59" t="str"/>
      <x:c r="BH190" s="59" t="str">
        <x:v>30%评分池轻量复核</x:v>
      </x:c>
      <x:c r="BI190" s="40" t="str">
        <x:v>三轮复核后与原表基本一致</x:v>
      </x:c>
    </x:row>
    <x:row r="191" ht="30" customHeight="1">
      <x:c r="A191" s="59" t="n">
        <x:v>190</x:v>
      </x:c>
      <x:c r="B191" s="59" t="n">
        <x:v>190</x:v>
      </x:c>
      <x:c r="C191" s="59" t="str">
        <x:v>2026-06</x:v>
      </x:c>
      <x:c r="D191" s="59" t="n">
        <x:v>99</x:v>
      </x:c>
      <x:c r="E191" s="59" t="str">
        <x:v>2606.06009</x:v>
      </x:c>
      <x:c r="F191" s="40" t="str">
        <x:v>Preventing L^p blow-up by local anisotropy in a two-dimensional Keller-Segel system</x:v>
      </x:c>
      <x:c r="G191" s="40" t="str">
        <x:v>Youshan Tao; Michael Winkler</x:v>
      </x:c>
      <x:c r="H191" s="40" t="str">
        <x:v>analysis/PDE</x:v>
      </x:c>
      <x:c r="I191" s="59"/>
      <x:c r="J191" s="40" t="str">
        <x:v>https://arxiv.org/abs/2606.06009</x:v>
      </x:c>
      <x:c r="K191" s="60" t="n">
        <x:v>80</x:v>
      </x:c>
      <x:c r="L191" s="60" t="n">
        <x:v>80</x:v>
      </x:c>
      <x:c r="M191" s="60" t="n">
        <x:v>80</x:v>
      </x:c>
      <x:c r="N191" s="60" t="n">
        <x:v>80</x:v>
      </x:c>
      <x:c r="O191" s="60" t="n">
        <x:v>81</x:v>
      </x:c>
      <x:c r="P191" s="60" t="n">
        <x:v>80</x:v>
      </x:c>
      <x:c r="Q191" s="60" t="n">
        <x:v>13</x:v>
      </x:c>
      <x:c r="R191" s="59" t="n">
        <x:v>5</x:v>
      </x:c>
      <x:c r="S191" s="60" t="n">
        <x:v>80</x:v>
      </x:c>
      <x:c r="T191" s="60" t="n">
        <x:v>81.35</x:v>
      </x:c>
      <x:c r="U191" s="60" t="n">
        <x:v>80.675</x:v>
      </x:c>
      <x:c r="V191" s="60" t="n">
        <x:v>80</x:v>
      </x:c>
      <x:c r="W191" s="60" t="n">
        <x:v>80</x:v>
      </x:c>
      <x:c r="X191" s="60" t="n">
        <x:v>80</x:v>
      </x:c>
      <x:c r="Y191" s="60" t="n">
        <x:v>80</x:v>
      </x:c>
      <x:c r="Z191" s="60" t="n">
        <x:v>81</x:v>
      </x:c>
      <x:c r="AA191" s="60" t="n">
        <x:v>80</x:v>
      </x:c>
      <x:c r="AB191" s="60" t="n">
        <x:v>13</x:v>
      </x:c>
      <x:c r="AC191" s="60" t="n">
        <x:f>ROUND(((0.30*V191+0.20*W191+0.25*X191+0.15*Y191+0.10*AA191)+(0.30*Z191+0.20*X191+0.20*W191+0.15*AA191+0.15*(100-AB191)))/2,2)</x:f>
        <x:v>80.68</x:v>
      </x:c>
      <x:c r="AD191" s="60" t="n">
        <x:v>80</x:v>
      </x:c>
      <x:c r="AE191" s="60" t="n">
        <x:v>80</x:v>
      </x:c>
      <x:c r="AF191" s="60" t="n">
        <x:v>80</x:v>
      </x:c>
      <x:c r="AG191" s="60" t="n">
        <x:v>80</x:v>
      </x:c>
      <x:c r="AH191" s="60" t="n">
        <x:v>81</x:v>
      </x:c>
      <x:c r="AI191" s="60" t="n">
        <x:v>80</x:v>
      </x:c>
      <x:c r="AJ191" s="60" t="n">
        <x:v>13</x:v>
      </x:c>
      <x:c r="AK191" s="60" t="n">
        <x:f>ROUND(((0.30*AD191+0.20*AE191+0.25*AF191+0.15*AG191+0.10*AI191)+(0.30*AH191+0.20*AF191+0.20*AE191+0.15*AI191+0.15*(100-AJ191)))/2,2)</x:f>
        <x:v>80.68</x:v>
      </x:c>
      <x:c r="AL191" s="60" t="n">
        <x:v>80</x:v>
      </x:c>
      <x:c r="AM191" s="60" t="n">
        <x:v>80</x:v>
      </x:c>
      <x:c r="AN191" s="60" t="n">
        <x:v>80</x:v>
      </x:c>
      <x:c r="AO191" s="60" t="n">
        <x:v>80</x:v>
      </x:c>
      <x:c r="AP191" s="60" t="n">
        <x:v>81</x:v>
      </x:c>
      <x:c r="AQ191" s="60" t="n">
        <x:v>80</x:v>
      </x:c>
      <x:c r="AR191" s="60" t="n">
        <x:v>13</x:v>
      </x:c>
      <x:c r="AS191" s="60" t="n">
        <x:f>ROUND(((0.30*AL191+0.20*AM191+0.25*AN191+0.15*AO191+0.10*AQ191)+(0.30*AP191+0.20*AN191+0.20*AM191+0.15*AQ191+0.15*(100-AR191)))/2,2)</x:f>
        <x:v>80.68</x:v>
      </x:c>
      <x:c r="AT191" s="60" t="n">
        <x:f>ROUND(AVERAGE(V191,AD191,AL191),1)</x:f>
        <x:v>80</x:v>
      </x:c>
      <x:c r="AU191" s="60" t="n">
        <x:f>ROUND(AVERAGE(W191,AE191,AM191),1)</x:f>
        <x:v>80</x:v>
      </x:c>
      <x:c r="AV191" s="60" t="n">
        <x:f>ROUND(AVERAGE(X191,AF191,AN191),1)</x:f>
        <x:v>80</x:v>
      </x:c>
      <x:c r="AW191" s="60" t="n">
        <x:f>ROUND(AVERAGE(Y191,AG191,AO191),1)</x:f>
        <x:v>80</x:v>
      </x:c>
      <x:c r="AX191" s="60" t="n">
        <x:f>ROUND(AVERAGE(Z191,AH191,AP191),1)</x:f>
        <x:v>81</x:v>
      </x:c>
      <x:c r="AY191" s="60" t="n">
        <x:f>ROUND(AVERAGE(AA191,AI191,AQ191),1)</x:f>
        <x:v>80</x:v>
      </x:c>
      <x:c r="AZ191" s="60" t="n">
        <x:f>ROUND(AVERAGE(AB191,AJ191,AR191),1)</x:f>
        <x:v>13</x:v>
      </x:c>
      <x:c r="BA191" s="59" t="n">
        <x:v>5</x:v>
      </x:c>
      <x:c r="BB191" s="60" t="n">
        <x:f>ROUND(0.30*AT191+0.20*AU191+0.25*AV191+0.15*AW191+0.10*AY191,2)</x:f>
        <x:v>80</x:v>
      </x:c>
      <x:c r="BC191" s="60" t="n">
        <x:f>ROUND(0.30*AX191+0.20*AV191+0.20*AU191+0.15*AY191+0.15*(100-AZ191),2)</x:f>
        <x:v>81.35</x:v>
      </x:c>
      <x:c r="BD191" s="60" t="n">
        <x:f>ROUND(AVERAGE(BB191,BC191),2)</x:f>
        <x:v>80.68</x:v>
      </x:c>
      <x:c r="BE191" s="60" t="n">
        <x:f>ROUND(BD191-U191,2)</x:f>
        <x:v>0.01</x:v>
      </x:c>
      <x:c r="BF191" s="60" t="n">
        <x:f>ROUND(STDEV.P(AC191,AK191,AS191),3)</x:f>
        <x:v>0</x:v>
      </x:c>
      <x:c r="BG191" s="59" t="str"/>
      <x:c r="BH191" s="59" t="str">
        <x:v>30%评分池轻量复核</x:v>
      </x:c>
      <x:c r="BI191" s="40" t="str">
        <x:v>三轮复核后与原表基本一致</x:v>
      </x:c>
    </x:row>
    <x:row r="192" ht="30" customHeight="1">
      <x:c r="A192" s="59" t="n">
        <x:v>191</x:v>
      </x:c>
      <x:c r="B192" s="59" t="n">
        <x:v>191</x:v>
      </x:c>
      <x:c r="C192" s="59" t="str">
        <x:v>2026-06</x:v>
      </x:c>
      <x:c r="D192" s="59" t="n">
        <x:v>99</x:v>
      </x:c>
      <x:c r="E192" s="59" t="str">
        <x:v>2606.01383</x:v>
      </x:c>
      <x:c r="F192" s="40" t="str">
        <x:v>A symmetry formula for the spectral fractional Laplacian, and applications to boundary controllability for plate equation with structural damping</x:v>
      </x:c>
      <x:c r="G192" s="40" t="str">
        <x:v>Sergei Avdonin; Julian Edward</x:v>
      </x:c>
      <x:c r="H192" s="40" t="str">
        <x:v>analysis/PDE</x:v>
      </x:c>
      <x:c r="I192" s="59"/>
      <x:c r="J192" s="40" t="str">
        <x:v>https://arxiv.org/abs/2606.01383</x:v>
      </x:c>
      <x:c r="K192" s="60" t="n">
        <x:v>80</x:v>
      </x:c>
      <x:c r="L192" s="60" t="n">
        <x:v>80</x:v>
      </x:c>
      <x:c r="M192" s="60" t="n">
        <x:v>80</x:v>
      </x:c>
      <x:c r="N192" s="60" t="n">
        <x:v>80</x:v>
      </x:c>
      <x:c r="O192" s="60" t="n">
        <x:v>81</x:v>
      </x:c>
      <x:c r="P192" s="60" t="n">
        <x:v>80</x:v>
      </x:c>
      <x:c r="Q192" s="60" t="n">
        <x:v>13</x:v>
      </x:c>
      <x:c r="R192" s="59" t="n">
        <x:v>5</x:v>
      </x:c>
      <x:c r="S192" s="60" t="n">
        <x:v>80</x:v>
      </x:c>
      <x:c r="T192" s="60" t="n">
        <x:v>81.35</x:v>
      </x:c>
      <x:c r="U192" s="60" t="n">
        <x:v>80.675</x:v>
      </x:c>
      <x:c r="V192" s="60" t="n">
        <x:v>80</x:v>
      </x:c>
      <x:c r="W192" s="60" t="n">
        <x:v>80</x:v>
      </x:c>
      <x:c r="X192" s="60" t="n">
        <x:v>80</x:v>
      </x:c>
      <x:c r="Y192" s="60" t="n">
        <x:v>80</x:v>
      </x:c>
      <x:c r="Z192" s="60" t="n">
        <x:v>81</x:v>
      </x:c>
      <x:c r="AA192" s="60" t="n">
        <x:v>80</x:v>
      </x:c>
      <x:c r="AB192" s="60" t="n">
        <x:v>13</x:v>
      </x:c>
      <x:c r="AC192" s="60" t="n">
        <x:f>ROUND(((0.30*V192+0.20*W192+0.25*X192+0.15*Y192+0.10*AA192)+(0.30*Z192+0.20*X192+0.20*W192+0.15*AA192+0.15*(100-AB192)))/2,2)</x:f>
        <x:v>80.68</x:v>
      </x:c>
      <x:c r="AD192" s="60" t="n">
        <x:v>80</x:v>
      </x:c>
      <x:c r="AE192" s="60" t="n">
        <x:v>80</x:v>
      </x:c>
      <x:c r="AF192" s="60" t="n">
        <x:v>80</x:v>
      </x:c>
      <x:c r="AG192" s="60" t="n">
        <x:v>80</x:v>
      </x:c>
      <x:c r="AH192" s="60" t="n">
        <x:v>81</x:v>
      </x:c>
      <x:c r="AI192" s="60" t="n">
        <x:v>80</x:v>
      </x:c>
      <x:c r="AJ192" s="60" t="n">
        <x:v>13</x:v>
      </x:c>
      <x:c r="AK192" s="60" t="n">
        <x:f>ROUND(((0.30*AD192+0.20*AE192+0.25*AF192+0.15*AG192+0.10*AI192)+(0.30*AH192+0.20*AF192+0.20*AE192+0.15*AI192+0.15*(100-AJ192)))/2,2)</x:f>
        <x:v>80.68</x:v>
      </x:c>
      <x:c r="AL192" s="60" t="n">
        <x:v>80</x:v>
      </x:c>
      <x:c r="AM192" s="60" t="n">
        <x:v>80</x:v>
      </x:c>
      <x:c r="AN192" s="60" t="n">
        <x:v>80</x:v>
      </x:c>
      <x:c r="AO192" s="60" t="n">
        <x:v>80</x:v>
      </x:c>
      <x:c r="AP192" s="60" t="n">
        <x:v>81</x:v>
      </x:c>
      <x:c r="AQ192" s="60" t="n">
        <x:v>80</x:v>
      </x:c>
      <x:c r="AR192" s="60" t="n">
        <x:v>13</x:v>
      </x:c>
      <x:c r="AS192" s="60" t="n">
        <x:f>ROUND(((0.30*AL192+0.20*AM192+0.25*AN192+0.15*AO192+0.10*AQ192)+(0.30*AP192+0.20*AN192+0.20*AM192+0.15*AQ192+0.15*(100-AR192)))/2,2)</x:f>
        <x:v>80.68</x:v>
      </x:c>
      <x:c r="AT192" s="60" t="n">
        <x:f>ROUND(AVERAGE(V192,AD192,AL192),1)</x:f>
        <x:v>80</x:v>
      </x:c>
      <x:c r="AU192" s="60" t="n">
        <x:f>ROUND(AVERAGE(W192,AE192,AM192),1)</x:f>
        <x:v>80</x:v>
      </x:c>
      <x:c r="AV192" s="60" t="n">
        <x:f>ROUND(AVERAGE(X192,AF192,AN192),1)</x:f>
        <x:v>80</x:v>
      </x:c>
      <x:c r="AW192" s="60" t="n">
        <x:f>ROUND(AVERAGE(Y192,AG192,AO192),1)</x:f>
        <x:v>80</x:v>
      </x:c>
      <x:c r="AX192" s="60" t="n">
        <x:f>ROUND(AVERAGE(Z192,AH192,AP192),1)</x:f>
        <x:v>81</x:v>
      </x:c>
      <x:c r="AY192" s="60" t="n">
        <x:f>ROUND(AVERAGE(AA192,AI192,AQ192),1)</x:f>
        <x:v>80</x:v>
      </x:c>
      <x:c r="AZ192" s="60" t="n">
        <x:f>ROUND(AVERAGE(AB192,AJ192,AR192),1)</x:f>
        <x:v>13</x:v>
      </x:c>
      <x:c r="BA192" s="59" t="n">
        <x:v>5</x:v>
      </x:c>
      <x:c r="BB192" s="60" t="n">
        <x:f>ROUND(0.30*AT192+0.20*AU192+0.25*AV192+0.15*AW192+0.10*AY192,2)</x:f>
        <x:v>80</x:v>
      </x:c>
      <x:c r="BC192" s="60" t="n">
        <x:f>ROUND(0.30*AX192+0.20*AV192+0.20*AU192+0.15*AY192+0.15*(100-AZ192),2)</x:f>
        <x:v>81.35</x:v>
      </x:c>
      <x:c r="BD192" s="60" t="n">
        <x:f>ROUND(AVERAGE(BB192,BC192),2)</x:f>
        <x:v>80.68</x:v>
      </x:c>
      <x:c r="BE192" s="60" t="n">
        <x:f>ROUND(BD192-U192,2)</x:f>
        <x:v>0.01</x:v>
      </x:c>
      <x:c r="BF192" s="60" t="n">
        <x:f>ROUND(STDEV.P(AC192,AK192,AS192),3)</x:f>
        <x:v>0</x:v>
      </x:c>
      <x:c r="BG192" s="59" t="str"/>
      <x:c r="BH192" s="59" t="str">
        <x:v>30%评分池轻量复核</x:v>
      </x:c>
      <x:c r="BI192" s="40" t="str">
        <x:v>三轮复核后与原表基本一致</x:v>
      </x:c>
    </x:row>
    <x:row r="193" ht="30" customHeight="1">
      <x:c r="A193" s="59" t="n">
        <x:v>192</x:v>
      </x:c>
      <x:c r="B193" s="59" t="n">
        <x:v>192</x:v>
      </x:c>
      <x:c r="C193" s="59" t="str">
        <x:v>2026-06</x:v>
      </x:c>
      <x:c r="D193" s="59" t="n">
        <x:v>99</x:v>
      </x:c>
      <x:c r="E193" s="59" t="str">
        <x:v>2606.01321</x:v>
      </x:c>
      <x:c r="F193" s="40" t="str">
        <x:v>Existence of Solutions for time-dependent fractional Kohn-Sham Equations</x:v>
      </x:c>
      <x:c r="G193" s="40" t="str">
        <x:v>Sebastien Breteaux; Michele Fantechi; Jeremy Faupin</x:v>
      </x:c>
      <x:c r="H193" s="40" t="str">
        <x:v>analysis/PDE</x:v>
      </x:c>
      <x:c r="I193" s="59"/>
      <x:c r="J193" s="40" t="str">
        <x:v>https://arxiv.org/abs/2606.01321</x:v>
      </x:c>
      <x:c r="K193" s="60" t="n">
        <x:v>80</x:v>
      </x:c>
      <x:c r="L193" s="60" t="n">
        <x:v>80</x:v>
      </x:c>
      <x:c r="M193" s="60" t="n">
        <x:v>80</x:v>
      </x:c>
      <x:c r="N193" s="60" t="n">
        <x:v>80</x:v>
      </x:c>
      <x:c r="O193" s="60" t="n">
        <x:v>81</x:v>
      </x:c>
      <x:c r="P193" s="60" t="n">
        <x:v>80</x:v>
      </x:c>
      <x:c r="Q193" s="60" t="n">
        <x:v>13</x:v>
      </x:c>
      <x:c r="R193" s="59" t="n">
        <x:v>5</x:v>
      </x:c>
      <x:c r="S193" s="60" t="n">
        <x:v>80</x:v>
      </x:c>
      <x:c r="T193" s="60" t="n">
        <x:v>81.35</x:v>
      </x:c>
      <x:c r="U193" s="60" t="n">
        <x:v>80.675</x:v>
      </x:c>
      <x:c r="V193" s="60" t="n">
        <x:v>80</x:v>
      </x:c>
      <x:c r="W193" s="60" t="n">
        <x:v>80</x:v>
      </x:c>
      <x:c r="X193" s="60" t="n">
        <x:v>80</x:v>
      </x:c>
      <x:c r="Y193" s="60" t="n">
        <x:v>80</x:v>
      </x:c>
      <x:c r="Z193" s="60" t="n">
        <x:v>81</x:v>
      </x:c>
      <x:c r="AA193" s="60" t="n">
        <x:v>80</x:v>
      </x:c>
      <x:c r="AB193" s="60" t="n">
        <x:v>13</x:v>
      </x:c>
      <x:c r="AC193" s="60" t="n">
        <x:f>ROUND(((0.30*V193+0.20*W193+0.25*X193+0.15*Y193+0.10*AA193)+(0.30*Z193+0.20*X193+0.20*W193+0.15*AA193+0.15*(100-AB193)))/2,2)</x:f>
        <x:v>80.68</x:v>
      </x:c>
      <x:c r="AD193" s="60" t="n">
        <x:v>80</x:v>
      </x:c>
      <x:c r="AE193" s="60" t="n">
        <x:v>80</x:v>
      </x:c>
      <x:c r="AF193" s="60" t="n">
        <x:v>80</x:v>
      </x:c>
      <x:c r="AG193" s="60" t="n">
        <x:v>80</x:v>
      </x:c>
      <x:c r="AH193" s="60" t="n">
        <x:v>81</x:v>
      </x:c>
      <x:c r="AI193" s="60" t="n">
        <x:v>80</x:v>
      </x:c>
      <x:c r="AJ193" s="60" t="n">
        <x:v>13</x:v>
      </x:c>
      <x:c r="AK193" s="60" t="n">
        <x:f>ROUND(((0.30*AD193+0.20*AE193+0.25*AF193+0.15*AG193+0.10*AI193)+(0.30*AH193+0.20*AF193+0.20*AE193+0.15*AI193+0.15*(100-AJ193)))/2,2)</x:f>
        <x:v>80.68</x:v>
      </x:c>
      <x:c r="AL193" s="60" t="n">
        <x:v>80</x:v>
      </x:c>
      <x:c r="AM193" s="60" t="n">
        <x:v>80</x:v>
      </x:c>
      <x:c r="AN193" s="60" t="n">
        <x:v>80</x:v>
      </x:c>
      <x:c r="AO193" s="60" t="n">
        <x:v>80</x:v>
      </x:c>
      <x:c r="AP193" s="60" t="n">
        <x:v>81</x:v>
      </x:c>
      <x:c r="AQ193" s="60" t="n">
        <x:v>80</x:v>
      </x:c>
      <x:c r="AR193" s="60" t="n">
        <x:v>13</x:v>
      </x:c>
      <x:c r="AS193" s="60" t="n">
        <x:f>ROUND(((0.30*AL193+0.20*AM193+0.25*AN193+0.15*AO193+0.10*AQ193)+(0.30*AP193+0.20*AN193+0.20*AM193+0.15*AQ193+0.15*(100-AR193)))/2,2)</x:f>
        <x:v>80.68</x:v>
      </x:c>
      <x:c r="AT193" s="60" t="n">
        <x:f>ROUND(AVERAGE(V193,AD193,AL193),1)</x:f>
        <x:v>80</x:v>
      </x:c>
      <x:c r="AU193" s="60" t="n">
        <x:f>ROUND(AVERAGE(W193,AE193,AM193),1)</x:f>
        <x:v>80</x:v>
      </x:c>
      <x:c r="AV193" s="60" t="n">
        <x:f>ROUND(AVERAGE(X193,AF193,AN193),1)</x:f>
        <x:v>80</x:v>
      </x:c>
      <x:c r="AW193" s="60" t="n">
        <x:f>ROUND(AVERAGE(Y193,AG193,AO193),1)</x:f>
        <x:v>80</x:v>
      </x:c>
      <x:c r="AX193" s="60" t="n">
        <x:f>ROUND(AVERAGE(Z193,AH193,AP193),1)</x:f>
        <x:v>81</x:v>
      </x:c>
      <x:c r="AY193" s="60" t="n">
        <x:f>ROUND(AVERAGE(AA193,AI193,AQ193),1)</x:f>
        <x:v>80</x:v>
      </x:c>
      <x:c r="AZ193" s="60" t="n">
        <x:f>ROUND(AVERAGE(AB193,AJ193,AR193),1)</x:f>
        <x:v>13</x:v>
      </x:c>
      <x:c r="BA193" s="59" t="n">
        <x:v>5</x:v>
      </x:c>
      <x:c r="BB193" s="60" t="n">
        <x:f>ROUND(0.30*AT193+0.20*AU193+0.25*AV193+0.15*AW193+0.10*AY193,2)</x:f>
        <x:v>80</x:v>
      </x:c>
      <x:c r="BC193" s="60" t="n">
        <x:f>ROUND(0.30*AX193+0.20*AV193+0.20*AU193+0.15*AY193+0.15*(100-AZ193),2)</x:f>
        <x:v>81.35</x:v>
      </x:c>
      <x:c r="BD193" s="60" t="n">
        <x:f>ROUND(AVERAGE(BB193,BC193),2)</x:f>
        <x:v>80.68</x:v>
      </x:c>
      <x:c r="BE193" s="60" t="n">
        <x:f>ROUND(BD193-U193,2)</x:f>
        <x:v>0.01</x:v>
      </x:c>
      <x:c r="BF193" s="60" t="n">
        <x:f>ROUND(STDEV.P(AC193,AK193,AS193),3)</x:f>
        <x:v>0</x:v>
      </x:c>
      <x:c r="BG193" s="59" t="str"/>
      <x:c r="BH193" s="59" t="str">
        <x:v>30%评分池轻量复核</x:v>
      </x:c>
      <x:c r="BI193" s="40" t="str">
        <x:v>三轮复核后与原表基本一致</x:v>
      </x:c>
    </x:row>
    <x:row r="194" ht="30" customHeight="1">
      <x:c r="A194" s="59" t="n">
        <x:v>193</x:v>
      </x:c>
      <x:c r="B194" s="59" t="n">
        <x:v>193</x:v>
      </x:c>
      <x:c r="C194" s="59" t="str">
        <x:v>2026-06</x:v>
      </x:c>
      <x:c r="D194" s="59" t="n">
        <x:v>99</x:v>
      </x:c>
      <x:c r="E194" s="59" t="str">
        <x:v>2606.00899</x:v>
      </x:c>
      <x:c r="F194" s="40" t="str">
        <x:v>Well-posedness of a first-order formulation for fractionally damped nonlinear acoustics</x:v>
      </x:c>
      <x:c r="G194" s="40" t="str">
        <x:v>Pascal Lehner; Mostafa Meliani</x:v>
      </x:c>
      <x:c r="H194" s="40" t="str">
        <x:v>analysis/PDE</x:v>
      </x:c>
      <x:c r="I194" s="59"/>
      <x:c r="J194" s="40" t="str">
        <x:v>https://arxiv.org/abs/2606.00899</x:v>
      </x:c>
      <x:c r="K194" s="60" t="n">
        <x:v>80</x:v>
      </x:c>
      <x:c r="L194" s="60" t="n">
        <x:v>80</x:v>
      </x:c>
      <x:c r="M194" s="60" t="n">
        <x:v>80</x:v>
      </x:c>
      <x:c r="N194" s="60" t="n">
        <x:v>80</x:v>
      </x:c>
      <x:c r="O194" s="60" t="n">
        <x:v>81</x:v>
      </x:c>
      <x:c r="P194" s="60" t="n">
        <x:v>80</x:v>
      </x:c>
      <x:c r="Q194" s="60" t="n">
        <x:v>13</x:v>
      </x:c>
      <x:c r="R194" s="59" t="n">
        <x:v>5</x:v>
      </x:c>
      <x:c r="S194" s="60" t="n">
        <x:v>80</x:v>
      </x:c>
      <x:c r="T194" s="60" t="n">
        <x:v>81.35</x:v>
      </x:c>
      <x:c r="U194" s="60" t="n">
        <x:v>80.675</x:v>
      </x:c>
      <x:c r="V194" s="60" t="n">
        <x:v>80</x:v>
      </x:c>
      <x:c r="W194" s="60" t="n">
        <x:v>80</x:v>
      </x:c>
      <x:c r="X194" s="60" t="n">
        <x:v>80</x:v>
      </x:c>
      <x:c r="Y194" s="60" t="n">
        <x:v>80</x:v>
      </x:c>
      <x:c r="Z194" s="60" t="n">
        <x:v>81</x:v>
      </x:c>
      <x:c r="AA194" s="60" t="n">
        <x:v>80</x:v>
      </x:c>
      <x:c r="AB194" s="60" t="n">
        <x:v>13</x:v>
      </x:c>
      <x:c r="AC194" s="60" t="n">
        <x:f>ROUND(((0.30*V194+0.20*W194+0.25*X194+0.15*Y194+0.10*AA194)+(0.30*Z194+0.20*X194+0.20*W194+0.15*AA194+0.15*(100-AB194)))/2,2)</x:f>
        <x:v>80.68</x:v>
      </x:c>
      <x:c r="AD194" s="60" t="n">
        <x:v>80</x:v>
      </x:c>
      <x:c r="AE194" s="60" t="n">
        <x:v>80</x:v>
      </x:c>
      <x:c r="AF194" s="60" t="n">
        <x:v>80</x:v>
      </x:c>
      <x:c r="AG194" s="60" t="n">
        <x:v>80</x:v>
      </x:c>
      <x:c r="AH194" s="60" t="n">
        <x:v>81</x:v>
      </x:c>
      <x:c r="AI194" s="60" t="n">
        <x:v>80</x:v>
      </x:c>
      <x:c r="AJ194" s="60" t="n">
        <x:v>13</x:v>
      </x:c>
      <x:c r="AK194" s="60" t="n">
        <x:f>ROUND(((0.30*AD194+0.20*AE194+0.25*AF194+0.15*AG194+0.10*AI194)+(0.30*AH194+0.20*AF194+0.20*AE194+0.15*AI194+0.15*(100-AJ194)))/2,2)</x:f>
        <x:v>80.68</x:v>
      </x:c>
      <x:c r="AL194" s="60" t="n">
        <x:v>80</x:v>
      </x:c>
      <x:c r="AM194" s="60" t="n">
        <x:v>80</x:v>
      </x:c>
      <x:c r="AN194" s="60" t="n">
        <x:v>80</x:v>
      </x:c>
      <x:c r="AO194" s="60" t="n">
        <x:v>80</x:v>
      </x:c>
      <x:c r="AP194" s="60" t="n">
        <x:v>81</x:v>
      </x:c>
      <x:c r="AQ194" s="60" t="n">
        <x:v>80</x:v>
      </x:c>
      <x:c r="AR194" s="60" t="n">
        <x:v>13</x:v>
      </x:c>
      <x:c r="AS194" s="60" t="n">
        <x:f>ROUND(((0.30*AL194+0.20*AM194+0.25*AN194+0.15*AO194+0.10*AQ194)+(0.30*AP194+0.20*AN194+0.20*AM194+0.15*AQ194+0.15*(100-AR194)))/2,2)</x:f>
        <x:v>80.68</x:v>
      </x:c>
      <x:c r="AT194" s="60" t="n">
        <x:f>ROUND(AVERAGE(V194,AD194,AL194),1)</x:f>
        <x:v>80</x:v>
      </x:c>
      <x:c r="AU194" s="60" t="n">
        <x:f>ROUND(AVERAGE(W194,AE194,AM194),1)</x:f>
        <x:v>80</x:v>
      </x:c>
      <x:c r="AV194" s="60" t="n">
        <x:f>ROUND(AVERAGE(X194,AF194,AN194),1)</x:f>
        <x:v>80</x:v>
      </x:c>
      <x:c r="AW194" s="60" t="n">
        <x:f>ROUND(AVERAGE(Y194,AG194,AO194),1)</x:f>
        <x:v>80</x:v>
      </x:c>
      <x:c r="AX194" s="60" t="n">
        <x:f>ROUND(AVERAGE(Z194,AH194,AP194),1)</x:f>
        <x:v>81</x:v>
      </x:c>
      <x:c r="AY194" s="60" t="n">
        <x:f>ROUND(AVERAGE(AA194,AI194,AQ194),1)</x:f>
        <x:v>80</x:v>
      </x:c>
      <x:c r="AZ194" s="60" t="n">
        <x:f>ROUND(AVERAGE(AB194,AJ194,AR194),1)</x:f>
        <x:v>13</x:v>
      </x:c>
      <x:c r="BA194" s="59" t="n">
        <x:v>5</x:v>
      </x:c>
      <x:c r="BB194" s="60" t="n">
        <x:f>ROUND(0.30*AT194+0.20*AU194+0.25*AV194+0.15*AW194+0.10*AY194,2)</x:f>
        <x:v>80</x:v>
      </x:c>
      <x:c r="BC194" s="60" t="n">
        <x:f>ROUND(0.30*AX194+0.20*AV194+0.20*AU194+0.15*AY194+0.15*(100-AZ194),2)</x:f>
        <x:v>81.35</x:v>
      </x:c>
      <x:c r="BD194" s="60" t="n">
        <x:f>ROUND(AVERAGE(BB194,BC194),2)</x:f>
        <x:v>80.68</x:v>
      </x:c>
      <x:c r="BE194" s="60" t="n">
        <x:f>ROUND(BD194-U194,2)</x:f>
        <x:v>0.01</x:v>
      </x:c>
      <x:c r="BF194" s="60" t="n">
        <x:f>ROUND(STDEV.P(AC194,AK194,AS194),3)</x:f>
        <x:v>0</x:v>
      </x:c>
      <x:c r="BG194" s="59" t="str"/>
      <x:c r="BH194" s="59" t="str">
        <x:v>30%评分池轻量复核</x:v>
      </x:c>
      <x:c r="BI194" s="40" t="str">
        <x:v>三轮复核后与原表基本一致</x:v>
      </x:c>
    </x:row>
    <x:row r="195" ht="30" customHeight="1">
      <x:c r="A195" s="59" t="n">
        <x:v>194</x:v>
      </x:c>
      <x:c r="B195" s="59" t="n">
        <x:v>194</x:v>
      </x:c>
      <x:c r="C195" s="59" t="str">
        <x:v>2026-06</x:v>
      </x:c>
      <x:c r="D195" s="59" t="n">
        <x:v>99</x:v>
      </x:c>
      <x:c r="E195" s="59" t="str">
        <x:v>2606.00713</x:v>
      </x:c>
      <x:c r="F195" s="40" t="str">
        <x:v>Liouville Type Theorem for the Steady Fractional Compressible MHD Equations in R^3</x:v>
      </x:c>
      <x:c r="G195" s="40" t="str">
        <x:v>Zhenyuan Liu; Weihua Wang</x:v>
      </x:c>
      <x:c r="H195" s="40" t="str">
        <x:v>fluid/kinetic PDE</x:v>
      </x:c>
      <x:c r="I195" s="59" t="n">
        <x:v>15</x:v>
      </x:c>
      <x:c r="J195" s="40" t="str">
        <x:v>https://arxiv.org/abs/2606.00713</x:v>
      </x:c>
      <x:c r="K195" s="60" t="n">
        <x:v>80</x:v>
      </x:c>
      <x:c r="L195" s="60" t="n">
        <x:v>80</x:v>
      </x:c>
      <x:c r="M195" s="60" t="n">
        <x:v>80</x:v>
      </x:c>
      <x:c r="N195" s="60" t="n">
        <x:v>80</x:v>
      </x:c>
      <x:c r="O195" s="60" t="n">
        <x:v>81</x:v>
      </x:c>
      <x:c r="P195" s="60" t="n">
        <x:v>80</x:v>
      </x:c>
      <x:c r="Q195" s="60" t="n">
        <x:v>13</x:v>
      </x:c>
      <x:c r="R195" s="59" t="n">
        <x:v>5</x:v>
      </x:c>
      <x:c r="S195" s="60" t="n">
        <x:v>80</x:v>
      </x:c>
      <x:c r="T195" s="60" t="n">
        <x:v>81.35</x:v>
      </x:c>
      <x:c r="U195" s="60" t="n">
        <x:v>80.675</x:v>
      </x:c>
      <x:c r="V195" s="60" t="n">
        <x:v>80</x:v>
      </x:c>
      <x:c r="W195" s="60" t="n">
        <x:v>80</x:v>
      </x:c>
      <x:c r="X195" s="60" t="n">
        <x:v>80</x:v>
      </x:c>
      <x:c r="Y195" s="60" t="n">
        <x:v>80</x:v>
      </x:c>
      <x:c r="Z195" s="60" t="n">
        <x:v>81</x:v>
      </x:c>
      <x:c r="AA195" s="60" t="n">
        <x:v>80</x:v>
      </x:c>
      <x:c r="AB195" s="60" t="n">
        <x:v>13</x:v>
      </x:c>
      <x:c r="AC195" s="60" t="n">
        <x:f>ROUND(((0.30*V195+0.20*W195+0.25*X195+0.15*Y195+0.10*AA195)+(0.30*Z195+0.20*X195+0.20*W195+0.15*AA195+0.15*(100-AB195)))/2,2)</x:f>
        <x:v>80.68</x:v>
      </x:c>
      <x:c r="AD195" s="60" t="n">
        <x:v>80</x:v>
      </x:c>
      <x:c r="AE195" s="60" t="n">
        <x:v>80</x:v>
      </x:c>
      <x:c r="AF195" s="60" t="n">
        <x:v>80</x:v>
      </x:c>
      <x:c r="AG195" s="60" t="n">
        <x:v>80</x:v>
      </x:c>
      <x:c r="AH195" s="60" t="n">
        <x:v>81</x:v>
      </x:c>
      <x:c r="AI195" s="60" t="n">
        <x:v>80</x:v>
      </x:c>
      <x:c r="AJ195" s="60" t="n">
        <x:v>13.4</x:v>
      </x:c>
      <x:c r="AK195" s="60" t="n">
        <x:f>ROUND(((0.30*AD195+0.20*AE195+0.25*AF195+0.15*AG195+0.10*AI195)+(0.30*AH195+0.20*AF195+0.20*AE195+0.15*AI195+0.15*(100-AJ195)))/2,2)</x:f>
        <x:v>80.65</x:v>
      </x:c>
      <x:c r="AL195" s="60" t="n">
        <x:v>80</x:v>
      </x:c>
      <x:c r="AM195" s="60" t="n">
        <x:v>80</x:v>
      </x:c>
      <x:c r="AN195" s="60" t="n">
        <x:v>80</x:v>
      </x:c>
      <x:c r="AO195" s="60" t="n">
        <x:v>80</x:v>
      </x:c>
      <x:c r="AP195" s="60" t="n">
        <x:v>81</x:v>
      </x:c>
      <x:c r="AQ195" s="60" t="n">
        <x:v>80</x:v>
      </x:c>
      <x:c r="AR195" s="60" t="n">
        <x:v>13.5</x:v>
      </x:c>
      <x:c r="AS195" s="60" t="n">
        <x:f>ROUND(((0.30*AL195+0.20*AM195+0.25*AN195+0.15*AO195+0.10*AQ195)+(0.30*AP195+0.20*AN195+0.20*AM195+0.15*AQ195+0.15*(100-AR195)))/2,2)</x:f>
        <x:v>80.64</x:v>
      </x:c>
      <x:c r="AT195" s="60" t="n">
        <x:f>ROUND(AVERAGE(V195,AD195,AL195),1)</x:f>
        <x:v>80</x:v>
      </x:c>
      <x:c r="AU195" s="60" t="n">
        <x:f>ROUND(AVERAGE(W195,AE195,AM195),1)</x:f>
        <x:v>80</x:v>
      </x:c>
      <x:c r="AV195" s="60" t="n">
        <x:f>ROUND(AVERAGE(X195,AF195,AN195),1)</x:f>
        <x:v>80</x:v>
      </x:c>
      <x:c r="AW195" s="60" t="n">
        <x:f>ROUND(AVERAGE(Y195,AG195,AO195),1)</x:f>
        <x:v>80</x:v>
      </x:c>
      <x:c r="AX195" s="60" t="n">
        <x:f>ROUND(AVERAGE(Z195,AH195,AP195),1)</x:f>
        <x:v>81</x:v>
      </x:c>
      <x:c r="AY195" s="60" t="n">
        <x:f>ROUND(AVERAGE(AA195,AI195,AQ195),1)</x:f>
        <x:v>80</x:v>
      </x:c>
      <x:c r="AZ195" s="60" t="n">
        <x:f>ROUND(AVERAGE(AB195,AJ195,AR195),1)</x:f>
        <x:v>13.3</x:v>
      </x:c>
      <x:c r="BA195" s="59" t="n">
        <x:v>5</x:v>
      </x:c>
      <x:c r="BB195" s="60" t="n">
        <x:f>ROUND(0.30*AT195+0.20*AU195+0.25*AV195+0.15*AW195+0.10*AY195,2)</x:f>
        <x:v>80</x:v>
      </x:c>
      <x:c r="BC195" s="60" t="n">
        <x:f>ROUND(0.30*AX195+0.20*AV195+0.20*AU195+0.15*AY195+0.15*(100-AZ195),2)</x:f>
        <x:v>81.3</x:v>
      </x:c>
      <x:c r="BD195" s="60" t="n">
        <x:f>ROUND(AVERAGE(BB195,BC195),2)</x:f>
        <x:v>80.65</x:v>
      </x:c>
      <x:c r="BE195" s="60" t="n">
        <x:f>ROUND(BD195-U195,2)</x:f>
        <x:v>-0.02</x:v>
      </x:c>
      <x:c r="BF195" s="60" t="n">
        <x:f>ROUND(STDEV.P(AC195,AK195,AS195),3)</x:f>
        <x:v>0.017</x:v>
      </x:c>
      <x:c r="BG195" s="59" t="str"/>
      <x:c r="BH195" s="59" t="str">
        <x:v>30%评分池轻量复核</x:v>
      </x:c>
      <x:c r="BI195" s="40" t="str">
        <x:v>三轮复核后与原表基本一致</x:v>
      </x:c>
    </x:row>
    <x:row r="196" ht="30" customHeight="1">
      <x:c r="A196" s="59" t="n">
        <x:v>195</x:v>
      </x:c>
      <x:c r="B196" s="59" t="n">
        <x:v>195</x:v>
      </x:c>
      <x:c r="C196" s="59" t="str">
        <x:v>2026-06</x:v>
      </x:c>
      <x:c r="D196" s="59" t="n">
        <x:v>104</x:v>
      </x:c>
      <x:c r="E196" s="59" t="str">
        <x:v>2606.07064</x:v>
      </x:c>
      <x:c r="F196" s="40" t="str">
        <x:v>An inverse source problem for the Monge-Ampere equation from large boundary data</x:v>
      </x:c>
      <x:c r="G196" s="40" t="str">
        <x:v>Catalin I. Carstea; Tuhin Ghosh</x:v>
      </x:c>
      <x:c r="H196" s="40" t="str">
        <x:v>inverse/scattering</x:v>
      </x:c>
      <x:c r="I196" s="59"/>
      <x:c r="J196" s="40" t="str">
        <x:v>https://arxiv.org/abs/2606.07064</x:v>
      </x:c>
      <x:c r="K196" s="60" t="n">
        <x:v>80</x:v>
      </x:c>
      <x:c r="L196" s="60" t="n">
        <x:v>81</x:v>
      </x:c>
      <x:c r="M196" s="60" t="n">
        <x:v>80</x:v>
      </x:c>
      <x:c r="N196" s="60" t="n">
        <x:v>79</x:v>
      </x:c>
      <x:c r="O196" s="60" t="n">
        <x:v>80</x:v>
      </x:c>
      <x:c r="P196" s="60" t="n">
        <x:v>80</x:v>
      </x:c>
      <x:c r="Q196" s="60" t="n">
        <x:v>13</x:v>
      </x:c>
      <x:c r="R196" s="59" t="n">
        <x:v>5</x:v>
      </x:c>
      <x:c r="S196" s="60" t="n">
        <x:v>80.05</x:v>
      </x:c>
      <x:c r="T196" s="60" t="n">
        <x:v>81.25</x:v>
      </x:c>
      <x:c r="U196" s="60" t="n">
        <x:v>80.65</x:v>
      </x:c>
      <x:c r="V196" s="60" t="n">
        <x:v>80</x:v>
      </x:c>
      <x:c r="W196" s="60" t="n">
        <x:v>81</x:v>
      </x:c>
      <x:c r="X196" s="60" t="n">
        <x:v>80</x:v>
      </x:c>
      <x:c r="Y196" s="60" t="n">
        <x:v>79</x:v>
      </x:c>
      <x:c r="Z196" s="60" t="n">
        <x:v>80</x:v>
      </x:c>
      <x:c r="AA196" s="60" t="n">
        <x:v>80</x:v>
      </x:c>
      <x:c r="AB196" s="60" t="n">
        <x:v>13</x:v>
      </x:c>
      <x:c r="AC196" s="60" t="n">
        <x:f>ROUND(((0.30*V196+0.20*W196+0.25*X196+0.15*Y196+0.10*AA196)+(0.30*Z196+0.20*X196+0.20*W196+0.15*AA196+0.15*(100-AB196)))/2,2)</x:f>
        <x:v>80.65</x:v>
      </x:c>
      <x:c r="AD196" s="60" t="n">
        <x:v>80</x:v>
      </x:c>
      <x:c r="AE196" s="60" t="n">
        <x:v>81</x:v>
      </x:c>
      <x:c r="AF196" s="60" t="n">
        <x:v>80</x:v>
      </x:c>
      <x:c r="AG196" s="60" t="n">
        <x:v>79</x:v>
      </x:c>
      <x:c r="AH196" s="60" t="n">
        <x:v>80</x:v>
      </x:c>
      <x:c r="AI196" s="60" t="n">
        <x:v>80</x:v>
      </x:c>
      <x:c r="AJ196" s="60" t="n">
        <x:v>13</x:v>
      </x:c>
      <x:c r="AK196" s="60" t="n">
        <x:f>ROUND(((0.30*AD196+0.20*AE196+0.25*AF196+0.15*AG196+0.10*AI196)+(0.30*AH196+0.20*AF196+0.20*AE196+0.15*AI196+0.15*(100-AJ196)))/2,2)</x:f>
        <x:v>80.65</x:v>
      </x:c>
      <x:c r="AL196" s="60" t="n">
        <x:v>80</x:v>
      </x:c>
      <x:c r="AM196" s="60" t="n">
        <x:v>81</x:v>
      </x:c>
      <x:c r="AN196" s="60" t="n">
        <x:v>80</x:v>
      </x:c>
      <x:c r="AO196" s="60" t="n">
        <x:v>79</x:v>
      </x:c>
      <x:c r="AP196" s="60" t="n">
        <x:v>80</x:v>
      </x:c>
      <x:c r="AQ196" s="60" t="n">
        <x:v>80</x:v>
      </x:c>
      <x:c r="AR196" s="60" t="n">
        <x:v>13</x:v>
      </x:c>
      <x:c r="AS196" s="60" t="n">
        <x:f>ROUND(((0.30*AL196+0.20*AM196+0.25*AN196+0.15*AO196+0.10*AQ196)+(0.30*AP196+0.20*AN196+0.20*AM196+0.15*AQ196+0.15*(100-AR196)))/2,2)</x:f>
        <x:v>80.65</x:v>
      </x:c>
      <x:c r="AT196" s="60" t="n">
        <x:f>ROUND(AVERAGE(V196,AD196,AL196),1)</x:f>
        <x:v>80</x:v>
      </x:c>
      <x:c r="AU196" s="60" t="n">
        <x:f>ROUND(AVERAGE(W196,AE196,AM196),1)</x:f>
        <x:v>81</x:v>
      </x:c>
      <x:c r="AV196" s="60" t="n">
        <x:f>ROUND(AVERAGE(X196,AF196,AN196),1)</x:f>
        <x:v>80</x:v>
      </x:c>
      <x:c r="AW196" s="60" t="n">
        <x:f>ROUND(AVERAGE(Y196,AG196,AO196),1)</x:f>
        <x:v>79</x:v>
      </x:c>
      <x:c r="AX196" s="60" t="n">
        <x:f>ROUND(AVERAGE(Z196,AH196,AP196),1)</x:f>
        <x:v>80</x:v>
      </x:c>
      <x:c r="AY196" s="60" t="n">
        <x:f>ROUND(AVERAGE(AA196,AI196,AQ196),1)</x:f>
        <x:v>80</x:v>
      </x:c>
      <x:c r="AZ196" s="60" t="n">
        <x:f>ROUND(AVERAGE(AB196,AJ196,AR196),1)</x:f>
        <x:v>13</x:v>
      </x:c>
      <x:c r="BA196" s="59" t="n">
        <x:v>5</x:v>
      </x:c>
      <x:c r="BB196" s="60" t="n">
        <x:f>ROUND(0.30*AT196+0.20*AU196+0.25*AV196+0.15*AW196+0.10*AY196,2)</x:f>
        <x:v>80.05</x:v>
      </x:c>
      <x:c r="BC196" s="60" t="n">
        <x:f>ROUND(0.30*AX196+0.20*AV196+0.20*AU196+0.15*AY196+0.15*(100-AZ196),2)</x:f>
        <x:v>81.25</x:v>
      </x:c>
      <x:c r="BD196" s="60" t="n">
        <x:f>ROUND(AVERAGE(BB196,BC196),2)</x:f>
        <x:v>80.65</x:v>
      </x:c>
      <x:c r="BE196" s="60" t="n">
        <x:f>ROUND(BD196-U196,2)</x:f>
        <x:v>0</x:v>
      </x:c>
      <x:c r="BF196" s="60" t="n">
        <x:f>ROUND(STDEV.P(AC196,AK196,AS196),3)</x:f>
        <x:v>0</x:v>
      </x:c>
      <x:c r="BG196" s="59" t="str"/>
      <x:c r="BH196" s="59" t="str">
        <x:v>30%评分池轻量复核</x:v>
      </x:c>
      <x:c r="BI196" s="40" t="str">
        <x:v>三轮复核后与原表基本一致</x:v>
      </x:c>
    </x:row>
    <x:row r="197" ht="30" customHeight="1">
      <x:c r="A197" s="59" t="n">
        <x:v>196</x:v>
      </x:c>
      <x:c r="B197" s="59" t="n">
        <x:v>196</x:v>
      </x:c>
      <x:c r="C197" s="59" t="str">
        <x:v>2026-06</x:v>
      </x:c>
      <x:c r="D197" s="59" t="n">
        <x:v>104</x:v>
      </x:c>
      <x:c r="E197" s="59" t="str">
        <x:v>2606.06431</x:v>
      </x:c>
      <x:c r="F197" s="40" t="str">
        <x:v>An inverse source problem for a fully nonlinear elliptic equation</x:v>
      </x:c>
      <x:c r="G197" s="40" t="str">
        <x:v>Ching-Lung Lin; Yi-Hsuan Lin; Jenn-Nan Wang</x:v>
      </x:c>
      <x:c r="H197" s="40" t="str">
        <x:v>inverse/scattering</x:v>
      </x:c>
      <x:c r="I197" s="59" t="n">
        <x:v>23</x:v>
      </x:c>
      <x:c r="J197" s="40" t="str">
        <x:v>https://arxiv.org/abs/2606.06431</x:v>
      </x:c>
      <x:c r="K197" s="60" t="n">
        <x:v>80</x:v>
      </x:c>
      <x:c r="L197" s="60" t="n">
        <x:v>81</x:v>
      </x:c>
      <x:c r="M197" s="60" t="n">
        <x:v>80</x:v>
      </x:c>
      <x:c r="N197" s="60" t="n">
        <x:v>79</x:v>
      </x:c>
      <x:c r="O197" s="60" t="n">
        <x:v>80</x:v>
      </x:c>
      <x:c r="P197" s="60" t="n">
        <x:v>80</x:v>
      </x:c>
      <x:c r="Q197" s="60" t="n">
        <x:v>13</x:v>
      </x:c>
      <x:c r="R197" s="59" t="n">
        <x:v>5</x:v>
      </x:c>
      <x:c r="S197" s="60" t="n">
        <x:v>80.05</x:v>
      </x:c>
      <x:c r="T197" s="60" t="n">
        <x:v>81.25</x:v>
      </x:c>
      <x:c r="U197" s="60" t="n">
        <x:v>80.65</x:v>
      </x:c>
      <x:c r="V197" s="60" t="n">
        <x:v>80</x:v>
      </x:c>
      <x:c r="W197" s="60" t="n">
        <x:v>81</x:v>
      </x:c>
      <x:c r="X197" s="60" t="n">
        <x:v>80</x:v>
      </x:c>
      <x:c r="Y197" s="60" t="n">
        <x:v>79</x:v>
      </x:c>
      <x:c r="Z197" s="60" t="n">
        <x:v>80</x:v>
      </x:c>
      <x:c r="AA197" s="60" t="n">
        <x:v>80</x:v>
      </x:c>
      <x:c r="AB197" s="60" t="n">
        <x:v>13</x:v>
      </x:c>
      <x:c r="AC197" s="60" t="n">
        <x:f>ROUND(((0.30*V197+0.20*W197+0.25*X197+0.15*Y197+0.10*AA197)+(0.30*Z197+0.20*X197+0.20*W197+0.15*AA197+0.15*(100-AB197)))/2,2)</x:f>
        <x:v>80.65</x:v>
      </x:c>
      <x:c r="AD197" s="60" t="n">
        <x:v>80</x:v>
      </x:c>
      <x:c r="AE197" s="60" t="n">
        <x:v>81</x:v>
      </x:c>
      <x:c r="AF197" s="60" t="n">
        <x:v>80</x:v>
      </x:c>
      <x:c r="AG197" s="60" t="n">
        <x:v>79</x:v>
      </x:c>
      <x:c r="AH197" s="60" t="n">
        <x:v>80</x:v>
      </x:c>
      <x:c r="AI197" s="60" t="n">
        <x:v>80</x:v>
      </x:c>
      <x:c r="AJ197" s="60" t="n">
        <x:v>13.4</x:v>
      </x:c>
      <x:c r="AK197" s="60" t="n">
        <x:f>ROUND(((0.30*AD197+0.20*AE197+0.25*AF197+0.15*AG197+0.10*AI197)+(0.30*AH197+0.20*AF197+0.20*AE197+0.15*AI197+0.15*(100-AJ197)))/2,2)</x:f>
        <x:v>80.62</x:v>
      </x:c>
      <x:c r="AL197" s="60" t="n">
        <x:v>80</x:v>
      </x:c>
      <x:c r="AM197" s="60" t="n">
        <x:v>81</x:v>
      </x:c>
      <x:c r="AN197" s="60" t="n">
        <x:v>80</x:v>
      </x:c>
      <x:c r="AO197" s="60" t="n">
        <x:v>79</x:v>
      </x:c>
      <x:c r="AP197" s="60" t="n">
        <x:v>80</x:v>
      </x:c>
      <x:c r="AQ197" s="60" t="n">
        <x:v>80</x:v>
      </x:c>
      <x:c r="AR197" s="60" t="n">
        <x:v>13</x:v>
      </x:c>
      <x:c r="AS197" s="60" t="n">
        <x:f>ROUND(((0.30*AL197+0.20*AM197+0.25*AN197+0.15*AO197+0.10*AQ197)+(0.30*AP197+0.20*AN197+0.20*AM197+0.15*AQ197+0.15*(100-AR197)))/2,2)</x:f>
        <x:v>80.65</x:v>
      </x:c>
      <x:c r="AT197" s="60" t="n">
        <x:f>ROUND(AVERAGE(V197,AD197,AL197),1)</x:f>
        <x:v>80</x:v>
      </x:c>
      <x:c r="AU197" s="60" t="n">
        <x:f>ROUND(AVERAGE(W197,AE197,AM197),1)</x:f>
        <x:v>81</x:v>
      </x:c>
      <x:c r="AV197" s="60" t="n">
        <x:f>ROUND(AVERAGE(X197,AF197,AN197),1)</x:f>
        <x:v>80</x:v>
      </x:c>
      <x:c r="AW197" s="60" t="n">
        <x:f>ROUND(AVERAGE(Y197,AG197,AO197),1)</x:f>
        <x:v>79</x:v>
      </x:c>
      <x:c r="AX197" s="60" t="n">
        <x:f>ROUND(AVERAGE(Z197,AH197,AP197),1)</x:f>
        <x:v>80</x:v>
      </x:c>
      <x:c r="AY197" s="60" t="n">
        <x:f>ROUND(AVERAGE(AA197,AI197,AQ197),1)</x:f>
        <x:v>80</x:v>
      </x:c>
      <x:c r="AZ197" s="60" t="n">
        <x:f>ROUND(AVERAGE(AB197,AJ197,AR197),1)</x:f>
        <x:v>13.1</x:v>
      </x:c>
      <x:c r="BA197" s="59" t="n">
        <x:v>5</x:v>
      </x:c>
      <x:c r="BB197" s="60" t="n">
        <x:f>ROUND(0.30*AT197+0.20*AU197+0.25*AV197+0.15*AW197+0.10*AY197,2)</x:f>
        <x:v>80.05</x:v>
      </x:c>
      <x:c r="BC197" s="60" t="n">
        <x:f>ROUND(0.30*AX197+0.20*AV197+0.20*AU197+0.15*AY197+0.15*(100-AZ197),2)</x:f>
        <x:v>81.24</x:v>
      </x:c>
      <x:c r="BD197" s="60" t="n">
        <x:f>ROUND(AVERAGE(BB197,BC197),2)</x:f>
        <x:v>80.65</x:v>
      </x:c>
      <x:c r="BE197" s="60" t="n">
        <x:f>ROUND(BD197-U197,2)</x:f>
        <x:v>0</x:v>
      </x:c>
      <x:c r="BF197" s="60" t="n">
        <x:f>ROUND(STDEV.P(AC197,AK197,AS197),3)</x:f>
        <x:v>0.014</x:v>
      </x:c>
      <x:c r="BG197" s="59" t="str"/>
      <x:c r="BH197" s="59" t="str">
        <x:v>30%评分池轻量复核</x:v>
      </x:c>
      <x:c r="BI197" s="40" t="str">
        <x:v>三轮复核后与原表基本一致</x:v>
      </x:c>
    </x:row>
    <x:row r="198" ht="30" customHeight="1">
      <x:c r="A198" s="59" t="n">
        <x:v>197</x:v>
      </x:c>
      <x:c r="B198" s="59" t="n">
        <x:v>198</x:v>
      </x:c>
      <x:c r="C198" s="59" t="str">
        <x:v>2026-06</x:v>
      </x:c>
      <x:c r="D198" s="59" t="n">
        <x:v>106</x:v>
      </x:c>
      <x:c r="E198" s="59" t="str">
        <x:v>2606.04654</x:v>
      </x:c>
      <x:c r="F198" s="40" t="str">
        <x:v>Small-Time Asymptotic Behavior of the Stochastic Landau-Lifshitz-Baryakhtar Equation</x:v>
      </x:c>
      <x:c r="G198" s="40" t="str">
        <x:v>Utpal Manna; Sangram Satpathi</x:v>
      </x:c>
      <x:c r="H198" s="40" t="str">
        <x:v>homogenization/asymptotics</x:v>
      </x:c>
      <x:c r="I198" s="59"/>
      <x:c r="J198" s="40" t="str">
        <x:v>https://arxiv.org/abs/2606.04654</x:v>
      </x:c>
      <x:c r="K198" s="60" t="n">
        <x:v>80</x:v>
      </x:c>
      <x:c r="L198" s="60" t="n">
        <x:v>80</x:v>
      </x:c>
      <x:c r="M198" s="60" t="n">
        <x:v>80</x:v>
      </x:c>
      <x:c r="N198" s="60" t="n">
        <x:v>79</x:v>
      </x:c>
      <x:c r="O198" s="60" t="n">
        <x:v>80</x:v>
      </x:c>
      <x:c r="P198" s="60" t="n">
        <x:v>80</x:v>
      </x:c>
      <x:c r="Q198" s="60" t="n">
        <x:v>13</x:v>
      </x:c>
      <x:c r="R198" s="59" t="n">
        <x:v>5</x:v>
      </x:c>
      <x:c r="S198" s="60" t="n">
        <x:v>79.85</x:v>
      </x:c>
      <x:c r="T198" s="60" t="n">
        <x:v>81.05</x:v>
      </x:c>
      <x:c r="U198" s="60" t="n">
        <x:v>80.44999999999999</x:v>
      </x:c>
      <x:c r="V198" s="60" t="n">
        <x:v>80.1</x:v>
      </x:c>
      <x:c r="W198" s="60" t="n">
        <x:v>80.1</x:v>
      </x:c>
      <x:c r="X198" s="60" t="n">
        <x:v>80.1</x:v>
      </x:c>
      <x:c r="Y198" s="60" t="n">
        <x:v>79.1</x:v>
      </x:c>
      <x:c r="Z198" s="60" t="n">
        <x:v>80.1</x:v>
      </x:c>
      <x:c r="AA198" s="60" t="n">
        <x:v>80</x:v>
      </x:c>
      <x:c r="AB198" s="60" t="n">
        <x:v>13</x:v>
      </x:c>
      <x:c r="AC198" s="60" t="n">
        <x:f>ROUND(((0.30*V198+0.20*W198+0.25*X198+0.15*Y198+0.10*AA198)+(0.30*Z198+0.20*X198+0.20*W198+0.15*AA198+0.15*(100-AB198)))/2,2)</x:f>
        <x:v>80.53</x:v>
      </x:c>
      <x:c r="AD198" s="60" t="n">
        <x:v>80</x:v>
      </x:c>
      <x:c r="AE198" s="60" t="n">
        <x:v>80.1</x:v>
      </x:c>
      <x:c r="AF198" s="60" t="n">
        <x:v>80</x:v>
      </x:c>
      <x:c r="AG198" s="60" t="n">
        <x:v>79.1</x:v>
      </x:c>
      <x:c r="AH198" s="60" t="n">
        <x:v>80.1</x:v>
      </x:c>
      <x:c r="AI198" s="60" t="n">
        <x:v>80</x:v>
      </x:c>
      <x:c r="AJ198" s="60" t="n">
        <x:v>13</x:v>
      </x:c>
      <x:c r="AK198" s="60" t="n">
        <x:f>ROUND(((0.30*AD198+0.20*AE198+0.25*AF198+0.15*AG198+0.10*AI198)+(0.30*AH198+0.20*AF198+0.20*AE198+0.15*AI198+0.15*(100-AJ198)))/2,2)</x:f>
        <x:v>80.49</x:v>
      </x:c>
      <x:c r="AL198" s="60" t="n">
        <x:v>80</x:v>
      </x:c>
      <x:c r="AM198" s="60" t="n">
        <x:v>80.1</x:v>
      </x:c>
      <x:c r="AN198" s="60" t="n">
        <x:v>80.1</x:v>
      </x:c>
      <x:c r="AO198" s="60" t="n">
        <x:v>79.1</x:v>
      </x:c>
      <x:c r="AP198" s="60" t="n">
        <x:v>80.1</x:v>
      </x:c>
      <x:c r="AQ198" s="60" t="n">
        <x:v>80</x:v>
      </x:c>
      <x:c r="AR198" s="60" t="n">
        <x:v>13</x:v>
      </x:c>
      <x:c r="AS198" s="60" t="n">
        <x:f>ROUND(((0.30*AL198+0.20*AM198+0.25*AN198+0.15*AO198+0.10*AQ198)+(0.30*AP198+0.20*AN198+0.20*AM198+0.15*AQ198+0.15*(100-AR198)))/2,2)</x:f>
        <x:v>80.51</x:v>
      </x:c>
      <x:c r="AT198" s="60" t="n">
        <x:f>ROUND(AVERAGE(V198,AD198,AL198),1)</x:f>
        <x:v>80</x:v>
      </x:c>
      <x:c r="AU198" s="60" t="n">
        <x:f>ROUND(AVERAGE(W198,AE198,AM198),1)</x:f>
        <x:v>80.1</x:v>
      </x:c>
      <x:c r="AV198" s="60" t="n">
        <x:f>ROUND(AVERAGE(X198,AF198,AN198),1)</x:f>
        <x:v>80.1</x:v>
      </x:c>
      <x:c r="AW198" s="60" t="n">
        <x:f>ROUND(AVERAGE(Y198,AG198,AO198),1)</x:f>
        <x:v>79.1</x:v>
      </x:c>
      <x:c r="AX198" s="60" t="n">
        <x:f>ROUND(AVERAGE(Z198,AH198,AP198),1)</x:f>
        <x:v>80.1</x:v>
      </x:c>
      <x:c r="AY198" s="60" t="n">
        <x:f>ROUND(AVERAGE(AA198,AI198,AQ198),1)</x:f>
        <x:v>80</x:v>
      </x:c>
      <x:c r="AZ198" s="60" t="n">
        <x:f>ROUND(AVERAGE(AB198,AJ198,AR198),1)</x:f>
        <x:v>13</x:v>
      </x:c>
      <x:c r="BA198" s="59" t="n">
        <x:v>5</x:v>
      </x:c>
      <x:c r="BB198" s="60" t="n">
        <x:f>ROUND(0.30*AT198+0.20*AU198+0.25*AV198+0.15*AW198+0.10*AY198,2)</x:f>
        <x:v>79.91</x:v>
      </x:c>
      <x:c r="BC198" s="60" t="n">
        <x:f>ROUND(0.30*AX198+0.20*AV198+0.20*AU198+0.15*AY198+0.15*(100-AZ198),2)</x:f>
        <x:v>81.12</x:v>
      </x:c>
      <x:c r="BD198" s="60" t="n">
        <x:f>ROUND(AVERAGE(BB198,BC198),2)</x:f>
        <x:v>80.52</x:v>
      </x:c>
      <x:c r="BE198" s="60" t="n">
        <x:f>ROUND(BD198-U198,2)</x:f>
        <x:v>0.07</x:v>
      </x:c>
      <x:c r="BF198" s="60" t="n">
        <x:f>ROUND(STDEV.P(AC198,AK198,AS198),3)</x:f>
        <x:v>0.016</x:v>
      </x:c>
      <x:c r="BG198" s="59" t="str"/>
      <x:c r="BH198" s="59" t="str">
        <x:v>30%评分池轻量复核</x:v>
      </x:c>
      <x:c r="BI198" s="40" t="str">
        <x:v>三轮复核后与原表基本一致</x:v>
      </x:c>
    </x:row>
    <x:row r="199" ht="30" customHeight="1">
      <x:c r="A199" s="59" t="n">
        <x:v>198</x:v>
      </x:c>
      <x:c r="B199" s="59" t="n">
        <x:v>197</x:v>
      </x:c>
      <x:c r="C199" s="59" t="str">
        <x:v>2026-06</x:v>
      </x:c>
      <x:c r="D199" s="59" t="n">
        <x:v>106</x:v>
      </x:c>
      <x:c r="E199" s="59" t="str">
        <x:v>2606.15658</x:v>
      </x:c>
      <x:c r="F199" s="40" t="str">
        <x:v>L^2-contraction and asymptotic stability of Cahn-Hilliard fronts</x:v>
      </x:c>
      <x:c r="G199" s="40" t="str">
        <x:v>Bongsuk Kwon; Wanyong Shim</x:v>
      </x:c>
      <x:c r="H199" s="40" t="str">
        <x:v>homogenization/asymptotics</x:v>
      </x:c>
      <x:c r="I199" s="59" t="n">
        <x:v>31</x:v>
      </x:c>
      <x:c r="J199" s="40" t="str">
        <x:v>https://arxiv.org/abs/2606.15658</x:v>
      </x:c>
      <x:c r="K199" s="60" t="n">
        <x:v>80</x:v>
      </x:c>
      <x:c r="L199" s="60" t="n">
        <x:v>80</x:v>
      </x:c>
      <x:c r="M199" s="60" t="n">
        <x:v>80</x:v>
      </x:c>
      <x:c r="N199" s="60" t="n">
        <x:v>79</x:v>
      </x:c>
      <x:c r="O199" s="60" t="n">
        <x:v>80</x:v>
      </x:c>
      <x:c r="P199" s="60" t="n">
        <x:v>80</x:v>
      </x:c>
      <x:c r="Q199" s="60" t="n">
        <x:v>13</x:v>
      </x:c>
      <x:c r="R199" s="59" t="n">
        <x:v>5</x:v>
      </x:c>
      <x:c r="S199" s="60" t="n">
        <x:v>79.85</x:v>
      </x:c>
      <x:c r="T199" s="60" t="n">
        <x:v>81.05</x:v>
      </x:c>
      <x:c r="U199" s="60" t="n">
        <x:v>80.44999999999999</x:v>
      </x:c>
      <x:c r="V199" s="60" t="n">
        <x:v>80</x:v>
      </x:c>
      <x:c r="W199" s="60" t="n">
        <x:v>80.1</x:v>
      </x:c>
      <x:c r="X199" s="60" t="n">
        <x:v>80</x:v>
      </x:c>
      <x:c r="Y199" s="60" t="n">
        <x:v>79.1</x:v>
      </x:c>
      <x:c r="Z199" s="60" t="n">
        <x:v>80.1</x:v>
      </x:c>
      <x:c r="AA199" s="60" t="n">
        <x:v>80</x:v>
      </x:c>
      <x:c r="AB199" s="60" t="n">
        <x:v>13</x:v>
      </x:c>
      <x:c r="AC199" s="60" t="n">
        <x:f>ROUND(((0.30*V199+0.20*W199+0.25*X199+0.15*Y199+0.10*AA199)+(0.30*Z199+0.20*X199+0.20*W199+0.15*AA199+0.15*(100-AB199)))/2,2)</x:f>
        <x:v>80.49</x:v>
      </x:c>
      <x:c r="AD199" s="60" t="n">
        <x:v>80</x:v>
      </x:c>
      <x:c r="AE199" s="60" t="n">
        <x:v>80.1</x:v>
      </x:c>
      <x:c r="AF199" s="60" t="n">
        <x:v>80</x:v>
      </x:c>
      <x:c r="AG199" s="60" t="n">
        <x:v>79.1</x:v>
      </x:c>
      <x:c r="AH199" s="60" t="n">
        <x:v>80</x:v>
      </x:c>
      <x:c r="AI199" s="60" t="n">
        <x:v>80</x:v>
      </x:c>
      <x:c r="AJ199" s="60" t="n">
        <x:v>13</x:v>
      </x:c>
      <x:c r="AK199" s="60" t="n">
        <x:f>ROUND(((0.30*AD199+0.20*AE199+0.25*AF199+0.15*AG199+0.10*AI199)+(0.30*AH199+0.20*AF199+0.20*AE199+0.15*AI199+0.15*(100-AJ199)))/2,2)</x:f>
        <x:v>80.48</x:v>
      </x:c>
      <x:c r="AL199" s="60" t="n">
        <x:v>80</x:v>
      </x:c>
      <x:c r="AM199" s="60" t="n">
        <x:v>80.1</x:v>
      </x:c>
      <x:c r="AN199" s="60" t="n">
        <x:v>80</x:v>
      </x:c>
      <x:c r="AO199" s="60" t="n">
        <x:v>79.1</x:v>
      </x:c>
      <x:c r="AP199" s="60" t="n">
        <x:v>80.1</x:v>
      </x:c>
      <x:c r="AQ199" s="60" t="n">
        <x:v>80</x:v>
      </x:c>
      <x:c r="AR199" s="60" t="n">
        <x:v>13</x:v>
      </x:c>
      <x:c r="AS199" s="60" t="n">
        <x:f>ROUND(((0.30*AL199+0.20*AM199+0.25*AN199+0.15*AO199+0.10*AQ199)+(0.30*AP199+0.20*AN199+0.20*AM199+0.15*AQ199+0.15*(100-AR199)))/2,2)</x:f>
        <x:v>80.49</x:v>
      </x:c>
      <x:c r="AT199" s="60" t="n">
        <x:f>ROUND(AVERAGE(V199,AD199,AL199),1)</x:f>
        <x:v>80</x:v>
      </x:c>
      <x:c r="AU199" s="60" t="n">
        <x:f>ROUND(AVERAGE(W199,AE199,AM199),1)</x:f>
        <x:v>80.1</x:v>
      </x:c>
      <x:c r="AV199" s="60" t="n">
        <x:f>ROUND(AVERAGE(X199,AF199,AN199),1)</x:f>
        <x:v>80</x:v>
      </x:c>
      <x:c r="AW199" s="60" t="n">
        <x:f>ROUND(AVERAGE(Y199,AG199,AO199),1)</x:f>
        <x:v>79.1</x:v>
      </x:c>
      <x:c r="AX199" s="60" t="n">
        <x:f>ROUND(AVERAGE(Z199,AH199,AP199),1)</x:f>
        <x:v>80.1</x:v>
      </x:c>
      <x:c r="AY199" s="60" t="n">
        <x:f>ROUND(AVERAGE(AA199,AI199,AQ199),1)</x:f>
        <x:v>80</x:v>
      </x:c>
      <x:c r="AZ199" s="60" t="n">
        <x:f>ROUND(AVERAGE(AB199,AJ199,AR199),1)</x:f>
        <x:v>13</x:v>
      </x:c>
      <x:c r="BA199" s="59" t="n">
        <x:v>5</x:v>
      </x:c>
      <x:c r="BB199" s="60" t="n">
        <x:f>ROUND(0.30*AT199+0.20*AU199+0.25*AV199+0.15*AW199+0.10*AY199,2)</x:f>
        <x:v>79.88</x:v>
      </x:c>
      <x:c r="BC199" s="60" t="n">
        <x:f>ROUND(0.30*AX199+0.20*AV199+0.20*AU199+0.15*AY199+0.15*(100-AZ199),2)</x:f>
        <x:v>81.1</x:v>
      </x:c>
      <x:c r="BD199" s="60" t="n">
        <x:f>ROUND(AVERAGE(BB199,BC199),2)</x:f>
        <x:v>80.49</x:v>
      </x:c>
      <x:c r="BE199" s="60" t="n">
        <x:f>ROUND(BD199-U199,2)</x:f>
        <x:v>0.04</x:v>
      </x:c>
      <x:c r="BF199" s="60" t="n">
        <x:f>ROUND(STDEV.P(AC199,AK199,AS199),3)</x:f>
        <x:v>0.005</x:v>
      </x:c>
      <x:c r="BG199" s="59" t="str"/>
      <x:c r="BH199" s="59" t="str">
        <x:v>30%评分池轻量复核</x:v>
      </x:c>
      <x:c r="BI199" s="40" t="str">
        <x:v>三轮复核后与原表基本一致</x:v>
      </x:c>
    </x:row>
    <x:row r="200" ht="30" customHeight="1">
      <x:c r="A200" s="59" t="n">
        <x:v>199</x:v>
      </x:c>
      <x:c r="B200" s="59" t="n">
        <x:v>199</x:v>
      </x:c>
      <x:c r="C200" s="59" t="str">
        <x:v>2026-06</x:v>
      </x:c>
      <x:c r="D200" s="59" t="n">
        <x:v>106</x:v>
      </x:c>
      <x:c r="E200" s="59" t="str">
        <x:v>2606.03150</x:v>
      </x:c>
      <x:c r="F200" s="40" t="str">
        <x:v>Singular limit of lattice graphs and its application to critical Lane-Emden equations on lattice graphs</x:v>
      </x:c>
      <x:c r="G200" s="40" t="str">
        <x:v>Zhentao He; Chao Ji</x:v>
      </x:c>
      <x:c r="H200" s="40" t="str">
        <x:v>homogenization/asymptotics</x:v>
      </x:c>
      <x:c r="I200" s="59" t="n">
        <x:v>53</x:v>
      </x:c>
      <x:c r="J200" s="40" t="str">
        <x:v>https://arxiv.org/abs/2606.03150</x:v>
      </x:c>
      <x:c r="K200" s="60" t="n">
        <x:v>80</x:v>
      </x:c>
      <x:c r="L200" s="60" t="n">
        <x:v>80</x:v>
      </x:c>
      <x:c r="M200" s="60" t="n">
        <x:v>80</x:v>
      </x:c>
      <x:c r="N200" s="60" t="n">
        <x:v>79</x:v>
      </x:c>
      <x:c r="O200" s="60" t="n">
        <x:v>80</x:v>
      </x:c>
      <x:c r="P200" s="60" t="n">
        <x:v>80</x:v>
      </x:c>
      <x:c r="Q200" s="60" t="n">
        <x:v>13</x:v>
      </x:c>
      <x:c r="R200" s="59" t="n">
        <x:v>5</x:v>
      </x:c>
      <x:c r="S200" s="60" t="n">
        <x:v>79.85</x:v>
      </x:c>
      <x:c r="T200" s="60" t="n">
        <x:v>81.05</x:v>
      </x:c>
      <x:c r="U200" s="60" t="n">
        <x:v>80.44999999999999</x:v>
      </x:c>
      <x:c r="V200" s="60" t="n">
        <x:v>80</x:v>
      </x:c>
      <x:c r="W200" s="60" t="n">
        <x:v>80.1</x:v>
      </x:c>
      <x:c r="X200" s="60" t="n">
        <x:v>80</x:v>
      </x:c>
      <x:c r="Y200" s="60" t="n">
        <x:v>79.1</x:v>
      </x:c>
      <x:c r="Z200" s="60" t="n">
        <x:v>80.1</x:v>
      </x:c>
      <x:c r="AA200" s="60" t="n">
        <x:v>80</x:v>
      </x:c>
      <x:c r="AB200" s="60" t="n">
        <x:v>13</x:v>
      </x:c>
      <x:c r="AC200" s="60" t="n">
        <x:f>ROUND(((0.30*V200+0.20*W200+0.25*X200+0.15*Y200+0.10*AA200)+(0.30*Z200+0.20*X200+0.20*W200+0.15*AA200+0.15*(100-AB200)))/2,2)</x:f>
        <x:v>80.49</x:v>
      </x:c>
      <x:c r="AD200" s="60" t="n">
        <x:v>80</x:v>
      </x:c>
      <x:c r="AE200" s="60" t="n">
        <x:v>80.1</x:v>
      </x:c>
      <x:c r="AF200" s="60" t="n">
        <x:v>80</x:v>
      </x:c>
      <x:c r="AG200" s="60" t="n">
        <x:v>79.1</x:v>
      </x:c>
      <x:c r="AH200" s="60" t="n">
        <x:v>80</x:v>
      </x:c>
      <x:c r="AI200" s="60" t="n">
        <x:v>80</x:v>
      </x:c>
      <x:c r="AJ200" s="60" t="n">
        <x:v>13</x:v>
      </x:c>
      <x:c r="AK200" s="60" t="n">
        <x:f>ROUND(((0.30*AD200+0.20*AE200+0.25*AF200+0.15*AG200+0.10*AI200)+(0.30*AH200+0.20*AF200+0.20*AE200+0.15*AI200+0.15*(100-AJ200)))/2,2)</x:f>
        <x:v>80.48</x:v>
      </x:c>
      <x:c r="AL200" s="60" t="n">
        <x:v>80</x:v>
      </x:c>
      <x:c r="AM200" s="60" t="n">
        <x:v>80.1</x:v>
      </x:c>
      <x:c r="AN200" s="60" t="n">
        <x:v>80</x:v>
      </x:c>
      <x:c r="AO200" s="60" t="n">
        <x:v>79.1</x:v>
      </x:c>
      <x:c r="AP200" s="60" t="n">
        <x:v>80.1</x:v>
      </x:c>
      <x:c r="AQ200" s="60" t="n">
        <x:v>80</x:v>
      </x:c>
      <x:c r="AR200" s="60" t="n">
        <x:v>13</x:v>
      </x:c>
      <x:c r="AS200" s="60" t="n">
        <x:f>ROUND(((0.30*AL200+0.20*AM200+0.25*AN200+0.15*AO200+0.10*AQ200)+(0.30*AP200+0.20*AN200+0.20*AM200+0.15*AQ200+0.15*(100-AR200)))/2,2)</x:f>
        <x:v>80.49</x:v>
      </x:c>
      <x:c r="AT200" s="60" t="n">
        <x:f>ROUND(AVERAGE(V200,AD200,AL200),1)</x:f>
        <x:v>80</x:v>
      </x:c>
      <x:c r="AU200" s="60" t="n">
        <x:f>ROUND(AVERAGE(W200,AE200,AM200),1)</x:f>
        <x:v>80.1</x:v>
      </x:c>
      <x:c r="AV200" s="60" t="n">
        <x:f>ROUND(AVERAGE(X200,AF200,AN200),1)</x:f>
        <x:v>80</x:v>
      </x:c>
      <x:c r="AW200" s="60" t="n">
        <x:f>ROUND(AVERAGE(Y200,AG200,AO200),1)</x:f>
        <x:v>79.1</x:v>
      </x:c>
      <x:c r="AX200" s="60" t="n">
        <x:f>ROUND(AVERAGE(Z200,AH200,AP200),1)</x:f>
        <x:v>80.1</x:v>
      </x:c>
      <x:c r="AY200" s="60" t="n">
        <x:f>ROUND(AVERAGE(AA200,AI200,AQ200),1)</x:f>
        <x:v>80</x:v>
      </x:c>
      <x:c r="AZ200" s="60" t="n">
        <x:f>ROUND(AVERAGE(AB200,AJ200,AR200),1)</x:f>
        <x:v>13</x:v>
      </x:c>
      <x:c r="BA200" s="59" t="n">
        <x:v>5</x:v>
      </x:c>
      <x:c r="BB200" s="60" t="n">
        <x:f>ROUND(0.30*AT200+0.20*AU200+0.25*AV200+0.15*AW200+0.10*AY200,2)</x:f>
        <x:v>79.88</x:v>
      </x:c>
      <x:c r="BC200" s="60" t="n">
        <x:f>ROUND(0.30*AX200+0.20*AV200+0.20*AU200+0.15*AY200+0.15*(100-AZ200),2)</x:f>
        <x:v>81.1</x:v>
      </x:c>
      <x:c r="BD200" s="60" t="n">
        <x:f>ROUND(AVERAGE(BB200,BC200),2)</x:f>
        <x:v>80.49</x:v>
      </x:c>
      <x:c r="BE200" s="60" t="n">
        <x:f>ROUND(BD200-U200,2)</x:f>
        <x:v>0.04</x:v>
      </x:c>
      <x:c r="BF200" s="60" t="n">
        <x:f>ROUND(STDEV.P(AC200,AK200,AS200),3)</x:f>
        <x:v>0.005</x:v>
      </x:c>
      <x:c r="BG200" s="59" t="str"/>
      <x:c r="BH200" s="59" t="str">
        <x:v>30%评分池轻量复核</x:v>
      </x:c>
      <x:c r="BI200" s="40" t="str">
        <x:v>三轮复核后与原表基本一致</x:v>
      </x:c>
    </x:row>
    <x:row r="201" ht="30" customHeight="1">
      <x:c r="A201" s="59" t="n">
        <x:v>200</x:v>
      </x:c>
      <x:c r="B201" s="59" t="n">
        <x:v>200</x:v>
      </x:c>
      <x:c r="C201" s="59" t="str">
        <x:v>2026-06</x:v>
      </x:c>
      <x:c r="D201" s="59" t="n">
        <x:v>106</x:v>
      </x:c>
      <x:c r="E201" s="59" t="str">
        <x:v>2606.03064</x:v>
      </x:c>
      <x:c r="F201" s="40" t="str">
        <x:v>Local and global well-posedness for the nonlinear Schrodinger equation with nonhomogeneous boundary conditions</x:v>
      </x:c>
      <x:c r="G201" s="40" t="str">
        <x:v>Engui Fan; Yuan Li; Xinhan Liu</x:v>
      </x:c>
      <x:c r="H201" s="40" t="str">
        <x:v>dispersive PDE</x:v>
      </x:c>
      <x:c r="I201" s="59" t="n">
        <x:v>61</x:v>
      </x:c>
      <x:c r="J201" s="40" t="str">
        <x:v>https://arxiv.org/abs/2606.03064</x:v>
      </x:c>
      <x:c r="K201" s="60" t="n">
        <x:v>80</x:v>
      </x:c>
      <x:c r="L201" s="60" t="n">
        <x:v>80</x:v>
      </x:c>
      <x:c r="M201" s="60" t="n">
        <x:v>80</x:v>
      </x:c>
      <x:c r="N201" s="60" t="n">
        <x:v>79</x:v>
      </x:c>
      <x:c r="O201" s="60" t="n">
        <x:v>80</x:v>
      </x:c>
      <x:c r="P201" s="60" t="n">
        <x:v>80</x:v>
      </x:c>
      <x:c r="Q201" s="60" t="n">
        <x:v>13</x:v>
      </x:c>
      <x:c r="R201" s="59" t="n">
        <x:v>5</x:v>
      </x:c>
      <x:c r="S201" s="60" t="n">
        <x:v>79.85</x:v>
      </x:c>
      <x:c r="T201" s="60" t="n">
        <x:v>81.05</x:v>
      </x:c>
      <x:c r="U201" s="60" t="n">
        <x:v>80.44999999999999</x:v>
      </x:c>
      <x:c r="V201" s="60" t="n">
        <x:v>80</x:v>
      </x:c>
      <x:c r="W201" s="60" t="n">
        <x:v>80.1</x:v>
      </x:c>
      <x:c r="X201" s="60" t="n">
        <x:v>80</x:v>
      </x:c>
      <x:c r="Y201" s="60" t="n">
        <x:v>79.1</x:v>
      </x:c>
      <x:c r="Z201" s="60" t="n">
        <x:v>80.1</x:v>
      </x:c>
      <x:c r="AA201" s="60" t="n">
        <x:v>80</x:v>
      </x:c>
      <x:c r="AB201" s="60" t="n">
        <x:v>13</x:v>
      </x:c>
      <x:c r="AC201" s="60" t="n">
        <x:f>ROUND(((0.30*V201+0.20*W201+0.25*X201+0.15*Y201+0.10*AA201)+(0.30*Z201+0.20*X201+0.20*W201+0.15*AA201+0.15*(100-AB201)))/2,2)</x:f>
        <x:v>80.49</x:v>
      </x:c>
      <x:c r="AD201" s="60" t="n">
        <x:v>80</x:v>
      </x:c>
      <x:c r="AE201" s="60" t="n">
        <x:v>80.1</x:v>
      </x:c>
      <x:c r="AF201" s="60" t="n">
        <x:v>80</x:v>
      </x:c>
      <x:c r="AG201" s="60" t="n">
        <x:v>79.1</x:v>
      </x:c>
      <x:c r="AH201" s="60" t="n">
        <x:v>80</x:v>
      </x:c>
      <x:c r="AI201" s="60" t="n">
        <x:v>80</x:v>
      </x:c>
      <x:c r="AJ201" s="60" t="n">
        <x:v>13</x:v>
      </x:c>
      <x:c r="AK201" s="60" t="n">
        <x:f>ROUND(((0.30*AD201+0.20*AE201+0.25*AF201+0.15*AG201+0.10*AI201)+(0.30*AH201+0.20*AF201+0.20*AE201+0.15*AI201+0.15*(100-AJ201)))/2,2)</x:f>
        <x:v>80.48</x:v>
      </x:c>
      <x:c r="AL201" s="60" t="n">
        <x:v>80</x:v>
      </x:c>
      <x:c r="AM201" s="60" t="n">
        <x:v>80.1</x:v>
      </x:c>
      <x:c r="AN201" s="60" t="n">
        <x:v>80</x:v>
      </x:c>
      <x:c r="AO201" s="60" t="n">
        <x:v>79.1</x:v>
      </x:c>
      <x:c r="AP201" s="60" t="n">
        <x:v>80.1</x:v>
      </x:c>
      <x:c r="AQ201" s="60" t="n">
        <x:v>80</x:v>
      </x:c>
      <x:c r="AR201" s="60" t="n">
        <x:v>13</x:v>
      </x:c>
      <x:c r="AS201" s="60" t="n">
        <x:f>ROUND(((0.30*AL201+0.20*AM201+0.25*AN201+0.15*AO201+0.10*AQ201)+(0.30*AP201+0.20*AN201+0.20*AM201+0.15*AQ201+0.15*(100-AR201)))/2,2)</x:f>
        <x:v>80.49</x:v>
      </x:c>
      <x:c r="AT201" s="60" t="n">
        <x:f>ROUND(AVERAGE(V201,AD201,AL201),1)</x:f>
        <x:v>80</x:v>
      </x:c>
      <x:c r="AU201" s="60" t="n">
        <x:f>ROUND(AVERAGE(W201,AE201,AM201),1)</x:f>
        <x:v>80.1</x:v>
      </x:c>
      <x:c r="AV201" s="60" t="n">
        <x:f>ROUND(AVERAGE(X201,AF201,AN201),1)</x:f>
        <x:v>80</x:v>
      </x:c>
      <x:c r="AW201" s="60" t="n">
        <x:f>ROUND(AVERAGE(Y201,AG201,AO201),1)</x:f>
        <x:v>79.1</x:v>
      </x:c>
      <x:c r="AX201" s="60" t="n">
        <x:f>ROUND(AVERAGE(Z201,AH201,AP201),1)</x:f>
        <x:v>80.1</x:v>
      </x:c>
      <x:c r="AY201" s="60" t="n">
        <x:f>ROUND(AVERAGE(AA201,AI201,AQ201),1)</x:f>
        <x:v>80</x:v>
      </x:c>
      <x:c r="AZ201" s="60" t="n">
        <x:f>ROUND(AVERAGE(AB201,AJ201,AR201),1)</x:f>
        <x:v>13</x:v>
      </x:c>
      <x:c r="BA201" s="59" t="n">
        <x:v>5</x:v>
      </x:c>
      <x:c r="BB201" s="60" t="n">
        <x:f>ROUND(0.30*AT201+0.20*AU201+0.25*AV201+0.15*AW201+0.10*AY201,2)</x:f>
        <x:v>79.88</x:v>
      </x:c>
      <x:c r="BC201" s="60" t="n">
        <x:f>ROUND(0.30*AX201+0.20*AV201+0.20*AU201+0.15*AY201+0.15*(100-AZ201),2)</x:f>
        <x:v>81.1</x:v>
      </x:c>
      <x:c r="BD201" s="60" t="n">
        <x:f>ROUND(AVERAGE(BB201,BC201),2)</x:f>
        <x:v>80.49</x:v>
      </x:c>
      <x:c r="BE201" s="60" t="n">
        <x:f>ROUND(BD201-U201,2)</x:f>
        <x:v>0.04</x:v>
      </x:c>
      <x:c r="BF201" s="60" t="n">
        <x:f>ROUND(STDEV.P(AC201,AK201,AS201),3)</x:f>
        <x:v>0.005</x:v>
      </x:c>
      <x:c r="BG201" s="59" t="str"/>
      <x:c r="BH201" s="59" t="str">
        <x:v>30%评分池轻量复核</x:v>
      </x:c>
      <x:c r="BI201" s="40" t="str">
        <x:v>三轮复核后与原表基本一致</x:v>
      </x:c>
    </x:row>
    <x:row r="202" ht="30" customHeight="1">
      <x:c r="A202" s="59" t="n">
        <x:v>201</x:v>
      </x:c>
      <x:c r="B202" s="59" t="n">
        <x:v>201</x:v>
      </x:c>
      <x:c r="C202" s="59" t="str">
        <x:v>2026-06</x:v>
      </x:c>
      <x:c r="D202" s="59" t="n">
        <x:v>106</x:v>
      </x:c>
      <x:c r="E202" s="59" t="str">
        <x:v>2606.01219</x:v>
      </x:c>
      <x:c r="F202" s="40" t="str">
        <x:v>Network transport with nonlinear dynamics at the nodes</x:v>
      </x:c>
      <x:c r="G202" s="40" t="str">
        <x:v>Jacek Banasiak; Adam Bloch</x:v>
      </x:c>
      <x:c r="H202" s="40" t="str">
        <x:v>analysis/PDE</x:v>
      </x:c>
      <x:c r="I202" s="59" t="n">
        <x:v>36</x:v>
      </x:c>
      <x:c r="J202" s="40" t="str">
        <x:v>https://arxiv.org/abs/2606.01219</x:v>
      </x:c>
      <x:c r="K202" s="60" t="n">
        <x:v>80</x:v>
      </x:c>
      <x:c r="L202" s="60" t="n">
        <x:v>80</x:v>
      </x:c>
      <x:c r="M202" s="60" t="n">
        <x:v>80</x:v>
      </x:c>
      <x:c r="N202" s="60" t="n">
        <x:v>79</x:v>
      </x:c>
      <x:c r="O202" s="60" t="n">
        <x:v>80</x:v>
      </x:c>
      <x:c r="P202" s="60" t="n">
        <x:v>80</x:v>
      </x:c>
      <x:c r="Q202" s="60" t="n">
        <x:v>13</x:v>
      </x:c>
      <x:c r="R202" s="59" t="n">
        <x:v>5</x:v>
      </x:c>
      <x:c r="S202" s="60" t="n">
        <x:v>79.85</x:v>
      </x:c>
      <x:c r="T202" s="60" t="n">
        <x:v>81.05</x:v>
      </x:c>
      <x:c r="U202" s="60" t="n">
        <x:v>80.44999999999999</x:v>
      </x:c>
      <x:c r="V202" s="60" t="n">
        <x:v>80</x:v>
      </x:c>
      <x:c r="W202" s="60" t="n">
        <x:v>80</x:v>
      </x:c>
      <x:c r="X202" s="60" t="n">
        <x:v>80</x:v>
      </x:c>
      <x:c r="Y202" s="60" t="n">
        <x:v>79</x:v>
      </x:c>
      <x:c r="Z202" s="60" t="n">
        <x:v>80</x:v>
      </x:c>
      <x:c r="AA202" s="60" t="n">
        <x:v>80</x:v>
      </x:c>
      <x:c r="AB202" s="60" t="n">
        <x:v>13</x:v>
      </x:c>
      <x:c r="AC202" s="60" t="n">
        <x:f>ROUND(((0.30*V202+0.20*W202+0.25*X202+0.15*Y202+0.10*AA202)+(0.30*Z202+0.20*X202+0.20*W202+0.15*AA202+0.15*(100-AB202)))/2,2)</x:f>
        <x:v>80.45</x:v>
      </x:c>
      <x:c r="AD202" s="60" t="n">
        <x:v>80</x:v>
      </x:c>
      <x:c r="AE202" s="60" t="n">
        <x:v>80</x:v>
      </x:c>
      <x:c r="AF202" s="60" t="n">
        <x:v>80</x:v>
      </x:c>
      <x:c r="AG202" s="60" t="n">
        <x:v>79</x:v>
      </x:c>
      <x:c r="AH202" s="60" t="n">
        <x:v>80</x:v>
      </x:c>
      <x:c r="AI202" s="60" t="n">
        <x:v>80</x:v>
      </x:c>
      <x:c r="AJ202" s="60" t="n">
        <x:v>13</x:v>
      </x:c>
      <x:c r="AK202" s="60" t="n">
        <x:f>ROUND(((0.30*AD202+0.20*AE202+0.25*AF202+0.15*AG202+0.10*AI202)+(0.30*AH202+0.20*AF202+0.20*AE202+0.15*AI202+0.15*(100-AJ202)))/2,2)</x:f>
        <x:v>80.45</x:v>
      </x:c>
      <x:c r="AL202" s="60" t="n">
        <x:v>80</x:v>
      </x:c>
      <x:c r="AM202" s="60" t="n">
        <x:v>80</x:v>
      </x:c>
      <x:c r="AN202" s="60" t="n">
        <x:v>80</x:v>
      </x:c>
      <x:c r="AO202" s="60" t="n">
        <x:v>79</x:v>
      </x:c>
      <x:c r="AP202" s="60" t="n">
        <x:v>80</x:v>
      </x:c>
      <x:c r="AQ202" s="60" t="n">
        <x:v>80</x:v>
      </x:c>
      <x:c r="AR202" s="60" t="n">
        <x:v>13</x:v>
      </x:c>
      <x:c r="AS202" s="60" t="n">
        <x:f>ROUND(((0.30*AL202+0.20*AM202+0.25*AN202+0.15*AO202+0.10*AQ202)+(0.30*AP202+0.20*AN202+0.20*AM202+0.15*AQ202+0.15*(100-AR202)))/2,2)</x:f>
        <x:v>80.45</x:v>
      </x:c>
      <x:c r="AT202" s="60" t="n">
        <x:f>ROUND(AVERAGE(V202,AD202,AL202),1)</x:f>
        <x:v>80</x:v>
      </x:c>
      <x:c r="AU202" s="60" t="n">
        <x:f>ROUND(AVERAGE(W202,AE202,AM202),1)</x:f>
        <x:v>80</x:v>
      </x:c>
      <x:c r="AV202" s="60" t="n">
        <x:f>ROUND(AVERAGE(X202,AF202,AN202),1)</x:f>
        <x:v>80</x:v>
      </x:c>
      <x:c r="AW202" s="60" t="n">
        <x:f>ROUND(AVERAGE(Y202,AG202,AO202),1)</x:f>
        <x:v>79</x:v>
      </x:c>
      <x:c r="AX202" s="60" t="n">
        <x:f>ROUND(AVERAGE(Z202,AH202,AP202),1)</x:f>
        <x:v>80</x:v>
      </x:c>
      <x:c r="AY202" s="60" t="n">
        <x:f>ROUND(AVERAGE(AA202,AI202,AQ202),1)</x:f>
        <x:v>80</x:v>
      </x:c>
      <x:c r="AZ202" s="60" t="n">
        <x:f>ROUND(AVERAGE(AB202,AJ202,AR202),1)</x:f>
        <x:v>13</x:v>
      </x:c>
      <x:c r="BA202" s="59" t="n">
        <x:v>5</x:v>
      </x:c>
      <x:c r="BB202" s="60" t="n">
        <x:f>ROUND(0.30*AT202+0.20*AU202+0.25*AV202+0.15*AW202+0.10*AY202,2)</x:f>
        <x:v>79.85</x:v>
      </x:c>
      <x:c r="BC202" s="60" t="n">
        <x:f>ROUND(0.30*AX202+0.20*AV202+0.20*AU202+0.15*AY202+0.15*(100-AZ202),2)</x:f>
        <x:v>81.05</x:v>
      </x:c>
      <x:c r="BD202" s="60" t="n">
        <x:f>ROUND(AVERAGE(BB202,BC202),2)</x:f>
        <x:v>80.45</x:v>
      </x:c>
      <x:c r="BE202" s="60" t="n">
        <x:f>ROUND(BD202-U202,2)</x:f>
        <x:v>0</x:v>
      </x:c>
      <x:c r="BF202" s="60" t="n">
        <x:f>ROUND(STDEV.P(AC202,AK202,AS202),3)</x:f>
        <x:v>0</x:v>
      </x:c>
      <x:c r="BG202" s="59" t="str"/>
      <x:c r="BH202" s="59" t="str">
        <x:v>30%评分池轻量复核</x:v>
      </x:c>
      <x:c r="BI202" s="40" t="str">
        <x:v>三轮复核后与原表基本一致</x:v>
      </x:c>
    </x:row>
    <x:row r="203" ht="30" customHeight="1">
      <x:c r="A203" s="59" t="n">
        <x:v>202</x:v>
      </x:c>
      <x:c r="B203" s="59" t="n">
        <x:v>202</x:v>
      </x:c>
      <x:c r="C203" s="59" t="str">
        <x:v>2026-06</x:v>
      </x:c>
      <x:c r="D203" s="59" t="n">
        <x:v>106</x:v>
      </x:c>
      <x:c r="E203" s="59" t="str">
        <x:v>2606.00885</x:v>
      </x:c>
      <x:c r="F203" s="40" t="str">
        <x:v>An elliptic regularization approach to the Stefan problem</x:v>
      </x:c>
      <x:c r="G203" s="40" t="str">
        <x:v>Filippo Paiano; Bozhidar Velichkov</x:v>
      </x:c>
      <x:c r="H203" s="40" t="str">
        <x:v>analysis/PDE</x:v>
      </x:c>
      <x:c r="I203" s="59" t="n">
        <x:v>38</x:v>
      </x:c>
      <x:c r="J203" s="40" t="str">
        <x:v>https://arxiv.org/abs/2606.00885</x:v>
      </x:c>
      <x:c r="K203" s="60" t="n">
        <x:v>80</x:v>
      </x:c>
      <x:c r="L203" s="60" t="n">
        <x:v>80</x:v>
      </x:c>
      <x:c r="M203" s="60" t="n">
        <x:v>80</x:v>
      </x:c>
      <x:c r="N203" s="60" t="n">
        <x:v>79</x:v>
      </x:c>
      <x:c r="O203" s="60" t="n">
        <x:v>80</x:v>
      </x:c>
      <x:c r="P203" s="60" t="n">
        <x:v>80</x:v>
      </x:c>
      <x:c r="Q203" s="60" t="n">
        <x:v>13</x:v>
      </x:c>
      <x:c r="R203" s="59" t="n">
        <x:v>5</x:v>
      </x:c>
      <x:c r="S203" s="60" t="n">
        <x:v>79.85</x:v>
      </x:c>
      <x:c r="T203" s="60" t="n">
        <x:v>81.05</x:v>
      </x:c>
      <x:c r="U203" s="60" t="n">
        <x:v>80.44999999999999</x:v>
      </x:c>
      <x:c r="V203" s="60" t="n">
        <x:v>80</x:v>
      </x:c>
      <x:c r="W203" s="60" t="n">
        <x:v>80</x:v>
      </x:c>
      <x:c r="X203" s="60" t="n">
        <x:v>80</x:v>
      </x:c>
      <x:c r="Y203" s="60" t="n">
        <x:v>79</x:v>
      </x:c>
      <x:c r="Z203" s="60" t="n">
        <x:v>80</x:v>
      </x:c>
      <x:c r="AA203" s="60" t="n">
        <x:v>80</x:v>
      </x:c>
      <x:c r="AB203" s="60" t="n">
        <x:v>13</x:v>
      </x:c>
      <x:c r="AC203" s="60" t="n">
        <x:f>ROUND(((0.30*V203+0.20*W203+0.25*X203+0.15*Y203+0.10*AA203)+(0.30*Z203+0.20*X203+0.20*W203+0.15*AA203+0.15*(100-AB203)))/2,2)</x:f>
        <x:v>80.45</x:v>
      </x:c>
      <x:c r="AD203" s="60" t="n">
        <x:v>80</x:v>
      </x:c>
      <x:c r="AE203" s="60" t="n">
        <x:v>80</x:v>
      </x:c>
      <x:c r="AF203" s="60" t="n">
        <x:v>80</x:v>
      </x:c>
      <x:c r="AG203" s="60" t="n">
        <x:v>79</x:v>
      </x:c>
      <x:c r="AH203" s="60" t="n">
        <x:v>80</x:v>
      </x:c>
      <x:c r="AI203" s="60" t="n">
        <x:v>80</x:v>
      </x:c>
      <x:c r="AJ203" s="60" t="n">
        <x:v>13</x:v>
      </x:c>
      <x:c r="AK203" s="60" t="n">
        <x:f>ROUND(((0.30*AD203+0.20*AE203+0.25*AF203+0.15*AG203+0.10*AI203)+(0.30*AH203+0.20*AF203+0.20*AE203+0.15*AI203+0.15*(100-AJ203)))/2,2)</x:f>
        <x:v>80.45</x:v>
      </x:c>
      <x:c r="AL203" s="60" t="n">
        <x:v>80</x:v>
      </x:c>
      <x:c r="AM203" s="60" t="n">
        <x:v>80</x:v>
      </x:c>
      <x:c r="AN203" s="60" t="n">
        <x:v>80</x:v>
      </x:c>
      <x:c r="AO203" s="60" t="n">
        <x:v>79</x:v>
      </x:c>
      <x:c r="AP203" s="60" t="n">
        <x:v>80</x:v>
      </x:c>
      <x:c r="AQ203" s="60" t="n">
        <x:v>80</x:v>
      </x:c>
      <x:c r="AR203" s="60" t="n">
        <x:v>13</x:v>
      </x:c>
      <x:c r="AS203" s="60" t="n">
        <x:f>ROUND(((0.30*AL203+0.20*AM203+0.25*AN203+0.15*AO203+0.10*AQ203)+(0.30*AP203+0.20*AN203+0.20*AM203+0.15*AQ203+0.15*(100-AR203)))/2,2)</x:f>
        <x:v>80.45</x:v>
      </x:c>
      <x:c r="AT203" s="60" t="n">
        <x:f>ROUND(AVERAGE(V203,AD203,AL203),1)</x:f>
        <x:v>80</x:v>
      </x:c>
      <x:c r="AU203" s="60" t="n">
        <x:f>ROUND(AVERAGE(W203,AE203,AM203),1)</x:f>
        <x:v>80</x:v>
      </x:c>
      <x:c r="AV203" s="60" t="n">
        <x:f>ROUND(AVERAGE(X203,AF203,AN203),1)</x:f>
        <x:v>80</x:v>
      </x:c>
      <x:c r="AW203" s="60" t="n">
        <x:f>ROUND(AVERAGE(Y203,AG203,AO203),1)</x:f>
        <x:v>79</x:v>
      </x:c>
      <x:c r="AX203" s="60" t="n">
        <x:f>ROUND(AVERAGE(Z203,AH203,AP203),1)</x:f>
        <x:v>80</x:v>
      </x:c>
      <x:c r="AY203" s="60" t="n">
        <x:f>ROUND(AVERAGE(AA203,AI203,AQ203),1)</x:f>
        <x:v>80</x:v>
      </x:c>
      <x:c r="AZ203" s="60" t="n">
        <x:f>ROUND(AVERAGE(AB203,AJ203,AR203),1)</x:f>
        <x:v>13</x:v>
      </x:c>
      <x:c r="BA203" s="59" t="n">
        <x:v>5</x:v>
      </x:c>
      <x:c r="BB203" s="60" t="n">
        <x:f>ROUND(0.30*AT203+0.20*AU203+0.25*AV203+0.15*AW203+0.10*AY203,2)</x:f>
        <x:v>79.85</x:v>
      </x:c>
      <x:c r="BC203" s="60" t="n">
        <x:f>ROUND(0.30*AX203+0.20*AV203+0.20*AU203+0.15*AY203+0.15*(100-AZ203),2)</x:f>
        <x:v>81.05</x:v>
      </x:c>
      <x:c r="BD203" s="60" t="n">
        <x:f>ROUND(AVERAGE(BB203,BC203),2)</x:f>
        <x:v>80.45</x:v>
      </x:c>
      <x:c r="BE203" s="60" t="n">
        <x:f>ROUND(BD203-U203,2)</x:f>
        <x:v>0</x:v>
      </x:c>
      <x:c r="BF203" s="60" t="n">
        <x:f>ROUND(STDEV.P(AC203,AK203,AS203),3)</x:f>
        <x:v>0</x:v>
      </x:c>
      <x:c r="BG203" s="59" t="str"/>
      <x:c r="BH203" s="59" t="str">
        <x:v>30%评分池轻量复核</x:v>
      </x:c>
      <x:c r="BI203" s="40" t="str">
        <x:v>三轮复核后与原表基本一致</x:v>
      </x:c>
    </x:row>
    <x:row r="204" ht="30" customHeight="1">
      <x:c r="A204" s="59" t="n">
        <x:v>203</x:v>
      </x:c>
      <x:c r="B204" s="59" t="n">
        <x:v>205</x:v>
      </x:c>
      <x:c r="C204" s="59" t="str">
        <x:v>2026-06</x:v>
      </x:c>
      <x:c r="D204" s="59" t="n">
        <x:v>112</x:v>
      </x:c>
      <x:c r="E204" s="59" t="str">
        <x:v>2606.05477</x:v>
      </x:c>
      <x:c r="F204" s="40" t="str">
        <x:v>Robust interpolation inequalities via Chebyshev-type integral inequalities</x:v>
      </x:c>
      <x:c r="G204" s="40" t="str">
        <x:v>Guy Foghem</x:v>
      </x:c>
      <x:c r="H204" s="40" t="str">
        <x:v>analysis/PDE</x:v>
      </x:c>
      <x:c r="I204" s="59" t="n">
        <x:v>59</x:v>
      </x:c>
      <x:c r="J204" s="40" t="str">
        <x:v>https://arxiv.org/abs/2606.05477</x:v>
      </x:c>
      <x:c r="K204" s="60" t="n">
        <x:v>80</x:v>
      </x:c>
      <x:c r="L204" s="60" t="n">
        <x:v>79</x:v>
      </x:c>
      <x:c r="M204" s="60" t="n">
        <x:v>80</x:v>
      </x:c>
      <x:c r="N204" s="60" t="n">
        <x:v>79</x:v>
      </x:c>
      <x:c r="O204" s="60" t="n">
        <x:v>80</x:v>
      </x:c>
      <x:c r="P204" s="60" t="n">
        <x:v>80</x:v>
      </x:c>
      <x:c r="Q204" s="60" t="n">
        <x:v>13</x:v>
      </x:c>
      <x:c r="R204" s="59" t="n">
        <x:v>5</x:v>
      </x:c>
      <x:c r="S204" s="60" t="n">
        <x:v>79.64999999999999</x:v>
      </x:c>
      <x:c r="T204" s="60" t="n">
        <x:v>80.85</x:v>
      </x:c>
      <x:c r="U204" s="60" t="n">
        <x:v>80.25</x:v>
      </x:c>
      <x:c r="V204" s="60" t="n">
        <x:v>80</x:v>
      </x:c>
      <x:c r="W204" s="60" t="n">
        <x:v>79</x:v>
      </x:c>
      <x:c r="X204" s="60" t="n">
        <x:v>80</x:v>
      </x:c>
      <x:c r="Y204" s="60" t="n">
        <x:v>79</x:v>
      </x:c>
      <x:c r="Z204" s="60" t="n">
        <x:v>80</x:v>
      </x:c>
      <x:c r="AA204" s="60" t="n">
        <x:v>80</x:v>
      </x:c>
      <x:c r="AB204" s="60" t="n">
        <x:v>13</x:v>
      </x:c>
      <x:c r="AC204" s="60" t="n">
        <x:f>ROUND(((0.30*V204+0.20*W204+0.25*X204+0.15*Y204+0.10*AA204)+(0.30*Z204+0.20*X204+0.20*W204+0.15*AA204+0.15*(100-AB204)))/2,2)</x:f>
        <x:v>80.25</x:v>
      </x:c>
      <x:c r="AD204" s="60" t="n">
        <x:v>80</x:v>
      </x:c>
      <x:c r="AE204" s="60" t="n">
        <x:v>79</x:v>
      </x:c>
      <x:c r="AF204" s="60" t="n">
        <x:v>80</x:v>
      </x:c>
      <x:c r="AG204" s="60" t="n">
        <x:v>79</x:v>
      </x:c>
      <x:c r="AH204" s="60" t="n">
        <x:v>80</x:v>
      </x:c>
      <x:c r="AI204" s="60" t="n">
        <x:v>80</x:v>
      </x:c>
      <x:c r="AJ204" s="60" t="n">
        <x:v>13</x:v>
      </x:c>
      <x:c r="AK204" s="60" t="n">
        <x:f>ROUND(((0.30*AD204+0.20*AE204+0.25*AF204+0.15*AG204+0.10*AI204)+(0.30*AH204+0.20*AF204+0.20*AE204+0.15*AI204+0.15*(100-AJ204)))/2,2)</x:f>
        <x:v>80.25</x:v>
      </x:c>
      <x:c r="AL204" s="60" t="n">
        <x:v>80</x:v>
      </x:c>
      <x:c r="AM204" s="60" t="n">
        <x:v>79</x:v>
      </x:c>
      <x:c r="AN204" s="60" t="n">
        <x:v>80</x:v>
      </x:c>
      <x:c r="AO204" s="60" t="n">
        <x:v>79</x:v>
      </x:c>
      <x:c r="AP204" s="60" t="n">
        <x:v>80</x:v>
      </x:c>
      <x:c r="AQ204" s="60" t="n">
        <x:v>80</x:v>
      </x:c>
      <x:c r="AR204" s="60" t="n">
        <x:v>13</x:v>
      </x:c>
      <x:c r="AS204" s="60" t="n">
        <x:f>ROUND(((0.30*AL204+0.20*AM204+0.25*AN204+0.15*AO204+0.10*AQ204)+(0.30*AP204+0.20*AN204+0.20*AM204+0.15*AQ204+0.15*(100-AR204)))/2,2)</x:f>
        <x:v>80.25</x:v>
      </x:c>
      <x:c r="AT204" s="60" t="n">
        <x:f>ROUND(AVERAGE(V204,AD204,AL204),1)</x:f>
        <x:v>80</x:v>
      </x:c>
      <x:c r="AU204" s="60" t="n">
        <x:f>ROUND(AVERAGE(W204,AE204,AM204),1)</x:f>
        <x:v>79</x:v>
      </x:c>
      <x:c r="AV204" s="60" t="n">
        <x:f>ROUND(AVERAGE(X204,AF204,AN204),1)</x:f>
        <x:v>80</x:v>
      </x:c>
      <x:c r="AW204" s="60" t="n">
        <x:f>ROUND(AVERAGE(Y204,AG204,AO204),1)</x:f>
        <x:v>79</x:v>
      </x:c>
      <x:c r="AX204" s="60" t="n">
        <x:f>ROUND(AVERAGE(Z204,AH204,AP204),1)</x:f>
        <x:v>80</x:v>
      </x:c>
      <x:c r="AY204" s="60" t="n">
        <x:f>ROUND(AVERAGE(AA204,AI204,AQ204),1)</x:f>
        <x:v>80</x:v>
      </x:c>
      <x:c r="AZ204" s="60" t="n">
        <x:f>ROUND(AVERAGE(AB204,AJ204,AR204),1)</x:f>
        <x:v>13</x:v>
      </x:c>
      <x:c r="BA204" s="59" t="n">
        <x:v>5</x:v>
      </x:c>
      <x:c r="BB204" s="60" t="n">
        <x:f>ROUND(0.30*AT204+0.20*AU204+0.25*AV204+0.15*AW204+0.10*AY204,2)</x:f>
        <x:v>79.65</x:v>
      </x:c>
      <x:c r="BC204" s="60" t="n">
        <x:f>ROUND(0.30*AX204+0.20*AV204+0.20*AU204+0.15*AY204+0.15*(100-AZ204),2)</x:f>
        <x:v>80.85</x:v>
      </x:c>
      <x:c r="BD204" s="60" t="n">
        <x:f>ROUND(AVERAGE(BB204,BC204),2)</x:f>
        <x:v>80.25</x:v>
      </x:c>
      <x:c r="BE204" s="60" t="n">
        <x:f>ROUND(BD204-U204,2)</x:f>
        <x:v>0</x:v>
      </x:c>
      <x:c r="BF204" s="60" t="n">
        <x:f>ROUND(STDEV.P(AC204,AK204,AS204),3)</x:f>
        <x:v>0</x:v>
      </x:c>
      <x:c r="BG204" s="59" t="str"/>
      <x:c r="BH204" s="59" t="str">
        <x:v>30%评分池轻量复核</x:v>
      </x:c>
      <x:c r="BI204" s="40" t="str">
        <x:v>三轮复核后与原表基本一致</x:v>
      </x:c>
    </x:row>
    <x:row r="205" ht="30" customHeight="1">
      <x:c r="A205" s="59" t="n">
        <x:v>204</x:v>
      </x:c>
      <x:c r="B205" s="59" t="n">
        <x:v>207</x:v>
      </x:c>
      <x:c r="C205" s="59" t="str">
        <x:v>2026-06</x:v>
      </x:c>
      <x:c r="D205" s="59" t="n">
        <x:v>112</x:v>
      </x:c>
      <x:c r="E205" s="59" t="str">
        <x:v>2606.04774</x:v>
      </x:c>
      <x:c r="F205" s="40" t="str">
        <x:v>Weighted centro-affine Poincare inequalities</x:v>
      </x:c>
      <x:c r="G205" s="40" t="str">
        <x:v>Yingxiang Hu; Mohammad N. Ivaki</x:v>
      </x:c>
      <x:c r="H205" s="40" t="str">
        <x:v>inequalities/function spaces</x:v>
      </x:c>
      <x:c r="I205" s="59"/>
      <x:c r="J205" s="40" t="str">
        <x:v>https://arxiv.org/abs/2606.04774</x:v>
      </x:c>
      <x:c r="K205" s="60" t="n">
        <x:v>80</x:v>
      </x:c>
      <x:c r="L205" s="60" t="n">
        <x:v>79</x:v>
      </x:c>
      <x:c r="M205" s="60" t="n">
        <x:v>80</x:v>
      </x:c>
      <x:c r="N205" s="60" t="n">
        <x:v>79</x:v>
      </x:c>
      <x:c r="O205" s="60" t="n">
        <x:v>80</x:v>
      </x:c>
      <x:c r="P205" s="60" t="n">
        <x:v>80</x:v>
      </x:c>
      <x:c r="Q205" s="60" t="n">
        <x:v>13</x:v>
      </x:c>
      <x:c r="R205" s="59" t="n">
        <x:v>5</x:v>
      </x:c>
      <x:c r="S205" s="60" t="n">
        <x:v>79.64999999999999</x:v>
      </x:c>
      <x:c r="T205" s="60" t="n">
        <x:v>80.85</x:v>
      </x:c>
      <x:c r="U205" s="60" t="n">
        <x:v>80.25</x:v>
      </x:c>
      <x:c r="V205" s="60" t="n">
        <x:v>80</x:v>
      </x:c>
      <x:c r="W205" s="60" t="n">
        <x:v>79</x:v>
      </x:c>
      <x:c r="X205" s="60" t="n">
        <x:v>80</x:v>
      </x:c>
      <x:c r="Y205" s="60" t="n">
        <x:v>79</x:v>
      </x:c>
      <x:c r="Z205" s="60" t="n">
        <x:v>80</x:v>
      </x:c>
      <x:c r="AA205" s="60" t="n">
        <x:v>80</x:v>
      </x:c>
      <x:c r="AB205" s="60" t="n">
        <x:v>13</x:v>
      </x:c>
      <x:c r="AC205" s="60" t="n">
        <x:f>ROUND(((0.30*V205+0.20*W205+0.25*X205+0.15*Y205+0.10*AA205)+(0.30*Z205+0.20*X205+0.20*W205+0.15*AA205+0.15*(100-AB205)))/2,2)</x:f>
        <x:v>80.25</x:v>
      </x:c>
      <x:c r="AD205" s="60" t="n">
        <x:v>80</x:v>
      </x:c>
      <x:c r="AE205" s="60" t="n">
        <x:v>79</x:v>
      </x:c>
      <x:c r="AF205" s="60" t="n">
        <x:v>80</x:v>
      </x:c>
      <x:c r="AG205" s="60" t="n">
        <x:v>79</x:v>
      </x:c>
      <x:c r="AH205" s="60" t="n">
        <x:v>80</x:v>
      </x:c>
      <x:c r="AI205" s="60" t="n">
        <x:v>80</x:v>
      </x:c>
      <x:c r="AJ205" s="60" t="n">
        <x:v>13</x:v>
      </x:c>
      <x:c r="AK205" s="60" t="n">
        <x:f>ROUND(((0.30*AD205+0.20*AE205+0.25*AF205+0.15*AG205+0.10*AI205)+(0.30*AH205+0.20*AF205+0.20*AE205+0.15*AI205+0.15*(100-AJ205)))/2,2)</x:f>
        <x:v>80.25</x:v>
      </x:c>
      <x:c r="AL205" s="60" t="n">
        <x:v>80</x:v>
      </x:c>
      <x:c r="AM205" s="60" t="n">
        <x:v>79</x:v>
      </x:c>
      <x:c r="AN205" s="60" t="n">
        <x:v>80</x:v>
      </x:c>
      <x:c r="AO205" s="60" t="n">
        <x:v>79</x:v>
      </x:c>
      <x:c r="AP205" s="60" t="n">
        <x:v>80</x:v>
      </x:c>
      <x:c r="AQ205" s="60" t="n">
        <x:v>80</x:v>
      </x:c>
      <x:c r="AR205" s="60" t="n">
        <x:v>13</x:v>
      </x:c>
      <x:c r="AS205" s="60" t="n">
        <x:f>ROUND(((0.30*AL205+0.20*AM205+0.25*AN205+0.15*AO205+0.10*AQ205)+(0.30*AP205+0.20*AN205+0.20*AM205+0.15*AQ205+0.15*(100-AR205)))/2,2)</x:f>
        <x:v>80.25</x:v>
      </x:c>
      <x:c r="AT205" s="60" t="n">
        <x:f>ROUND(AVERAGE(V205,AD205,AL205),1)</x:f>
        <x:v>80</x:v>
      </x:c>
      <x:c r="AU205" s="60" t="n">
        <x:f>ROUND(AVERAGE(W205,AE205,AM205),1)</x:f>
        <x:v>79</x:v>
      </x:c>
      <x:c r="AV205" s="60" t="n">
        <x:f>ROUND(AVERAGE(X205,AF205,AN205),1)</x:f>
        <x:v>80</x:v>
      </x:c>
      <x:c r="AW205" s="60" t="n">
        <x:f>ROUND(AVERAGE(Y205,AG205,AO205),1)</x:f>
        <x:v>79</x:v>
      </x:c>
      <x:c r="AX205" s="60" t="n">
        <x:f>ROUND(AVERAGE(Z205,AH205,AP205),1)</x:f>
        <x:v>80</x:v>
      </x:c>
      <x:c r="AY205" s="60" t="n">
        <x:f>ROUND(AVERAGE(AA205,AI205,AQ205),1)</x:f>
        <x:v>80</x:v>
      </x:c>
      <x:c r="AZ205" s="60" t="n">
        <x:f>ROUND(AVERAGE(AB205,AJ205,AR205),1)</x:f>
        <x:v>13</x:v>
      </x:c>
      <x:c r="BA205" s="59" t="n">
        <x:v>5</x:v>
      </x:c>
      <x:c r="BB205" s="60" t="n">
        <x:f>ROUND(0.30*AT205+0.20*AU205+0.25*AV205+0.15*AW205+0.10*AY205,2)</x:f>
        <x:v>79.65</x:v>
      </x:c>
      <x:c r="BC205" s="60" t="n">
        <x:f>ROUND(0.30*AX205+0.20*AV205+0.20*AU205+0.15*AY205+0.15*(100-AZ205),2)</x:f>
        <x:v>80.85</x:v>
      </x:c>
      <x:c r="BD205" s="60" t="n">
        <x:f>ROUND(AVERAGE(BB205,BC205),2)</x:f>
        <x:v>80.25</x:v>
      </x:c>
      <x:c r="BE205" s="60" t="n">
        <x:f>ROUND(BD205-U205,2)</x:f>
        <x:v>0</x:v>
      </x:c>
      <x:c r="BF205" s="60" t="n">
        <x:f>ROUND(STDEV.P(AC205,AK205,AS205),3)</x:f>
        <x:v>0</x:v>
      </x:c>
      <x:c r="BG205" s="59" t="str"/>
      <x:c r="BH205" s="59" t="str">
        <x:v>30%评分池轻量复核</x:v>
      </x:c>
      <x:c r="BI205" s="40" t="str">
        <x:v>三轮复核后与原表基本一致</x:v>
      </x:c>
    </x:row>
    <x:row r="206" ht="30" customHeight="1">
      <x:c r="A206" s="59" t="n">
        <x:v>205</x:v>
      </x:c>
      <x:c r="B206" s="59" t="n">
        <x:v>208</x:v>
      </x:c>
      <x:c r="C206" s="59" t="str">
        <x:v>2026-06</x:v>
      </x:c>
      <x:c r="D206" s="59" t="n">
        <x:v>112</x:v>
      </x:c>
      <x:c r="E206" s="59" t="str">
        <x:v>2606.04765</x:v>
      </x:c>
      <x:c r="F206" s="40" t="str">
        <x:v>Exact Poincare Constants in n-dimensional Annuli</x:v>
      </x:c>
      <x:c r="G206" s="40" t="str">
        <x:v>Bernd Rummler; Michael Ruzicka; Gudrun Thater</x:v>
      </x:c>
      <x:c r="H206" s="40" t="str">
        <x:v>inequalities/function spaces</x:v>
      </x:c>
      <x:c r="I206" s="59"/>
      <x:c r="J206" s="40" t="str">
        <x:v>https://arxiv.org/abs/2606.04765</x:v>
      </x:c>
      <x:c r="K206" s="60" t="n">
        <x:v>80</x:v>
      </x:c>
      <x:c r="L206" s="60" t="n">
        <x:v>79</x:v>
      </x:c>
      <x:c r="M206" s="60" t="n">
        <x:v>80</x:v>
      </x:c>
      <x:c r="N206" s="60" t="n">
        <x:v>79</x:v>
      </x:c>
      <x:c r="O206" s="60" t="n">
        <x:v>80</x:v>
      </x:c>
      <x:c r="P206" s="60" t="n">
        <x:v>80</x:v>
      </x:c>
      <x:c r="Q206" s="60" t="n">
        <x:v>13</x:v>
      </x:c>
      <x:c r="R206" s="59" t="n">
        <x:v>5</x:v>
      </x:c>
      <x:c r="S206" s="60" t="n">
        <x:v>79.64999999999999</x:v>
      </x:c>
      <x:c r="T206" s="60" t="n">
        <x:v>80.85</x:v>
      </x:c>
      <x:c r="U206" s="60" t="n">
        <x:v>80.25</x:v>
      </x:c>
      <x:c r="V206" s="60" t="n">
        <x:v>80</x:v>
      </x:c>
      <x:c r="W206" s="60" t="n">
        <x:v>79</x:v>
      </x:c>
      <x:c r="X206" s="60" t="n">
        <x:v>80</x:v>
      </x:c>
      <x:c r="Y206" s="60" t="n">
        <x:v>79</x:v>
      </x:c>
      <x:c r="Z206" s="60" t="n">
        <x:v>80</x:v>
      </x:c>
      <x:c r="AA206" s="60" t="n">
        <x:v>80</x:v>
      </x:c>
      <x:c r="AB206" s="60" t="n">
        <x:v>13</x:v>
      </x:c>
      <x:c r="AC206" s="60" t="n">
        <x:f>ROUND(((0.30*V206+0.20*W206+0.25*X206+0.15*Y206+0.10*AA206)+(0.30*Z206+0.20*X206+0.20*W206+0.15*AA206+0.15*(100-AB206)))/2,2)</x:f>
        <x:v>80.25</x:v>
      </x:c>
      <x:c r="AD206" s="60" t="n">
        <x:v>80</x:v>
      </x:c>
      <x:c r="AE206" s="60" t="n">
        <x:v>79</x:v>
      </x:c>
      <x:c r="AF206" s="60" t="n">
        <x:v>80</x:v>
      </x:c>
      <x:c r="AG206" s="60" t="n">
        <x:v>79</x:v>
      </x:c>
      <x:c r="AH206" s="60" t="n">
        <x:v>80</x:v>
      </x:c>
      <x:c r="AI206" s="60" t="n">
        <x:v>80</x:v>
      </x:c>
      <x:c r="AJ206" s="60" t="n">
        <x:v>13</x:v>
      </x:c>
      <x:c r="AK206" s="60" t="n">
        <x:f>ROUND(((0.30*AD206+0.20*AE206+0.25*AF206+0.15*AG206+0.10*AI206)+(0.30*AH206+0.20*AF206+0.20*AE206+0.15*AI206+0.15*(100-AJ206)))/2,2)</x:f>
        <x:v>80.25</x:v>
      </x:c>
      <x:c r="AL206" s="60" t="n">
        <x:v>80</x:v>
      </x:c>
      <x:c r="AM206" s="60" t="n">
        <x:v>79</x:v>
      </x:c>
      <x:c r="AN206" s="60" t="n">
        <x:v>80</x:v>
      </x:c>
      <x:c r="AO206" s="60" t="n">
        <x:v>79</x:v>
      </x:c>
      <x:c r="AP206" s="60" t="n">
        <x:v>80</x:v>
      </x:c>
      <x:c r="AQ206" s="60" t="n">
        <x:v>80</x:v>
      </x:c>
      <x:c r="AR206" s="60" t="n">
        <x:v>13</x:v>
      </x:c>
      <x:c r="AS206" s="60" t="n">
        <x:f>ROUND(((0.30*AL206+0.20*AM206+0.25*AN206+0.15*AO206+0.10*AQ206)+(0.30*AP206+0.20*AN206+0.20*AM206+0.15*AQ206+0.15*(100-AR206)))/2,2)</x:f>
        <x:v>80.25</x:v>
      </x:c>
      <x:c r="AT206" s="60" t="n">
        <x:f>ROUND(AVERAGE(V206,AD206,AL206),1)</x:f>
        <x:v>80</x:v>
      </x:c>
      <x:c r="AU206" s="60" t="n">
        <x:f>ROUND(AVERAGE(W206,AE206,AM206),1)</x:f>
        <x:v>79</x:v>
      </x:c>
      <x:c r="AV206" s="60" t="n">
        <x:f>ROUND(AVERAGE(X206,AF206,AN206),1)</x:f>
        <x:v>80</x:v>
      </x:c>
      <x:c r="AW206" s="60" t="n">
        <x:f>ROUND(AVERAGE(Y206,AG206,AO206),1)</x:f>
        <x:v>79</x:v>
      </x:c>
      <x:c r="AX206" s="60" t="n">
        <x:f>ROUND(AVERAGE(Z206,AH206,AP206),1)</x:f>
        <x:v>80</x:v>
      </x:c>
      <x:c r="AY206" s="60" t="n">
        <x:f>ROUND(AVERAGE(AA206,AI206,AQ206),1)</x:f>
        <x:v>80</x:v>
      </x:c>
      <x:c r="AZ206" s="60" t="n">
        <x:f>ROUND(AVERAGE(AB206,AJ206,AR206),1)</x:f>
        <x:v>13</x:v>
      </x:c>
      <x:c r="BA206" s="59" t="n">
        <x:v>5</x:v>
      </x:c>
      <x:c r="BB206" s="60" t="n">
        <x:f>ROUND(0.30*AT206+0.20*AU206+0.25*AV206+0.15*AW206+0.10*AY206,2)</x:f>
        <x:v>79.65</x:v>
      </x:c>
      <x:c r="BC206" s="60" t="n">
        <x:f>ROUND(0.30*AX206+0.20*AV206+0.20*AU206+0.15*AY206+0.15*(100-AZ206),2)</x:f>
        <x:v>80.85</x:v>
      </x:c>
      <x:c r="BD206" s="60" t="n">
        <x:f>ROUND(AVERAGE(BB206,BC206),2)</x:f>
        <x:v>80.25</x:v>
      </x:c>
      <x:c r="BE206" s="60" t="n">
        <x:f>ROUND(BD206-U206,2)</x:f>
        <x:v>0</x:v>
      </x:c>
      <x:c r="BF206" s="60" t="n">
        <x:f>ROUND(STDEV.P(AC206,AK206,AS206),3)</x:f>
        <x:v>0</x:v>
      </x:c>
      <x:c r="BG206" s="59" t="str"/>
      <x:c r="BH206" s="59" t="str">
        <x:v>30%评分池轻量复核</x:v>
      </x:c>
      <x:c r="BI206" s="40" t="str">
        <x:v>三轮复核后与原表基本一致</x:v>
      </x:c>
    </x:row>
    <x:row r="207" ht="30" customHeight="1">
      <x:c r="A207" s="59" t="n">
        <x:v>206</x:v>
      </x:c>
      <x:c r="B207" s="59" t="n">
        <x:v>209</x:v>
      </x:c>
      <x:c r="C207" s="59" t="str">
        <x:v>2026-06</x:v>
      </x:c>
      <x:c r="D207" s="59" t="n">
        <x:v>117</x:v>
      </x:c>
      <x:c r="E207" s="59" t="str">
        <x:v>2606.11856</x:v>
      </x:c>
      <x:c r="F207" s="40" t="str">
        <x:v>Some results for a stationary Navier-Stokes equation with rough drift in a weighted functional framework</x:v>
      </x:c>
      <x:c r="G207" s="40" t="str">
        <x:v>Diego Chamorro; Anca-Nicoleta Marcoci; Liviu-Gabriel Marcoci</x:v>
      </x:c>
      <x:c r="H207" s="40" t="str">
        <x:v>fluid/kinetic PDE</x:v>
      </x:c>
      <x:c r="I207" s="59"/>
      <x:c r="J207" s="40" t="str">
        <x:v>https://arxiv.org/abs/2606.11856</x:v>
      </x:c>
      <x:c r="K207" s="60" t="n">
        <x:v>80</x:v>
      </x:c>
      <x:c r="L207" s="60" t="n">
        <x:v>79</x:v>
      </x:c>
      <x:c r="M207" s="60" t="n">
        <x:v>80</x:v>
      </x:c>
      <x:c r="N207" s="60" t="n">
        <x:v>80</x:v>
      </x:c>
      <x:c r="O207" s="60" t="n">
        <x:v>80</x:v>
      </x:c>
      <x:c r="P207" s="60" t="n">
        <x:v>79</x:v>
      </x:c>
      <x:c r="Q207" s="60" t="n">
        <x:v>13</x:v>
      </x:c>
      <x:c r="R207" s="59" t="n">
        <x:v>5</x:v>
      </x:c>
      <x:c r="S207" s="60" t="n">
        <x:v>79.7</x:v>
      </x:c>
      <x:c r="T207" s="60" t="n">
        <x:v>80.69999999999999</x:v>
      </x:c>
      <x:c r="U207" s="60" t="n">
        <x:v>80.19999999999999</x:v>
      </x:c>
      <x:c r="V207" s="60" t="n">
        <x:v>80</x:v>
      </x:c>
      <x:c r="W207" s="60" t="n">
        <x:v>79</x:v>
      </x:c>
      <x:c r="X207" s="60" t="n">
        <x:v>80.1</x:v>
      </x:c>
      <x:c r="Y207" s="60" t="n">
        <x:v>80</x:v>
      </x:c>
      <x:c r="Z207" s="60" t="n">
        <x:v>80.1</x:v>
      </x:c>
      <x:c r="AA207" s="60" t="n">
        <x:v>79</x:v>
      </x:c>
      <x:c r="AB207" s="60" t="n">
        <x:v>13</x:v>
      </x:c>
      <x:c r="AC207" s="60" t="n">
        <x:f>ROUND(((0.30*V207+0.20*W207+0.25*X207+0.15*Y207+0.10*AA207)+(0.30*Z207+0.20*X207+0.20*W207+0.15*AA207+0.15*(100-AB207)))/2,2)</x:f>
        <x:v>80.24</x:v>
      </x:c>
      <x:c r="AD207" s="60" t="n">
        <x:v>80</x:v>
      </x:c>
      <x:c r="AE207" s="60" t="n">
        <x:v>79</x:v>
      </x:c>
      <x:c r="AF207" s="60" t="n">
        <x:v>80</x:v>
      </x:c>
      <x:c r="AG207" s="60" t="n">
        <x:v>80</x:v>
      </x:c>
      <x:c r="AH207" s="60" t="n">
        <x:v>80.1</x:v>
      </x:c>
      <x:c r="AI207" s="60" t="n">
        <x:v>79</x:v>
      </x:c>
      <x:c r="AJ207" s="60" t="n">
        <x:v>13</x:v>
      </x:c>
      <x:c r="AK207" s="60" t="n">
        <x:f>ROUND(((0.30*AD207+0.20*AE207+0.25*AF207+0.15*AG207+0.10*AI207)+(0.30*AH207+0.20*AF207+0.20*AE207+0.15*AI207+0.15*(100-AJ207)))/2,2)</x:f>
        <x:v>80.22</x:v>
      </x:c>
      <x:c r="AL207" s="60" t="n">
        <x:v>80</x:v>
      </x:c>
      <x:c r="AM207" s="60" t="n">
        <x:v>79</x:v>
      </x:c>
      <x:c r="AN207" s="60" t="n">
        <x:v>80.1</x:v>
      </x:c>
      <x:c r="AO207" s="60" t="n">
        <x:v>80</x:v>
      </x:c>
      <x:c r="AP207" s="60" t="n">
        <x:v>80.1</x:v>
      </x:c>
      <x:c r="AQ207" s="60" t="n">
        <x:v>79</x:v>
      </x:c>
      <x:c r="AR207" s="60" t="n">
        <x:v>13</x:v>
      </x:c>
      <x:c r="AS207" s="60" t="n">
        <x:f>ROUND(((0.30*AL207+0.20*AM207+0.25*AN207+0.15*AO207+0.10*AQ207)+(0.30*AP207+0.20*AN207+0.20*AM207+0.15*AQ207+0.15*(100-AR207)))/2,2)</x:f>
        <x:v>80.24</x:v>
      </x:c>
      <x:c r="AT207" s="60" t="n">
        <x:f>ROUND(AVERAGE(V207,AD207,AL207),1)</x:f>
        <x:v>80</x:v>
      </x:c>
      <x:c r="AU207" s="60" t="n">
        <x:f>ROUND(AVERAGE(W207,AE207,AM207),1)</x:f>
        <x:v>79</x:v>
      </x:c>
      <x:c r="AV207" s="60" t="n">
        <x:f>ROUND(AVERAGE(X207,AF207,AN207),1)</x:f>
        <x:v>80.1</x:v>
      </x:c>
      <x:c r="AW207" s="60" t="n">
        <x:f>ROUND(AVERAGE(Y207,AG207,AO207),1)</x:f>
        <x:v>80</x:v>
      </x:c>
      <x:c r="AX207" s="60" t="n">
        <x:f>ROUND(AVERAGE(Z207,AH207,AP207),1)</x:f>
        <x:v>80.1</x:v>
      </x:c>
      <x:c r="AY207" s="60" t="n">
        <x:f>ROUND(AVERAGE(AA207,AI207,AQ207),1)</x:f>
        <x:v>79</x:v>
      </x:c>
      <x:c r="AZ207" s="60" t="n">
        <x:f>ROUND(AVERAGE(AB207,AJ207,AR207),1)</x:f>
        <x:v>13</x:v>
      </x:c>
      <x:c r="BA207" s="59" t="n">
        <x:v>5</x:v>
      </x:c>
      <x:c r="BB207" s="60" t="n">
        <x:f>ROUND(0.30*AT207+0.20*AU207+0.25*AV207+0.15*AW207+0.10*AY207,2)</x:f>
        <x:v>79.72</x:v>
      </x:c>
      <x:c r="BC207" s="60" t="n">
        <x:f>ROUND(0.30*AX207+0.20*AV207+0.20*AU207+0.15*AY207+0.15*(100-AZ207),2)</x:f>
        <x:v>80.75</x:v>
      </x:c>
      <x:c r="BD207" s="60" t="n">
        <x:f>ROUND(AVERAGE(BB207,BC207),2)</x:f>
        <x:v>80.24</x:v>
      </x:c>
      <x:c r="BE207" s="60" t="n">
        <x:f>ROUND(BD207-U207,2)</x:f>
        <x:v>0.04</x:v>
      </x:c>
      <x:c r="BF207" s="60" t="n">
        <x:f>ROUND(STDEV.P(AC207,AK207,AS207),3)</x:f>
        <x:v>0.009</x:v>
      </x:c>
      <x:c r="BG207" s="59" t="str"/>
      <x:c r="BH207" s="59" t="str">
        <x:v>30%评分池轻量复核</x:v>
      </x:c>
      <x:c r="BI207" s="40" t="str">
        <x:v>范围偏专门，广度轻微回调</x:v>
      </x:c>
    </x:row>
    <x:row r="208" ht="30" customHeight="1">
      <x:c r="A208" s="59" t="n">
        <x:v>207</x:v>
      </x:c>
      <x:c r="B208" s="59" t="n">
        <x:v>204</x:v>
      </x:c>
      <x:c r="C208" s="59" t="str">
        <x:v>2026-06</x:v>
      </x:c>
      <x:c r="D208" s="59" t="n">
        <x:v>112</x:v>
      </x:c>
      <x:c r="E208" s="59" t="str">
        <x:v>2606.07307</x:v>
      </x:c>
      <x:c r="F208" s="40" t="str">
        <x:v>On shifting the thermal explosion threshold by a vortical flow in dimension two</x:v>
      </x:c>
      <x:c r="G208" s="40" t="str">
        <x:v>Tianyi Guo; Peter V. Gordon</x:v>
      </x:c>
      <x:c r="H208" s="40" t="str">
        <x:v>analysis/PDE</x:v>
      </x:c>
      <x:c r="I208" s="59" t="n">
        <x:v>17</x:v>
      </x:c>
      <x:c r="J208" s="40" t="str">
        <x:v>https://arxiv.org/abs/2606.07307</x:v>
      </x:c>
      <x:c r="K208" s="60" t="n">
        <x:v>80</x:v>
      </x:c>
      <x:c r="L208" s="60" t="n">
        <x:v>79</x:v>
      </x:c>
      <x:c r="M208" s="60" t="n">
        <x:v>80</x:v>
      </x:c>
      <x:c r="N208" s="60" t="n">
        <x:v>79</x:v>
      </x:c>
      <x:c r="O208" s="60" t="n">
        <x:v>80</x:v>
      </x:c>
      <x:c r="P208" s="60" t="n">
        <x:v>80</x:v>
      </x:c>
      <x:c r="Q208" s="60" t="n">
        <x:v>13</x:v>
      </x:c>
      <x:c r="R208" s="59" t="n">
        <x:v>5</x:v>
      </x:c>
      <x:c r="S208" s="60" t="n">
        <x:v>79.64999999999999</x:v>
      </x:c>
      <x:c r="T208" s="60" t="n">
        <x:v>80.85</x:v>
      </x:c>
      <x:c r="U208" s="60" t="n">
        <x:v>80.25</x:v>
      </x:c>
      <x:c r="V208" s="60" t="n">
        <x:v>80</x:v>
      </x:c>
      <x:c r="W208" s="60" t="n">
        <x:v>79</x:v>
      </x:c>
      <x:c r="X208" s="60" t="n">
        <x:v>80</x:v>
      </x:c>
      <x:c r="Y208" s="60" t="n">
        <x:v>79</x:v>
      </x:c>
      <x:c r="Z208" s="60" t="n">
        <x:v>80</x:v>
      </x:c>
      <x:c r="AA208" s="60" t="n">
        <x:v>80</x:v>
      </x:c>
      <x:c r="AB208" s="60" t="n">
        <x:v>13</x:v>
      </x:c>
      <x:c r="AC208" s="60" t="n">
        <x:f>ROUND(((0.30*V208+0.20*W208+0.25*X208+0.15*Y208+0.10*AA208)+(0.30*Z208+0.20*X208+0.20*W208+0.15*AA208+0.15*(100-AB208)))/2,2)</x:f>
        <x:v>80.25</x:v>
      </x:c>
      <x:c r="AD208" s="60" t="n">
        <x:v>80</x:v>
      </x:c>
      <x:c r="AE208" s="60" t="n">
        <x:v>79</x:v>
      </x:c>
      <x:c r="AF208" s="60" t="n">
        <x:v>80</x:v>
      </x:c>
      <x:c r="AG208" s="60" t="n">
        <x:v>79</x:v>
      </x:c>
      <x:c r="AH208" s="60" t="n">
        <x:v>80</x:v>
      </x:c>
      <x:c r="AI208" s="60" t="n">
        <x:v>80</x:v>
      </x:c>
      <x:c r="AJ208" s="60" t="n">
        <x:v>13.4</x:v>
      </x:c>
      <x:c r="AK208" s="60" t="n">
        <x:f>ROUND(((0.30*AD208+0.20*AE208+0.25*AF208+0.15*AG208+0.10*AI208)+(0.30*AH208+0.20*AF208+0.20*AE208+0.15*AI208+0.15*(100-AJ208)))/2,2)</x:f>
        <x:v>80.22</x:v>
      </x:c>
      <x:c r="AL208" s="60" t="n">
        <x:v>80</x:v>
      </x:c>
      <x:c r="AM208" s="60" t="n">
        <x:v>79</x:v>
      </x:c>
      <x:c r="AN208" s="60" t="n">
        <x:v>80</x:v>
      </x:c>
      <x:c r="AO208" s="60" t="n">
        <x:v>79</x:v>
      </x:c>
      <x:c r="AP208" s="60" t="n">
        <x:v>80</x:v>
      </x:c>
      <x:c r="AQ208" s="60" t="n">
        <x:v>80</x:v>
      </x:c>
      <x:c r="AR208" s="60" t="n">
        <x:v>13.5</x:v>
      </x:c>
      <x:c r="AS208" s="60" t="n">
        <x:f>ROUND(((0.30*AL208+0.20*AM208+0.25*AN208+0.15*AO208+0.10*AQ208)+(0.30*AP208+0.20*AN208+0.20*AM208+0.15*AQ208+0.15*(100-AR208)))/2,2)</x:f>
        <x:v>80.21</x:v>
      </x:c>
      <x:c r="AT208" s="60" t="n">
        <x:f>ROUND(AVERAGE(V208,AD208,AL208),1)</x:f>
        <x:v>80</x:v>
      </x:c>
      <x:c r="AU208" s="60" t="n">
        <x:f>ROUND(AVERAGE(W208,AE208,AM208),1)</x:f>
        <x:v>79</x:v>
      </x:c>
      <x:c r="AV208" s="60" t="n">
        <x:f>ROUND(AVERAGE(X208,AF208,AN208),1)</x:f>
        <x:v>80</x:v>
      </x:c>
      <x:c r="AW208" s="60" t="n">
        <x:f>ROUND(AVERAGE(Y208,AG208,AO208),1)</x:f>
        <x:v>79</x:v>
      </x:c>
      <x:c r="AX208" s="60" t="n">
        <x:f>ROUND(AVERAGE(Z208,AH208,AP208),1)</x:f>
        <x:v>80</x:v>
      </x:c>
      <x:c r="AY208" s="60" t="n">
        <x:f>ROUND(AVERAGE(AA208,AI208,AQ208),1)</x:f>
        <x:v>80</x:v>
      </x:c>
      <x:c r="AZ208" s="60" t="n">
        <x:f>ROUND(AVERAGE(AB208,AJ208,AR208),1)</x:f>
        <x:v>13.3</x:v>
      </x:c>
      <x:c r="BA208" s="59" t="n">
        <x:v>5</x:v>
      </x:c>
      <x:c r="BB208" s="60" t="n">
        <x:f>ROUND(0.30*AT208+0.20*AU208+0.25*AV208+0.15*AW208+0.10*AY208,2)</x:f>
        <x:v>79.65</x:v>
      </x:c>
      <x:c r="BC208" s="60" t="n">
        <x:f>ROUND(0.30*AX208+0.20*AV208+0.20*AU208+0.15*AY208+0.15*(100-AZ208),2)</x:f>
        <x:v>80.8</x:v>
      </x:c>
      <x:c r="BD208" s="60" t="n">
        <x:f>ROUND(AVERAGE(BB208,BC208),2)</x:f>
        <x:v>80.22</x:v>
      </x:c>
      <x:c r="BE208" s="60" t="n">
        <x:f>ROUND(BD208-U208,2)</x:f>
        <x:v>-0.03</x:v>
      </x:c>
      <x:c r="BF208" s="60" t="n">
        <x:f>ROUND(STDEV.P(AC208,AK208,AS208),3)</x:f>
        <x:v>0.017</x:v>
      </x:c>
      <x:c r="BG208" s="59" t="str"/>
      <x:c r="BH208" s="59" t="str">
        <x:v>30%评分池轻量复核</x:v>
      </x:c>
      <x:c r="BI208" s="40" t="str">
        <x:v>三轮复核后与原表基本一致</x:v>
      </x:c>
    </x:row>
    <x:row r="209" ht="30" customHeight="1">
      <x:c r="A209" s="59" t="n">
        <x:v>208</x:v>
      </x:c>
      <x:c r="B209" s="59" t="n">
        <x:v>206</x:v>
      </x:c>
      <x:c r="C209" s="59" t="str">
        <x:v>2026-06</x:v>
      </x:c>
      <x:c r="D209" s="59" t="n">
        <x:v>112</x:v>
      </x:c>
      <x:c r="E209" s="59" t="str">
        <x:v>2606.04814</x:v>
      </x:c>
      <x:c r="F209" s="40" t="str">
        <x:v>Cauchy Problem for the Time-Fractional Airy-Type Equation on a Star Graph with Edge-Dependent Order of Derivative</x:v>
      </x:c>
      <x:c r="G209" s="40" t="str">
        <x:v>Zarif Sobirov; Kamoladdin Rakhimov</x:v>
      </x:c>
      <x:c r="H209" s="40" t="str">
        <x:v>analysis/PDE</x:v>
      </x:c>
      <x:c r="I209" s="59" t="n">
        <x:v>14</x:v>
      </x:c>
      <x:c r="J209" s="40" t="str">
        <x:v>https://arxiv.org/abs/2606.04814</x:v>
      </x:c>
      <x:c r="K209" s="60" t="n">
        <x:v>80</x:v>
      </x:c>
      <x:c r="L209" s="60" t="n">
        <x:v>79</x:v>
      </x:c>
      <x:c r="M209" s="60" t="n">
        <x:v>80</x:v>
      </x:c>
      <x:c r="N209" s="60" t="n">
        <x:v>79</x:v>
      </x:c>
      <x:c r="O209" s="60" t="n">
        <x:v>80</x:v>
      </x:c>
      <x:c r="P209" s="60" t="n">
        <x:v>80</x:v>
      </x:c>
      <x:c r="Q209" s="60" t="n">
        <x:v>13</x:v>
      </x:c>
      <x:c r="R209" s="59" t="n">
        <x:v>5</x:v>
      </x:c>
      <x:c r="S209" s="60" t="n">
        <x:v>79.64999999999999</x:v>
      </x:c>
      <x:c r="T209" s="60" t="n">
        <x:v>80.85</x:v>
      </x:c>
      <x:c r="U209" s="60" t="n">
        <x:v>80.25</x:v>
      </x:c>
      <x:c r="V209" s="60" t="n">
        <x:v>80</x:v>
      </x:c>
      <x:c r="W209" s="60" t="n">
        <x:v>79</x:v>
      </x:c>
      <x:c r="X209" s="60" t="n">
        <x:v>80</x:v>
      </x:c>
      <x:c r="Y209" s="60" t="n">
        <x:v>79</x:v>
      </x:c>
      <x:c r="Z209" s="60" t="n">
        <x:v>80</x:v>
      </x:c>
      <x:c r="AA209" s="60" t="n">
        <x:v>80</x:v>
      </x:c>
      <x:c r="AB209" s="60" t="n">
        <x:v>13</x:v>
      </x:c>
      <x:c r="AC209" s="60" t="n">
        <x:f>ROUND(((0.30*V209+0.20*W209+0.25*X209+0.15*Y209+0.10*AA209)+(0.30*Z209+0.20*X209+0.20*W209+0.15*AA209+0.15*(100-AB209)))/2,2)</x:f>
        <x:v>80.25</x:v>
      </x:c>
      <x:c r="AD209" s="60" t="n">
        <x:v>80</x:v>
      </x:c>
      <x:c r="AE209" s="60" t="n">
        <x:v>79</x:v>
      </x:c>
      <x:c r="AF209" s="60" t="n">
        <x:v>80</x:v>
      </x:c>
      <x:c r="AG209" s="60" t="n">
        <x:v>79</x:v>
      </x:c>
      <x:c r="AH209" s="60" t="n">
        <x:v>80</x:v>
      </x:c>
      <x:c r="AI209" s="60" t="n">
        <x:v>80</x:v>
      </x:c>
      <x:c r="AJ209" s="60" t="n">
        <x:v>13.4</x:v>
      </x:c>
      <x:c r="AK209" s="60" t="n">
        <x:f>ROUND(((0.30*AD209+0.20*AE209+0.25*AF209+0.15*AG209+0.10*AI209)+(0.30*AH209+0.20*AF209+0.20*AE209+0.15*AI209+0.15*(100-AJ209)))/2,2)</x:f>
        <x:v>80.22</x:v>
      </x:c>
      <x:c r="AL209" s="60" t="n">
        <x:v>80</x:v>
      </x:c>
      <x:c r="AM209" s="60" t="n">
        <x:v>79</x:v>
      </x:c>
      <x:c r="AN209" s="60" t="n">
        <x:v>80</x:v>
      </x:c>
      <x:c r="AO209" s="60" t="n">
        <x:v>79</x:v>
      </x:c>
      <x:c r="AP209" s="60" t="n">
        <x:v>80</x:v>
      </x:c>
      <x:c r="AQ209" s="60" t="n">
        <x:v>80</x:v>
      </x:c>
      <x:c r="AR209" s="60" t="n">
        <x:v>13.5</x:v>
      </x:c>
      <x:c r="AS209" s="60" t="n">
        <x:f>ROUND(((0.30*AL209+0.20*AM209+0.25*AN209+0.15*AO209+0.10*AQ209)+(0.30*AP209+0.20*AN209+0.20*AM209+0.15*AQ209+0.15*(100-AR209)))/2,2)</x:f>
        <x:v>80.21</x:v>
      </x:c>
      <x:c r="AT209" s="60" t="n">
        <x:f>ROUND(AVERAGE(V209,AD209,AL209),1)</x:f>
        <x:v>80</x:v>
      </x:c>
      <x:c r="AU209" s="60" t="n">
        <x:f>ROUND(AVERAGE(W209,AE209,AM209),1)</x:f>
        <x:v>79</x:v>
      </x:c>
      <x:c r="AV209" s="60" t="n">
        <x:f>ROUND(AVERAGE(X209,AF209,AN209),1)</x:f>
        <x:v>80</x:v>
      </x:c>
      <x:c r="AW209" s="60" t="n">
        <x:f>ROUND(AVERAGE(Y209,AG209,AO209),1)</x:f>
        <x:v>79</x:v>
      </x:c>
      <x:c r="AX209" s="60" t="n">
        <x:f>ROUND(AVERAGE(Z209,AH209,AP209),1)</x:f>
        <x:v>80</x:v>
      </x:c>
      <x:c r="AY209" s="60" t="n">
        <x:f>ROUND(AVERAGE(AA209,AI209,AQ209),1)</x:f>
        <x:v>80</x:v>
      </x:c>
      <x:c r="AZ209" s="60" t="n">
        <x:f>ROUND(AVERAGE(AB209,AJ209,AR209),1)</x:f>
        <x:v>13.3</x:v>
      </x:c>
      <x:c r="BA209" s="59" t="n">
        <x:v>5</x:v>
      </x:c>
      <x:c r="BB209" s="60" t="n">
        <x:f>ROUND(0.30*AT209+0.20*AU209+0.25*AV209+0.15*AW209+0.10*AY209,2)</x:f>
        <x:v>79.65</x:v>
      </x:c>
      <x:c r="BC209" s="60" t="n">
        <x:f>ROUND(0.30*AX209+0.20*AV209+0.20*AU209+0.15*AY209+0.15*(100-AZ209),2)</x:f>
        <x:v>80.8</x:v>
      </x:c>
      <x:c r="BD209" s="60" t="n">
        <x:f>ROUND(AVERAGE(BB209,BC209),2)</x:f>
        <x:v>80.22</x:v>
      </x:c>
      <x:c r="BE209" s="60" t="n">
        <x:f>ROUND(BD209-U209,2)</x:f>
        <x:v>-0.03</x:v>
      </x:c>
      <x:c r="BF209" s="60" t="n">
        <x:f>ROUND(STDEV.P(AC209,AK209,AS209),3)</x:f>
        <x:v>0.017</x:v>
      </x:c>
      <x:c r="BG209" s="59" t="str"/>
      <x:c r="BH209" s="59" t="str">
        <x:v>30%评分池轻量复核</x:v>
      </x:c>
      <x:c r="BI209" s="40" t="str">
        <x:v>三轮复核后与原表基本一致</x:v>
      </x:c>
    </x:row>
    <x:row r="210" ht="30" customHeight="1">
      <x:c r="A210" s="59" t="n">
        <x:v>209</x:v>
      </x:c>
      <x:c r="B210" s="59" t="n">
        <x:v>210</x:v>
      </x:c>
      <x:c r="C210" s="59" t="str">
        <x:v>2026-06</x:v>
      </x:c>
      <x:c r="D210" s="59" t="n">
        <x:v>118</x:v>
      </x:c>
      <x:c r="E210" s="59" t="str">
        <x:v>2606.00276</x:v>
      </x:c>
      <x:c r="F210" s="40" t="str">
        <x:v>Dispersive-Dissipative estimates for Boussinesq and other generalized wave equations</x:v>
      </x:c>
      <x:c r="G210" s="40" t="str">
        <x:v>Marcello D'Abbicco; Marcelo Rempel Ebert; Antonio Lagioia</x:v>
      </x:c>
      <x:c r="H210" s="40" t="str">
        <x:v>fluid/kinetic PDE</x:v>
      </x:c>
      <x:c r="I210" s="59"/>
      <x:c r="J210" s="40" t="str">
        <x:v>https://arxiv.org/abs/2606.00276</x:v>
      </x:c>
      <x:c r="K210" s="60" t="n">
        <x:v>79</x:v>
      </x:c>
      <x:c r="L210" s="60" t="n">
        <x:v>79</x:v>
      </x:c>
      <x:c r="M210" s="60" t="n">
        <x:v>80</x:v>
      </x:c>
      <x:c r="N210" s="60" t="n">
        <x:v>80</x:v>
      </x:c>
      <x:c r="O210" s="60" t="n">
        <x:v>80</x:v>
      </x:c>
      <x:c r="P210" s="60" t="n">
        <x:v>80</x:v>
      </x:c>
      <x:c r="Q210" s="60" t="n">
        <x:v>13</x:v>
      </x:c>
      <x:c r="R210" s="59" t="n">
        <x:v>5</x:v>
      </x:c>
      <x:c r="S210" s="60" t="n">
        <x:v>79.5</x:v>
      </x:c>
      <x:c r="T210" s="60" t="n">
        <x:v>80.85</x:v>
      </x:c>
      <x:c r="U210" s="60" t="n">
        <x:v>80.175</x:v>
      </x:c>
      <x:c r="V210" s="60" t="n">
        <x:v>79.1</x:v>
      </x:c>
      <x:c r="W210" s="60" t="n">
        <x:v>79</x:v>
      </x:c>
      <x:c r="X210" s="60" t="n">
        <x:v>80.1</x:v>
      </x:c>
      <x:c r="Y210" s="60" t="n">
        <x:v>80</x:v>
      </x:c>
      <x:c r="Z210" s="60" t="n">
        <x:v>80.1</x:v>
      </x:c>
      <x:c r="AA210" s="60" t="n">
        <x:v>80</x:v>
      </x:c>
      <x:c r="AB210" s="60" t="n">
        <x:v>13</x:v>
      </x:c>
      <x:c r="AC210" s="60" t="n">
        <x:f>ROUND(((0.30*V210+0.20*W210+0.25*X210+0.15*Y210+0.10*AA210)+(0.30*Z210+0.20*X210+0.20*W210+0.15*AA210+0.15*(100-AB210)))/2,2)</x:f>
        <x:v>80.23</x:v>
      </x:c>
      <x:c r="AD210" s="60" t="n">
        <x:v>79</x:v>
      </x:c>
      <x:c r="AE210" s="60" t="n">
        <x:v>79</x:v>
      </x:c>
      <x:c r="AF210" s="60" t="n">
        <x:v>80</x:v>
      </x:c>
      <x:c r="AG210" s="60" t="n">
        <x:v>80</x:v>
      </x:c>
      <x:c r="AH210" s="60" t="n">
        <x:v>80</x:v>
      </x:c>
      <x:c r="AI210" s="60" t="n">
        <x:v>80</x:v>
      </x:c>
      <x:c r="AJ210" s="60" t="n">
        <x:v>13</x:v>
      </x:c>
      <x:c r="AK210" s="60" t="n">
        <x:f>ROUND(((0.30*AD210+0.20*AE210+0.25*AF210+0.15*AG210+0.10*AI210)+(0.30*AH210+0.20*AF210+0.20*AE210+0.15*AI210+0.15*(100-AJ210)))/2,2)</x:f>
        <x:v>80.18</x:v>
      </x:c>
      <x:c r="AL210" s="60" t="n">
        <x:v>79</x:v>
      </x:c>
      <x:c r="AM210" s="60" t="n">
        <x:v>79</x:v>
      </x:c>
      <x:c r="AN210" s="60" t="n">
        <x:v>80.1</x:v>
      </x:c>
      <x:c r="AO210" s="60" t="n">
        <x:v>80</x:v>
      </x:c>
      <x:c r="AP210" s="60" t="n">
        <x:v>80</x:v>
      </x:c>
      <x:c r="AQ210" s="60" t="n">
        <x:v>80</x:v>
      </x:c>
      <x:c r="AR210" s="60" t="n">
        <x:v>13</x:v>
      </x:c>
      <x:c r="AS210" s="60" t="n">
        <x:f>ROUND(((0.30*AL210+0.20*AM210+0.25*AN210+0.15*AO210+0.10*AQ210)+(0.30*AP210+0.20*AN210+0.20*AM210+0.15*AQ210+0.15*(100-AR210)))/2,2)</x:f>
        <x:v>80.2</x:v>
      </x:c>
      <x:c r="AT210" s="60" t="n">
        <x:f>ROUND(AVERAGE(V210,AD210,AL210),1)</x:f>
        <x:v>79</x:v>
      </x:c>
      <x:c r="AU210" s="60" t="n">
        <x:f>ROUND(AVERAGE(W210,AE210,AM210),1)</x:f>
        <x:v>79</x:v>
      </x:c>
      <x:c r="AV210" s="60" t="n">
        <x:f>ROUND(AVERAGE(X210,AF210,AN210),1)</x:f>
        <x:v>80.1</x:v>
      </x:c>
      <x:c r="AW210" s="60" t="n">
        <x:f>ROUND(AVERAGE(Y210,AG210,AO210),1)</x:f>
        <x:v>80</x:v>
      </x:c>
      <x:c r="AX210" s="60" t="n">
        <x:f>ROUND(AVERAGE(Z210,AH210,AP210),1)</x:f>
        <x:v>80</x:v>
      </x:c>
      <x:c r="AY210" s="60" t="n">
        <x:f>ROUND(AVERAGE(AA210,AI210,AQ210),1)</x:f>
        <x:v>80</x:v>
      </x:c>
      <x:c r="AZ210" s="60" t="n">
        <x:f>ROUND(AVERAGE(AB210,AJ210,AR210),1)</x:f>
        <x:v>13</x:v>
      </x:c>
      <x:c r="BA210" s="59" t="n">
        <x:v>5</x:v>
      </x:c>
      <x:c r="BB210" s="60" t="n">
        <x:f>ROUND(0.30*AT210+0.20*AU210+0.25*AV210+0.15*AW210+0.10*AY210,2)</x:f>
        <x:v>79.53</x:v>
      </x:c>
      <x:c r="BC210" s="60" t="n">
        <x:f>ROUND(0.30*AX210+0.20*AV210+0.20*AU210+0.15*AY210+0.15*(100-AZ210),2)</x:f>
        <x:v>80.87</x:v>
      </x:c>
      <x:c r="BD210" s="60" t="n">
        <x:f>ROUND(AVERAGE(BB210,BC210),2)</x:f>
        <x:v>80.2</x:v>
      </x:c>
      <x:c r="BE210" s="60" t="n">
        <x:f>ROUND(BD210-U210,2)</x:f>
        <x:v>0.03</x:v>
      </x:c>
      <x:c r="BF210" s="60" t="n">
        <x:f>ROUND(STDEV.P(AC210,AK210,AS210),3)</x:f>
        <x:v>0.021</x:v>
      </x:c>
      <x:c r="BG210" s="59" t="str"/>
      <x:c r="BH210" s="59" t="str">
        <x:v>30%评分池轻量复核</x:v>
      </x:c>
      <x:c r="BI210" s="40" t="str">
        <x:v>三轮复核后与原表基本一致</x:v>
      </x:c>
    </x:row>
    <x:row r="211" ht="30" customHeight="1">
      <x:c r="A211" s="59" t="n">
        <x:v>210</x:v>
      </x:c>
      <x:c r="B211" s="59" t="n">
        <x:v>212</x:v>
      </x:c>
      <x:c r="C211" s="59" t="str">
        <x:v>2026-06</x:v>
      </x:c>
      <x:c r="D211" s="59" t="n">
        <x:v>120</x:v>
      </x:c>
      <x:c r="E211" s="59" t="str">
        <x:v>2606.22384</x:v>
      </x:c>
      <x:c r="F211" s="40" t="str">
        <x:v>Global Well-Posedness of sessile drop problem: 2D Navier-Stokes Flow</x:v>
      </x:c>
      <x:c r="G211" s="40" t="str">
        <x:v>Xiaoding Yang</x:v>
      </x:c>
      <x:c r="H211" s="40" t="str">
        <x:v>fluid/kinetic PDE</x:v>
      </x:c>
      <x:c r="I211" s="59"/>
      <x:c r="J211" s="40" t="str">
        <x:v>https://arxiv.org/abs/2606.22384</x:v>
      </x:c>
      <x:c r="K211" s="60" t="n">
        <x:v>80</x:v>
      </x:c>
      <x:c r="L211" s="60" t="n">
        <x:v>79</x:v>
      </x:c>
      <x:c r="M211" s="60" t="n">
        <x:v>80</x:v>
      </x:c>
      <x:c r="N211" s="60" t="n">
        <x:v>78</x:v>
      </x:c>
      <x:c r="O211" s="60" t="n">
        <x:v>80</x:v>
      </x:c>
      <x:c r="P211" s="60" t="n">
        <x:v>79</x:v>
      </x:c>
      <x:c r="Q211" s="60" t="n">
        <x:v>13</x:v>
      </x:c>
      <x:c r="R211" s="59" t="n">
        <x:v>5</x:v>
      </x:c>
      <x:c r="S211" s="60" t="n">
        <x:v>79.4</x:v>
      </x:c>
      <x:c r="T211" s="60" t="n">
        <x:v>80.69999999999999</x:v>
      </x:c>
      <x:c r="U211" s="60" t="n">
        <x:v>80.05</x:v>
      </x:c>
      <x:c r="V211" s="60" t="n">
        <x:v>80.1</x:v>
      </x:c>
      <x:c r="W211" s="60" t="n">
        <x:v>79.1</x:v>
      </x:c>
      <x:c r="X211" s="60" t="n">
        <x:v>80.1</x:v>
      </x:c>
      <x:c r="Y211" s="60" t="n">
        <x:v>78.1</x:v>
      </x:c>
      <x:c r="Z211" s="60" t="n">
        <x:v>80.1</x:v>
      </x:c>
      <x:c r="AA211" s="60" t="n">
        <x:v>79</x:v>
      </x:c>
      <x:c r="AB211" s="60" t="n">
        <x:v>13</x:v>
      </x:c>
      <x:c r="AC211" s="60" t="n">
        <x:f>ROUND(((0.30*V211+0.20*W211+0.25*X211+0.15*Y211+0.10*AA211)+(0.30*Z211+0.20*X211+0.20*W211+0.15*AA211+0.15*(100-AB211)))/2,2)</x:f>
        <x:v>80.13</x:v>
      </x:c>
      <x:c r="AD211" s="60" t="n">
        <x:v>80</x:v>
      </x:c>
      <x:c r="AE211" s="60" t="n">
        <x:v>79.1</x:v>
      </x:c>
      <x:c r="AF211" s="60" t="n">
        <x:v>80</x:v>
      </x:c>
      <x:c r="AG211" s="60" t="n">
        <x:v>78.1</x:v>
      </x:c>
      <x:c r="AH211" s="60" t="n">
        <x:v>80.1</x:v>
      </x:c>
      <x:c r="AI211" s="60" t="n">
        <x:v>79</x:v>
      </x:c>
      <x:c r="AJ211" s="60" t="n">
        <x:v>13</x:v>
      </x:c>
      <x:c r="AK211" s="60" t="n">
        <x:f>ROUND(((0.30*AD211+0.20*AE211+0.25*AF211+0.15*AG211+0.10*AI211)+(0.30*AH211+0.20*AF211+0.20*AE211+0.15*AI211+0.15*(100-AJ211)))/2,2)</x:f>
        <x:v>80.09</x:v>
      </x:c>
      <x:c r="AL211" s="60" t="n">
        <x:v>80</x:v>
      </x:c>
      <x:c r="AM211" s="60" t="n">
        <x:v>79.1</x:v>
      </x:c>
      <x:c r="AN211" s="60" t="n">
        <x:v>80.1</x:v>
      </x:c>
      <x:c r="AO211" s="60" t="n">
        <x:v>78.1</x:v>
      </x:c>
      <x:c r="AP211" s="60" t="n">
        <x:v>80.1</x:v>
      </x:c>
      <x:c r="AQ211" s="60" t="n">
        <x:v>79</x:v>
      </x:c>
      <x:c r="AR211" s="60" t="n">
        <x:v>13</x:v>
      </x:c>
      <x:c r="AS211" s="60" t="n">
        <x:f>ROUND(((0.30*AL211+0.20*AM211+0.25*AN211+0.15*AO211+0.10*AQ211)+(0.30*AP211+0.20*AN211+0.20*AM211+0.15*AQ211+0.15*(100-AR211)))/2,2)</x:f>
        <x:v>80.12</x:v>
      </x:c>
      <x:c r="AT211" s="60" t="n">
        <x:f>ROUND(AVERAGE(V211,AD211,AL211),1)</x:f>
        <x:v>80</x:v>
      </x:c>
      <x:c r="AU211" s="60" t="n">
        <x:f>ROUND(AVERAGE(W211,AE211,AM211),1)</x:f>
        <x:v>79.1</x:v>
      </x:c>
      <x:c r="AV211" s="60" t="n">
        <x:f>ROUND(AVERAGE(X211,AF211,AN211),1)</x:f>
        <x:v>80.1</x:v>
      </x:c>
      <x:c r="AW211" s="60" t="n">
        <x:f>ROUND(AVERAGE(Y211,AG211,AO211),1)</x:f>
        <x:v>78.1</x:v>
      </x:c>
      <x:c r="AX211" s="60" t="n">
        <x:f>ROUND(AVERAGE(Z211,AH211,AP211),1)</x:f>
        <x:v>80.1</x:v>
      </x:c>
      <x:c r="AY211" s="60" t="n">
        <x:f>ROUND(AVERAGE(AA211,AI211,AQ211),1)</x:f>
        <x:v>79</x:v>
      </x:c>
      <x:c r="AZ211" s="60" t="n">
        <x:f>ROUND(AVERAGE(AB211,AJ211,AR211),1)</x:f>
        <x:v>13</x:v>
      </x:c>
      <x:c r="BA211" s="59" t="n">
        <x:v>5</x:v>
      </x:c>
      <x:c r="BB211" s="60" t="n">
        <x:f>ROUND(0.30*AT211+0.20*AU211+0.25*AV211+0.15*AW211+0.10*AY211,2)</x:f>
        <x:v>79.46</x:v>
      </x:c>
      <x:c r="BC211" s="60" t="n">
        <x:f>ROUND(0.30*AX211+0.20*AV211+0.20*AU211+0.15*AY211+0.15*(100-AZ211),2)</x:f>
        <x:v>80.77</x:v>
      </x:c>
      <x:c r="BD211" s="60" t="n">
        <x:f>ROUND(AVERAGE(BB211,BC211),2)</x:f>
        <x:v>80.11</x:v>
      </x:c>
      <x:c r="BE211" s="60" t="n">
        <x:f>ROUND(BD211-U211,2)</x:f>
        <x:v>0.06</x:v>
      </x:c>
      <x:c r="BF211" s="60" t="n">
        <x:f>ROUND(STDEV.P(AC211,AK211,AS211),3)</x:f>
        <x:v>0.017</x:v>
      </x:c>
      <x:c r="BG211" s="59" t="str"/>
      <x:c r="BH211" s="59" t="str">
        <x:v>30%评分池轻量复核</x:v>
      </x:c>
      <x:c r="BI211" s="40" t="str">
        <x:v>三轮复核后与原表基本一致</x:v>
      </x:c>
    </x:row>
    <x:row r="212" ht="30" customHeight="1">
      <x:c r="A212" s="59" t="n">
        <x:v>211</x:v>
      </x:c>
      <x:c r="B212" s="59" t="n">
        <x:v>213</x:v>
      </x:c>
      <x:c r="C212" s="59" t="str">
        <x:v>2026-06</x:v>
      </x:c>
      <x:c r="D212" s="59" t="n">
        <x:v>120</x:v>
      </x:c>
      <x:c r="E212" s="59" t="str">
        <x:v>2606.15086</x:v>
      </x:c>
      <x:c r="F212" s="40" t="str">
        <x:v>Finite-Window Singularity Audits and Local-to-Clean Defect Transfer for Navier-Stokes</x:v>
      </x:c>
      <x:c r="G212" s="40" t="str">
        <x:v>Runlong Yu</x:v>
      </x:c>
      <x:c r="H212" s="40" t="str">
        <x:v>fluid/kinetic PDE</x:v>
      </x:c>
      <x:c r="I212" s="59"/>
      <x:c r="J212" s="40" t="str">
        <x:v>https://arxiv.org/abs/2606.15086</x:v>
      </x:c>
      <x:c r="K212" s="60" t="n">
        <x:v>80</x:v>
      </x:c>
      <x:c r="L212" s="60" t="n">
        <x:v>79</x:v>
      </x:c>
      <x:c r="M212" s="60" t="n">
        <x:v>80</x:v>
      </x:c>
      <x:c r="N212" s="60" t="n">
        <x:v>78</x:v>
      </x:c>
      <x:c r="O212" s="60" t="n">
        <x:v>80</x:v>
      </x:c>
      <x:c r="P212" s="60" t="n">
        <x:v>79</x:v>
      </x:c>
      <x:c r="Q212" s="60" t="n">
        <x:v>13</x:v>
      </x:c>
      <x:c r="R212" s="59" t="n">
        <x:v>5</x:v>
      </x:c>
      <x:c r="S212" s="60" t="n">
        <x:v>79.4</x:v>
      </x:c>
      <x:c r="T212" s="60" t="n">
        <x:v>80.69999999999999</x:v>
      </x:c>
      <x:c r="U212" s="60" t="n">
        <x:v>80.05</x:v>
      </x:c>
      <x:c r="V212" s="60" t="n">
        <x:v>80.1</x:v>
      </x:c>
      <x:c r="W212" s="60" t="n">
        <x:v>79</x:v>
      </x:c>
      <x:c r="X212" s="60" t="n">
        <x:v>80.1</x:v>
      </x:c>
      <x:c r="Y212" s="60" t="n">
        <x:v>78</x:v>
      </x:c>
      <x:c r="Z212" s="60" t="n">
        <x:v>80.1</x:v>
      </x:c>
      <x:c r="AA212" s="60" t="n">
        <x:v>79</x:v>
      </x:c>
      <x:c r="AB212" s="60" t="n">
        <x:v>13</x:v>
      </x:c>
      <x:c r="AC212" s="60" t="n">
        <x:f>ROUND(((0.30*V212+0.20*W212+0.25*X212+0.15*Y212+0.10*AA212)+(0.30*Z212+0.20*X212+0.20*W212+0.15*AA212+0.15*(100-AB212)))/2,2)</x:f>
        <x:v>80.1</x:v>
      </x:c>
      <x:c r="AD212" s="60" t="n">
        <x:v>80</x:v>
      </x:c>
      <x:c r="AE212" s="60" t="n">
        <x:v>79</x:v>
      </x:c>
      <x:c r="AF212" s="60" t="n">
        <x:v>80</x:v>
      </x:c>
      <x:c r="AG212" s="60" t="n">
        <x:v>78</x:v>
      </x:c>
      <x:c r="AH212" s="60" t="n">
        <x:v>80</x:v>
      </x:c>
      <x:c r="AI212" s="60" t="n">
        <x:v>79</x:v>
      </x:c>
      <x:c r="AJ212" s="60" t="n">
        <x:v>13</x:v>
      </x:c>
      <x:c r="AK212" s="60" t="n">
        <x:f>ROUND(((0.30*AD212+0.20*AE212+0.25*AF212+0.15*AG212+0.10*AI212)+(0.30*AH212+0.20*AF212+0.20*AE212+0.15*AI212+0.15*(100-AJ212)))/2,2)</x:f>
        <x:v>80.05</x:v>
      </x:c>
      <x:c r="AL212" s="60" t="n">
        <x:v>80</x:v>
      </x:c>
      <x:c r="AM212" s="60" t="n">
        <x:v>79</x:v>
      </x:c>
      <x:c r="AN212" s="60" t="n">
        <x:v>80.1</x:v>
      </x:c>
      <x:c r="AO212" s="60" t="n">
        <x:v>78</x:v>
      </x:c>
      <x:c r="AP212" s="60" t="n">
        <x:v>80</x:v>
      </x:c>
      <x:c r="AQ212" s="60" t="n">
        <x:v>79</x:v>
      </x:c>
      <x:c r="AR212" s="60" t="n">
        <x:v>13</x:v>
      </x:c>
      <x:c r="AS212" s="60" t="n">
        <x:f>ROUND(((0.30*AL212+0.20*AM212+0.25*AN212+0.15*AO212+0.10*AQ212)+(0.30*AP212+0.20*AN212+0.20*AM212+0.15*AQ212+0.15*(100-AR212)))/2,2)</x:f>
        <x:v>80.07</x:v>
      </x:c>
      <x:c r="AT212" s="60" t="n">
        <x:f>ROUND(AVERAGE(V212,AD212,AL212),1)</x:f>
        <x:v>80</x:v>
      </x:c>
      <x:c r="AU212" s="60" t="n">
        <x:f>ROUND(AVERAGE(W212,AE212,AM212),1)</x:f>
        <x:v>79</x:v>
      </x:c>
      <x:c r="AV212" s="60" t="n">
        <x:f>ROUND(AVERAGE(X212,AF212,AN212),1)</x:f>
        <x:v>80.1</x:v>
      </x:c>
      <x:c r="AW212" s="60" t="n">
        <x:f>ROUND(AVERAGE(Y212,AG212,AO212),1)</x:f>
        <x:v>78</x:v>
      </x:c>
      <x:c r="AX212" s="60" t="n">
        <x:f>ROUND(AVERAGE(Z212,AH212,AP212),1)</x:f>
        <x:v>80</x:v>
      </x:c>
      <x:c r="AY212" s="60" t="n">
        <x:f>ROUND(AVERAGE(AA212,AI212,AQ212),1)</x:f>
        <x:v>79</x:v>
      </x:c>
      <x:c r="AZ212" s="60" t="n">
        <x:f>ROUND(AVERAGE(AB212,AJ212,AR212),1)</x:f>
        <x:v>13</x:v>
      </x:c>
      <x:c r="BA212" s="59" t="n">
        <x:v>5</x:v>
      </x:c>
      <x:c r="BB212" s="60" t="n">
        <x:f>ROUND(0.30*AT212+0.20*AU212+0.25*AV212+0.15*AW212+0.10*AY212,2)</x:f>
        <x:v>79.43</x:v>
      </x:c>
      <x:c r="BC212" s="60" t="n">
        <x:f>ROUND(0.30*AX212+0.20*AV212+0.20*AU212+0.15*AY212+0.15*(100-AZ212),2)</x:f>
        <x:v>80.72</x:v>
      </x:c>
      <x:c r="BD212" s="60" t="n">
        <x:f>ROUND(AVERAGE(BB212,BC212),2)</x:f>
        <x:v>80.08</x:v>
      </x:c>
      <x:c r="BE212" s="60" t="n">
        <x:f>ROUND(BD212-U212,2)</x:f>
        <x:v>0.03</x:v>
      </x:c>
      <x:c r="BF212" s="60" t="n">
        <x:f>ROUND(STDEV.P(AC212,AK212,AS212),3)</x:f>
        <x:v>0.021</x:v>
      </x:c>
      <x:c r="BG212" s="59" t="str"/>
      <x:c r="BH212" s="59" t="str">
        <x:v>30%评分池轻量复核</x:v>
      </x:c>
      <x:c r="BI212" s="40" t="str">
        <x:v>三轮复核后与原表基本一致</x:v>
      </x:c>
    </x:row>
    <x:row r="213" ht="30" customHeight="1">
      <x:c r="A213" s="59" t="n">
        <x:v>212</x:v>
      </x:c>
      <x:c r="B213" s="59" t="n">
        <x:v>214</x:v>
      </x:c>
      <x:c r="C213" s="59" t="str">
        <x:v>2026-06</x:v>
      </x:c>
      <x:c r="D213" s="59" t="n">
        <x:v>120</x:v>
      </x:c>
      <x:c r="E213" s="59" t="str">
        <x:v>2606.12267</x:v>
      </x:c>
      <x:c r="F213" s="40" t="str">
        <x:v>Schur Visibility and Anti-Phantom Reduction in One-Component Navier-Stokes Degeneration</x:v>
      </x:c>
      <x:c r="G213" s="40" t="str">
        <x:v>Runlong Yu</x:v>
      </x:c>
      <x:c r="H213" s="40" t="str">
        <x:v>fluid/kinetic PDE</x:v>
      </x:c>
      <x:c r="I213" s="59"/>
      <x:c r="J213" s="40" t="str">
        <x:v>https://arxiv.org/abs/2606.12267</x:v>
      </x:c>
      <x:c r="K213" s="60" t="n">
        <x:v>80</x:v>
      </x:c>
      <x:c r="L213" s="60" t="n">
        <x:v>79</x:v>
      </x:c>
      <x:c r="M213" s="60" t="n">
        <x:v>80</x:v>
      </x:c>
      <x:c r="N213" s="60" t="n">
        <x:v>78</x:v>
      </x:c>
      <x:c r="O213" s="60" t="n">
        <x:v>80</x:v>
      </x:c>
      <x:c r="P213" s="60" t="n">
        <x:v>79</x:v>
      </x:c>
      <x:c r="Q213" s="60" t="n">
        <x:v>13</x:v>
      </x:c>
      <x:c r="R213" s="59" t="n">
        <x:v>5</x:v>
      </x:c>
      <x:c r="S213" s="60" t="n">
        <x:v>79.4</x:v>
      </x:c>
      <x:c r="T213" s="60" t="n">
        <x:v>80.69999999999999</x:v>
      </x:c>
      <x:c r="U213" s="60" t="n">
        <x:v>80.05</x:v>
      </x:c>
      <x:c r="V213" s="60" t="n">
        <x:v>80.1</x:v>
      </x:c>
      <x:c r="W213" s="60" t="n">
        <x:v>79</x:v>
      </x:c>
      <x:c r="X213" s="60" t="n">
        <x:v>80.1</x:v>
      </x:c>
      <x:c r="Y213" s="60" t="n">
        <x:v>78</x:v>
      </x:c>
      <x:c r="Z213" s="60" t="n">
        <x:v>80.1</x:v>
      </x:c>
      <x:c r="AA213" s="60" t="n">
        <x:v>79</x:v>
      </x:c>
      <x:c r="AB213" s="60" t="n">
        <x:v>13</x:v>
      </x:c>
      <x:c r="AC213" s="60" t="n">
        <x:f>ROUND(((0.30*V213+0.20*W213+0.25*X213+0.15*Y213+0.10*AA213)+(0.30*Z213+0.20*X213+0.20*W213+0.15*AA213+0.15*(100-AB213)))/2,2)</x:f>
        <x:v>80.1</x:v>
      </x:c>
      <x:c r="AD213" s="60" t="n">
        <x:v>80</x:v>
      </x:c>
      <x:c r="AE213" s="60" t="n">
        <x:v>79</x:v>
      </x:c>
      <x:c r="AF213" s="60" t="n">
        <x:v>80</x:v>
      </x:c>
      <x:c r="AG213" s="60" t="n">
        <x:v>78</x:v>
      </x:c>
      <x:c r="AH213" s="60" t="n">
        <x:v>80</x:v>
      </x:c>
      <x:c r="AI213" s="60" t="n">
        <x:v>79</x:v>
      </x:c>
      <x:c r="AJ213" s="60" t="n">
        <x:v>13</x:v>
      </x:c>
      <x:c r="AK213" s="60" t="n">
        <x:f>ROUND(((0.30*AD213+0.20*AE213+0.25*AF213+0.15*AG213+0.10*AI213)+(0.30*AH213+0.20*AF213+0.20*AE213+0.15*AI213+0.15*(100-AJ213)))/2,2)</x:f>
        <x:v>80.05</x:v>
      </x:c>
      <x:c r="AL213" s="60" t="n">
        <x:v>80</x:v>
      </x:c>
      <x:c r="AM213" s="60" t="n">
        <x:v>79</x:v>
      </x:c>
      <x:c r="AN213" s="60" t="n">
        <x:v>80.1</x:v>
      </x:c>
      <x:c r="AO213" s="60" t="n">
        <x:v>78</x:v>
      </x:c>
      <x:c r="AP213" s="60" t="n">
        <x:v>80</x:v>
      </x:c>
      <x:c r="AQ213" s="60" t="n">
        <x:v>79</x:v>
      </x:c>
      <x:c r="AR213" s="60" t="n">
        <x:v>13</x:v>
      </x:c>
      <x:c r="AS213" s="60" t="n">
        <x:f>ROUND(((0.30*AL213+0.20*AM213+0.25*AN213+0.15*AO213+0.10*AQ213)+(0.30*AP213+0.20*AN213+0.20*AM213+0.15*AQ213+0.15*(100-AR213)))/2,2)</x:f>
        <x:v>80.07</x:v>
      </x:c>
      <x:c r="AT213" s="60" t="n">
        <x:f>ROUND(AVERAGE(V213,AD213,AL213),1)</x:f>
        <x:v>80</x:v>
      </x:c>
      <x:c r="AU213" s="60" t="n">
        <x:f>ROUND(AVERAGE(W213,AE213,AM213),1)</x:f>
        <x:v>79</x:v>
      </x:c>
      <x:c r="AV213" s="60" t="n">
        <x:f>ROUND(AVERAGE(X213,AF213,AN213),1)</x:f>
        <x:v>80.1</x:v>
      </x:c>
      <x:c r="AW213" s="60" t="n">
        <x:f>ROUND(AVERAGE(Y213,AG213,AO213),1)</x:f>
        <x:v>78</x:v>
      </x:c>
      <x:c r="AX213" s="60" t="n">
        <x:f>ROUND(AVERAGE(Z213,AH213,AP213),1)</x:f>
        <x:v>80</x:v>
      </x:c>
      <x:c r="AY213" s="60" t="n">
        <x:f>ROUND(AVERAGE(AA213,AI213,AQ213),1)</x:f>
        <x:v>79</x:v>
      </x:c>
      <x:c r="AZ213" s="60" t="n">
        <x:f>ROUND(AVERAGE(AB213,AJ213,AR213),1)</x:f>
        <x:v>13</x:v>
      </x:c>
      <x:c r="BA213" s="59" t="n">
        <x:v>5</x:v>
      </x:c>
      <x:c r="BB213" s="60" t="n">
        <x:f>ROUND(0.30*AT213+0.20*AU213+0.25*AV213+0.15*AW213+0.10*AY213,2)</x:f>
        <x:v>79.43</x:v>
      </x:c>
      <x:c r="BC213" s="60" t="n">
        <x:f>ROUND(0.30*AX213+0.20*AV213+0.20*AU213+0.15*AY213+0.15*(100-AZ213),2)</x:f>
        <x:v>80.72</x:v>
      </x:c>
      <x:c r="BD213" s="60" t="n">
        <x:f>ROUND(AVERAGE(BB213,BC213),2)</x:f>
        <x:v>80.08</x:v>
      </x:c>
      <x:c r="BE213" s="60" t="n">
        <x:f>ROUND(BD213-U213,2)</x:f>
        <x:v>0.03</x:v>
      </x:c>
      <x:c r="BF213" s="60" t="n">
        <x:f>ROUND(STDEV.P(AC213,AK213,AS213),3)</x:f>
        <x:v>0.021</x:v>
      </x:c>
      <x:c r="BG213" s="59" t="str"/>
      <x:c r="BH213" s="59" t="str">
        <x:v>30%评分池轻量复核</x:v>
      </x:c>
      <x:c r="BI213" s="40" t="str">
        <x:v>三轮复核后与原表基本一致</x:v>
      </x:c>
    </x:row>
    <x:row r="214" ht="30" customHeight="1">
      <x:c r="A214" s="59" t="n">
        <x:v>213</x:v>
      </x:c>
      <x:c r="B214" s="59" t="n">
        <x:v>211</x:v>
      </x:c>
      <x:c r="C214" s="59" t="str">
        <x:v>2026-06</x:v>
      </x:c>
      <x:c r="D214" s="59" t="n">
        <x:v>119</x:v>
      </x:c>
      <x:c r="E214" s="59" t="str">
        <x:v>2606.09429</x:v>
      </x:c>
      <x:c r="F214" s="40" t="str">
        <x:v>Low-regularity well-posedness for a mixed-sign quadratic Dirac equation on N-star metric graphs</x:v>
      </x:c>
      <x:c r="G214" s="40" t="str">
        <x:v>Huichao Xing; Zhipeng Yang</x:v>
      </x:c>
      <x:c r="H214" s="40" t="str">
        <x:v>elliptic/parabolic regularity</x:v>
      </x:c>
      <x:c r="I214" s="59" t="n">
        <x:v>19</x:v>
      </x:c>
      <x:c r="J214" s="40" t="str">
        <x:v>https://arxiv.org/abs/2606.09429</x:v>
      </x:c>
      <x:c r="K214" s="60" t="n">
        <x:v>79</x:v>
      </x:c>
      <x:c r="L214" s="60" t="n">
        <x:v>79</x:v>
      </x:c>
      <x:c r="M214" s="60" t="n">
        <x:v>80</x:v>
      </x:c>
      <x:c r="N214" s="60" t="n">
        <x:v>79</x:v>
      </x:c>
      <x:c r="O214" s="60" t="n">
        <x:v>80</x:v>
      </x:c>
      <x:c r="P214" s="60" t="n">
        <x:v>80</x:v>
      </x:c>
      <x:c r="Q214" s="60" t="n">
        <x:v>13</x:v>
      </x:c>
      <x:c r="R214" s="59" t="n">
        <x:v>5</x:v>
      </x:c>
      <x:c r="S214" s="60" t="n">
        <x:v>79.35</x:v>
      </x:c>
      <x:c r="T214" s="60" t="n">
        <x:v>80.85</x:v>
      </x:c>
      <x:c r="U214" s="60" t="n">
        <x:v>80.1</x:v>
      </x:c>
      <x:c r="V214" s="60" t="n">
        <x:v>79</x:v>
      </x:c>
      <x:c r="W214" s="60" t="n">
        <x:v>79</x:v>
      </x:c>
      <x:c r="X214" s="60" t="n">
        <x:v>80</x:v>
      </x:c>
      <x:c r="Y214" s="60" t="n">
        <x:v>79</x:v>
      </x:c>
      <x:c r="Z214" s="60" t="n">
        <x:v>80</x:v>
      </x:c>
      <x:c r="AA214" s="60" t="n">
        <x:v>80</x:v>
      </x:c>
      <x:c r="AB214" s="60" t="n">
        <x:v>13</x:v>
      </x:c>
      <x:c r="AC214" s="60" t="n">
        <x:f>ROUND(((0.30*V214+0.20*W214+0.25*X214+0.15*Y214+0.10*AA214)+(0.30*Z214+0.20*X214+0.20*W214+0.15*AA214+0.15*(100-AB214)))/2,2)</x:f>
        <x:v>80.1</x:v>
      </x:c>
      <x:c r="AD214" s="60" t="n">
        <x:v>79</x:v>
      </x:c>
      <x:c r="AE214" s="60" t="n">
        <x:v>79</x:v>
      </x:c>
      <x:c r="AF214" s="60" t="n">
        <x:v>80</x:v>
      </x:c>
      <x:c r="AG214" s="60" t="n">
        <x:v>79</x:v>
      </x:c>
      <x:c r="AH214" s="60" t="n">
        <x:v>80</x:v>
      </x:c>
      <x:c r="AI214" s="60" t="n">
        <x:v>80</x:v>
      </x:c>
      <x:c r="AJ214" s="60" t="n">
        <x:v>13.4</x:v>
      </x:c>
      <x:c r="AK214" s="60" t="n">
        <x:f>ROUND(((0.30*AD214+0.20*AE214+0.25*AF214+0.15*AG214+0.10*AI214)+(0.30*AH214+0.20*AF214+0.20*AE214+0.15*AI214+0.15*(100-AJ214)))/2,2)</x:f>
        <x:v>80.07</x:v>
      </x:c>
      <x:c r="AL214" s="60" t="n">
        <x:v>79</x:v>
      </x:c>
      <x:c r="AM214" s="60" t="n">
        <x:v>79</x:v>
      </x:c>
      <x:c r="AN214" s="60" t="n">
        <x:v>80</x:v>
      </x:c>
      <x:c r="AO214" s="60" t="n">
        <x:v>79</x:v>
      </x:c>
      <x:c r="AP214" s="60" t="n">
        <x:v>80</x:v>
      </x:c>
      <x:c r="AQ214" s="60" t="n">
        <x:v>80</x:v>
      </x:c>
      <x:c r="AR214" s="60" t="n">
        <x:v>13.5</x:v>
      </x:c>
      <x:c r="AS214" s="60" t="n">
        <x:f>ROUND(((0.30*AL214+0.20*AM214+0.25*AN214+0.15*AO214+0.10*AQ214)+(0.30*AP214+0.20*AN214+0.20*AM214+0.15*AQ214+0.15*(100-AR214)))/2,2)</x:f>
        <x:v>80.06</x:v>
      </x:c>
      <x:c r="AT214" s="60" t="n">
        <x:f>ROUND(AVERAGE(V214,AD214,AL214),1)</x:f>
        <x:v>79</x:v>
      </x:c>
      <x:c r="AU214" s="60" t="n">
        <x:f>ROUND(AVERAGE(W214,AE214,AM214),1)</x:f>
        <x:v>79</x:v>
      </x:c>
      <x:c r="AV214" s="60" t="n">
        <x:f>ROUND(AVERAGE(X214,AF214,AN214),1)</x:f>
        <x:v>80</x:v>
      </x:c>
      <x:c r="AW214" s="60" t="n">
        <x:f>ROUND(AVERAGE(Y214,AG214,AO214),1)</x:f>
        <x:v>79</x:v>
      </x:c>
      <x:c r="AX214" s="60" t="n">
        <x:f>ROUND(AVERAGE(Z214,AH214,AP214),1)</x:f>
        <x:v>80</x:v>
      </x:c>
      <x:c r="AY214" s="60" t="n">
        <x:f>ROUND(AVERAGE(AA214,AI214,AQ214),1)</x:f>
        <x:v>80</x:v>
      </x:c>
      <x:c r="AZ214" s="60" t="n">
        <x:f>ROUND(AVERAGE(AB214,AJ214,AR214),1)</x:f>
        <x:v>13.3</x:v>
      </x:c>
      <x:c r="BA214" s="59" t="n">
        <x:v>5</x:v>
      </x:c>
      <x:c r="BB214" s="60" t="n">
        <x:f>ROUND(0.30*AT214+0.20*AU214+0.25*AV214+0.15*AW214+0.10*AY214,2)</x:f>
        <x:v>79.35</x:v>
      </x:c>
      <x:c r="BC214" s="60" t="n">
        <x:f>ROUND(0.30*AX214+0.20*AV214+0.20*AU214+0.15*AY214+0.15*(100-AZ214),2)</x:f>
        <x:v>80.8</x:v>
      </x:c>
      <x:c r="BD214" s="60" t="n">
        <x:f>ROUND(AVERAGE(BB214,BC214),2)</x:f>
        <x:v>80.07</x:v>
      </x:c>
      <x:c r="BE214" s="60" t="n">
        <x:f>ROUND(BD214-U214,2)</x:f>
        <x:v>-0.03</x:v>
      </x:c>
      <x:c r="BF214" s="60" t="n">
        <x:f>ROUND(STDEV.P(AC214,AK214,AS214),3)</x:f>
        <x:v>0.017</x:v>
      </x:c>
      <x:c r="BG214" s="59" t="str"/>
      <x:c r="BH214" s="59" t="str">
        <x:v>30%评分池轻量复核</x:v>
      </x:c>
      <x:c r="BI214" s="40" t="str">
        <x:v>三轮复核后与原表基本一致</x:v>
      </x:c>
    </x:row>
    <x:row r="215" ht="30" customHeight="1">
      <x:c r="A215" s="59" t="n">
        <x:v>214</x:v>
      </x:c>
      <x:c r="B215" s="59" t="n">
        <x:v>215</x:v>
      </x:c>
      <x:c r="C215" s="59" t="str">
        <x:v>2026-06</x:v>
      </x:c>
      <x:c r="D215" s="59" t="n">
        <x:v>123</x:v>
      </x:c>
      <x:c r="E215" s="59" t="str">
        <x:v>2606.11607</x:v>
      </x:c>
      <x:c r="F215" s="40" t="str">
        <x:v>Global C^{1,alpha} regularity for degenerate/singular fully nonlinear elliptic equations with Hamiltonian terms</x:v>
      </x:c>
      <x:c r="G215" s="40" t="str">
        <x:v>Jiangwen Wang; Feida Jiang</x:v>
      </x:c>
      <x:c r="H215" s="40" t="str">
        <x:v>elliptic/parabolic regularity</x:v>
      </x:c>
      <x:c r="I215" s="59"/>
      <x:c r="J215" s="40" t="str">
        <x:v>https://arxiv.org/abs/2606.11607</x:v>
      </x:c>
      <x:c r="K215" s="60" t="n">
        <x:v>79</x:v>
      </x:c>
      <x:c r="L215" s="60" t="n">
        <x:v>79</x:v>
      </x:c>
      <x:c r="M215" s="60" t="n">
        <x:v>80</x:v>
      </x:c>
      <x:c r="N215" s="60" t="n">
        <x:v>78</x:v>
      </x:c>
      <x:c r="O215" s="60" t="n">
        <x:v>80</x:v>
      </x:c>
      <x:c r="P215" s="60" t="n">
        <x:v>80</x:v>
      </x:c>
      <x:c r="Q215" s="60" t="n">
        <x:v>13</x:v>
      </x:c>
      <x:c r="R215" s="59" t="n">
        <x:v>5</x:v>
      </x:c>
      <x:c r="S215" s="60" t="n">
        <x:v>79.2</x:v>
      </x:c>
      <x:c r="T215" s="60" t="n">
        <x:v>80.85</x:v>
      </x:c>
      <x:c r="U215" s="60" t="n">
        <x:v>80.025</x:v>
      </x:c>
      <x:c r="V215" s="60" t="n">
        <x:v>79</x:v>
      </x:c>
      <x:c r="W215" s="60" t="n">
        <x:v>79</x:v>
      </x:c>
      <x:c r="X215" s="60" t="n">
        <x:v>80</x:v>
      </x:c>
      <x:c r="Y215" s="60" t="n">
        <x:v>78</x:v>
      </x:c>
      <x:c r="Z215" s="60" t="n">
        <x:v>80</x:v>
      </x:c>
      <x:c r="AA215" s="60" t="n">
        <x:v>80</x:v>
      </x:c>
      <x:c r="AB215" s="60" t="n">
        <x:v>13</x:v>
      </x:c>
      <x:c r="AC215" s="60" t="n">
        <x:f>ROUND(((0.30*V215+0.20*W215+0.25*X215+0.15*Y215+0.10*AA215)+(0.30*Z215+0.20*X215+0.20*W215+0.15*AA215+0.15*(100-AB215)))/2,2)</x:f>
        <x:v>80.03</x:v>
      </x:c>
      <x:c r="AD215" s="60" t="n">
        <x:v>79</x:v>
      </x:c>
      <x:c r="AE215" s="60" t="n">
        <x:v>79</x:v>
      </x:c>
      <x:c r="AF215" s="60" t="n">
        <x:v>80</x:v>
      </x:c>
      <x:c r="AG215" s="60" t="n">
        <x:v>78</x:v>
      </x:c>
      <x:c r="AH215" s="60" t="n">
        <x:v>80</x:v>
      </x:c>
      <x:c r="AI215" s="60" t="n">
        <x:v>80</x:v>
      </x:c>
      <x:c r="AJ215" s="60" t="n">
        <x:v>13</x:v>
      </x:c>
      <x:c r="AK215" s="60" t="n">
        <x:f>ROUND(((0.30*AD215+0.20*AE215+0.25*AF215+0.15*AG215+0.10*AI215)+(0.30*AH215+0.20*AF215+0.20*AE215+0.15*AI215+0.15*(100-AJ215)))/2,2)</x:f>
        <x:v>80.03</x:v>
      </x:c>
      <x:c r="AL215" s="60" t="n">
        <x:v>79</x:v>
      </x:c>
      <x:c r="AM215" s="60" t="n">
        <x:v>79</x:v>
      </x:c>
      <x:c r="AN215" s="60" t="n">
        <x:v>80</x:v>
      </x:c>
      <x:c r="AO215" s="60" t="n">
        <x:v>78</x:v>
      </x:c>
      <x:c r="AP215" s="60" t="n">
        <x:v>80</x:v>
      </x:c>
      <x:c r="AQ215" s="60" t="n">
        <x:v>80</x:v>
      </x:c>
      <x:c r="AR215" s="60" t="n">
        <x:v>13</x:v>
      </x:c>
      <x:c r="AS215" s="60" t="n">
        <x:f>ROUND(((0.30*AL215+0.20*AM215+0.25*AN215+0.15*AO215+0.10*AQ215)+(0.30*AP215+0.20*AN215+0.20*AM215+0.15*AQ215+0.15*(100-AR215)))/2,2)</x:f>
        <x:v>80.03</x:v>
      </x:c>
      <x:c r="AT215" s="60" t="n">
        <x:f>ROUND(AVERAGE(V215,AD215,AL215),1)</x:f>
        <x:v>79</x:v>
      </x:c>
      <x:c r="AU215" s="60" t="n">
        <x:f>ROUND(AVERAGE(W215,AE215,AM215),1)</x:f>
        <x:v>79</x:v>
      </x:c>
      <x:c r="AV215" s="60" t="n">
        <x:f>ROUND(AVERAGE(X215,AF215,AN215),1)</x:f>
        <x:v>80</x:v>
      </x:c>
      <x:c r="AW215" s="60" t="n">
        <x:f>ROUND(AVERAGE(Y215,AG215,AO215),1)</x:f>
        <x:v>78</x:v>
      </x:c>
      <x:c r="AX215" s="60" t="n">
        <x:f>ROUND(AVERAGE(Z215,AH215,AP215),1)</x:f>
        <x:v>80</x:v>
      </x:c>
      <x:c r="AY215" s="60" t="n">
        <x:f>ROUND(AVERAGE(AA215,AI215,AQ215),1)</x:f>
        <x:v>80</x:v>
      </x:c>
      <x:c r="AZ215" s="60" t="n">
        <x:f>ROUND(AVERAGE(AB215,AJ215,AR215),1)</x:f>
        <x:v>13</x:v>
      </x:c>
      <x:c r="BA215" s="59" t="n">
        <x:v>5</x:v>
      </x:c>
      <x:c r="BB215" s="60" t="n">
        <x:f>ROUND(0.30*AT215+0.20*AU215+0.25*AV215+0.15*AW215+0.10*AY215,2)</x:f>
        <x:v>79.2</x:v>
      </x:c>
      <x:c r="BC215" s="60" t="n">
        <x:f>ROUND(0.30*AX215+0.20*AV215+0.20*AU215+0.15*AY215+0.15*(100-AZ215),2)</x:f>
        <x:v>80.85</x:v>
      </x:c>
      <x:c r="BD215" s="60" t="n">
        <x:f>ROUND(AVERAGE(BB215,BC215),2)</x:f>
        <x:v>80.03</x:v>
      </x:c>
      <x:c r="BE215" s="60" t="n">
        <x:f>ROUND(BD215-U215,2)</x:f>
        <x:v>0</x:v>
      </x:c>
      <x:c r="BF215" s="60" t="n">
        <x:f>ROUND(STDEV.P(AC215,AK215,AS215),3)</x:f>
        <x:v>0</x:v>
      </x:c>
      <x:c r="BG215" s="59" t="str"/>
      <x:c r="BH215" s="59" t="str">
        <x:v>30%评分池轻量复核</x:v>
      </x:c>
      <x:c r="BI215" s="40" t="str">
        <x:v>三轮复核后与原表基本一致</x:v>
      </x:c>
    </x:row>
    <x:row r="216" ht="30" customHeight="1">
      <x:c r="A216" s="59" t="n">
        <x:v>215</x:v>
      </x:c>
      <x:c r="B216" s="59" t="n">
        <x:v>203</x:v>
      </x:c>
      <x:c r="C216" s="59" t="str">
        <x:v>2026-05</x:v>
      </x:c>
      <x:c r="D216" s="59" t="n">
        <x:v>92</x:v>
      </x:c>
      <x:c r="E216" s="59" t="str">
        <x:v>2605.20623</x:v>
      </x:c>
      <x:c r="F216" s="40" t="str">
        <x:v>Lower Bounds for Advection-Diffusion Equations: An Exploration with AI-Generated Proofs</x:v>
      </x:c>
      <x:c r="G216" s="40" t="str">
        <x:v>Chenyang An; Xiaoqian Xu</x:v>
      </x:c>
      <x:c r="H216" s="40" t="str">
        <x:v>Advection-diffusion / AI proof generation</x:v>
      </x:c>
      <x:c r="I216" s="59" t="n">
        <x:v>63</x:v>
      </x:c>
      <x:c r="J216" s="40" t="str">
        <x:v>https://arxiv.org/abs/2605.20623</x:v>
      </x:c>
      <x:c r="K216" s="60" t="n">
        <x:v>85</x:v>
      </x:c>
      <x:c r="L216" s="60" t="n">
        <x:v>88</x:v>
      </x:c>
      <x:c r="M216" s="60" t="n">
        <x:v>84</x:v>
      </x:c>
      <x:c r="N216" s="60" t="n">
        <x:v>86</x:v>
      </x:c>
      <x:c r="O216" s="60" t="n">
        <x:v>80</x:v>
      </x:c>
      <x:c r="P216" s="60" t="n">
        <x:v>80</x:v>
      </x:c>
      <x:c r="Q216" s="60" t="n">
        <x:v>65</x:v>
      </x:c>
      <x:c r="R216" s="59" t="n">
        <x:v>15</x:v>
      </x:c>
      <x:c r="S216" s="60" t="n">
        <x:v>85</x:v>
      </x:c>
      <x:c r="T216" s="60" t="n">
        <x:v>75.7</x:v>
      </x:c>
      <x:c r="U216" s="60" t="n">
        <x:v>80.4</x:v>
      </x:c>
      <x:c r="V216" s="60" t="n">
        <x:v>85</x:v>
      </x:c>
      <x:c r="W216" s="60" t="n">
        <x:v>88</x:v>
      </x:c>
      <x:c r="X216" s="60" t="n">
        <x:v>83.9</x:v>
      </x:c>
      <x:c r="Y216" s="60" t="n">
        <x:v>86</x:v>
      </x:c>
      <x:c r="Z216" s="60" t="n">
        <x:v>79.7</x:v>
      </x:c>
      <x:c r="AA216" s="60" t="n">
        <x:v>80</x:v>
      </x:c>
      <x:c r="AB216" s="60" t="n">
        <x:v>67.8</x:v>
      </x:c>
      <x:c r="AC216" s="60" t="n">
        <x:f>ROUND(((0.30*V216+0.20*W216+0.25*X216+0.15*Y216+0.10*AA216)+(0.30*Z216+0.20*X216+0.20*W216+0.15*AA216+0.15*(100-AB216)))/2,2)</x:f>
        <x:v>80.05</x:v>
      </x:c>
      <x:c r="AD216" s="60" t="n">
        <x:v>85</x:v>
      </x:c>
      <x:c r="AE216" s="60" t="n">
        <x:v>88</x:v>
      </x:c>
      <x:c r="AF216" s="60" t="n">
        <x:v>83.9</x:v>
      </x:c>
      <x:c r="AG216" s="60" t="n">
        <x:v>86</x:v>
      </x:c>
      <x:c r="AH216" s="60" t="n">
        <x:v>79.8</x:v>
      </x:c>
      <x:c r="AI216" s="60" t="n">
        <x:v>80</x:v>
      </x:c>
      <x:c r="AJ216" s="60" t="n">
        <x:v>66.7</x:v>
      </x:c>
      <x:c r="AK216" s="60" t="n">
        <x:f>ROUND(((0.30*AD216+0.20*AE216+0.25*AF216+0.15*AG216+0.10*AI216)+(0.30*AH216+0.20*AF216+0.20*AE216+0.15*AI216+0.15*(100-AJ216)))/2,2)</x:f>
        <x:v>80.15</x:v>
      </x:c>
      <x:c r="AL216" s="60" t="n">
        <x:v>85</x:v>
      </x:c>
      <x:c r="AM216" s="60" t="n">
        <x:v>88</x:v>
      </x:c>
      <x:c r="AN216" s="60" t="n">
        <x:v>83.5</x:v>
      </x:c>
      <x:c r="AO216" s="60" t="n">
        <x:v>86</x:v>
      </x:c>
      <x:c r="AP216" s="60" t="n">
        <x:v>79.4</x:v>
      </x:c>
      <x:c r="AQ216" s="60" t="n">
        <x:v>80</x:v>
      </x:c>
      <x:c r="AR216" s="60" t="n">
        <x:v>68.6</x:v>
      </x:c>
      <x:c r="AS216" s="60" t="n">
        <x:f>ROUND(((0.30*AL216+0.20*AM216+0.25*AN216+0.15*AO216+0.10*AQ216)+(0.30*AP216+0.20*AN216+0.20*AM216+0.15*AQ216+0.15*(100-AR216)))/2,2)</x:f>
        <x:v>79.85</x:v>
      </x:c>
      <x:c r="AT216" s="60" t="n">
        <x:f>ROUND(AVERAGE(V216,AD216,AL216),1)</x:f>
        <x:v>85</x:v>
      </x:c>
      <x:c r="AU216" s="60" t="n">
        <x:f>ROUND(AVERAGE(W216,AE216,AM216),1)</x:f>
        <x:v>88</x:v>
      </x:c>
      <x:c r="AV216" s="60" t="n">
        <x:f>ROUND(AVERAGE(X216,AF216,AN216),1)</x:f>
        <x:v>83.8</x:v>
      </x:c>
      <x:c r="AW216" s="60" t="n">
        <x:f>ROUND(AVERAGE(Y216,AG216,AO216),1)</x:f>
        <x:v>86</x:v>
      </x:c>
      <x:c r="AX216" s="60" t="n">
        <x:f>ROUND(AVERAGE(Z216,AH216,AP216),1)</x:f>
        <x:v>79.6</x:v>
      </x:c>
      <x:c r="AY216" s="60" t="n">
        <x:f>ROUND(AVERAGE(AA216,AI216,AQ216),1)</x:f>
        <x:v>80</x:v>
      </x:c>
      <x:c r="AZ216" s="60" t="n">
        <x:f>ROUND(AVERAGE(AB216,AJ216,AR216),1)</x:f>
        <x:v>67.7</x:v>
      </x:c>
      <x:c r="BA216" s="59" t="n">
        <x:v>15</x:v>
      </x:c>
      <x:c r="BB216" s="60" t="n">
        <x:f>ROUND(0.30*AT216+0.20*AU216+0.25*AV216+0.15*AW216+0.10*AY216,2)</x:f>
        <x:v>84.95</x:v>
      </x:c>
      <x:c r="BC216" s="60" t="n">
        <x:f>ROUND(0.30*AX216+0.20*AV216+0.20*AU216+0.15*AY216+0.15*(100-AZ216),2)</x:f>
        <x:v>75.09</x:v>
      </x:c>
      <x:c r="BD216" s="60" t="n">
        <x:f>ROUND(AVERAGE(BB216,BC216),2)</x:f>
        <x:v>80.02</x:v>
      </x:c>
      <x:c r="BE216" s="60" t="n">
        <x:f>ROUND(BD216-U216,2)</x:f>
        <x:v>-0.38</x:v>
      </x:c>
      <x:c r="BF216" s="60" t="n">
        <x:f>ROUND(STDEV.P(AC216,AK216,AS216),3)</x:f>
        <x:v>0.125</x:v>
      </x:c>
      <x:c r="BG216" s="59" t="str"/>
      <x:c r="BH216" s="59" t="str">
        <x:v>30%评分池轻量复核</x:v>
      </x:c>
      <x:c r="BI216" s="40" t="str">
        <x:v>AI-generated/proof-exploration 信号，AI占比上调</x:v>
      </x:c>
    </x:row>
    <x:row r="217" ht="30" customHeight="1">
      <x:c r="A217" s="59" t="n">
        <x:v>216</x:v>
      </x:c>
      <x:c r="B217" s="59" t="n">
        <x:v>218</x:v>
      </x:c>
      <x:c r="C217" s="59" t="str">
        <x:v>2026-06</x:v>
      </x:c>
      <x:c r="D217" s="59" t="n">
        <x:v>126</x:v>
      </x:c>
      <x:c r="E217" s="59" t="str">
        <x:v>2606.00389</x:v>
      </x:c>
      <x:c r="F217" s="40" t="str">
        <x:v>Strichartz Estimates and Small-Mass Global Well-Posedness for the Periodic Quintic NLS in 1D</x:v>
      </x:c>
      <x:c r="G217" s="40" t="str">
        <x:v>Nikolaos Skouloudis; Jiahui Yu</x:v>
      </x:c>
      <x:c r="H217" s="40" t="str">
        <x:v>dispersive PDE</x:v>
      </x:c>
      <x:c r="I217" s="59"/>
      <x:c r="J217" s="40" t="str">
        <x:v>https://arxiv.org/abs/2606.00389</x:v>
      </x:c>
      <x:c r="K217" s="60" t="n">
        <x:v>79</x:v>
      </x:c>
      <x:c r="L217" s="60" t="n">
        <x:v>79</x:v>
      </x:c>
      <x:c r="M217" s="60" t="n">
        <x:v>79</x:v>
      </x:c>
      <x:c r="N217" s="60" t="n">
        <x:v>80</x:v>
      </x:c>
      <x:c r="O217" s="60" t="n">
        <x:v>80</x:v>
      </x:c>
      <x:c r="P217" s="60" t="n">
        <x:v>80</x:v>
      </x:c>
      <x:c r="Q217" s="60" t="n">
        <x:v>13</x:v>
      </x:c>
      <x:c r="R217" s="59" t="n">
        <x:v>5</x:v>
      </x:c>
      <x:c r="S217" s="60" t="n">
        <x:v>79.25</x:v>
      </x:c>
      <x:c r="T217" s="60" t="n">
        <x:v>80.64999999999999</x:v>
      </x:c>
      <x:c r="U217" s="60" t="n">
        <x:v>79.94999999999999</x:v>
      </x:c>
      <x:c r="V217" s="60" t="n">
        <x:v>79</x:v>
      </x:c>
      <x:c r="W217" s="60" t="n">
        <x:v>79.1</x:v>
      </x:c>
      <x:c r="X217" s="60" t="n">
        <x:v>79</x:v>
      </x:c>
      <x:c r="Y217" s="60" t="n">
        <x:v>80.1</x:v>
      </x:c>
      <x:c r="Z217" s="60" t="n">
        <x:v>80.1</x:v>
      </x:c>
      <x:c r="AA217" s="60" t="n">
        <x:v>80</x:v>
      </x:c>
      <x:c r="AB217" s="60" t="n">
        <x:v>13</x:v>
      </x:c>
      <x:c r="AC217" s="60" t="n">
        <x:f>ROUND(((0.30*V217+0.20*W217+0.25*X217+0.15*Y217+0.10*AA217)+(0.30*Z217+0.20*X217+0.20*W217+0.15*AA217+0.15*(100-AB217)))/2,2)</x:f>
        <x:v>79.99</x:v>
      </x:c>
      <x:c r="AD217" s="60" t="n">
        <x:v>79</x:v>
      </x:c>
      <x:c r="AE217" s="60" t="n">
        <x:v>79.1</x:v>
      </x:c>
      <x:c r="AF217" s="60" t="n">
        <x:v>79</x:v>
      </x:c>
      <x:c r="AG217" s="60" t="n">
        <x:v>80.1</x:v>
      </x:c>
      <x:c r="AH217" s="60" t="n">
        <x:v>80</x:v>
      </x:c>
      <x:c r="AI217" s="60" t="n">
        <x:v>80</x:v>
      </x:c>
      <x:c r="AJ217" s="60" t="n">
        <x:v>13</x:v>
      </x:c>
      <x:c r="AK217" s="60" t="n">
        <x:f>ROUND(((0.30*AD217+0.20*AE217+0.25*AF217+0.15*AG217+0.10*AI217)+(0.30*AH217+0.20*AF217+0.20*AE217+0.15*AI217+0.15*(100-AJ217)))/2,2)</x:f>
        <x:v>79.98</x:v>
      </x:c>
      <x:c r="AL217" s="60" t="n">
        <x:v>79</x:v>
      </x:c>
      <x:c r="AM217" s="60" t="n">
        <x:v>79.1</x:v>
      </x:c>
      <x:c r="AN217" s="60" t="n">
        <x:v>79</x:v>
      </x:c>
      <x:c r="AO217" s="60" t="n">
        <x:v>80.1</x:v>
      </x:c>
      <x:c r="AP217" s="60" t="n">
        <x:v>80.1</x:v>
      </x:c>
      <x:c r="AQ217" s="60" t="n">
        <x:v>80</x:v>
      </x:c>
      <x:c r="AR217" s="60" t="n">
        <x:v>13</x:v>
      </x:c>
      <x:c r="AS217" s="60" t="n">
        <x:f>ROUND(((0.30*AL217+0.20*AM217+0.25*AN217+0.15*AO217+0.10*AQ217)+(0.30*AP217+0.20*AN217+0.20*AM217+0.15*AQ217+0.15*(100-AR217)))/2,2)</x:f>
        <x:v>79.99</x:v>
      </x:c>
      <x:c r="AT217" s="60" t="n">
        <x:f>ROUND(AVERAGE(V217,AD217,AL217),1)</x:f>
        <x:v>79</x:v>
      </x:c>
      <x:c r="AU217" s="60" t="n">
        <x:f>ROUND(AVERAGE(W217,AE217,AM217),1)</x:f>
        <x:v>79.1</x:v>
      </x:c>
      <x:c r="AV217" s="60" t="n">
        <x:f>ROUND(AVERAGE(X217,AF217,AN217),1)</x:f>
        <x:v>79</x:v>
      </x:c>
      <x:c r="AW217" s="60" t="n">
        <x:f>ROUND(AVERAGE(Y217,AG217,AO217),1)</x:f>
        <x:v>80.1</x:v>
      </x:c>
      <x:c r="AX217" s="60" t="n">
        <x:f>ROUND(AVERAGE(Z217,AH217,AP217),1)</x:f>
        <x:v>80.1</x:v>
      </x:c>
      <x:c r="AY217" s="60" t="n">
        <x:f>ROUND(AVERAGE(AA217,AI217,AQ217),1)</x:f>
        <x:v>80</x:v>
      </x:c>
      <x:c r="AZ217" s="60" t="n">
        <x:f>ROUND(AVERAGE(AB217,AJ217,AR217),1)</x:f>
        <x:v>13</x:v>
      </x:c>
      <x:c r="BA217" s="59" t="n">
        <x:v>5</x:v>
      </x:c>
      <x:c r="BB217" s="60" t="n">
        <x:f>ROUND(0.30*AT217+0.20*AU217+0.25*AV217+0.15*AW217+0.10*AY217,2)</x:f>
        <x:v>79.29</x:v>
      </x:c>
      <x:c r="BC217" s="60" t="n">
        <x:f>ROUND(0.30*AX217+0.20*AV217+0.20*AU217+0.15*AY217+0.15*(100-AZ217),2)</x:f>
        <x:v>80.7</x:v>
      </x:c>
      <x:c r="BD217" s="60" t="n">
        <x:f>ROUND(AVERAGE(BB217,BC217),2)</x:f>
        <x:v>80</x:v>
      </x:c>
      <x:c r="BE217" s="60" t="n">
        <x:f>ROUND(BD217-U217,2)</x:f>
        <x:v>0.05</x:v>
      </x:c>
      <x:c r="BF217" s="60" t="n">
        <x:f>ROUND(STDEV.P(AC217,AK217,AS217),3)</x:f>
        <x:v>0.005</x:v>
      </x:c>
      <x:c r="BG217" s="59" t="str"/>
      <x:c r="BH217" s="59" t="str">
        <x:v>30%评分池轻量复核</x:v>
      </x:c>
      <x:c r="BI217" s="40" t="str">
        <x:v>三轮复核后与原表基本一致</x:v>
      </x:c>
    </x:row>
    <x:row r="218" ht="30" customHeight="1">
      <x:c r="A218" s="59" t="n">
        <x:v>217</x:v>
      </x:c>
      <x:c r="B218" s="59" t="n">
        <x:v>217</x:v>
      </x:c>
      <x:c r="C218" s="59" t="str">
        <x:v>2026-06</x:v>
      </x:c>
      <x:c r="D218" s="59" t="n">
        <x:v>125</x:v>
      </x:c>
      <x:c r="E218" s="59" t="str">
        <x:v>2606.11664</x:v>
      </x:c>
      <x:c r="F218" s="40" t="str">
        <x:v>Qualitative and quantitative homogenization of non-Newtonian flows in perforated domains: small holes</x:v>
      </x:c>
      <x:c r="G218" s="40" t="str">
        <x:v>Yong Lu; Zhengmao Qian; Chenchen Zhang</x:v>
      </x:c>
      <x:c r="H218" s="40" t="str">
        <x:v>homogenization/asymptotics</x:v>
      </x:c>
      <x:c r="I218" s="59" t="n">
        <x:v>26</x:v>
      </x:c>
      <x:c r="J218" s="40" t="str">
        <x:v>https://arxiv.org/abs/2606.11664</x:v>
      </x:c>
      <x:c r="K218" s="60" t="n">
        <x:v>79</x:v>
      </x:c>
      <x:c r="L218" s="60" t="n">
        <x:v>79</x:v>
      </x:c>
      <x:c r="M218" s="60" t="n">
        <x:v>80</x:v>
      </x:c>
      <x:c r="N218" s="60" t="n">
        <x:v>79</x:v>
      </x:c>
      <x:c r="O218" s="60" t="n">
        <x:v>79</x:v>
      </x:c>
      <x:c r="P218" s="60" t="n">
        <x:v>80</x:v>
      </x:c>
      <x:c r="Q218" s="60" t="n">
        <x:v>13</x:v>
      </x:c>
      <x:c r="R218" s="59" t="n">
        <x:v>5</x:v>
      </x:c>
      <x:c r="S218" s="60" t="n">
        <x:v>79.35</x:v>
      </x:c>
      <x:c r="T218" s="60" t="n">
        <x:v>80.55</x:v>
      </x:c>
      <x:c r="U218" s="60" t="n">
        <x:v>79.94999999999999</x:v>
      </x:c>
      <x:c r="V218" s="60" t="n">
        <x:v>79</x:v>
      </x:c>
      <x:c r="W218" s="60" t="n">
        <x:v>79.1</x:v>
      </x:c>
      <x:c r="X218" s="60" t="n">
        <x:v>80</x:v>
      </x:c>
      <x:c r="Y218" s="60" t="n">
        <x:v>79.1</x:v>
      </x:c>
      <x:c r="Z218" s="60" t="n">
        <x:v>79.1</x:v>
      </x:c>
      <x:c r="AA218" s="60" t="n">
        <x:v>80</x:v>
      </x:c>
      <x:c r="AB218" s="60" t="n">
        <x:v>13</x:v>
      </x:c>
      <x:c r="AC218" s="60" t="n">
        <x:f>ROUND(((0.30*V218+0.20*W218+0.25*X218+0.15*Y218+0.10*AA218)+(0.30*Z218+0.20*X218+0.20*W218+0.15*AA218+0.15*(100-AB218)))/2,2)</x:f>
        <x:v>79.99</x:v>
      </x:c>
      <x:c r="AD218" s="60" t="n">
        <x:v>79</x:v>
      </x:c>
      <x:c r="AE218" s="60" t="n">
        <x:v>79.1</x:v>
      </x:c>
      <x:c r="AF218" s="60" t="n">
        <x:v>80</x:v>
      </x:c>
      <x:c r="AG218" s="60" t="n">
        <x:v>79.1</x:v>
      </x:c>
      <x:c r="AH218" s="60" t="n">
        <x:v>79</x:v>
      </x:c>
      <x:c r="AI218" s="60" t="n">
        <x:v>80</x:v>
      </x:c>
      <x:c r="AJ218" s="60" t="n">
        <x:v>13</x:v>
      </x:c>
      <x:c r="AK218" s="60" t="n">
        <x:f>ROUND(((0.30*AD218+0.20*AE218+0.25*AF218+0.15*AG218+0.10*AI218)+(0.30*AH218+0.20*AF218+0.20*AE218+0.15*AI218+0.15*(100-AJ218)))/2,2)</x:f>
        <x:v>79.98</x:v>
      </x:c>
      <x:c r="AL218" s="60" t="n">
        <x:v>79</x:v>
      </x:c>
      <x:c r="AM218" s="60" t="n">
        <x:v>79.1</x:v>
      </x:c>
      <x:c r="AN218" s="60" t="n">
        <x:v>80</x:v>
      </x:c>
      <x:c r="AO218" s="60" t="n">
        <x:v>79.1</x:v>
      </x:c>
      <x:c r="AP218" s="60" t="n">
        <x:v>79.1</x:v>
      </x:c>
      <x:c r="AQ218" s="60" t="n">
        <x:v>80</x:v>
      </x:c>
      <x:c r="AR218" s="60" t="n">
        <x:v>13</x:v>
      </x:c>
      <x:c r="AS218" s="60" t="n">
        <x:f>ROUND(((0.30*AL218+0.20*AM218+0.25*AN218+0.15*AO218+0.10*AQ218)+(0.30*AP218+0.20*AN218+0.20*AM218+0.15*AQ218+0.15*(100-AR218)))/2,2)</x:f>
        <x:v>79.99</x:v>
      </x:c>
      <x:c r="AT218" s="60" t="n">
        <x:f>ROUND(AVERAGE(V218,AD218,AL218),1)</x:f>
        <x:v>79</x:v>
      </x:c>
      <x:c r="AU218" s="60" t="n">
        <x:f>ROUND(AVERAGE(W218,AE218,AM218),1)</x:f>
        <x:v>79.1</x:v>
      </x:c>
      <x:c r="AV218" s="60" t="n">
        <x:f>ROUND(AVERAGE(X218,AF218,AN218),1)</x:f>
        <x:v>80</x:v>
      </x:c>
      <x:c r="AW218" s="60" t="n">
        <x:f>ROUND(AVERAGE(Y218,AG218,AO218),1)</x:f>
        <x:v>79.1</x:v>
      </x:c>
      <x:c r="AX218" s="60" t="n">
        <x:f>ROUND(AVERAGE(Z218,AH218,AP218),1)</x:f>
        <x:v>79.1</x:v>
      </x:c>
      <x:c r="AY218" s="60" t="n">
        <x:f>ROUND(AVERAGE(AA218,AI218,AQ218),1)</x:f>
        <x:v>80</x:v>
      </x:c>
      <x:c r="AZ218" s="60" t="n">
        <x:f>ROUND(AVERAGE(AB218,AJ218,AR218),1)</x:f>
        <x:v>13</x:v>
      </x:c>
      <x:c r="BA218" s="59" t="n">
        <x:v>5</x:v>
      </x:c>
      <x:c r="BB218" s="60" t="n">
        <x:f>ROUND(0.30*AT218+0.20*AU218+0.25*AV218+0.15*AW218+0.10*AY218,2)</x:f>
        <x:v>79.38</x:v>
      </x:c>
      <x:c r="BC218" s="60" t="n">
        <x:f>ROUND(0.30*AX218+0.20*AV218+0.20*AU218+0.15*AY218+0.15*(100-AZ218),2)</x:f>
        <x:v>80.6</x:v>
      </x:c>
      <x:c r="BD218" s="60" t="n">
        <x:f>ROUND(AVERAGE(BB218,BC218),2)</x:f>
        <x:v>79.99</x:v>
      </x:c>
      <x:c r="BE218" s="60" t="n">
        <x:f>ROUND(BD218-U218,2)</x:f>
        <x:v>0.04</x:v>
      </x:c>
      <x:c r="BF218" s="60" t="n">
        <x:f>ROUND(STDEV.P(AC218,AK218,AS218),3)</x:f>
        <x:v>0.005</x:v>
      </x:c>
      <x:c r="BG218" s="59" t="str"/>
      <x:c r="BH218" s="59" t="str">
        <x:v>30%评分池轻量复核</x:v>
      </x:c>
      <x:c r="BI218" s="40" t="str">
        <x:v>三轮复核后与原表基本一致</x:v>
      </x:c>
    </x:row>
    <x:row r="219" ht="30" customHeight="1">
      <x:c r="A219" s="59" t="n">
        <x:v>218</x:v>
      </x:c>
      <x:c r="B219" s="59" t="n">
        <x:v>216</x:v>
      </x:c>
      <x:c r="C219" s="59" t="str">
        <x:v>2026-06</x:v>
      </x:c>
      <x:c r="D219" s="59" t="n">
        <x:v>124</x:v>
      </x:c>
      <x:c r="E219" s="59" t="str">
        <x:v>2606.00638</x:v>
      </x:c>
      <x:c r="F219" s="40" t="str">
        <x:v>Traveling waves for combustion reaction-diffusion-convection equations: the full range of wave speeds</x:v>
      </x:c>
      <x:c r="G219" s="40" t="str">
        <x:v>Pavel Drabek; Soyeun Jung; Eunkyung Ko; Michaela Zahradnikova</x:v>
      </x:c>
      <x:c r="H219" s="40" t="str">
        <x:v>dispersive PDE</x:v>
      </x:c>
      <x:c r="I219" s="59"/>
      <x:c r="J219" s="40" t="str">
        <x:v>https://arxiv.org/abs/2606.00638</x:v>
      </x:c>
      <x:c r="K219" s="60" t="n">
        <x:v>79</x:v>
      </x:c>
      <x:c r="L219" s="60" t="n">
        <x:v>79</x:v>
      </x:c>
      <x:c r="M219" s="60" t="n">
        <x:v>80</x:v>
      </x:c>
      <x:c r="N219" s="60" t="n">
        <x:v>79</x:v>
      </x:c>
      <x:c r="O219" s="60" t="n">
        <x:v>80</x:v>
      </x:c>
      <x:c r="P219" s="60" t="n">
        <x:v>79</x:v>
      </x:c>
      <x:c r="Q219" s="60" t="n">
        <x:v>13</x:v>
      </x:c>
      <x:c r="R219" s="59" t="n">
        <x:v>5</x:v>
      </x:c>
      <x:c r="S219" s="60" t="n">
        <x:v>79.25</x:v>
      </x:c>
      <x:c r="T219" s="60" t="n">
        <x:v>80.69999999999999</x:v>
      </x:c>
      <x:c r="U219" s="60" t="n">
        <x:v>79.975</x:v>
      </x:c>
      <x:c r="V219" s="60" t="n">
        <x:v>79</x:v>
      </x:c>
      <x:c r="W219" s="60" t="n">
        <x:v>79</x:v>
      </x:c>
      <x:c r="X219" s="60" t="n">
        <x:v>80</x:v>
      </x:c>
      <x:c r="Y219" s="60" t="n">
        <x:v>79</x:v>
      </x:c>
      <x:c r="Z219" s="60" t="n">
        <x:v>80</x:v>
      </x:c>
      <x:c r="AA219" s="60" t="n">
        <x:v>79</x:v>
      </x:c>
      <x:c r="AB219" s="60" t="n">
        <x:v>13</x:v>
      </x:c>
      <x:c r="AC219" s="60" t="n">
        <x:f>ROUND(((0.30*V219+0.20*W219+0.25*X219+0.15*Y219+0.10*AA219)+(0.30*Z219+0.20*X219+0.20*W219+0.15*AA219+0.15*(100-AB219)))/2,2)</x:f>
        <x:v>79.97</x:v>
      </x:c>
      <x:c r="AD219" s="60" t="n">
        <x:v>79</x:v>
      </x:c>
      <x:c r="AE219" s="60" t="n">
        <x:v>79</x:v>
      </x:c>
      <x:c r="AF219" s="60" t="n">
        <x:v>80</x:v>
      </x:c>
      <x:c r="AG219" s="60" t="n">
        <x:v>79</x:v>
      </x:c>
      <x:c r="AH219" s="60" t="n">
        <x:v>80</x:v>
      </x:c>
      <x:c r="AI219" s="60" t="n">
        <x:v>79</x:v>
      </x:c>
      <x:c r="AJ219" s="60" t="n">
        <x:v>13</x:v>
      </x:c>
      <x:c r="AK219" s="60" t="n">
        <x:f>ROUND(((0.30*AD219+0.20*AE219+0.25*AF219+0.15*AG219+0.10*AI219)+(0.30*AH219+0.20*AF219+0.20*AE219+0.15*AI219+0.15*(100-AJ219)))/2,2)</x:f>
        <x:v>79.97</x:v>
      </x:c>
      <x:c r="AL219" s="60" t="n">
        <x:v>79</x:v>
      </x:c>
      <x:c r="AM219" s="60" t="n">
        <x:v>79</x:v>
      </x:c>
      <x:c r="AN219" s="60" t="n">
        <x:v>80</x:v>
      </x:c>
      <x:c r="AO219" s="60" t="n">
        <x:v>79</x:v>
      </x:c>
      <x:c r="AP219" s="60" t="n">
        <x:v>80</x:v>
      </x:c>
      <x:c r="AQ219" s="60" t="n">
        <x:v>79</x:v>
      </x:c>
      <x:c r="AR219" s="60" t="n">
        <x:v>13</x:v>
      </x:c>
      <x:c r="AS219" s="60" t="n">
        <x:f>ROUND(((0.30*AL219+0.20*AM219+0.25*AN219+0.15*AO219+0.10*AQ219)+(0.30*AP219+0.20*AN219+0.20*AM219+0.15*AQ219+0.15*(100-AR219)))/2,2)</x:f>
        <x:v>79.97</x:v>
      </x:c>
      <x:c r="AT219" s="60" t="n">
        <x:f>ROUND(AVERAGE(V219,AD219,AL219),1)</x:f>
        <x:v>79</x:v>
      </x:c>
      <x:c r="AU219" s="60" t="n">
        <x:f>ROUND(AVERAGE(W219,AE219,AM219),1)</x:f>
        <x:v>79</x:v>
      </x:c>
      <x:c r="AV219" s="60" t="n">
        <x:f>ROUND(AVERAGE(X219,AF219,AN219),1)</x:f>
        <x:v>80</x:v>
      </x:c>
      <x:c r="AW219" s="60" t="n">
        <x:f>ROUND(AVERAGE(Y219,AG219,AO219),1)</x:f>
        <x:v>79</x:v>
      </x:c>
      <x:c r="AX219" s="60" t="n">
        <x:f>ROUND(AVERAGE(Z219,AH219,AP219),1)</x:f>
        <x:v>80</x:v>
      </x:c>
      <x:c r="AY219" s="60" t="n">
        <x:f>ROUND(AVERAGE(AA219,AI219,AQ219),1)</x:f>
        <x:v>79</x:v>
      </x:c>
      <x:c r="AZ219" s="60" t="n">
        <x:f>ROUND(AVERAGE(AB219,AJ219,AR219),1)</x:f>
        <x:v>13</x:v>
      </x:c>
      <x:c r="BA219" s="59" t="n">
        <x:v>5</x:v>
      </x:c>
      <x:c r="BB219" s="60" t="n">
        <x:f>ROUND(0.30*AT219+0.20*AU219+0.25*AV219+0.15*AW219+0.10*AY219,2)</x:f>
        <x:v>79.25</x:v>
      </x:c>
      <x:c r="BC219" s="60" t="n">
        <x:f>ROUND(0.30*AX219+0.20*AV219+0.20*AU219+0.15*AY219+0.15*(100-AZ219),2)</x:f>
        <x:v>80.7</x:v>
      </x:c>
      <x:c r="BD219" s="60" t="n">
        <x:f>ROUND(AVERAGE(BB219,BC219),2)</x:f>
        <x:v>79.97</x:v>
      </x:c>
      <x:c r="BE219" s="60" t="n">
        <x:f>ROUND(BD219-U219,2)</x:f>
        <x:v>0</x:v>
      </x:c>
      <x:c r="BF219" s="60" t="n">
        <x:f>ROUND(STDEV.P(AC219,AK219,AS219),3)</x:f>
        <x:v>0</x:v>
      </x:c>
      <x:c r="BG219" s="59" t="str"/>
      <x:c r="BH219" s="59" t="str">
        <x:v>30%评分池轻量复核</x:v>
      </x:c>
      <x:c r="BI219" s="40" t="str">
        <x:v>三轮复核后与原表基本一致</x:v>
      </x:c>
    </x:row>
    <x:row r="220" ht="30" customHeight="1">
      <x:c r="A220" s="59" t="n">
        <x:v>219</x:v>
      </x:c>
      <x:c r="B220" s="59" t="n">
        <x:v>219</x:v>
      </x:c>
      <x:c r="C220" s="59" t="str">
        <x:v>2026-06</x:v>
      </x:c>
      <x:c r="D220" s="59" t="n">
        <x:v>127</x:v>
      </x:c>
      <x:c r="E220" s="59" t="str">
        <x:v>2606.19177</x:v>
      </x:c>
      <x:c r="F220" s="40" t="str">
        <x:v>Global dynamics in the 3D pressureless Euler-Poisson system for ions</x:v>
      </x:c>
      <x:c r="G220" s="40" t="str">
        <x:v>Lucas Ertzbischoff; Catalina Jurja; Klaus Widmayer</x:v>
      </x:c>
      <x:c r="H220" s="40" t="str">
        <x:v>fluid/kinetic PDE</x:v>
      </x:c>
      <x:c r="I220" s="59" t="n">
        <x:v>42</x:v>
      </x:c>
      <x:c r="J220" s="40" t="str">
        <x:v>https://arxiv.org/abs/2606.19177</x:v>
      </x:c>
      <x:c r="K220" s="60" t="n">
        <x:v>80</x:v>
      </x:c>
      <x:c r="L220" s="60" t="n">
        <x:v>79</x:v>
      </x:c>
      <x:c r="M220" s="60" t="n">
        <x:v>79</x:v>
      </x:c>
      <x:c r="N220" s="60" t="n">
        <x:v>79</x:v>
      </x:c>
      <x:c r="O220" s="60" t="n">
        <x:v>80</x:v>
      </x:c>
      <x:c r="P220" s="60" t="n">
        <x:v>79</x:v>
      </x:c>
      <x:c r="Q220" s="60" t="n">
        <x:v>13</x:v>
      </x:c>
      <x:c r="R220" s="59" t="n">
        <x:v>5</x:v>
      </x:c>
      <x:c r="S220" s="60" t="n">
        <x:v>79.3</x:v>
      </x:c>
      <x:c r="T220" s="60" t="n">
        <x:v>80.49999999999999</x:v>
      </x:c>
      <x:c r="U220" s="60" t="n">
        <x:v>79.89999999999999</x:v>
      </x:c>
      <x:c r="V220" s="60" t="n">
        <x:v>80.1</x:v>
      </x:c>
      <x:c r="W220" s="60" t="n">
        <x:v>79</x:v>
      </x:c>
      <x:c r="X220" s="60" t="n">
        <x:v>79.1</x:v>
      </x:c>
      <x:c r="Y220" s="60" t="n">
        <x:v>79</x:v>
      </x:c>
      <x:c r="Z220" s="60" t="n">
        <x:v>80.1</x:v>
      </x:c>
      <x:c r="AA220" s="60" t="n">
        <x:v>79</x:v>
      </x:c>
      <x:c r="AB220" s="60" t="n">
        <x:v>13</x:v>
      </x:c>
      <x:c r="AC220" s="60" t="n">
        <x:f>ROUND(((0.30*V220+0.20*W220+0.25*X220+0.15*Y220+0.10*AA220)+(0.30*Z220+0.20*X220+0.20*W220+0.15*AA220+0.15*(100-AB220)))/2,2)</x:f>
        <x:v>79.95</x:v>
      </x:c>
      <x:c r="AD220" s="60" t="n">
        <x:v>80</x:v>
      </x:c>
      <x:c r="AE220" s="60" t="n">
        <x:v>79</x:v>
      </x:c>
      <x:c r="AF220" s="60" t="n">
        <x:v>79</x:v>
      </x:c>
      <x:c r="AG220" s="60" t="n">
        <x:v>79</x:v>
      </x:c>
      <x:c r="AH220" s="60" t="n">
        <x:v>80</x:v>
      </x:c>
      <x:c r="AI220" s="60" t="n">
        <x:v>79</x:v>
      </x:c>
      <x:c r="AJ220" s="60" t="n">
        <x:v>13</x:v>
      </x:c>
      <x:c r="AK220" s="60" t="n">
        <x:f>ROUND(((0.30*AD220+0.20*AE220+0.25*AF220+0.15*AG220+0.10*AI220)+(0.30*AH220+0.20*AF220+0.20*AE220+0.15*AI220+0.15*(100-AJ220)))/2,2)</x:f>
        <x:v>79.9</x:v>
      </x:c>
      <x:c r="AL220" s="60" t="n">
        <x:v>80</x:v>
      </x:c>
      <x:c r="AM220" s="60" t="n">
        <x:v>79</x:v>
      </x:c>
      <x:c r="AN220" s="60" t="n">
        <x:v>79.1</x:v>
      </x:c>
      <x:c r="AO220" s="60" t="n">
        <x:v>79</x:v>
      </x:c>
      <x:c r="AP220" s="60" t="n">
        <x:v>80</x:v>
      </x:c>
      <x:c r="AQ220" s="60" t="n">
        <x:v>79</x:v>
      </x:c>
      <x:c r="AR220" s="60" t="n">
        <x:v>13</x:v>
      </x:c>
      <x:c r="AS220" s="60" t="n">
        <x:f>ROUND(((0.30*AL220+0.20*AM220+0.25*AN220+0.15*AO220+0.10*AQ220)+(0.30*AP220+0.20*AN220+0.20*AM220+0.15*AQ220+0.15*(100-AR220)))/2,2)</x:f>
        <x:v>79.92</x:v>
      </x:c>
      <x:c r="AT220" s="60" t="n">
        <x:f>ROUND(AVERAGE(V220,AD220,AL220),1)</x:f>
        <x:v>80</x:v>
      </x:c>
      <x:c r="AU220" s="60" t="n">
        <x:f>ROUND(AVERAGE(W220,AE220,AM220),1)</x:f>
        <x:v>79</x:v>
      </x:c>
      <x:c r="AV220" s="60" t="n">
        <x:f>ROUND(AVERAGE(X220,AF220,AN220),1)</x:f>
        <x:v>79.1</x:v>
      </x:c>
      <x:c r="AW220" s="60" t="n">
        <x:f>ROUND(AVERAGE(Y220,AG220,AO220),1)</x:f>
        <x:v>79</x:v>
      </x:c>
      <x:c r="AX220" s="60" t="n">
        <x:f>ROUND(AVERAGE(Z220,AH220,AP220),1)</x:f>
        <x:v>80</x:v>
      </x:c>
      <x:c r="AY220" s="60" t="n">
        <x:f>ROUND(AVERAGE(AA220,AI220,AQ220),1)</x:f>
        <x:v>79</x:v>
      </x:c>
      <x:c r="AZ220" s="60" t="n">
        <x:f>ROUND(AVERAGE(AB220,AJ220,AR220),1)</x:f>
        <x:v>13</x:v>
      </x:c>
      <x:c r="BA220" s="59" t="n">
        <x:v>5</x:v>
      </x:c>
      <x:c r="BB220" s="60" t="n">
        <x:f>ROUND(0.30*AT220+0.20*AU220+0.25*AV220+0.15*AW220+0.10*AY220,2)</x:f>
        <x:v>79.33</x:v>
      </x:c>
      <x:c r="BC220" s="60" t="n">
        <x:f>ROUND(0.30*AX220+0.20*AV220+0.20*AU220+0.15*AY220+0.15*(100-AZ220),2)</x:f>
        <x:v>80.52</x:v>
      </x:c>
      <x:c r="BD220" s="60" t="n">
        <x:f>ROUND(AVERAGE(BB220,BC220),2)</x:f>
        <x:v>79.93</x:v>
      </x:c>
      <x:c r="BE220" s="60" t="n">
        <x:f>ROUND(BD220-U220,2)</x:f>
        <x:v>0.03</x:v>
      </x:c>
      <x:c r="BF220" s="60" t="n">
        <x:f>ROUND(STDEV.P(AC220,AK220,AS220),3)</x:f>
        <x:v>0.021</x:v>
      </x:c>
      <x:c r="BG220" s="59" t="str"/>
      <x:c r="BH220" s="59" t="str">
        <x:v>30%评分池轻量复核</x:v>
      </x:c>
      <x:c r="BI220" s="40" t="str">
        <x:v>三轮复核后与原表基本一致</x:v>
      </x:c>
    </x:row>
    <x:row r="221" ht="30" customHeight="1">
      <x:c r="A221" s="59" t="n">
        <x:v>220</x:v>
      </x:c>
      <x:c r="B221" s="59" t="n">
        <x:v>220</x:v>
      </x:c>
      <x:c r="C221" s="59" t="str">
        <x:v>2026-06</x:v>
      </x:c>
      <x:c r="D221" s="59" t="n">
        <x:v>127</x:v>
      </x:c>
      <x:c r="E221" s="59" t="str">
        <x:v>2606.18015</x:v>
      </x:c>
      <x:c r="F221" s="40" t="str">
        <x:v>Global relaxation limit for the one-fluid Euler-Poisson system with large smooth data</x:v>
      </x:c>
      <x:c r="G221" s="40" t="str">
        <x:v>Yue-Jun Peng; Ling-Yun Shou; Jiang Xu</x:v>
      </x:c>
      <x:c r="H221" s="40" t="str">
        <x:v>fluid/kinetic PDE</x:v>
      </x:c>
      <x:c r="I221" s="59" t="n">
        <x:v>32</x:v>
      </x:c>
      <x:c r="J221" s="40" t="str">
        <x:v>https://arxiv.org/abs/2606.18015</x:v>
      </x:c>
      <x:c r="K221" s="60" t="n">
        <x:v>80</x:v>
      </x:c>
      <x:c r="L221" s="60" t="n">
        <x:v>79</x:v>
      </x:c>
      <x:c r="M221" s="60" t="n">
        <x:v>79</x:v>
      </x:c>
      <x:c r="N221" s="60" t="n">
        <x:v>79</x:v>
      </x:c>
      <x:c r="O221" s="60" t="n">
        <x:v>80</x:v>
      </x:c>
      <x:c r="P221" s="60" t="n">
        <x:v>79</x:v>
      </x:c>
      <x:c r="Q221" s="60" t="n">
        <x:v>13</x:v>
      </x:c>
      <x:c r="R221" s="59" t="n">
        <x:v>5</x:v>
      </x:c>
      <x:c r="S221" s="60" t="n">
        <x:v>79.3</x:v>
      </x:c>
      <x:c r="T221" s="60" t="n">
        <x:v>80.49999999999999</x:v>
      </x:c>
      <x:c r="U221" s="60" t="n">
        <x:v>79.89999999999999</x:v>
      </x:c>
      <x:c r="V221" s="60" t="n">
        <x:v>80.1</x:v>
      </x:c>
      <x:c r="W221" s="60" t="n">
        <x:v>79</x:v>
      </x:c>
      <x:c r="X221" s="60" t="n">
        <x:v>79.1</x:v>
      </x:c>
      <x:c r="Y221" s="60" t="n">
        <x:v>79</x:v>
      </x:c>
      <x:c r="Z221" s="60" t="n">
        <x:v>80.1</x:v>
      </x:c>
      <x:c r="AA221" s="60" t="n">
        <x:v>79</x:v>
      </x:c>
      <x:c r="AB221" s="60" t="n">
        <x:v>13</x:v>
      </x:c>
      <x:c r="AC221" s="60" t="n">
        <x:f>ROUND(((0.30*V221+0.20*W221+0.25*X221+0.15*Y221+0.10*AA221)+(0.30*Z221+0.20*X221+0.20*W221+0.15*AA221+0.15*(100-AB221)))/2,2)</x:f>
        <x:v>79.95</x:v>
      </x:c>
      <x:c r="AD221" s="60" t="n">
        <x:v>80</x:v>
      </x:c>
      <x:c r="AE221" s="60" t="n">
        <x:v>79</x:v>
      </x:c>
      <x:c r="AF221" s="60" t="n">
        <x:v>79</x:v>
      </x:c>
      <x:c r="AG221" s="60" t="n">
        <x:v>79</x:v>
      </x:c>
      <x:c r="AH221" s="60" t="n">
        <x:v>80</x:v>
      </x:c>
      <x:c r="AI221" s="60" t="n">
        <x:v>79</x:v>
      </x:c>
      <x:c r="AJ221" s="60" t="n">
        <x:v>13</x:v>
      </x:c>
      <x:c r="AK221" s="60" t="n">
        <x:f>ROUND(((0.30*AD221+0.20*AE221+0.25*AF221+0.15*AG221+0.10*AI221)+(0.30*AH221+0.20*AF221+0.20*AE221+0.15*AI221+0.15*(100-AJ221)))/2,2)</x:f>
        <x:v>79.9</x:v>
      </x:c>
      <x:c r="AL221" s="60" t="n">
        <x:v>80</x:v>
      </x:c>
      <x:c r="AM221" s="60" t="n">
        <x:v>79</x:v>
      </x:c>
      <x:c r="AN221" s="60" t="n">
        <x:v>79.1</x:v>
      </x:c>
      <x:c r="AO221" s="60" t="n">
        <x:v>79</x:v>
      </x:c>
      <x:c r="AP221" s="60" t="n">
        <x:v>80</x:v>
      </x:c>
      <x:c r="AQ221" s="60" t="n">
        <x:v>79</x:v>
      </x:c>
      <x:c r="AR221" s="60" t="n">
        <x:v>13</x:v>
      </x:c>
      <x:c r="AS221" s="60" t="n">
        <x:f>ROUND(((0.30*AL221+0.20*AM221+0.25*AN221+0.15*AO221+0.10*AQ221)+(0.30*AP221+0.20*AN221+0.20*AM221+0.15*AQ221+0.15*(100-AR221)))/2,2)</x:f>
        <x:v>79.92</x:v>
      </x:c>
      <x:c r="AT221" s="60" t="n">
        <x:f>ROUND(AVERAGE(V221,AD221,AL221),1)</x:f>
        <x:v>80</x:v>
      </x:c>
      <x:c r="AU221" s="60" t="n">
        <x:f>ROUND(AVERAGE(W221,AE221,AM221),1)</x:f>
        <x:v>79</x:v>
      </x:c>
      <x:c r="AV221" s="60" t="n">
        <x:f>ROUND(AVERAGE(X221,AF221,AN221),1)</x:f>
        <x:v>79.1</x:v>
      </x:c>
      <x:c r="AW221" s="60" t="n">
        <x:f>ROUND(AVERAGE(Y221,AG221,AO221),1)</x:f>
        <x:v>79</x:v>
      </x:c>
      <x:c r="AX221" s="60" t="n">
        <x:f>ROUND(AVERAGE(Z221,AH221,AP221),1)</x:f>
        <x:v>80</x:v>
      </x:c>
      <x:c r="AY221" s="60" t="n">
        <x:f>ROUND(AVERAGE(AA221,AI221,AQ221),1)</x:f>
        <x:v>79</x:v>
      </x:c>
      <x:c r="AZ221" s="60" t="n">
        <x:f>ROUND(AVERAGE(AB221,AJ221,AR221),1)</x:f>
        <x:v>13</x:v>
      </x:c>
      <x:c r="BA221" s="59" t="n">
        <x:v>5</x:v>
      </x:c>
      <x:c r="BB221" s="60" t="n">
        <x:f>ROUND(0.30*AT221+0.20*AU221+0.25*AV221+0.15*AW221+0.10*AY221,2)</x:f>
        <x:v>79.33</x:v>
      </x:c>
      <x:c r="BC221" s="60" t="n">
        <x:f>ROUND(0.30*AX221+0.20*AV221+0.20*AU221+0.15*AY221+0.15*(100-AZ221),2)</x:f>
        <x:v>80.52</x:v>
      </x:c>
      <x:c r="BD221" s="60" t="n">
        <x:f>ROUND(AVERAGE(BB221,BC221),2)</x:f>
        <x:v>79.93</x:v>
      </x:c>
      <x:c r="BE221" s="60" t="n">
        <x:f>ROUND(BD221-U221,2)</x:f>
        <x:v>0.03</x:v>
      </x:c>
      <x:c r="BF221" s="60" t="n">
        <x:f>ROUND(STDEV.P(AC221,AK221,AS221),3)</x:f>
        <x:v>0.021</x:v>
      </x:c>
      <x:c r="BG221" s="59" t="str"/>
      <x:c r="BH221" s="59" t="str">
        <x:v>30%评分池轻量复核</x:v>
      </x:c>
      <x:c r="BI221" s="40" t="str">
        <x:v>三轮复核后与原表基本一致</x:v>
      </x:c>
    </x:row>
    <x:row r="222" ht="30" customHeight="1">
      <x:c r="A222" s="59" t="n">
        <x:v>221</x:v>
      </x:c>
      <x:c r="B222" s="59" t="n">
        <x:v>221</x:v>
      </x:c>
      <x:c r="C222" s="59" t="str">
        <x:v>2026-06</x:v>
      </x:c>
      <x:c r="D222" s="59" t="n">
        <x:v>129</x:v>
      </x:c>
      <x:c r="E222" s="59" t="str">
        <x:v>2606.18655</x:v>
      </x:c>
      <x:c r="F222" s="40" t="str">
        <x:v>Minus one Homogeneous Euler Flows are Geodesible</x:v>
      </x:c>
      <x:c r="G222" s="40" t="str">
        <x:v>Unknown authors</x:v>
      </x:c>
      <x:c r="H222" s="40" t="str">
        <x:v>fluid/kinetic PDE</x:v>
      </x:c>
      <x:c r="I222" s="59"/>
      <x:c r="J222" s="40" t="str">
        <x:v>https://arxiv.org/abs/2606.18655</x:v>
      </x:c>
      <x:c r="K222" s="60" t="n">
        <x:v>80</x:v>
      </x:c>
      <x:c r="L222" s="60" t="n">
        <x:v>79</x:v>
      </x:c>
      <x:c r="M222" s="60" t="n">
        <x:v>79</x:v>
      </x:c>
      <x:c r="N222" s="60" t="n">
        <x:v>78</x:v>
      </x:c>
      <x:c r="O222" s="60" t="n">
        <x:v>80</x:v>
      </x:c>
      <x:c r="P222" s="60" t="n">
        <x:v>79</x:v>
      </x:c>
      <x:c r="Q222" s="60" t="n">
        <x:v>13</x:v>
      </x:c>
      <x:c r="R222" s="59" t="n">
        <x:v>5</x:v>
      </x:c>
      <x:c r="S222" s="60" t="n">
        <x:v>79.15</x:v>
      </x:c>
      <x:c r="T222" s="60" t="n">
        <x:v>80.49999999999999</x:v>
      </x:c>
      <x:c r="U222" s="60" t="n">
        <x:v>79.82499999999999</x:v>
      </x:c>
      <x:c r="V222" s="60" t="n">
        <x:v>80.1</x:v>
      </x:c>
      <x:c r="W222" s="60" t="n">
        <x:v>79</x:v>
      </x:c>
      <x:c r="X222" s="60" t="n">
        <x:v>79.1</x:v>
      </x:c>
      <x:c r="Y222" s="60" t="n">
        <x:v>78</x:v>
      </x:c>
      <x:c r="Z222" s="60" t="n">
        <x:v>80.1</x:v>
      </x:c>
      <x:c r="AA222" s="60" t="n">
        <x:v>79</x:v>
      </x:c>
      <x:c r="AB222" s="60" t="n">
        <x:v>13</x:v>
      </x:c>
      <x:c r="AC222" s="60" t="n">
        <x:f>ROUND(((0.30*V222+0.20*W222+0.25*X222+0.15*Y222+0.10*AA222)+(0.30*Z222+0.20*X222+0.20*W222+0.15*AA222+0.15*(100-AB222)))/2,2)</x:f>
        <x:v>79.88</x:v>
      </x:c>
      <x:c r="AD222" s="60" t="n">
        <x:v>80</x:v>
      </x:c>
      <x:c r="AE222" s="60" t="n">
        <x:v>79</x:v>
      </x:c>
      <x:c r="AF222" s="60" t="n">
        <x:v>79</x:v>
      </x:c>
      <x:c r="AG222" s="60" t="n">
        <x:v>78</x:v>
      </x:c>
      <x:c r="AH222" s="60" t="n">
        <x:v>80</x:v>
      </x:c>
      <x:c r="AI222" s="60" t="n">
        <x:v>79</x:v>
      </x:c>
      <x:c r="AJ222" s="60" t="n">
        <x:v>13</x:v>
      </x:c>
      <x:c r="AK222" s="60" t="n">
        <x:f>ROUND(((0.30*AD222+0.20*AE222+0.25*AF222+0.15*AG222+0.10*AI222)+(0.30*AH222+0.20*AF222+0.20*AE222+0.15*AI222+0.15*(100-AJ222)))/2,2)</x:f>
        <x:v>79.82</x:v>
      </x:c>
      <x:c r="AL222" s="60" t="n">
        <x:v>80</x:v>
      </x:c>
      <x:c r="AM222" s="60" t="n">
        <x:v>79</x:v>
      </x:c>
      <x:c r="AN222" s="60" t="n">
        <x:v>79.1</x:v>
      </x:c>
      <x:c r="AO222" s="60" t="n">
        <x:v>78</x:v>
      </x:c>
      <x:c r="AP222" s="60" t="n">
        <x:v>80</x:v>
      </x:c>
      <x:c r="AQ222" s="60" t="n">
        <x:v>79</x:v>
      </x:c>
      <x:c r="AR222" s="60" t="n">
        <x:v>13</x:v>
      </x:c>
      <x:c r="AS222" s="60" t="n">
        <x:f>ROUND(((0.30*AL222+0.20*AM222+0.25*AN222+0.15*AO222+0.10*AQ222)+(0.30*AP222+0.20*AN222+0.20*AM222+0.15*AQ222+0.15*(100-AR222)))/2,2)</x:f>
        <x:v>79.85</x:v>
      </x:c>
      <x:c r="AT222" s="60" t="n">
        <x:f>ROUND(AVERAGE(V222,AD222,AL222),1)</x:f>
        <x:v>80</x:v>
      </x:c>
      <x:c r="AU222" s="60" t="n">
        <x:f>ROUND(AVERAGE(W222,AE222,AM222),1)</x:f>
        <x:v>79</x:v>
      </x:c>
      <x:c r="AV222" s="60" t="n">
        <x:f>ROUND(AVERAGE(X222,AF222,AN222),1)</x:f>
        <x:v>79.1</x:v>
      </x:c>
      <x:c r="AW222" s="60" t="n">
        <x:f>ROUND(AVERAGE(Y222,AG222,AO222),1)</x:f>
        <x:v>78</x:v>
      </x:c>
      <x:c r="AX222" s="60" t="n">
        <x:f>ROUND(AVERAGE(Z222,AH222,AP222),1)</x:f>
        <x:v>80</x:v>
      </x:c>
      <x:c r="AY222" s="60" t="n">
        <x:f>ROUND(AVERAGE(AA222,AI222,AQ222),1)</x:f>
        <x:v>79</x:v>
      </x:c>
      <x:c r="AZ222" s="60" t="n">
        <x:f>ROUND(AVERAGE(AB222,AJ222,AR222),1)</x:f>
        <x:v>13</x:v>
      </x:c>
      <x:c r="BA222" s="59" t="n">
        <x:v>5</x:v>
      </x:c>
      <x:c r="BB222" s="60" t="n">
        <x:f>ROUND(0.30*AT222+0.20*AU222+0.25*AV222+0.15*AW222+0.10*AY222,2)</x:f>
        <x:v>79.18</x:v>
      </x:c>
      <x:c r="BC222" s="60" t="n">
        <x:f>ROUND(0.30*AX222+0.20*AV222+0.20*AU222+0.15*AY222+0.15*(100-AZ222),2)</x:f>
        <x:v>80.52</x:v>
      </x:c>
      <x:c r="BD222" s="60" t="n">
        <x:f>ROUND(AVERAGE(BB222,BC222),2)</x:f>
        <x:v>79.85</x:v>
      </x:c>
      <x:c r="BE222" s="60" t="n">
        <x:f>ROUND(BD222-U222,2)</x:f>
        <x:v>0.03</x:v>
      </x:c>
      <x:c r="BF222" s="60" t="n">
        <x:f>ROUND(STDEV.P(AC222,AK222,AS222),3)</x:f>
        <x:v>0.024</x:v>
      </x:c>
      <x:c r="BG222" s="59" t="str"/>
      <x:c r="BH222" s="59" t="str">
        <x:v>30%评分池轻量复核</x:v>
      </x:c>
      <x:c r="BI222" s="40" t="str">
        <x:v>三轮复核后与原表基本一致</x:v>
      </x:c>
    </x:row>
    <x:row r="223" ht="30" customHeight="1">
      <x:c r="A223" s="59" t="n">
        <x:v>222</x:v>
      </x:c>
      <x:c r="B223" s="59" t="n">
        <x:v>222</x:v>
      </x:c>
      <x:c r="C223" s="59" t="str">
        <x:v>2026-06</x:v>
      </x:c>
      <x:c r="D223" s="59" t="n">
        <x:v>129</x:v>
      </x:c>
      <x:c r="E223" s="59" t="str">
        <x:v>2606.17863</x:v>
      </x:c>
      <x:c r="F223" s="40" t="str">
        <x:v>High Mach number limit for the 3D Euler-Poisson equations of ion dynamics</x:v>
      </x:c>
      <x:c r="G223" s="40" t="str">
        <x:v>Zihao Song</x:v>
      </x:c>
      <x:c r="H223" s="40" t="str">
        <x:v>fluid/kinetic PDE</x:v>
      </x:c>
      <x:c r="I223" s="59"/>
      <x:c r="J223" s="40" t="str">
        <x:v>https://arxiv.org/abs/2606.17863</x:v>
      </x:c>
      <x:c r="K223" s="60" t="n">
        <x:v>80</x:v>
      </x:c>
      <x:c r="L223" s="60" t="n">
        <x:v>79</x:v>
      </x:c>
      <x:c r="M223" s="60" t="n">
        <x:v>79</x:v>
      </x:c>
      <x:c r="N223" s="60" t="n">
        <x:v>78</x:v>
      </x:c>
      <x:c r="O223" s="60" t="n">
        <x:v>80</x:v>
      </x:c>
      <x:c r="P223" s="60" t="n">
        <x:v>79</x:v>
      </x:c>
      <x:c r="Q223" s="60" t="n">
        <x:v>13</x:v>
      </x:c>
      <x:c r="R223" s="59" t="n">
        <x:v>5</x:v>
      </x:c>
      <x:c r="S223" s="60" t="n">
        <x:v>79.15</x:v>
      </x:c>
      <x:c r="T223" s="60" t="n">
        <x:v>80.49999999999999</x:v>
      </x:c>
      <x:c r="U223" s="60" t="n">
        <x:v>79.82499999999999</x:v>
      </x:c>
      <x:c r="V223" s="60" t="n">
        <x:v>80.1</x:v>
      </x:c>
      <x:c r="W223" s="60" t="n">
        <x:v>79</x:v>
      </x:c>
      <x:c r="X223" s="60" t="n">
        <x:v>79.1</x:v>
      </x:c>
      <x:c r="Y223" s="60" t="n">
        <x:v>78</x:v>
      </x:c>
      <x:c r="Z223" s="60" t="n">
        <x:v>80.1</x:v>
      </x:c>
      <x:c r="AA223" s="60" t="n">
        <x:v>79</x:v>
      </x:c>
      <x:c r="AB223" s="60" t="n">
        <x:v>13</x:v>
      </x:c>
      <x:c r="AC223" s="60" t="n">
        <x:f>ROUND(((0.30*V223+0.20*W223+0.25*X223+0.15*Y223+0.10*AA223)+(0.30*Z223+0.20*X223+0.20*W223+0.15*AA223+0.15*(100-AB223)))/2,2)</x:f>
        <x:v>79.88</x:v>
      </x:c>
      <x:c r="AD223" s="60" t="n">
        <x:v>80</x:v>
      </x:c>
      <x:c r="AE223" s="60" t="n">
        <x:v>79</x:v>
      </x:c>
      <x:c r="AF223" s="60" t="n">
        <x:v>79</x:v>
      </x:c>
      <x:c r="AG223" s="60" t="n">
        <x:v>78</x:v>
      </x:c>
      <x:c r="AH223" s="60" t="n">
        <x:v>80</x:v>
      </x:c>
      <x:c r="AI223" s="60" t="n">
        <x:v>79</x:v>
      </x:c>
      <x:c r="AJ223" s="60" t="n">
        <x:v>13</x:v>
      </x:c>
      <x:c r="AK223" s="60" t="n">
        <x:f>ROUND(((0.30*AD223+0.20*AE223+0.25*AF223+0.15*AG223+0.10*AI223)+(0.30*AH223+0.20*AF223+0.20*AE223+0.15*AI223+0.15*(100-AJ223)))/2,2)</x:f>
        <x:v>79.82</x:v>
      </x:c>
      <x:c r="AL223" s="60" t="n">
        <x:v>80</x:v>
      </x:c>
      <x:c r="AM223" s="60" t="n">
        <x:v>79</x:v>
      </x:c>
      <x:c r="AN223" s="60" t="n">
        <x:v>79.1</x:v>
      </x:c>
      <x:c r="AO223" s="60" t="n">
        <x:v>78</x:v>
      </x:c>
      <x:c r="AP223" s="60" t="n">
        <x:v>80</x:v>
      </x:c>
      <x:c r="AQ223" s="60" t="n">
        <x:v>79</x:v>
      </x:c>
      <x:c r="AR223" s="60" t="n">
        <x:v>13</x:v>
      </x:c>
      <x:c r="AS223" s="60" t="n">
        <x:f>ROUND(((0.30*AL223+0.20*AM223+0.25*AN223+0.15*AO223+0.10*AQ223)+(0.30*AP223+0.20*AN223+0.20*AM223+0.15*AQ223+0.15*(100-AR223)))/2,2)</x:f>
        <x:v>79.85</x:v>
      </x:c>
      <x:c r="AT223" s="60" t="n">
        <x:f>ROUND(AVERAGE(V223,AD223,AL223),1)</x:f>
        <x:v>80</x:v>
      </x:c>
      <x:c r="AU223" s="60" t="n">
        <x:f>ROUND(AVERAGE(W223,AE223,AM223),1)</x:f>
        <x:v>79</x:v>
      </x:c>
      <x:c r="AV223" s="60" t="n">
        <x:f>ROUND(AVERAGE(X223,AF223,AN223),1)</x:f>
        <x:v>79.1</x:v>
      </x:c>
      <x:c r="AW223" s="60" t="n">
        <x:f>ROUND(AVERAGE(Y223,AG223,AO223),1)</x:f>
        <x:v>78</x:v>
      </x:c>
      <x:c r="AX223" s="60" t="n">
        <x:f>ROUND(AVERAGE(Z223,AH223,AP223),1)</x:f>
        <x:v>80</x:v>
      </x:c>
      <x:c r="AY223" s="60" t="n">
        <x:f>ROUND(AVERAGE(AA223,AI223,AQ223),1)</x:f>
        <x:v>79</x:v>
      </x:c>
      <x:c r="AZ223" s="60" t="n">
        <x:f>ROUND(AVERAGE(AB223,AJ223,AR223),1)</x:f>
        <x:v>13</x:v>
      </x:c>
      <x:c r="BA223" s="59" t="n">
        <x:v>5</x:v>
      </x:c>
      <x:c r="BB223" s="60" t="n">
        <x:f>ROUND(0.30*AT223+0.20*AU223+0.25*AV223+0.15*AW223+0.10*AY223,2)</x:f>
        <x:v>79.18</x:v>
      </x:c>
      <x:c r="BC223" s="60" t="n">
        <x:f>ROUND(0.30*AX223+0.20*AV223+0.20*AU223+0.15*AY223+0.15*(100-AZ223),2)</x:f>
        <x:v>80.52</x:v>
      </x:c>
      <x:c r="BD223" s="60" t="n">
        <x:f>ROUND(AVERAGE(BB223,BC223),2)</x:f>
        <x:v>79.85</x:v>
      </x:c>
      <x:c r="BE223" s="60" t="n">
        <x:f>ROUND(BD223-U223,2)</x:f>
        <x:v>0.03</x:v>
      </x:c>
      <x:c r="BF223" s="60" t="n">
        <x:f>ROUND(STDEV.P(AC223,AK223,AS223),3)</x:f>
        <x:v>0.024</x:v>
      </x:c>
      <x:c r="BG223" s="59" t="str"/>
      <x:c r="BH223" s="59" t="str">
        <x:v>30%评分池轻量复核</x:v>
      </x:c>
      <x:c r="BI223" s="40" t="str">
        <x:v>三轮复核后与原表基本一致</x:v>
      </x:c>
    </x:row>
    <x:row r="224" ht="30" customHeight="1">
      <x:c r="A224" s="59" t="n">
        <x:v>223</x:v>
      </x:c>
      <x:c r="B224" s="59" t="n">
        <x:v>223</x:v>
      </x:c>
      <x:c r="C224" s="59" t="str">
        <x:v>2026-06</x:v>
      </x:c>
      <x:c r="D224" s="59" t="n">
        <x:v>129</x:v>
      </x:c>
      <x:c r="E224" s="59" t="str">
        <x:v>2606.14446</x:v>
      </x:c>
      <x:c r="F224" s="40" t="str">
        <x:v>Decay of periodic entropy solutions to Euler-alignment systems with non-constant kernel</x:v>
      </x:c>
      <x:c r="G224" s="40" t="str">
        <x:v>Unknown authors</x:v>
      </x:c>
      <x:c r="H224" s="40" t="str">
        <x:v>fluid/kinetic PDE</x:v>
      </x:c>
      <x:c r="I224" s="59"/>
      <x:c r="J224" s="40" t="str">
        <x:v>https://arxiv.org/abs/2606.14446</x:v>
      </x:c>
      <x:c r="K224" s="60" t="n">
        <x:v>80</x:v>
      </x:c>
      <x:c r="L224" s="60" t="n">
        <x:v>79</x:v>
      </x:c>
      <x:c r="M224" s="60" t="n">
        <x:v>79</x:v>
      </x:c>
      <x:c r="N224" s="60" t="n">
        <x:v>78</x:v>
      </x:c>
      <x:c r="O224" s="60" t="n">
        <x:v>80</x:v>
      </x:c>
      <x:c r="P224" s="60" t="n">
        <x:v>79</x:v>
      </x:c>
      <x:c r="Q224" s="60" t="n">
        <x:v>13</x:v>
      </x:c>
      <x:c r="R224" s="59" t="n">
        <x:v>5</x:v>
      </x:c>
      <x:c r="S224" s="60" t="n">
        <x:v>79.15</x:v>
      </x:c>
      <x:c r="T224" s="60" t="n">
        <x:v>80.49999999999999</x:v>
      </x:c>
      <x:c r="U224" s="60" t="n">
        <x:v>79.82499999999999</x:v>
      </x:c>
      <x:c r="V224" s="60" t="n">
        <x:v>80.1</x:v>
      </x:c>
      <x:c r="W224" s="60" t="n">
        <x:v>79</x:v>
      </x:c>
      <x:c r="X224" s="60" t="n">
        <x:v>79.1</x:v>
      </x:c>
      <x:c r="Y224" s="60" t="n">
        <x:v>78</x:v>
      </x:c>
      <x:c r="Z224" s="60" t="n">
        <x:v>80.1</x:v>
      </x:c>
      <x:c r="AA224" s="60" t="n">
        <x:v>79</x:v>
      </x:c>
      <x:c r="AB224" s="60" t="n">
        <x:v>13</x:v>
      </x:c>
      <x:c r="AC224" s="60" t="n">
        <x:f>ROUND(((0.30*V224+0.20*W224+0.25*X224+0.15*Y224+0.10*AA224)+(0.30*Z224+0.20*X224+0.20*W224+0.15*AA224+0.15*(100-AB224)))/2,2)</x:f>
        <x:v>79.88</x:v>
      </x:c>
      <x:c r="AD224" s="60" t="n">
        <x:v>80</x:v>
      </x:c>
      <x:c r="AE224" s="60" t="n">
        <x:v>79</x:v>
      </x:c>
      <x:c r="AF224" s="60" t="n">
        <x:v>79</x:v>
      </x:c>
      <x:c r="AG224" s="60" t="n">
        <x:v>78</x:v>
      </x:c>
      <x:c r="AH224" s="60" t="n">
        <x:v>80</x:v>
      </x:c>
      <x:c r="AI224" s="60" t="n">
        <x:v>79</x:v>
      </x:c>
      <x:c r="AJ224" s="60" t="n">
        <x:v>13</x:v>
      </x:c>
      <x:c r="AK224" s="60" t="n">
        <x:f>ROUND(((0.30*AD224+0.20*AE224+0.25*AF224+0.15*AG224+0.10*AI224)+(0.30*AH224+0.20*AF224+0.20*AE224+0.15*AI224+0.15*(100-AJ224)))/2,2)</x:f>
        <x:v>79.82</x:v>
      </x:c>
      <x:c r="AL224" s="60" t="n">
        <x:v>80</x:v>
      </x:c>
      <x:c r="AM224" s="60" t="n">
        <x:v>79</x:v>
      </x:c>
      <x:c r="AN224" s="60" t="n">
        <x:v>79.1</x:v>
      </x:c>
      <x:c r="AO224" s="60" t="n">
        <x:v>78</x:v>
      </x:c>
      <x:c r="AP224" s="60" t="n">
        <x:v>80</x:v>
      </x:c>
      <x:c r="AQ224" s="60" t="n">
        <x:v>79</x:v>
      </x:c>
      <x:c r="AR224" s="60" t="n">
        <x:v>13</x:v>
      </x:c>
      <x:c r="AS224" s="60" t="n">
        <x:f>ROUND(((0.30*AL224+0.20*AM224+0.25*AN224+0.15*AO224+0.10*AQ224)+(0.30*AP224+0.20*AN224+0.20*AM224+0.15*AQ224+0.15*(100-AR224)))/2,2)</x:f>
        <x:v>79.85</x:v>
      </x:c>
      <x:c r="AT224" s="60" t="n">
        <x:f>ROUND(AVERAGE(V224,AD224,AL224),1)</x:f>
        <x:v>80</x:v>
      </x:c>
      <x:c r="AU224" s="60" t="n">
        <x:f>ROUND(AVERAGE(W224,AE224,AM224),1)</x:f>
        <x:v>79</x:v>
      </x:c>
      <x:c r="AV224" s="60" t="n">
        <x:f>ROUND(AVERAGE(X224,AF224,AN224),1)</x:f>
        <x:v>79.1</x:v>
      </x:c>
      <x:c r="AW224" s="60" t="n">
        <x:f>ROUND(AVERAGE(Y224,AG224,AO224),1)</x:f>
        <x:v>78</x:v>
      </x:c>
      <x:c r="AX224" s="60" t="n">
        <x:f>ROUND(AVERAGE(Z224,AH224,AP224),1)</x:f>
        <x:v>80</x:v>
      </x:c>
      <x:c r="AY224" s="60" t="n">
        <x:f>ROUND(AVERAGE(AA224,AI224,AQ224),1)</x:f>
        <x:v>79</x:v>
      </x:c>
      <x:c r="AZ224" s="60" t="n">
        <x:f>ROUND(AVERAGE(AB224,AJ224,AR224),1)</x:f>
        <x:v>13</x:v>
      </x:c>
      <x:c r="BA224" s="59" t="n">
        <x:v>5</x:v>
      </x:c>
      <x:c r="BB224" s="60" t="n">
        <x:f>ROUND(0.30*AT224+0.20*AU224+0.25*AV224+0.15*AW224+0.10*AY224,2)</x:f>
        <x:v>79.18</x:v>
      </x:c>
      <x:c r="BC224" s="60" t="n">
        <x:f>ROUND(0.30*AX224+0.20*AV224+0.20*AU224+0.15*AY224+0.15*(100-AZ224),2)</x:f>
        <x:v>80.52</x:v>
      </x:c>
      <x:c r="BD224" s="60" t="n">
        <x:f>ROUND(AVERAGE(BB224,BC224),2)</x:f>
        <x:v>79.85</x:v>
      </x:c>
      <x:c r="BE224" s="60" t="n">
        <x:f>ROUND(BD224-U224,2)</x:f>
        <x:v>0.03</x:v>
      </x:c>
      <x:c r="BF224" s="60" t="n">
        <x:f>ROUND(STDEV.P(AC224,AK224,AS224),3)</x:f>
        <x:v>0.024</x:v>
      </x:c>
      <x:c r="BG224" s="59" t="str"/>
      <x:c r="BH224" s="59" t="str">
        <x:v>30%评分池轻量复核</x:v>
      </x:c>
      <x:c r="BI224" s="40" t="str">
        <x:v>三轮复核后与原表基本一致</x:v>
      </x:c>
    </x:row>
    <x:row r="225" ht="30" customHeight="1">
      <x:c r="A225" s="59" t="n">
        <x:v>224</x:v>
      </x:c>
      <x:c r="B225" s="59" t="n">
        <x:v>227</x:v>
      </x:c>
      <x:c r="C225" s="59" t="str">
        <x:v>2026-06</x:v>
      </x:c>
      <x:c r="D225" s="59" t="n">
        <x:v>132</x:v>
      </x:c>
      <x:c r="E225" s="59" t="str">
        <x:v>2606.00554</x:v>
      </x:c>
      <x:c r="F225" s="40" t="str">
        <x:v>On a Local Radial Rigidity Phenomenon of Elliptic Systems on Riemannian Manifolds</x:v>
      </x:c>
      <x:c r="G225" s="40" t="str">
        <x:v>Yifei Pan; Yu Yan; Yuan Zhang</x:v>
      </x:c>
      <x:c r="H225" s="40" t="str">
        <x:v>analysis/PDE</x:v>
      </x:c>
      <x:c r="I225" s="59"/>
      <x:c r="J225" s="40" t="str">
        <x:v>https://arxiv.org/abs/2606.00554</x:v>
      </x:c>
      <x:c r="K225" s="60" t="n">
        <x:v>79</x:v>
      </x:c>
      <x:c r="L225" s="60" t="n">
        <x:v>79</x:v>
      </x:c>
      <x:c r="M225" s="60" t="n">
        <x:v>79</x:v>
      </x:c>
      <x:c r="N225" s="60" t="n">
        <x:v>79</x:v>
      </x:c>
      <x:c r="O225" s="60" t="n">
        <x:v>80</x:v>
      </x:c>
      <x:c r="P225" s="60" t="n">
        <x:v>79</x:v>
      </x:c>
      <x:c r="Q225" s="60" t="n">
        <x:v>13</x:v>
      </x:c>
      <x:c r="R225" s="59" t="n">
        <x:v>5</x:v>
      </x:c>
      <x:c r="S225" s="60" t="n">
        <x:v>79</x:v>
      </x:c>
      <x:c r="T225" s="60" t="n">
        <x:v>80.49999999999999</x:v>
      </x:c>
      <x:c r="U225" s="60" t="n">
        <x:v>79.75</x:v>
      </x:c>
      <x:c r="V225" s="60" t="n">
        <x:v>79</x:v>
      </x:c>
      <x:c r="W225" s="60" t="n">
        <x:v>79.1</x:v>
      </x:c>
      <x:c r="X225" s="60" t="n">
        <x:v>79</x:v>
      </x:c>
      <x:c r="Y225" s="60" t="n">
        <x:v>79</x:v>
      </x:c>
      <x:c r="Z225" s="60" t="n">
        <x:v>80.1</x:v>
      </x:c>
      <x:c r="AA225" s="60" t="n">
        <x:v>79</x:v>
      </x:c>
      <x:c r="AB225" s="60" t="n">
        <x:v>13</x:v>
      </x:c>
      <x:c r="AC225" s="60" t="n">
        <x:f>ROUND(((0.30*V225+0.20*W225+0.25*X225+0.15*Y225+0.10*AA225)+(0.30*Z225+0.20*X225+0.20*W225+0.15*AA225+0.15*(100-AB225)))/2,2)</x:f>
        <x:v>79.79</x:v>
      </x:c>
      <x:c r="AD225" s="60" t="n">
        <x:v>79</x:v>
      </x:c>
      <x:c r="AE225" s="60" t="n">
        <x:v>79.1</x:v>
      </x:c>
      <x:c r="AF225" s="60" t="n">
        <x:v>79</x:v>
      </x:c>
      <x:c r="AG225" s="60" t="n">
        <x:v>79</x:v>
      </x:c>
      <x:c r="AH225" s="60" t="n">
        <x:v>80</x:v>
      </x:c>
      <x:c r="AI225" s="60" t="n">
        <x:v>79</x:v>
      </x:c>
      <x:c r="AJ225" s="60" t="n">
        <x:v>13</x:v>
      </x:c>
      <x:c r="AK225" s="60" t="n">
        <x:f>ROUND(((0.30*AD225+0.20*AE225+0.25*AF225+0.15*AG225+0.10*AI225)+(0.30*AH225+0.20*AF225+0.20*AE225+0.15*AI225+0.15*(100-AJ225)))/2,2)</x:f>
        <x:v>79.77</x:v>
      </x:c>
      <x:c r="AL225" s="60" t="n">
        <x:v>79</x:v>
      </x:c>
      <x:c r="AM225" s="60" t="n">
        <x:v>79.1</x:v>
      </x:c>
      <x:c r="AN225" s="60" t="n">
        <x:v>79</x:v>
      </x:c>
      <x:c r="AO225" s="60" t="n">
        <x:v>79</x:v>
      </x:c>
      <x:c r="AP225" s="60" t="n">
        <x:v>80.1</x:v>
      </x:c>
      <x:c r="AQ225" s="60" t="n">
        <x:v>79</x:v>
      </x:c>
      <x:c r="AR225" s="60" t="n">
        <x:v>13</x:v>
      </x:c>
      <x:c r="AS225" s="60" t="n">
        <x:f>ROUND(((0.30*AL225+0.20*AM225+0.25*AN225+0.15*AO225+0.10*AQ225)+(0.30*AP225+0.20*AN225+0.20*AM225+0.15*AQ225+0.15*(100-AR225)))/2,2)</x:f>
        <x:v>79.79</x:v>
      </x:c>
      <x:c r="AT225" s="60" t="n">
        <x:f>ROUND(AVERAGE(V225,AD225,AL225),1)</x:f>
        <x:v>79</x:v>
      </x:c>
      <x:c r="AU225" s="60" t="n">
        <x:f>ROUND(AVERAGE(W225,AE225,AM225),1)</x:f>
        <x:v>79.1</x:v>
      </x:c>
      <x:c r="AV225" s="60" t="n">
        <x:f>ROUND(AVERAGE(X225,AF225,AN225),1)</x:f>
        <x:v>79</x:v>
      </x:c>
      <x:c r="AW225" s="60" t="n">
        <x:f>ROUND(AVERAGE(Y225,AG225,AO225),1)</x:f>
        <x:v>79</x:v>
      </x:c>
      <x:c r="AX225" s="60" t="n">
        <x:f>ROUND(AVERAGE(Z225,AH225,AP225),1)</x:f>
        <x:v>80.1</x:v>
      </x:c>
      <x:c r="AY225" s="60" t="n">
        <x:f>ROUND(AVERAGE(AA225,AI225,AQ225),1)</x:f>
        <x:v>79</x:v>
      </x:c>
      <x:c r="AZ225" s="60" t="n">
        <x:f>ROUND(AVERAGE(AB225,AJ225,AR225),1)</x:f>
        <x:v>13</x:v>
      </x:c>
      <x:c r="BA225" s="59" t="n">
        <x:v>5</x:v>
      </x:c>
      <x:c r="BB225" s="60" t="n">
        <x:f>ROUND(0.30*AT225+0.20*AU225+0.25*AV225+0.15*AW225+0.10*AY225,2)</x:f>
        <x:v>79.02</x:v>
      </x:c>
      <x:c r="BC225" s="60" t="n">
        <x:f>ROUND(0.30*AX225+0.20*AV225+0.20*AU225+0.15*AY225+0.15*(100-AZ225),2)</x:f>
        <x:v>80.55</x:v>
      </x:c>
      <x:c r="BD225" s="60" t="n">
        <x:f>ROUND(AVERAGE(BB225,BC225),2)</x:f>
        <x:v>79.79</x:v>
      </x:c>
      <x:c r="BE225" s="60" t="n">
        <x:f>ROUND(BD225-U225,2)</x:f>
        <x:v>0.04</x:v>
      </x:c>
      <x:c r="BF225" s="60" t="n">
        <x:f>ROUND(STDEV.P(AC225,AK225,AS225),3)</x:f>
        <x:v>0.009</x:v>
      </x:c>
      <x:c r="BG225" s="59" t="str"/>
      <x:c r="BH225" s="59" t="str">
        <x:v>30%评分池轻量复核</x:v>
      </x:c>
      <x:c r="BI225" s="40" t="str">
        <x:v>范围偏专门，广度轻微回调</x:v>
      </x:c>
    </x:row>
    <x:row r="226" ht="30" customHeight="1">
      <x:c r="A226" s="59" t="n">
        <x:v>225</x:v>
      </x:c>
      <x:c r="B226" s="59" t="n">
        <x:v>225</x:v>
      </x:c>
      <x:c r="C226" s="59" t="str">
        <x:v>2026-06</x:v>
      </x:c>
      <x:c r="D226" s="59" t="n">
        <x:v>132</x:v>
      </x:c>
      <x:c r="E226" s="59" t="str">
        <x:v>2606.08559</x:v>
      </x:c>
      <x:c r="F226" s="40" t="str">
        <x:v>Strong comparison principle and symmetry results for the fractional p-Laplacian</x:v>
      </x:c>
      <x:c r="G226" s="40" t="str">
        <x:v>Anup Biswas; Subhajit Roy; Aniket Sen</x:v>
      </x:c>
      <x:c r="H226" s="40" t="str">
        <x:v>analysis/PDE</x:v>
      </x:c>
      <x:c r="I226" s="59" t="n">
        <x:v>38</x:v>
      </x:c>
      <x:c r="J226" s="40" t="str">
        <x:v>https://arxiv.org/abs/2606.08559</x:v>
      </x:c>
      <x:c r="K226" s="60" t="n">
        <x:v>79</x:v>
      </x:c>
      <x:c r="L226" s="60" t="n">
        <x:v>79</x:v>
      </x:c>
      <x:c r="M226" s="60" t="n">
        <x:v>79</x:v>
      </x:c>
      <x:c r="N226" s="60" t="n">
        <x:v>79</x:v>
      </x:c>
      <x:c r="O226" s="60" t="n">
        <x:v>80</x:v>
      </x:c>
      <x:c r="P226" s="60" t="n">
        <x:v>79</x:v>
      </x:c>
      <x:c r="Q226" s="60" t="n">
        <x:v>13</x:v>
      </x:c>
      <x:c r="R226" s="59" t="n">
        <x:v>5</x:v>
      </x:c>
      <x:c r="S226" s="60" t="n">
        <x:v>79</x:v>
      </x:c>
      <x:c r="T226" s="60" t="n">
        <x:v>80.49999999999999</x:v>
      </x:c>
      <x:c r="U226" s="60" t="n">
        <x:v>79.75</x:v>
      </x:c>
      <x:c r="V226" s="60" t="n">
        <x:v>79</x:v>
      </x:c>
      <x:c r="W226" s="60" t="n">
        <x:v>79</x:v>
      </x:c>
      <x:c r="X226" s="60" t="n">
        <x:v>79</x:v>
      </x:c>
      <x:c r="Y226" s="60" t="n">
        <x:v>79</x:v>
      </x:c>
      <x:c r="Z226" s="60" t="n">
        <x:v>80</x:v>
      </x:c>
      <x:c r="AA226" s="60" t="n">
        <x:v>79</x:v>
      </x:c>
      <x:c r="AB226" s="60" t="n">
        <x:v>13</x:v>
      </x:c>
      <x:c r="AC226" s="60" t="n">
        <x:f>ROUND(((0.30*V226+0.20*W226+0.25*X226+0.15*Y226+0.10*AA226)+(0.30*Z226+0.20*X226+0.20*W226+0.15*AA226+0.15*(100-AB226)))/2,2)</x:f>
        <x:v>79.75</x:v>
      </x:c>
      <x:c r="AD226" s="60" t="n">
        <x:v>79</x:v>
      </x:c>
      <x:c r="AE226" s="60" t="n">
        <x:v>79</x:v>
      </x:c>
      <x:c r="AF226" s="60" t="n">
        <x:v>79</x:v>
      </x:c>
      <x:c r="AG226" s="60" t="n">
        <x:v>79</x:v>
      </x:c>
      <x:c r="AH226" s="60" t="n">
        <x:v>80</x:v>
      </x:c>
      <x:c r="AI226" s="60" t="n">
        <x:v>79</x:v>
      </x:c>
      <x:c r="AJ226" s="60" t="n">
        <x:v>13</x:v>
      </x:c>
      <x:c r="AK226" s="60" t="n">
        <x:f>ROUND(((0.30*AD226+0.20*AE226+0.25*AF226+0.15*AG226+0.10*AI226)+(0.30*AH226+0.20*AF226+0.20*AE226+0.15*AI226+0.15*(100-AJ226)))/2,2)</x:f>
        <x:v>79.75</x:v>
      </x:c>
      <x:c r="AL226" s="60" t="n">
        <x:v>79</x:v>
      </x:c>
      <x:c r="AM226" s="60" t="n">
        <x:v>79</x:v>
      </x:c>
      <x:c r="AN226" s="60" t="n">
        <x:v>79</x:v>
      </x:c>
      <x:c r="AO226" s="60" t="n">
        <x:v>79</x:v>
      </x:c>
      <x:c r="AP226" s="60" t="n">
        <x:v>80</x:v>
      </x:c>
      <x:c r="AQ226" s="60" t="n">
        <x:v>79</x:v>
      </x:c>
      <x:c r="AR226" s="60" t="n">
        <x:v>13</x:v>
      </x:c>
      <x:c r="AS226" s="60" t="n">
        <x:f>ROUND(((0.30*AL226+0.20*AM226+0.25*AN226+0.15*AO226+0.10*AQ226)+(0.30*AP226+0.20*AN226+0.20*AM226+0.15*AQ226+0.15*(100-AR226)))/2,2)</x:f>
        <x:v>79.75</x:v>
      </x:c>
      <x:c r="AT226" s="60" t="n">
        <x:f>ROUND(AVERAGE(V226,AD226,AL226),1)</x:f>
        <x:v>79</x:v>
      </x:c>
      <x:c r="AU226" s="60" t="n">
        <x:f>ROUND(AVERAGE(W226,AE226,AM226),1)</x:f>
        <x:v>79</x:v>
      </x:c>
      <x:c r="AV226" s="60" t="n">
        <x:f>ROUND(AVERAGE(X226,AF226,AN226),1)</x:f>
        <x:v>79</x:v>
      </x:c>
      <x:c r="AW226" s="60" t="n">
        <x:f>ROUND(AVERAGE(Y226,AG226,AO226),1)</x:f>
        <x:v>79</x:v>
      </x:c>
      <x:c r="AX226" s="60" t="n">
        <x:f>ROUND(AVERAGE(Z226,AH226,AP226),1)</x:f>
        <x:v>80</x:v>
      </x:c>
      <x:c r="AY226" s="60" t="n">
        <x:f>ROUND(AVERAGE(AA226,AI226,AQ226),1)</x:f>
        <x:v>79</x:v>
      </x:c>
      <x:c r="AZ226" s="60" t="n">
        <x:f>ROUND(AVERAGE(AB226,AJ226,AR226),1)</x:f>
        <x:v>13</x:v>
      </x:c>
      <x:c r="BA226" s="59" t="n">
        <x:v>5</x:v>
      </x:c>
      <x:c r="BB226" s="60" t="n">
        <x:f>ROUND(0.30*AT226+0.20*AU226+0.25*AV226+0.15*AW226+0.10*AY226,2)</x:f>
        <x:v>79</x:v>
      </x:c>
      <x:c r="BC226" s="60" t="n">
        <x:f>ROUND(0.30*AX226+0.20*AV226+0.20*AU226+0.15*AY226+0.15*(100-AZ226),2)</x:f>
        <x:v>80.5</x:v>
      </x:c>
      <x:c r="BD226" s="60" t="n">
        <x:f>ROUND(AVERAGE(BB226,BC226),2)</x:f>
        <x:v>79.75</x:v>
      </x:c>
      <x:c r="BE226" s="60" t="n">
        <x:f>ROUND(BD226-U226,2)</x:f>
        <x:v>0</x:v>
      </x:c>
      <x:c r="BF226" s="60" t="n">
        <x:f>ROUND(STDEV.P(AC226,AK226,AS226),3)</x:f>
        <x:v>0</x:v>
      </x:c>
      <x:c r="BG226" s="59" t="str"/>
      <x:c r="BH226" s="59" t="str">
        <x:v>30%评分池轻量复核</x:v>
      </x:c>
      <x:c r="BI226" s="40" t="str">
        <x:v>三轮复核后与原表基本一致</x:v>
      </x:c>
    </x:row>
    <x:row r="227" ht="30" customHeight="1">
      <x:c r="A227" s="59" t="n">
        <x:v>226</x:v>
      </x:c>
      <x:c r="B227" s="59" t="n">
        <x:v>226</x:v>
      </x:c>
      <x:c r="C227" s="59" t="str">
        <x:v>2026-06</x:v>
      </x:c>
      <x:c r="D227" s="59" t="n">
        <x:v>132</x:v>
      </x:c>
      <x:c r="E227" s="59" t="str">
        <x:v>2606.04218</x:v>
      </x:c>
      <x:c r="F227" s="40" t="str">
        <x:v>Absence of local anomalous dissipation and local energy balance in 2D incompressible flows away from the boundary</x:v>
      </x:c>
      <x:c r="G227" s="40" t="str">
        <x:v>Tobias Barker; Milton C. Lopes Filho; Helena J. Nussenzveig Lopes</x:v>
      </x:c>
      <x:c r="H227" s="40" t="str">
        <x:v>fluid/kinetic PDE</x:v>
      </x:c>
      <x:c r="I227" s="59" t="n">
        <x:v>31</x:v>
      </x:c>
      <x:c r="J227" s="40" t="str">
        <x:v>https://arxiv.org/abs/2606.04218</x:v>
      </x:c>
      <x:c r="K227" s="60" t="n">
        <x:v>79</x:v>
      </x:c>
      <x:c r="L227" s="60" t="n">
        <x:v>79</x:v>
      </x:c>
      <x:c r="M227" s="60" t="n">
        <x:v>79</x:v>
      </x:c>
      <x:c r="N227" s="60" t="n">
        <x:v>79</x:v>
      </x:c>
      <x:c r="O227" s="60" t="n">
        <x:v>80</x:v>
      </x:c>
      <x:c r="P227" s="60" t="n">
        <x:v>79</x:v>
      </x:c>
      <x:c r="Q227" s="60" t="n">
        <x:v>13</x:v>
      </x:c>
      <x:c r="R227" s="59" t="n">
        <x:v>5</x:v>
      </x:c>
      <x:c r="S227" s="60" t="n">
        <x:v>79</x:v>
      </x:c>
      <x:c r="T227" s="60" t="n">
        <x:v>80.49999999999999</x:v>
      </x:c>
      <x:c r="U227" s="60" t="n">
        <x:v>79.75</x:v>
      </x:c>
      <x:c r="V227" s="60" t="n">
        <x:v>79</x:v>
      </x:c>
      <x:c r="W227" s="60" t="n">
        <x:v>79</x:v>
      </x:c>
      <x:c r="X227" s="60" t="n">
        <x:v>79</x:v>
      </x:c>
      <x:c r="Y227" s="60" t="n">
        <x:v>79</x:v>
      </x:c>
      <x:c r="Z227" s="60" t="n">
        <x:v>80</x:v>
      </x:c>
      <x:c r="AA227" s="60" t="n">
        <x:v>79</x:v>
      </x:c>
      <x:c r="AB227" s="60" t="n">
        <x:v>13</x:v>
      </x:c>
      <x:c r="AC227" s="60" t="n">
        <x:f>ROUND(((0.30*V227+0.20*W227+0.25*X227+0.15*Y227+0.10*AA227)+(0.30*Z227+0.20*X227+0.20*W227+0.15*AA227+0.15*(100-AB227)))/2,2)</x:f>
        <x:v>79.75</x:v>
      </x:c>
      <x:c r="AD227" s="60" t="n">
        <x:v>79</x:v>
      </x:c>
      <x:c r="AE227" s="60" t="n">
        <x:v>79</x:v>
      </x:c>
      <x:c r="AF227" s="60" t="n">
        <x:v>79</x:v>
      </x:c>
      <x:c r="AG227" s="60" t="n">
        <x:v>79</x:v>
      </x:c>
      <x:c r="AH227" s="60" t="n">
        <x:v>80</x:v>
      </x:c>
      <x:c r="AI227" s="60" t="n">
        <x:v>79</x:v>
      </x:c>
      <x:c r="AJ227" s="60" t="n">
        <x:v>13</x:v>
      </x:c>
      <x:c r="AK227" s="60" t="n">
        <x:f>ROUND(((0.30*AD227+0.20*AE227+0.25*AF227+0.15*AG227+0.10*AI227)+(0.30*AH227+0.20*AF227+0.20*AE227+0.15*AI227+0.15*(100-AJ227)))/2,2)</x:f>
        <x:v>79.75</x:v>
      </x:c>
      <x:c r="AL227" s="60" t="n">
        <x:v>79</x:v>
      </x:c>
      <x:c r="AM227" s="60" t="n">
        <x:v>79</x:v>
      </x:c>
      <x:c r="AN227" s="60" t="n">
        <x:v>79</x:v>
      </x:c>
      <x:c r="AO227" s="60" t="n">
        <x:v>79</x:v>
      </x:c>
      <x:c r="AP227" s="60" t="n">
        <x:v>80</x:v>
      </x:c>
      <x:c r="AQ227" s="60" t="n">
        <x:v>79</x:v>
      </x:c>
      <x:c r="AR227" s="60" t="n">
        <x:v>13</x:v>
      </x:c>
      <x:c r="AS227" s="60" t="n">
        <x:f>ROUND(((0.30*AL227+0.20*AM227+0.25*AN227+0.15*AO227+0.10*AQ227)+(0.30*AP227+0.20*AN227+0.20*AM227+0.15*AQ227+0.15*(100-AR227)))/2,2)</x:f>
        <x:v>79.75</x:v>
      </x:c>
      <x:c r="AT227" s="60" t="n">
        <x:f>ROUND(AVERAGE(V227,AD227,AL227),1)</x:f>
        <x:v>79</x:v>
      </x:c>
      <x:c r="AU227" s="60" t="n">
        <x:f>ROUND(AVERAGE(W227,AE227,AM227),1)</x:f>
        <x:v>79</x:v>
      </x:c>
      <x:c r="AV227" s="60" t="n">
        <x:f>ROUND(AVERAGE(X227,AF227,AN227),1)</x:f>
        <x:v>79</x:v>
      </x:c>
      <x:c r="AW227" s="60" t="n">
        <x:f>ROUND(AVERAGE(Y227,AG227,AO227),1)</x:f>
        <x:v>79</x:v>
      </x:c>
      <x:c r="AX227" s="60" t="n">
        <x:f>ROUND(AVERAGE(Z227,AH227,AP227),1)</x:f>
        <x:v>80</x:v>
      </x:c>
      <x:c r="AY227" s="60" t="n">
        <x:f>ROUND(AVERAGE(AA227,AI227,AQ227),1)</x:f>
        <x:v>79</x:v>
      </x:c>
      <x:c r="AZ227" s="60" t="n">
        <x:f>ROUND(AVERAGE(AB227,AJ227,AR227),1)</x:f>
        <x:v>13</x:v>
      </x:c>
      <x:c r="BA227" s="59" t="n">
        <x:v>5</x:v>
      </x:c>
      <x:c r="BB227" s="60" t="n">
        <x:f>ROUND(0.30*AT227+0.20*AU227+0.25*AV227+0.15*AW227+0.10*AY227,2)</x:f>
        <x:v>79</x:v>
      </x:c>
      <x:c r="BC227" s="60" t="n">
        <x:f>ROUND(0.30*AX227+0.20*AV227+0.20*AU227+0.15*AY227+0.15*(100-AZ227),2)</x:f>
        <x:v>80.5</x:v>
      </x:c>
      <x:c r="BD227" s="60" t="n">
        <x:f>ROUND(AVERAGE(BB227,BC227),2)</x:f>
        <x:v>79.75</x:v>
      </x:c>
      <x:c r="BE227" s="60" t="n">
        <x:f>ROUND(BD227-U227,2)</x:f>
        <x:v>0</x:v>
      </x:c>
      <x:c r="BF227" s="60" t="n">
        <x:f>ROUND(STDEV.P(AC227,AK227,AS227),3)</x:f>
        <x:v>0</x:v>
      </x:c>
      <x:c r="BG227" s="59" t="str"/>
      <x:c r="BH227" s="59" t="str">
        <x:v>30%评分池轻量复核</x:v>
      </x:c>
      <x:c r="BI227" s="40" t="str">
        <x:v>三轮复核后与原表基本一致</x:v>
      </x:c>
    </x:row>
    <x:row r="228" ht="30" customHeight="1">
      <x:c r="A228" s="59" t="n">
        <x:v>227</x:v>
      </x:c>
      <x:c r="B228" s="59" t="n">
        <x:v>224</x:v>
      </x:c>
      <x:c r="C228" s="59" t="str">
        <x:v>2026-06</x:v>
      </x:c>
      <x:c r="D228" s="59" t="n">
        <x:v>132</x:v>
      </x:c>
      <x:c r="E228" s="59" t="str">
        <x:v>2606.10586</x:v>
      </x:c>
      <x:c r="F228" s="40" t="str">
        <x:v>Stationary points of conformally invariant polyconvex energies</x:v>
      </x:c>
      <x:c r="G228" s="40" t="str">
        <x:v>Andre Guerra; Riccardo Tione</x:v>
      </x:c>
      <x:c r="H228" s="40" t="str">
        <x:v>analysis/PDE</x:v>
      </x:c>
      <x:c r="I228" s="59" t="n">
        <x:v>30</x:v>
      </x:c>
      <x:c r="J228" s="40" t="str">
        <x:v>https://arxiv.org/abs/2606.10586</x:v>
      </x:c>
      <x:c r="K228" s="60" t="n">
        <x:v>79</x:v>
      </x:c>
      <x:c r="L228" s="60" t="n">
        <x:v>79</x:v>
      </x:c>
      <x:c r="M228" s="60" t="n">
        <x:v>79</x:v>
      </x:c>
      <x:c r="N228" s="60" t="n">
        <x:v>79</x:v>
      </x:c>
      <x:c r="O228" s="60" t="n">
        <x:v>80</x:v>
      </x:c>
      <x:c r="P228" s="60" t="n">
        <x:v>79</x:v>
      </x:c>
      <x:c r="Q228" s="60" t="n">
        <x:v>13</x:v>
      </x:c>
      <x:c r="R228" s="59" t="n">
        <x:v>5</x:v>
      </x:c>
      <x:c r="S228" s="60" t="n">
        <x:v>79</x:v>
      </x:c>
      <x:c r="T228" s="60" t="n">
        <x:v>80.49999999999999</x:v>
      </x:c>
      <x:c r="U228" s="60" t="n">
        <x:v>79.75</x:v>
      </x:c>
      <x:c r="V228" s="60" t="n">
        <x:v>79</x:v>
      </x:c>
      <x:c r="W228" s="60" t="n">
        <x:v>79</x:v>
      </x:c>
      <x:c r="X228" s="60" t="n">
        <x:v>79</x:v>
      </x:c>
      <x:c r="Y228" s="60" t="n">
        <x:v>78.9</x:v>
      </x:c>
      <x:c r="Z228" s="60" t="n">
        <x:v>80</x:v>
      </x:c>
      <x:c r="AA228" s="60" t="n">
        <x:v>79</x:v>
      </x:c>
      <x:c r="AB228" s="60" t="n">
        <x:v>13</x:v>
      </x:c>
      <x:c r="AC228" s="60" t="n">
        <x:f>ROUND(((0.30*V228+0.20*W228+0.25*X228+0.15*Y228+0.10*AA228)+(0.30*Z228+0.20*X228+0.20*W228+0.15*AA228+0.15*(100-AB228)))/2,2)</x:f>
        <x:v>79.74</x:v>
      </x:c>
      <x:c r="AD228" s="60" t="n">
        <x:v>79</x:v>
      </x:c>
      <x:c r="AE228" s="60" t="n">
        <x:v>79</x:v>
      </x:c>
      <x:c r="AF228" s="60" t="n">
        <x:v>79</x:v>
      </x:c>
      <x:c r="AG228" s="60" t="n">
        <x:v>78.9</x:v>
      </x:c>
      <x:c r="AH228" s="60" t="n">
        <x:v>80</x:v>
      </x:c>
      <x:c r="AI228" s="60" t="n">
        <x:v>79</x:v>
      </x:c>
      <x:c r="AJ228" s="60" t="n">
        <x:v>13</x:v>
      </x:c>
      <x:c r="AK228" s="60" t="n">
        <x:f>ROUND(((0.30*AD228+0.20*AE228+0.25*AF228+0.15*AG228+0.10*AI228)+(0.30*AH228+0.20*AF228+0.20*AE228+0.15*AI228+0.15*(100-AJ228)))/2,2)</x:f>
        <x:v>79.74</x:v>
      </x:c>
      <x:c r="AL228" s="60" t="n">
        <x:v>79</x:v>
      </x:c>
      <x:c r="AM228" s="60" t="n">
        <x:v>79</x:v>
      </x:c>
      <x:c r="AN228" s="60" t="n">
        <x:v>79</x:v>
      </x:c>
      <x:c r="AO228" s="60" t="n">
        <x:v>78.9</x:v>
      </x:c>
      <x:c r="AP228" s="60" t="n">
        <x:v>80</x:v>
      </x:c>
      <x:c r="AQ228" s="60" t="n">
        <x:v>79</x:v>
      </x:c>
      <x:c r="AR228" s="60" t="n">
        <x:v>13</x:v>
      </x:c>
      <x:c r="AS228" s="60" t="n">
        <x:f>ROUND(((0.30*AL228+0.20*AM228+0.25*AN228+0.15*AO228+0.10*AQ228)+(0.30*AP228+0.20*AN228+0.20*AM228+0.15*AQ228+0.15*(100-AR228)))/2,2)</x:f>
        <x:v>79.74</x:v>
      </x:c>
      <x:c r="AT228" s="60" t="n">
        <x:f>ROUND(AVERAGE(V228,AD228,AL228),1)</x:f>
        <x:v>79</x:v>
      </x:c>
      <x:c r="AU228" s="60" t="n">
        <x:f>ROUND(AVERAGE(W228,AE228,AM228),1)</x:f>
        <x:v>79</x:v>
      </x:c>
      <x:c r="AV228" s="60" t="n">
        <x:f>ROUND(AVERAGE(X228,AF228,AN228),1)</x:f>
        <x:v>79</x:v>
      </x:c>
      <x:c r="AW228" s="60" t="n">
        <x:f>ROUND(AVERAGE(Y228,AG228,AO228),1)</x:f>
        <x:v>78.9</x:v>
      </x:c>
      <x:c r="AX228" s="60" t="n">
        <x:f>ROUND(AVERAGE(Z228,AH228,AP228),1)</x:f>
        <x:v>80</x:v>
      </x:c>
      <x:c r="AY228" s="60" t="n">
        <x:f>ROUND(AVERAGE(AA228,AI228,AQ228),1)</x:f>
        <x:v>79</x:v>
      </x:c>
      <x:c r="AZ228" s="60" t="n">
        <x:f>ROUND(AVERAGE(AB228,AJ228,AR228),1)</x:f>
        <x:v>13</x:v>
      </x:c>
      <x:c r="BA228" s="59" t="n">
        <x:v>5</x:v>
      </x:c>
      <x:c r="BB228" s="60" t="n">
        <x:f>ROUND(0.30*AT228+0.20*AU228+0.25*AV228+0.15*AW228+0.10*AY228,2)</x:f>
        <x:v>78.99</x:v>
      </x:c>
      <x:c r="BC228" s="60" t="n">
        <x:f>ROUND(0.30*AX228+0.20*AV228+0.20*AU228+0.15*AY228+0.15*(100-AZ228),2)</x:f>
        <x:v>80.5</x:v>
      </x:c>
      <x:c r="BD228" s="60" t="n">
        <x:f>ROUND(AVERAGE(BB228,BC228),2)</x:f>
        <x:v>79.75</x:v>
      </x:c>
      <x:c r="BE228" s="60" t="n">
        <x:f>ROUND(BD228-U228,2)</x:f>
        <x:v>0</x:v>
      </x:c>
      <x:c r="BF228" s="60" t="n">
        <x:f>ROUND(STDEV.P(AC228,AK228,AS228),3)</x:f>
        <x:v>0</x:v>
      </x:c>
      <x:c r="BG228" s="59" t="str"/>
      <x:c r="BH228" s="59" t="str">
        <x:v>30%评分池轻量复核</x:v>
      </x:c>
      <x:c r="BI228" s="40" t="str">
        <x:v>范围偏专门，广度轻微回调</x:v>
      </x:c>
    </x:row>
    <x:row r="229" ht="30" customHeight="1">
      <x:c r="A229" s="59" t="n">
        <x:v>228</x:v>
      </x:c>
      <x:c r="B229" s="59" t="n">
        <x:v>228</x:v>
      </x:c>
      <x:c r="C229" s="59" t="str">
        <x:v>2026-06</x:v>
      </x:c>
      <x:c r="D229" s="59" t="n">
        <x:v>136</x:v>
      </x:c>
      <x:c r="E229" s="59" t="str">
        <x:v>2606.01200</x:v>
      </x:c>
      <x:c r="F229" s="40" t="str">
        <x:v>A high-order regularization of the non-linear shallow water equations with weakly singular shock waves and its approximation by finite volume methods</x:v>
      </x:c>
      <x:c r="G229" s="40" t="str">
        <x:v>Rezwana Razzaque Angana; Dimitrios Mitsotakis</x:v>
      </x:c>
      <x:c r="H229" s="40" t="str">
        <x:v>dispersive PDE</x:v>
      </x:c>
      <x:c r="I229" s="59"/>
      <x:c r="J229" s="40" t="str">
        <x:v>https://arxiv.org/abs/2606.01200</x:v>
      </x:c>
      <x:c r="K229" s="60" t="n">
        <x:v>79</x:v>
      </x:c>
      <x:c r="L229" s="60" t="n">
        <x:v>79</x:v>
      </x:c>
      <x:c r="M229" s="60" t="n">
        <x:v>80</x:v>
      </x:c>
      <x:c r="N229" s="60" t="n">
        <x:v>78</x:v>
      </x:c>
      <x:c r="O229" s="60" t="n">
        <x:v>79</x:v>
      </x:c>
      <x:c r="P229" s="60" t="n">
        <x:v>79</x:v>
      </x:c>
      <x:c r="Q229" s="60" t="n">
        <x:v>14</x:v>
      </x:c>
      <x:c r="R229" s="59" t="n">
        <x:v>5</x:v>
      </x:c>
      <x:c r="S229" s="60" t="n">
        <x:v>79.10000000000001</x:v>
      </x:c>
      <x:c r="T229" s="60" t="n">
        <x:v>80.25</x:v>
      </x:c>
      <x:c r="U229" s="60" t="n">
        <x:v>79.67500000000001</x:v>
      </x:c>
      <x:c r="V229" s="60" t="n">
        <x:v>79</x:v>
      </x:c>
      <x:c r="W229" s="60" t="n">
        <x:v>79</x:v>
      </x:c>
      <x:c r="X229" s="60" t="n">
        <x:v>80</x:v>
      </x:c>
      <x:c r="Y229" s="60" t="n">
        <x:v>78</x:v>
      </x:c>
      <x:c r="Z229" s="60" t="n">
        <x:v>79</x:v>
      </x:c>
      <x:c r="AA229" s="60" t="n">
        <x:v>79</x:v>
      </x:c>
      <x:c r="AB229" s="60" t="n">
        <x:v>14</x:v>
      </x:c>
      <x:c r="AC229" s="60" t="n">
        <x:f>ROUND(((0.30*V229+0.20*W229+0.25*X229+0.15*Y229+0.10*AA229)+(0.30*Z229+0.20*X229+0.20*W229+0.15*AA229+0.15*(100-AB229)))/2,2)</x:f>
        <x:v>79.68</x:v>
      </x:c>
      <x:c r="AD229" s="60" t="n">
        <x:v>79</x:v>
      </x:c>
      <x:c r="AE229" s="60" t="n">
        <x:v>79</x:v>
      </x:c>
      <x:c r="AF229" s="60" t="n">
        <x:v>80</x:v>
      </x:c>
      <x:c r="AG229" s="60" t="n">
        <x:v>78</x:v>
      </x:c>
      <x:c r="AH229" s="60" t="n">
        <x:v>79</x:v>
      </x:c>
      <x:c r="AI229" s="60" t="n">
        <x:v>79</x:v>
      </x:c>
      <x:c r="AJ229" s="60" t="n">
        <x:v>14</x:v>
      </x:c>
      <x:c r="AK229" s="60" t="n">
        <x:f>ROUND(((0.30*AD229+0.20*AE229+0.25*AF229+0.15*AG229+0.10*AI229)+(0.30*AH229+0.20*AF229+0.20*AE229+0.15*AI229+0.15*(100-AJ229)))/2,2)</x:f>
        <x:v>79.68</x:v>
      </x:c>
      <x:c r="AL229" s="60" t="n">
        <x:v>79</x:v>
      </x:c>
      <x:c r="AM229" s="60" t="n">
        <x:v>79</x:v>
      </x:c>
      <x:c r="AN229" s="60" t="n">
        <x:v>80</x:v>
      </x:c>
      <x:c r="AO229" s="60" t="n">
        <x:v>78</x:v>
      </x:c>
      <x:c r="AP229" s="60" t="n">
        <x:v>79</x:v>
      </x:c>
      <x:c r="AQ229" s="60" t="n">
        <x:v>79</x:v>
      </x:c>
      <x:c r="AR229" s="60" t="n">
        <x:v>14</x:v>
      </x:c>
      <x:c r="AS229" s="60" t="n">
        <x:f>ROUND(((0.30*AL229+0.20*AM229+0.25*AN229+0.15*AO229+0.10*AQ229)+(0.30*AP229+0.20*AN229+0.20*AM229+0.15*AQ229+0.15*(100-AR229)))/2,2)</x:f>
        <x:v>79.68</x:v>
      </x:c>
      <x:c r="AT229" s="60" t="n">
        <x:f>ROUND(AVERAGE(V229,AD229,AL229),1)</x:f>
        <x:v>79</x:v>
      </x:c>
      <x:c r="AU229" s="60" t="n">
        <x:f>ROUND(AVERAGE(W229,AE229,AM229),1)</x:f>
        <x:v>79</x:v>
      </x:c>
      <x:c r="AV229" s="60" t="n">
        <x:f>ROUND(AVERAGE(X229,AF229,AN229),1)</x:f>
        <x:v>80</x:v>
      </x:c>
      <x:c r="AW229" s="60" t="n">
        <x:f>ROUND(AVERAGE(Y229,AG229,AO229),1)</x:f>
        <x:v>78</x:v>
      </x:c>
      <x:c r="AX229" s="60" t="n">
        <x:f>ROUND(AVERAGE(Z229,AH229,AP229),1)</x:f>
        <x:v>79</x:v>
      </x:c>
      <x:c r="AY229" s="60" t="n">
        <x:f>ROUND(AVERAGE(AA229,AI229,AQ229),1)</x:f>
        <x:v>79</x:v>
      </x:c>
      <x:c r="AZ229" s="60" t="n">
        <x:f>ROUND(AVERAGE(AB229,AJ229,AR229),1)</x:f>
        <x:v>14</x:v>
      </x:c>
      <x:c r="BA229" s="59" t="n">
        <x:v>5</x:v>
      </x:c>
      <x:c r="BB229" s="60" t="n">
        <x:f>ROUND(0.30*AT229+0.20*AU229+0.25*AV229+0.15*AW229+0.10*AY229,2)</x:f>
        <x:v>79.1</x:v>
      </x:c>
      <x:c r="BC229" s="60" t="n">
        <x:f>ROUND(0.30*AX229+0.20*AV229+0.20*AU229+0.15*AY229+0.15*(100-AZ229),2)</x:f>
        <x:v>80.25</x:v>
      </x:c>
      <x:c r="BD229" s="60" t="n">
        <x:f>ROUND(AVERAGE(BB229,BC229),2)</x:f>
        <x:v>79.68</x:v>
      </x:c>
      <x:c r="BE229" s="60" t="n">
        <x:f>ROUND(BD229-U229,2)</x:f>
        <x:v>0</x:v>
      </x:c>
      <x:c r="BF229" s="60" t="n">
        <x:f>ROUND(STDEV.P(AC229,AK229,AS229),3)</x:f>
        <x:v>0</x:v>
      </x:c>
      <x:c r="BG229" s="59" t="str"/>
      <x:c r="BH229" s="59" t="str">
        <x:v>30%评分池轻量复核</x:v>
      </x:c>
      <x:c r="BI229" s="40" t="str">
        <x:v>三轮复核后与原表基本一致</x:v>
      </x:c>
    </x:row>
    <x:row r="230" ht="30" customHeight="1">
      <x:c r="A230" s="59" t="n">
        <x:v>229</x:v>
      </x:c>
      <x:c r="B230" s="59" t="n">
        <x:v>229</x:v>
      </x:c>
      <x:c r="C230" s="59" t="str">
        <x:v>2026-06</x:v>
      </x:c>
      <x:c r="D230" s="59" t="n">
        <x:v>137</x:v>
      </x:c>
      <x:c r="E230" s="59" t="str">
        <x:v>2606.03996</x:v>
      </x:c>
      <x:c r="F230" s="40" t="str">
        <x:v>Corrigendum to Ramification of multiple eigenvalues for the Dirichlet-Laplacian in perforated domains</x:v>
      </x:c>
      <x:c r="G230" s="40" t="str">
        <x:v>Laura Abatangelo; Corentin Lena; Paolo Musolino</x:v>
      </x:c>
      <x:c r="H230" s="40" t="str">
        <x:v>analysis/PDE</x:v>
      </x:c>
      <x:c r="I230" s="59" t="n">
        <x:v>15</x:v>
      </x:c>
      <x:c r="J230" s="40" t="str">
        <x:v>https://arxiv.org/abs/2606.03996</x:v>
      </x:c>
      <x:c r="K230" s="60" t="n">
        <x:v>79</x:v>
      </x:c>
      <x:c r="L230" s="60" t="n">
        <x:v>79</x:v>
      </x:c>
      <x:c r="M230" s="60" t="n">
        <x:v>79</x:v>
      </x:c>
      <x:c r="N230" s="60" t="n">
        <x:v>78</x:v>
      </x:c>
      <x:c r="O230" s="60" t="n">
        <x:v>80</x:v>
      </x:c>
      <x:c r="P230" s="60" t="n">
        <x:v>79</x:v>
      </x:c>
      <x:c r="Q230" s="60" t="n">
        <x:v>13</x:v>
      </x:c>
      <x:c r="R230" s="59" t="n">
        <x:v>5</x:v>
      </x:c>
      <x:c r="S230" s="60" t="n">
        <x:v>78.85000000000001</x:v>
      </x:c>
      <x:c r="T230" s="60" t="n">
        <x:v>80.49999999999999</x:v>
      </x:c>
      <x:c r="U230" s="60" t="n">
        <x:v>79.675</x:v>
      </x:c>
      <x:c r="V230" s="60" t="n">
        <x:v>79</x:v>
      </x:c>
      <x:c r="W230" s="60" t="n">
        <x:v>79</x:v>
      </x:c>
      <x:c r="X230" s="60" t="n">
        <x:v>79</x:v>
      </x:c>
      <x:c r="Y230" s="60" t="n">
        <x:v>78</x:v>
      </x:c>
      <x:c r="Z230" s="60" t="n">
        <x:v>80</x:v>
      </x:c>
      <x:c r="AA230" s="60" t="n">
        <x:v>79</x:v>
      </x:c>
      <x:c r="AB230" s="60" t="n">
        <x:v>13</x:v>
      </x:c>
      <x:c r="AC230" s="60" t="n">
        <x:f>ROUND(((0.30*V230+0.20*W230+0.25*X230+0.15*Y230+0.10*AA230)+(0.30*Z230+0.20*X230+0.20*W230+0.15*AA230+0.15*(100-AB230)))/2,2)</x:f>
        <x:v>79.68</x:v>
      </x:c>
      <x:c r="AD230" s="60" t="n">
        <x:v>79</x:v>
      </x:c>
      <x:c r="AE230" s="60" t="n">
        <x:v>79</x:v>
      </x:c>
      <x:c r="AF230" s="60" t="n">
        <x:v>79</x:v>
      </x:c>
      <x:c r="AG230" s="60" t="n">
        <x:v>78</x:v>
      </x:c>
      <x:c r="AH230" s="60" t="n">
        <x:v>80</x:v>
      </x:c>
      <x:c r="AI230" s="60" t="n">
        <x:v>79</x:v>
      </x:c>
      <x:c r="AJ230" s="60" t="n">
        <x:v>13.4</x:v>
      </x:c>
      <x:c r="AK230" s="60" t="n">
        <x:f>ROUND(((0.30*AD230+0.20*AE230+0.25*AF230+0.15*AG230+0.10*AI230)+(0.30*AH230+0.20*AF230+0.20*AE230+0.15*AI230+0.15*(100-AJ230)))/2,2)</x:f>
        <x:v>79.65</x:v>
      </x:c>
      <x:c r="AL230" s="60" t="n">
        <x:v>79</x:v>
      </x:c>
      <x:c r="AM230" s="60" t="n">
        <x:v>79</x:v>
      </x:c>
      <x:c r="AN230" s="60" t="n">
        <x:v>79</x:v>
      </x:c>
      <x:c r="AO230" s="60" t="n">
        <x:v>78</x:v>
      </x:c>
      <x:c r="AP230" s="60" t="n">
        <x:v>80</x:v>
      </x:c>
      <x:c r="AQ230" s="60" t="n">
        <x:v>79</x:v>
      </x:c>
      <x:c r="AR230" s="60" t="n">
        <x:v>13.5</x:v>
      </x:c>
      <x:c r="AS230" s="60" t="n">
        <x:f>ROUND(((0.30*AL230+0.20*AM230+0.25*AN230+0.15*AO230+0.10*AQ230)+(0.30*AP230+0.20*AN230+0.20*AM230+0.15*AQ230+0.15*(100-AR230)))/2,2)</x:f>
        <x:v>79.64</x:v>
      </x:c>
      <x:c r="AT230" s="60" t="n">
        <x:f>ROUND(AVERAGE(V230,AD230,AL230),1)</x:f>
        <x:v>79</x:v>
      </x:c>
      <x:c r="AU230" s="60" t="n">
        <x:f>ROUND(AVERAGE(W230,AE230,AM230),1)</x:f>
        <x:v>79</x:v>
      </x:c>
      <x:c r="AV230" s="60" t="n">
        <x:f>ROUND(AVERAGE(X230,AF230,AN230),1)</x:f>
        <x:v>79</x:v>
      </x:c>
      <x:c r="AW230" s="60" t="n">
        <x:f>ROUND(AVERAGE(Y230,AG230,AO230),1)</x:f>
        <x:v>78</x:v>
      </x:c>
      <x:c r="AX230" s="60" t="n">
        <x:f>ROUND(AVERAGE(Z230,AH230,AP230),1)</x:f>
        <x:v>80</x:v>
      </x:c>
      <x:c r="AY230" s="60" t="n">
        <x:f>ROUND(AVERAGE(AA230,AI230,AQ230),1)</x:f>
        <x:v>79</x:v>
      </x:c>
      <x:c r="AZ230" s="60" t="n">
        <x:f>ROUND(AVERAGE(AB230,AJ230,AR230),1)</x:f>
        <x:v>13.3</x:v>
      </x:c>
      <x:c r="BA230" s="59" t="n">
        <x:v>5</x:v>
      </x:c>
      <x:c r="BB230" s="60" t="n">
        <x:f>ROUND(0.30*AT230+0.20*AU230+0.25*AV230+0.15*AW230+0.10*AY230,2)</x:f>
        <x:v>78.85</x:v>
      </x:c>
      <x:c r="BC230" s="60" t="n">
        <x:f>ROUND(0.30*AX230+0.20*AV230+0.20*AU230+0.15*AY230+0.15*(100-AZ230),2)</x:f>
        <x:v>80.45</x:v>
      </x:c>
      <x:c r="BD230" s="60" t="n">
        <x:f>ROUND(AVERAGE(BB230,BC230),2)</x:f>
        <x:v>79.65</x:v>
      </x:c>
      <x:c r="BE230" s="60" t="n">
        <x:f>ROUND(BD230-U230,2)</x:f>
        <x:v>-0.02</x:v>
      </x:c>
      <x:c r="BF230" s="60" t="n">
        <x:f>ROUND(STDEV.P(AC230,AK230,AS230),3)</x:f>
        <x:v>0.017</x:v>
      </x:c>
      <x:c r="BG230" s="59" t="str"/>
      <x:c r="BH230" s="59" t="str">
        <x:v>30%评分池轻量复核</x:v>
      </x:c>
      <x:c r="BI230" s="40" t="str">
        <x:v>三轮复核后与原表基本一致</x:v>
      </x:c>
    </x:row>
    <x:row r="231" ht="30" customHeight="1">
      <x:c r="A231" s="59" t="n">
        <x:v>230</x:v>
      </x:c>
      <x:c r="B231" s="59" t="n">
        <x:v>230</x:v>
      </x:c>
      <x:c r="C231" s="59" t="str">
        <x:v>2026-06</x:v>
      </x:c>
      <x:c r="D231" s="59" t="n">
        <x:v>137</x:v>
      </x:c>
      <x:c r="E231" s="59" t="str">
        <x:v>2606.01778</x:v>
      </x:c>
      <x:c r="F231" s="40" t="str">
        <x:v>Long Time Well-posedness for the Benjamin-Ono Equation with Quasi-Periodic Initial Data</x:v>
      </x:c>
      <x:c r="G231" s="40" t="str">
        <x:v>Yubo Wang</x:v>
      </x:c>
      <x:c r="H231" s="40" t="str">
        <x:v>dispersive PDE</x:v>
      </x:c>
      <x:c r="I231" s="59" t="n">
        <x:v>13</x:v>
      </x:c>
      <x:c r="J231" s="40" t="str">
        <x:v>https://arxiv.org/abs/2606.01778</x:v>
      </x:c>
      <x:c r="K231" s="60" t="n">
        <x:v>79</x:v>
      </x:c>
      <x:c r="L231" s="60" t="n">
        <x:v>79</x:v>
      </x:c>
      <x:c r="M231" s="60" t="n">
        <x:v>79</x:v>
      </x:c>
      <x:c r="N231" s="60" t="n">
        <x:v>78</x:v>
      </x:c>
      <x:c r="O231" s="60" t="n">
        <x:v>80</x:v>
      </x:c>
      <x:c r="P231" s="60" t="n">
        <x:v>79</x:v>
      </x:c>
      <x:c r="Q231" s="60" t="n">
        <x:v>13</x:v>
      </x:c>
      <x:c r="R231" s="59" t="n">
        <x:v>5</x:v>
      </x:c>
      <x:c r="S231" s="60" t="n">
        <x:v>78.85000000000001</x:v>
      </x:c>
      <x:c r="T231" s="60" t="n">
        <x:v>80.49999999999999</x:v>
      </x:c>
      <x:c r="U231" s="60" t="n">
        <x:v>79.675</x:v>
      </x:c>
      <x:c r="V231" s="60" t="n">
        <x:v>79</x:v>
      </x:c>
      <x:c r="W231" s="60" t="n">
        <x:v>79</x:v>
      </x:c>
      <x:c r="X231" s="60" t="n">
        <x:v>79</x:v>
      </x:c>
      <x:c r="Y231" s="60" t="n">
        <x:v>78</x:v>
      </x:c>
      <x:c r="Z231" s="60" t="n">
        <x:v>80</x:v>
      </x:c>
      <x:c r="AA231" s="60" t="n">
        <x:v>79</x:v>
      </x:c>
      <x:c r="AB231" s="60" t="n">
        <x:v>13</x:v>
      </x:c>
      <x:c r="AC231" s="60" t="n">
        <x:f>ROUND(((0.30*V231+0.20*W231+0.25*X231+0.15*Y231+0.10*AA231)+(0.30*Z231+0.20*X231+0.20*W231+0.15*AA231+0.15*(100-AB231)))/2,2)</x:f>
        <x:v>79.68</x:v>
      </x:c>
      <x:c r="AD231" s="60" t="n">
        <x:v>79</x:v>
      </x:c>
      <x:c r="AE231" s="60" t="n">
        <x:v>79</x:v>
      </x:c>
      <x:c r="AF231" s="60" t="n">
        <x:v>79</x:v>
      </x:c>
      <x:c r="AG231" s="60" t="n">
        <x:v>78</x:v>
      </x:c>
      <x:c r="AH231" s="60" t="n">
        <x:v>80</x:v>
      </x:c>
      <x:c r="AI231" s="60" t="n">
        <x:v>79</x:v>
      </x:c>
      <x:c r="AJ231" s="60" t="n">
        <x:v>13.4</x:v>
      </x:c>
      <x:c r="AK231" s="60" t="n">
        <x:f>ROUND(((0.30*AD231+0.20*AE231+0.25*AF231+0.15*AG231+0.10*AI231)+(0.30*AH231+0.20*AF231+0.20*AE231+0.15*AI231+0.15*(100-AJ231)))/2,2)</x:f>
        <x:v>79.65</x:v>
      </x:c>
      <x:c r="AL231" s="60" t="n">
        <x:v>79</x:v>
      </x:c>
      <x:c r="AM231" s="60" t="n">
        <x:v>79</x:v>
      </x:c>
      <x:c r="AN231" s="60" t="n">
        <x:v>79</x:v>
      </x:c>
      <x:c r="AO231" s="60" t="n">
        <x:v>78</x:v>
      </x:c>
      <x:c r="AP231" s="60" t="n">
        <x:v>80</x:v>
      </x:c>
      <x:c r="AQ231" s="60" t="n">
        <x:v>79</x:v>
      </x:c>
      <x:c r="AR231" s="60" t="n">
        <x:v>13.5</x:v>
      </x:c>
      <x:c r="AS231" s="60" t="n">
        <x:f>ROUND(((0.30*AL231+0.20*AM231+0.25*AN231+0.15*AO231+0.10*AQ231)+(0.30*AP231+0.20*AN231+0.20*AM231+0.15*AQ231+0.15*(100-AR231)))/2,2)</x:f>
        <x:v>79.64</x:v>
      </x:c>
      <x:c r="AT231" s="60" t="n">
        <x:f>ROUND(AVERAGE(V231,AD231,AL231),1)</x:f>
        <x:v>79</x:v>
      </x:c>
      <x:c r="AU231" s="60" t="n">
        <x:f>ROUND(AVERAGE(W231,AE231,AM231),1)</x:f>
        <x:v>79</x:v>
      </x:c>
      <x:c r="AV231" s="60" t="n">
        <x:f>ROUND(AVERAGE(X231,AF231,AN231),1)</x:f>
        <x:v>79</x:v>
      </x:c>
      <x:c r="AW231" s="60" t="n">
        <x:f>ROUND(AVERAGE(Y231,AG231,AO231),1)</x:f>
        <x:v>78</x:v>
      </x:c>
      <x:c r="AX231" s="60" t="n">
        <x:f>ROUND(AVERAGE(Z231,AH231,AP231),1)</x:f>
        <x:v>80</x:v>
      </x:c>
      <x:c r="AY231" s="60" t="n">
        <x:f>ROUND(AVERAGE(AA231,AI231,AQ231),1)</x:f>
        <x:v>79</x:v>
      </x:c>
      <x:c r="AZ231" s="60" t="n">
        <x:f>ROUND(AVERAGE(AB231,AJ231,AR231),1)</x:f>
        <x:v>13.3</x:v>
      </x:c>
      <x:c r="BA231" s="59" t="n">
        <x:v>5</x:v>
      </x:c>
      <x:c r="BB231" s="60" t="n">
        <x:f>ROUND(0.30*AT231+0.20*AU231+0.25*AV231+0.15*AW231+0.10*AY231,2)</x:f>
        <x:v>78.85</x:v>
      </x:c>
      <x:c r="BC231" s="60" t="n">
        <x:f>ROUND(0.30*AX231+0.20*AV231+0.20*AU231+0.15*AY231+0.15*(100-AZ231),2)</x:f>
        <x:v>80.45</x:v>
      </x:c>
      <x:c r="BD231" s="60" t="n">
        <x:f>ROUND(AVERAGE(BB231,BC231),2)</x:f>
        <x:v>79.65</x:v>
      </x:c>
      <x:c r="BE231" s="60" t="n">
        <x:f>ROUND(BD231-U231,2)</x:f>
        <x:v>-0.02</x:v>
      </x:c>
      <x:c r="BF231" s="60" t="n">
        <x:f>ROUND(STDEV.P(AC231,AK231,AS231),3)</x:f>
        <x:v>0.017</x:v>
      </x:c>
      <x:c r="BG231" s="59" t="str"/>
      <x:c r="BH231" s="59" t="str">
        <x:v>30%评分池轻量复核</x:v>
      </x:c>
      <x:c r="BI231" s="40" t="str">
        <x:v>三轮复核后与原表基本一致</x:v>
      </x:c>
    </x:row>
    <x:row r="232" ht="30" customHeight="1">
      <x:c r="A232" s="59" t="n">
        <x:v>231</x:v>
      </x:c>
      <x:c r="B232" s="59" t="n">
        <x:v>231</x:v>
      </x:c>
      <x:c r="C232" s="59" t="str">
        <x:v>2026-06</x:v>
      </x:c>
      <x:c r="D232" s="59" t="n">
        <x:v>139</x:v>
      </x:c>
      <x:c r="E232" s="59" t="str">
        <x:v>2606.27645</x:v>
      </x:c>
      <x:c r="F232" s="40" t="str">
        <x:v>Uniform large deviations and long-time dynamics for the 2D anisotropic Navier-Stokes equations on the torus</x:v>
      </x:c>
      <x:c r="G232" s="40" t="str">
        <x:v>Chengfeng Sun; Hao Yu; Hui Liu</x:v>
      </x:c>
      <x:c r="H232" s="40" t="str">
        <x:v>fluid/kinetic PDE</x:v>
      </x:c>
      <x:c r="I232" s="59"/>
      <x:c r="J232" s="40" t="str">
        <x:v>https://arxiv.org/abs/2606.27645</x:v>
      </x:c>
      <x:c r="K232" s="60" t="n">
        <x:v>80</x:v>
      </x:c>
      <x:c r="L232" s="60" t="n">
        <x:v>78</x:v>
      </x:c>
      <x:c r="M232" s="60" t="n">
        <x:v>79</x:v>
      </x:c>
      <x:c r="N232" s="60" t="n">
        <x:v>78</x:v>
      </x:c>
      <x:c r="O232" s="60" t="n">
        <x:v>80</x:v>
      </x:c>
      <x:c r="P232" s="60" t="n">
        <x:v>79</x:v>
      </x:c>
      <x:c r="Q232" s="60" t="n">
        <x:v>13</x:v>
      </x:c>
      <x:c r="R232" s="59" t="n">
        <x:v>5</x:v>
      </x:c>
      <x:c r="S232" s="60" t="n">
        <x:v>78.95</x:v>
      </x:c>
      <x:c r="T232" s="60" t="n">
        <x:v>80.3</x:v>
      </x:c>
      <x:c r="U232" s="60" t="n">
        <x:v>79.625</x:v>
      </x:c>
      <x:c r="V232" s="60" t="n">
        <x:v>80.1</x:v>
      </x:c>
      <x:c r="W232" s="60" t="n">
        <x:v>78</x:v>
      </x:c>
      <x:c r="X232" s="60" t="n">
        <x:v>79.1</x:v>
      </x:c>
      <x:c r="Y232" s="60" t="n">
        <x:v>78</x:v>
      </x:c>
      <x:c r="Z232" s="60" t="n">
        <x:v>80.1</x:v>
      </x:c>
      <x:c r="AA232" s="60" t="n">
        <x:v>79</x:v>
      </x:c>
      <x:c r="AB232" s="60" t="n">
        <x:v>13</x:v>
      </x:c>
      <x:c r="AC232" s="60" t="n">
        <x:f>ROUND(((0.30*V232+0.20*W232+0.25*X232+0.15*Y232+0.10*AA232)+(0.30*Z232+0.20*X232+0.20*W232+0.15*AA232+0.15*(100-AB232)))/2,2)</x:f>
        <x:v>79.68</x:v>
      </x:c>
      <x:c r="AD232" s="60" t="n">
        <x:v>80</x:v>
      </x:c>
      <x:c r="AE232" s="60" t="n">
        <x:v>78</x:v>
      </x:c>
      <x:c r="AF232" s="60" t="n">
        <x:v>79</x:v>
      </x:c>
      <x:c r="AG232" s="60" t="n">
        <x:v>78</x:v>
      </x:c>
      <x:c r="AH232" s="60" t="n">
        <x:v>80</x:v>
      </x:c>
      <x:c r="AI232" s="60" t="n">
        <x:v>79</x:v>
      </x:c>
      <x:c r="AJ232" s="60" t="n">
        <x:v>13</x:v>
      </x:c>
      <x:c r="AK232" s="60" t="n">
        <x:f>ROUND(((0.30*AD232+0.20*AE232+0.25*AF232+0.15*AG232+0.10*AI232)+(0.30*AH232+0.20*AF232+0.20*AE232+0.15*AI232+0.15*(100-AJ232)))/2,2)</x:f>
        <x:v>79.63</x:v>
      </x:c>
      <x:c r="AL232" s="60" t="n">
        <x:v>80</x:v>
      </x:c>
      <x:c r="AM232" s="60" t="n">
        <x:v>78</x:v>
      </x:c>
      <x:c r="AN232" s="60" t="n">
        <x:v>79.1</x:v>
      </x:c>
      <x:c r="AO232" s="60" t="n">
        <x:v>78</x:v>
      </x:c>
      <x:c r="AP232" s="60" t="n">
        <x:v>80</x:v>
      </x:c>
      <x:c r="AQ232" s="60" t="n">
        <x:v>79</x:v>
      </x:c>
      <x:c r="AR232" s="60" t="n">
        <x:v>13</x:v>
      </x:c>
      <x:c r="AS232" s="60" t="n">
        <x:f>ROUND(((0.30*AL232+0.20*AM232+0.25*AN232+0.15*AO232+0.10*AQ232)+(0.30*AP232+0.20*AN232+0.20*AM232+0.15*AQ232+0.15*(100-AR232)))/2,2)</x:f>
        <x:v>79.65</x:v>
      </x:c>
      <x:c r="AT232" s="60" t="n">
        <x:f>ROUND(AVERAGE(V232,AD232,AL232),1)</x:f>
        <x:v>80</x:v>
      </x:c>
      <x:c r="AU232" s="60" t="n">
        <x:f>ROUND(AVERAGE(W232,AE232,AM232),1)</x:f>
        <x:v>78</x:v>
      </x:c>
      <x:c r="AV232" s="60" t="n">
        <x:f>ROUND(AVERAGE(X232,AF232,AN232),1)</x:f>
        <x:v>79.1</x:v>
      </x:c>
      <x:c r="AW232" s="60" t="n">
        <x:f>ROUND(AVERAGE(Y232,AG232,AO232),1)</x:f>
        <x:v>78</x:v>
      </x:c>
      <x:c r="AX232" s="60" t="n">
        <x:f>ROUND(AVERAGE(Z232,AH232,AP232),1)</x:f>
        <x:v>80</x:v>
      </x:c>
      <x:c r="AY232" s="60" t="n">
        <x:f>ROUND(AVERAGE(AA232,AI232,AQ232),1)</x:f>
        <x:v>79</x:v>
      </x:c>
      <x:c r="AZ232" s="60" t="n">
        <x:f>ROUND(AVERAGE(AB232,AJ232,AR232),1)</x:f>
        <x:v>13</x:v>
      </x:c>
      <x:c r="BA232" s="59" t="n">
        <x:v>5</x:v>
      </x:c>
      <x:c r="BB232" s="60" t="n">
        <x:f>ROUND(0.30*AT232+0.20*AU232+0.25*AV232+0.15*AW232+0.10*AY232,2)</x:f>
        <x:v>78.98</x:v>
      </x:c>
      <x:c r="BC232" s="60" t="n">
        <x:f>ROUND(0.30*AX232+0.20*AV232+0.20*AU232+0.15*AY232+0.15*(100-AZ232),2)</x:f>
        <x:v>80.32</x:v>
      </x:c>
      <x:c r="BD232" s="60" t="n">
        <x:f>ROUND(AVERAGE(BB232,BC232),2)</x:f>
        <x:v>79.65</x:v>
      </x:c>
      <x:c r="BE232" s="60" t="n">
        <x:f>ROUND(BD232-U232,2)</x:f>
        <x:v>0.03</x:v>
      </x:c>
      <x:c r="BF232" s="60" t="n">
        <x:f>ROUND(STDEV.P(AC232,AK232,AS232),3)</x:f>
        <x:v>0.021</x:v>
      </x:c>
      <x:c r="BG232" s="59" t="str"/>
      <x:c r="BH232" s="59" t="str">
        <x:v>30%评分池轻量复核</x:v>
      </x:c>
      <x:c r="BI232" s="40" t="str">
        <x:v>三轮复核后与原表基本一致</x:v>
      </x:c>
    </x:row>
    <x:row r="233" ht="30" customHeight="1">
      <x:c r="A233" s="59" t="n">
        <x:v>232</x:v>
      </x:c>
      <x:c r="B233" s="59" t="n">
        <x:v>238</x:v>
      </x:c>
      <x:c r="C233" s="59" t="str">
        <x:v>2026-06</x:v>
      </x:c>
      <x:c r="D233" s="59" t="n">
        <x:v>140</x:v>
      </x:c>
      <x:c r="E233" s="59" t="str">
        <x:v>2606.07224</x:v>
      </x:c>
      <x:c r="F233" s="40" t="str">
        <x:v>Mean-Field limit of the non-exchangeable Cucker-Dong model</x:v>
      </x:c>
      <x:c r="G233" s="40" t="str">
        <x:v>Nathalie Ayi; Adrien Cotil; Fanny Delebecque</x:v>
      </x:c>
      <x:c r="H233" s="40" t="str">
        <x:v>homogenization/asymptotics</x:v>
      </x:c>
      <x:c r="I233" s="59"/>
      <x:c r="J233" s="40" t="str">
        <x:v>https://arxiv.org/abs/2606.07224</x:v>
      </x:c>
      <x:c r="K233" s="60" t="n">
        <x:v>79</x:v>
      </x:c>
      <x:c r="L233" s="60" t="n">
        <x:v>79</x:v>
      </x:c>
      <x:c r="M233" s="60" t="n">
        <x:v>79</x:v>
      </x:c>
      <x:c r="N233" s="60" t="n">
        <x:v>78</x:v>
      </x:c>
      <x:c r="O233" s="60" t="n">
        <x:v>79</x:v>
      </x:c>
      <x:c r="P233" s="60" t="n">
        <x:v>79</x:v>
      </x:c>
      <x:c r="Q233" s="60" t="n">
        <x:v>13</x:v>
      </x:c>
      <x:c r="R233" s="59" t="n">
        <x:v>5</x:v>
      </x:c>
      <x:c r="S233" s="60" t="n">
        <x:v>78.85000000000001</x:v>
      </x:c>
      <x:c r="T233" s="60" t="n">
        <x:v>80.19999999999999</x:v>
      </x:c>
      <x:c r="U233" s="60" t="n">
        <x:v>79.525</x:v>
      </x:c>
      <x:c r="V233" s="60" t="n">
        <x:v>79.1</x:v>
      </x:c>
      <x:c r="W233" s="60" t="n">
        <x:v>79.1</x:v>
      </x:c>
      <x:c r="X233" s="60" t="n">
        <x:v>79.1</x:v>
      </x:c>
      <x:c r="Y233" s="60" t="n">
        <x:v>78.1</x:v>
      </x:c>
      <x:c r="Z233" s="60" t="n">
        <x:v>79.1</x:v>
      </x:c>
      <x:c r="AA233" s="60" t="n">
        <x:v>79</x:v>
      </x:c>
      <x:c r="AB233" s="60" t="n">
        <x:v>13</x:v>
      </x:c>
      <x:c r="AC233" s="60" t="n">
        <x:f>ROUND(((0.30*V233+0.20*W233+0.25*X233+0.15*Y233+0.10*AA233)+(0.30*Z233+0.20*X233+0.20*W233+0.15*AA233+0.15*(100-AB233)))/2,2)</x:f>
        <x:v>79.6</x:v>
      </x:c>
      <x:c r="AD233" s="60" t="n">
        <x:v>79</x:v>
      </x:c>
      <x:c r="AE233" s="60" t="n">
        <x:v>79.1</x:v>
      </x:c>
      <x:c r="AF233" s="60" t="n">
        <x:v>79</x:v>
      </x:c>
      <x:c r="AG233" s="60" t="n">
        <x:v>78.1</x:v>
      </x:c>
      <x:c r="AH233" s="60" t="n">
        <x:v>79.1</x:v>
      </x:c>
      <x:c r="AI233" s="60" t="n">
        <x:v>79</x:v>
      </x:c>
      <x:c r="AJ233" s="60" t="n">
        <x:v>13</x:v>
      </x:c>
      <x:c r="AK233" s="60" t="n">
        <x:f>ROUND(((0.30*AD233+0.20*AE233+0.25*AF233+0.15*AG233+0.10*AI233)+(0.30*AH233+0.20*AF233+0.20*AE233+0.15*AI233+0.15*(100-AJ233)))/2,2)</x:f>
        <x:v>79.57</x:v>
      </x:c>
      <x:c r="AL233" s="60" t="n">
        <x:v>79</x:v>
      </x:c>
      <x:c r="AM233" s="60" t="n">
        <x:v>79.1</x:v>
      </x:c>
      <x:c r="AN233" s="60" t="n">
        <x:v>79.1</x:v>
      </x:c>
      <x:c r="AO233" s="60" t="n">
        <x:v>78.1</x:v>
      </x:c>
      <x:c r="AP233" s="60" t="n">
        <x:v>79.1</x:v>
      </x:c>
      <x:c r="AQ233" s="60" t="n">
        <x:v>79</x:v>
      </x:c>
      <x:c r="AR233" s="60" t="n">
        <x:v>13</x:v>
      </x:c>
      <x:c r="AS233" s="60" t="n">
        <x:f>ROUND(((0.30*AL233+0.20*AM233+0.25*AN233+0.15*AO233+0.10*AQ233)+(0.30*AP233+0.20*AN233+0.20*AM233+0.15*AQ233+0.15*(100-AR233)))/2,2)</x:f>
        <x:v>79.59</x:v>
      </x:c>
      <x:c r="AT233" s="60" t="n">
        <x:f>ROUND(AVERAGE(V233,AD233,AL233),1)</x:f>
        <x:v>79</x:v>
      </x:c>
      <x:c r="AU233" s="60" t="n">
        <x:f>ROUND(AVERAGE(W233,AE233,AM233),1)</x:f>
        <x:v>79.1</x:v>
      </x:c>
      <x:c r="AV233" s="60" t="n">
        <x:f>ROUND(AVERAGE(X233,AF233,AN233),1)</x:f>
        <x:v>79.1</x:v>
      </x:c>
      <x:c r="AW233" s="60" t="n">
        <x:f>ROUND(AVERAGE(Y233,AG233,AO233),1)</x:f>
        <x:v>78.1</x:v>
      </x:c>
      <x:c r="AX233" s="60" t="n">
        <x:f>ROUND(AVERAGE(Z233,AH233,AP233),1)</x:f>
        <x:v>79.1</x:v>
      </x:c>
      <x:c r="AY233" s="60" t="n">
        <x:f>ROUND(AVERAGE(AA233,AI233,AQ233),1)</x:f>
        <x:v>79</x:v>
      </x:c>
      <x:c r="AZ233" s="60" t="n">
        <x:f>ROUND(AVERAGE(AB233,AJ233,AR233),1)</x:f>
        <x:v>13</x:v>
      </x:c>
      <x:c r="BA233" s="59" t="n">
        <x:v>5</x:v>
      </x:c>
      <x:c r="BB233" s="60" t="n">
        <x:f>ROUND(0.30*AT233+0.20*AU233+0.25*AV233+0.15*AW233+0.10*AY233,2)</x:f>
        <x:v>78.91</x:v>
      </x:c>
      <x:c r="BC233" s="60" t="n">
        <x:f>ROUND(0.30*AX233+0.20*AV233+0.20*AU233+0.15*AY233+0.15*(100-AZ233),2)</x:f>
        <x:v>80.27</x:v>
      </x:c>
      <x:c r="BD233" s="60" t="n">
        <x:f>ROUND(AVERAGE(BB233,BC233),2)</x:f>
        <x:v>79.59</x:v>
      </x:c>
      <x:c r="BE233" s="60" t="n">
        <x:f>ROUND(BD233-U233,2)</x:f>
        <x:v>0.06</x:v>
      </x:c>
      <x:c r="BF233" s="60" t="n">
        <x:f>ROUND(STDEV.P(AC233,AK233,AS233),3)</x:f>
        <x:v>0.012</x:v>
      </x:c>
      <x:c r="BG233" s="59" t="str"/>
      <x:c r="BH233" s="59" t="str">
        <x:v>30%评分池轻量复核</x:v>
      </x:c>
      <x:c r="BI233" s="40" t="str">
        <x:v>三轮复核后与原表基本一致</x:v>
      </x:c>
    </x:row>
    <x:row r="234" ht="30" customHeight="1">
      <x:c r="A234" s="59" t="n">
        <x:v>233</x:v>
      </x:c>
      <x:c r="B234" s="59" t="n">
        <x:v>233</x:v>
      </x:c>
      <x:c r="C234" s="59" t="str">
        <x:v>2026-06</x:v>
      </x:c>
      <x:c r="D234" s="59" t="n">
        <x:v>140</x:v>
      </x:c>
      <x:c r="E234" s="59" t="str">
        <x:v>2606.11376</x:v>
      </x:c>
      <x:c r="F234" s="40" t="str">
        <x:v>Global well-posedness of cubic fractional Schrodinger equation with rough data</x:v>
      </x:c>
      <x:c r="G234" s="40" t="str">
        <x:v>Jiajun Wang</x:v>
      </x:c>
      <x:c r="H234" s="40" t="str">
        <x:v>dispersive PDE</x:v>
      </x:c>
      <x:c r="I234" s="59" t="n">
        <x:v>46</x:v>
      </x:c>
      <x:c r="J234" s="40" t="str">
        <x:v>https://arxiv.org/abs/2606.11376</x:v>
      </x:c>
      <x:c r="K234" s="60" t="n">
        <x:v>79</x:v>
      </x:c>
      <x:c r="L234" s="60" t="n">
        <x:v>79</x:v>
      </x:c>
      <x:c r="M234" s="60" t="n">
        <x:v>79</x:v>
      </x:c>
      <x:c r="N234" s="60" t="n">
        <x:v>78</x:v>
      </x:c>
      <x:c r="O234" s="60" t="n">
        <x:v>79</x:v>
      </x:c>
      <x:c r="P234" s="60" t="n">
        <x:v>79</x:v>
      </x:c>
      <x:c r="Q234" s="60" t="n">
        <x:v>13</x:v>
      </x:c>
      <x:c r="R234" s="59" t="n">
        <x:v>5</x:v>
      </x:c>
      <x:c r="S234" s="60" t="n">
        <x:v>78.85000000000001</x:v>
      </x:c>
      <x:c r="T234" s="60" t="n">
        <x:v>80.19999999999999</x:v>
      </x:c>
      <x:c r="U234" s="60" t="n">
        <x:v>79.525</x:v>
      </x:c>
      <x:c r="V234" s="60" t="n">
        <x:v>79</x:v>
      </x:c>
      <x:c r="W234" s="60" t="n">
        <x:v>79.1</x:v>
      </x:c>
      <x:c r="X234" s="60" t="n">
        <x:v>79</x:v>
      </x:c>
      <x:c r="Y234" s="60" t="n">
        <x:v>78.1</x:v>
      </x:c>
      <x:c r="Z234" s="60" t="n">
        <x:v>79.1</x:v>
      </x:c>
      <x:c r="AA234" s="60" t="n">
        <x:v>79</x:v>
      </x:c>
      <x:c r="AB234" s="60" t="n">
        <x:v>13</x:v>
      </x:c>
      <x:c r="AC234" s="60" t="n">
        <x:f>ROUND(((0.30*V234+0.20*W234+0.25*X234+0.15*Y234+0.10*AA234)+(0.30*Z234+0.20*X234+0.20*W234+0.15*AA234+0.15*(100-AB234)))/2,2)</x:f>
        <x:v>79.57</x:v>
      </x:c>
      <x:c r="AD234" s="60" t="n">
        <x:v>79</x:v>
      </x:c>
      <x:c r="AE234" s="60" t="n">
        <x:v>79.1</x:v>
      </x:c>
      <x:c r="AF234" s="60" t="n">
        <x:v>79</x:v>
      </x:c>
      <x:c r="AG234" s="60" t="n">
        <x:v>78.1</x:v>
      </x:c>
      <x:c r="AH234" s="60" t="n">
        <x:v>79</x:v>
      </x:c>
      <x:c r="AI234" s="60" t="n">
        <x:v>79</x:v>
      </x:c>
      <x:c r="AJ234" s="60" t="n">
        <x:v>13</x:v>
      </x:c>
      <x:c r="AK234" s="60" t="n">
        <x:f>ROUND(((0.30*AD234+0.20*AE234+0.25*AF234+0.15*AG234+0.10*AI234)+(0.30*AH234+0.20*AF234+0.20*AE234+0.15*AI234+0.15*(100-AJ234)))/2,2)</x:f>
        <x:v>79.55</x:v>
      </x:c>
      <x:c r="AL234" s="60" t="n">
        <x:v>79</x:v>
      </x:c>
      <x:c r="AM234" s="60" t="n">
        <x:v>79.1</x:v>
      </x:c>
      <x:c r="AN234" s="60" t="n">
        <x:v>79</x:v>
      </x:c>
      <x:c r="AO234" s="60" t="n">
        <x:v>78.1</x:v>
      </x:c>
      <x:c r="AP234" s="60" t="n">
        <x:v>79.1</x:v>
      </x:c>
      <x:c r="AQ234" s="60" t="n">
        <x:v>79</x:v>
      </x:c>
      <x:c r="AR234" s="60" t="n">
        <x:v>13</x:v>
      </x:c>
      <x:c r="AS234" s="60" t="n">
        <x:f>ROUND(((0.30*AL234+0.20*AM234+0.25*AN234+0.15*AO234+0.10*AQ234)+(0.30*AP234+0.20*AN234+0.20*AM234+0.15*AQ234+0.15*(100-AR234)))/2,2)</x:f>
        <x:v>79.57</x:v>
      </x:c>
      <x:c r="AT234" s="60" t="n">
        <x:f>ROUND(AVERAGE(V234,AD234,AL234),1)</x:f>
        <x:v>79</x:v>
      </x:c>
      <x:c r="AU234" s="60" t="n">
        <x:f>ROUND(AVERAGE(W234,AE234,AM234),1)</x:f>
        <x:v>79.1</x:v>
      </x:c>
      <x:c r="AV234" s="60" t="n">
        <x:f>ROUND(AVERAGE(X234,AF234,AN234),1)</x:f>
        <x:v>79</x:v>
      </x:c>
      <x:c r="AW234" s="60" t="n">
        <x:f>ROUND(AVERAGE(Y234,AG234,AO234),1)</x:f>
        <x:v>78.1</x:v>
      </x:c>
      <x:c r="AX234" s="60" t="n">
        <x:f>ROUND(AVERAGE(Z234,AH234,AP234),1)</x:f>
        <x:v>79.1</x:v>
      </x:c>
      <x:c r="AY234" s="60" t="n">
        <x:f>ROUND(AVERAGE(AA234,AI234,AQ234),1)</x:f>
        <x:v>79</x:v>
      </x:c>
      <x:c r="AZ234" s="60" t="n">
        <x:f>ROUND(AVERAGE(AB234,AJ234,AR234),1)</x:f>
        <x:v>13</x:v>
      </x:c>
      <x:c r="BA234" s="59" t="n">
        <x:v>5</x:v>
      </x:c>
      <x:c r="BB234" s="60" t="n">
        <x:f>ROUND(0.30*AT234+0.20*AU234+0.25*AV234+0.15*AW234+0.10*AY234,2)</x:f>
        <x:v>78.89</x:v>
      </x:c>
      <x:c r="BC234" s="60" t="n">
        <x:f>ROUND(0.30*AX234+0.20*AV234+0.20*AU234+0.15*AY234+0.15*(100-AZ234),2)</x:f>
        <x:v>80.25</x:v>
      </x:c>
      <x:c r="BD234" s="60" t="n">
        <x:f>ROUND(AVERAGE(BB234,BC234),2)</x:f>
        <x:v>79.57</x:v>
      </x:c>
      <x:c r="BE234" s="60" t="n">
        <x:f>ROUND(BD234-U234,2)</x:f>
        <x:v>0.04</x:v>
      </x:c>
      <x:c r="BF234" s="60" t="n">
        <x:f>ROUND(STDEV.P(AC234,AK234,AS234),3)</x:f>
        <x:v>0.009</x:v>
      </x:c>
      <x:c r="BG234" s="59" t="str"/>
      <x:c r="BH234" s="59" t="str">
        <x:v>30%评分池轻量复核</x:v>
      </x:c>
      <x:c r="BI234" s="40" t="str">
        <x:v>三轮复核后与原表基本一致</x:v>
      </x:c>
    </x:row>
    <x:row r="235" ht="30" customHeight="1">
      <x:c r="A235" s="59" t="n">
        <x:v>234</x:v>
      </x:c>
      <x:c r="B235" s="59" t="n">
        <x:v>236</x:v>
      </x:c>
      <x:c r="C235" s="59" t="str">
        <x:v>2026-06</x:v>
      </x:c>
      <x:c r="D235" s="59" t="n">
        <x:v>140</x:v>
      </x:c>
      <x:c r="E235" s="59" t="str">
        <x:v>2606.09374</x:v>
      </x:c>
      <x:c r="F235" s="40" t="str">
        <x:v>Asymptotic analysis of Rayleigh-Lamb dispersion relations under various boundary conditions</x:v>
      </x:c>
      <x:c r="G235" s="40" t="str">
        <x:v>Angele Niclas; Titouan Rocabois</x:v>
      </x:c>
      <x:c r="H235" s="40" t="str">
        <x:v>homogenization/asymptotics</x:v>
      </x:c>
      <x:c r="I235" s="59"/>
      <x:c r="J235" s="40" t="str">
        <x:v>https://arxiv.org/abs/2606.09374</x:v>
      </x:c>
      <x:c r="K235" s="60" t="n">
        <x:v>79</x:v>
      </x:c>
      <x:c r="L235" s="60" t="n">
        <x:v>79</x:v>
      </x:c>
      <x:c r="M235" s="60" t="n">
        <x:v>79</x:v>
      </x:c>
      <x:c r="N235" s="60" t="n">
        <x:v>78</x:v>
      </x:c>
      <x:c r="O235" s="60" t="n">
        <x:v>79</x:v>
      </x:c>
      <x:c r="P235" s="60" t="n">
        <x:v>79</x:v>
      </x:c>
      <x:c r="Q235" s="60" t="n">
        <x:v>13</x:v>
      </x:c>
      <x:c r="R235" s="59" t="n">
        <x:v>5</x:v>
      </x:c>
      <x:c r="S235" s="60" t="n">
        <x:v>78.85000000000001</x:v>
      </x:c>
      <x:c r="T235" s="60" t="n">
        <x:v>80.19999999999999</x:v>
      </x:c>
      <x:c r="U235" s="60" t="n">
        <x:v>79.525</x:v>
      </x:c>
      <x:c r="V235" s="60" t="n">
        <x:v>79</x:v>
      </x:c>
      <x:c r="W235" s="60" t="n">
        <x:v>79.1</x:v>
      </x:c>
      <x:c r="X235" s="60" t="n">
        <x:v>79</x:v>
      </x:c>
      <x:c r="Y235" s="60" t="n">
        <x:v>78.1</x:v>
      </x:c>
      <x:c r="Z235" s="60" t="n">
        <x:v>79.1</x:v>
      </x:c>
      <x:c r="AA235" s="60" t="n">
        <x:v>79</x:v>
      </x:c>
      <x:c r="AB235" s="60" t="n">
        <x:v>13</x:v>
      </x:c>
      <x:c r="AC235" s="60" t="n">
        <x:f>ROUND(((0.30*V235+0.20*W235+0.25*X235+0.15*Y235+0.10*AA235)+(0.30*Z235+0.20*X235+0.20*W235+0.15*AA235+0.15*(100-AB235)))/2,2)</x:f>
        <x:v>79.57</x:v>
      </x:c>
      <x:c r="AD235" s="60" t="n">
        <x:v>79</x:v>
      </x:c>
      <x:c r="AE235" s="60" t="n">
        <x:v>79.1</x:v>
      </x:c>
      <x:c r="AF235" s="60" t="n">
        <x:v>79</x:v>
      </x:c>
      <x:c r="AG235" s="60" t="n">
        <x:v>78.1</x:v>
      </x:c>
      <x:c r="AH235" s="60" t="n">
        <x:v>79</x:v>
      </x:c>
      <x:c r="AI235" s="60" t="n">
        <x:v>79</x:v>
      </x:c>
      <x:c r="AJ235" s="60" t="n">
        <x:v>13</x:v>
      </x:c>
      <x:c r="AK235" s="60" t="n">
        <x:f>ROUND(((0.30*AD235+0.20*AE235+0.25*AF235+0.15*AG235+0.10*AI235)+(0.30*AH235+0.20*AF235+0.20*AE235+0.15*AI235+0.15*(100-AJ235)))/2,2)</x:f>
        <x:v>79.55</x:v>
      </x:c>
      <x:c r="AL235" s="60" t="n">
        <x:v>79</x:v>
      </x:c>
      <x:c r="AM235" s="60" t="n">
        <x:v>79.1</x:v>
      </x:c>
      <x:c r="AN235" s="60" t="n">
        <x:v>79</x:v>
      </x:c>
      <x:c r="AO235" s="60" t="n">
        <x:v>78.1</x:v>
      </x:c>
      <x:c r="AP235" s="60" t="n">
        <x:v>79.1</x:v>
      </x:c>
      <x:c r="AQ235" s="60" t="n">
        <x:v>79</x:v>
      </x:c>
      <x:c r="AR235" s="60" t="n">
        <x:v>13</x:v>
      </x:c>
      <x:c r="AS235" s="60" t="n">
        <x:f>ROUND(((0.30*AL235+0.20*AM235+0.25*AN235+0.15*AO235+0.10*AQ235)+(0.30*AP235+0.20*AN235+0.20*AM235+0.15*AQ235+0.15*(100-AR235)))/2,2)</x:f>
        <x:v>79.57</x:v>
      </x:c>
      <x:c r="AT235" s="60" t="n">
        <x:f>ROUND(AVERAGE(V235,AD235,AL235),1)</x:f>
        <x:v>79</x:v>
      </x:c>
      <x:c r="AU235" s="60" t="n">
        <x:f>ROUND(AVERAGE(W235,AE235,AM235),1)</x:f>
        <x:v>79.1</x:v>
      </x:c>
      <x:c r="AV235" s="60" t="n">
        <x:f>ROUND(AVERAGE(X235,AF235,AN235),1)</x:f>
        <x:v>79</x:v>
      </x:c>
      <x:c r="AW235" s="60" t="n">
        <x:f>ROUND(AVERAGE(Y235,AG235,AO235),1)</x:f>
        <x:v>78.1</x:v>
      </x:c>
      <x:c r="AX235" s="60" t="n">
        <x:f>ROUND(AVERAGE(Z235,AH235,AP235),1)</x:f>
        <x:v>79.1</x:v>
      </x:c>
      <x:c r="AY235" s="60" t="n">
        <x:f>ROUND(AVERAGE(AA235,AI235,AQ235),1)</x:f>
        <x:v>79</x:v>
      </x:c>
      <x:c r="AZ235" s="60" t="n">
        <x:f>ROUND(AVERAGE(AB235,AJ235,AR235),1)</x:f>
        <x:v>13</x:v>
      </x:c>
      <x:c r="BA235" s="59" t="n">
        <x:v>5</x:v>
      </x:c>
      <x:c r="BB235" s="60" t="n">
        <x:f>ROUND(0.30*AT235+0.20*AU235+0.25*AV235+0.15*AW235+0.10*AY235,2)</x:f>
        <x:v>78.89</x:v>
      </x:c>
      <x:c r="BC235" s="60" t="n">
        <x:f>ROUND(0.30*AX235+0.20*AV235+0.20*AU235+0.15*AY235+0.15*(100-AZ235),2)</x:f>
        <x:v>80.25</x:v>
      </x:c>
      <x:c r="BD235" s="60" t="n">
        <x:f>ROUND(AVERAGE(BB235,BC235),2)</x:f>
        <x:v>79.57</x:v>
      </x:c>
      <x:c r="BE235" s="60" t="n">
        <x:f>ROUND(BD235-U235,2)</x:f>
        <x:v>0.04</x:v>
      </x:c>
      <x:c r="BF235" s="60" t="n">
        <x:f>ROUND(STDEV.P(AC235,AK235,AS235),3)</x:f>
        <x:v>0.009</x:v>
      </x:c>
      <x:c r="BG235" s="59" t="str"/>
      <x:c r="BH235" s="59" t="str">
        <x:v>30%评分池轻量复核</x:v>
      </x:c>
      <x:c r="BI235" s="40" t="str">
        <x:v>三轮复核后与原表基本一致</x:v>
      </x:c>
    </x:row>
    <x:row r="236" ht="30" customHeight="1">
      <x:c r="A236" s="59" t="n">
        <x:v>235</x:v>
      </x:c>
      <x:c r="B236" s="59" t="n">
        <x:v>232</x:v>
      </x:c>
      <x:c r="C236" s="59" t="str">
        <x:v>2026-06</x:v>
      </x:c>
      <x:c r="D236" s="59" t="n">
        <x:v>140</x:v>
      </x:c>
      <x:c r="E236" s="59" t="str">
        <x:v>2606.27690</x:v>
      </x:c>
      <x:c r="F236" s="40" t="str">
        <x:v>Asymptotic stability for monotone traveling kinks of the dissipative Boussinesq problem</x:v>
      </x:c>
      <x:c r="G236" s="40" t="str">
        <x:v>Atanas G. Stefanov</x:v>
      </x:c>
      <x:c r="H236" s="40" t="str">
        <x:v>fluid/kinetic PDE</x:v>
      </x:c>
      <x:c r="I236" s="59"/>
      <x:c r="J236" s="40" t="str">
        <x:v>https://arxiv.org/abs/2606.27690</x:v>
      </x:c>
      <x:c r="K236" s="60" t="n">
        <x:v>79</x:v>
      </x:c>
      <x:c r="L236" s="60" t="n">
        <x:v>79</x:v>
      </x:c>
      <x:c r="M236" s="60" t="n">
        <x:v>79</x:v>
      </x:c>
      <x:c r="N236" s="60" t="n">
        <x:v>78</x:v>
      </x:c>
      <x:c r="O236" s="60" t="n">
        <x:v>79</x:v>
      </x:c>
      <x:c r="P236" s="60" t="n">
        <x:v>79</x:v>
      </x:c>
      <x:c r="Q236" s="60" t="n">
        <x:v>13</x:v>
      </x:c>
      <x:c r="R236" s="59" t="n">
        <x:v>5</x:v>
      </x:c>
      <x:c r="S236" s="60" t="n">
        <x:v>78.85000000000001</x:v>
      </x:c>
      <x:c r="T236" s="60" t="n">
        <x:v>80.19999999999999</x:v>
      </x:c>
      <x:c r="U236" s="60" t="n">
        <x:v>79.525</x:v>
      </x:c>
      <x:c r="V236" s="60" t="n">
        <x:v>79.1</x:v>
      </x:c>
      <x:c r="W236" s="60" t="n">
        <x:v>79</x:v>
      </x:c>
      <x:c r="X236" s="60" t="n">
        <x:v>79.1</x:v>
      </x:c>
      <x:c r="Y236" s="60" t="n">
        <x:v>78</x:v>
      </x:c>
      <x:c r="Z236" s="60" t="n">
        <x:v>79.1</x:v>
      </x:c>
      <x:c r="AA236" s="60" t="n">
        <x:v>79</x:v>
      </x:c>
      <x:c r="AB236" s="60" t="n">
        <x:v>13</x:v>
      </x:c>
      <x:c r="AC236" s="60" t="n">
        <x:f>ROUND(((0.30*V236+0.20*W236+0.25*X236+0.15*Y236+0.10*AA236)+(0.30*Z236+0.20*X236+0.20*W236+0.15*AA236+0.15*(100-AB236)))/2,2)</x:f>
        <x:v>79.58</x:v>
      </x:c>
      <x:c r="AD236" s="60" t="n">
        <x:v>79</x:v>
      </x:c>
      <x:c r="AE236" s="60" t="n">
        <x:v>79</x:v>
      </x:c>
      <x:c r="AF236" s="60" t="n">
        <x:v>79</x:v>
      </x:c>
      <x:c r="AG236" s="60" t="n">
        <x:v>78</x:v>
      </x:c>
      <x:c r="AH236" s="60" t="n">
        <x:v>79</x:v>
      </x:c>
      <x:c r="AI236" s="60" t="n">
        <x:v>79</x:v>
      </x:c>
      <x:c r="AJ236" s="60" t="n">
        <x:v>13</x:v>
      </x:c>
      <x:c r="AK236" s="60" t="n">
        <x:f>ROUND(((0.30*AD236+0.20*AE236+0.25*AF236+0.15*AG236+0.10*AI236)+(0.30*AH236+0.20*AF236+0.20*AE236+0.15*AI236+0.15*(100-AJ236)))/2,2)</x:f>
        <x:v>79.53</x:v>
      </x:c>
      <x:c r="AL236" s="60" t="n">
        <x:v>79</x:v>
      </x:c>
      <x:c r="AM236" s="60" t="n">
        <x:v>79</x:v>
      </x:c>
      <x:c r="AN236" s="60" t="n">
        <x:v>79.1</x:v>
      </x:c>
      <x:c r="AO236" s="60" t="n">
        <x:v>78</x:v>
      </x:c>
      <x:c r="AP236" s="60" t="n">
        <x:v>79</x:v>
      </x:c>
      <x:c r="AQ236" s="60" t="n">
        <x:v>79</x:v>
      </x:c>
      <x:c r="AR236" s="60" t="n">
        <x:v>13</x:v>
      </x:c>
      <x:c r="AS236" s="60" t="n">
        <x:f>ROUND(((0.30*AL236+0.20*AM236+0.25*AN236+0.15*AO236+0.10*AQ236)+(0.30*AP236+0.20*AN236+0.20*AM236+0.15*AQ236+0.15*(100-AR236)))/2,2)</x:f>
        <x:v>79.55</x:v>
      </x:c>
      <x:c r="AT236" s="60" t="n">
        <x:f>ROUND(AVERAGE(V236,AD236,AL236),1)</x:f>
        <x:v>79</x:v>
      </x:c>
      <x:c r="AU236" s="60" t="n">
        <x:f>ROUND(AVERAGE(W236,AE236,AM236),1)</x:f>
        <x:v>79</x:v>
      </x:c>
      <x:c r="AV236" s="60" t="n">
        <x:f>ROUND(AVERAGE(X236,AF236,AN236),1)</x:f>
        <x:v>79.1</x:v>
      </x:c>
      <x:c r="AW236" s="60" t="n">
        <x:f>ROUND(AVERAGE(Y236,AG236,AO236),1)</x:f>
        <x:v>78</x:v>
      </x:c>
      <x:c r="AX236" s="60" t="n">
        <x:f>ROUND(AVERAGE(Z236,AH236,AP236),1)</x:f>
        <x:v>79</x:v>
      </x:c>
      <x:c r="AY236" s="60" t="n">
        <x:f>ROUND(AVERAGE(AA236,AI236,AQ236),1)</x:f>
        <x:v>79</x:v>
      </x:c>
      <x:c r="AZ236" s="60" t="n">
        <x:f>ROUND(AVERAGE(AB236,AJ236,AR236),1)</x:f>
        <x:v>13</x:v>
      </x:c>
      <x:c r="BA236" s="59" t="n">
        <x:v>5</x:v>
      </x:c>
      <x:c r="BB236" s="60" t="n">
        <x:f>ROUND(0.30*AT236+0.20*AU236+0.25*AV236+0.15*AW236+0.10*AY236,2)</x:f>
        <x:v>78.88</x:v>
      </x:c>
      <x:c r="BC236" s="60" t="n">
        <x:f>ROUND(0.30*AX236+0.20*AV236+0.20*AU236+0.15*AY236+0.15*(100-AZ236),2)</x:f>
        <x:v>80.22</x:v>
      </x:c>
      <x:c r="BD236" s="60" t="n">
        <x:f>ROUND(AVERAGE(BB236,BC236),2)</x:f>
        <x:v>79.55</x:v>
      </x:c>
      <x:c r="BE236" s="60" t="n">
        <x:f>ROUND(BD236-U236,2)</x:f>
        <x:v>0.02</x:v>
      </x:c>
      <x:c r="BF236" s="60" t="n">
        <x:f>ROUND(STDEV.P(AC236,AK236,AS236),3)</x:f>
        <x:v>0.021</x:v>
      </x:c>
      <x:c r="BG236" s="59" t="str"/>
      <x:c r="BH236" s="59" t="str">
        <x:v>30%评分池轻量复核</x:v>
      </x:c>
      <x:c r="BI236" s="40" t="str">
        <x:v>三轮复核后与原表基本一致</x:v>
      </x:c>
    </x:row>
    <x:row r="237" ht="30" customHeight="1">
      <x:c r="A237" s="59" t="n">
        <x:v>236</x:v>
      </x:c>
      <x:c r="B237" s="59" t="n">
        <x:v>234</x:v>
      </x:c>
      <x:c r="C237" s="59" t="str">
        <x:v>2026-06</x:v>
      </x:c>
      <x:c r="D237" s="59" t="n">
        <x:v>140</x:v>
      </x:c>
      <x:c r="E237" s="59" t="str">
        <x:v>2606.10990</x:v>
      </x:c>
      <x:c r="F237" s="40" t="str">
        <x:v>Isolated Singularities for Fractional Hartree Equations</x:v>
      </x:c>
      <x:c r="G237" s="40" t="str">
        <x:v>Guangze Gu; Aleks Jevnikar; Zhipeng Yang</x:v>
      </x:c>
      <x:c r="H237" s="40" t="str">
        <x:v>analysis/PDE</x:v>
      </x:c>
      <x:c r="I237" s="59" t="n">
        <x:v>33</x:v>
      </x:c>
      <x:c r="J237" s="40" t="str">
        <x:v>https://arxiv.org/abs/2606.10990</x:v>
      </x:c>
      <x:c r="K237" s="60" t="n">
        <x:v>79</x:v>
      </x:c>
      <x:c r="L237" s="60" t="n">
        <x:v>79</x:v>
      </x:c>
      <x:c r="M237" s="60" t="n">
        <x:v>79</x:v>
      </x:c>
      <x:c r="N237" s="60" t="n">
        <x:v>78</x:v>
      </x:c>
      <x:c r="O237" s="60" t="n">
        <x:v>79</x:v>
      </x:c>
      <x:c r="P237" s="60" t="n">
        <x:v>79</x:v>
      </x:c>
      <x:c r="Q237" s="60" t="n">
        <x:v>13</x:v>
      </x:c>
      <x:c r="R237" s="59" t="n">
        <x:v>5</x:v>
      </x:c>
      <x:c r="S237" s="60" t="n">
        <x:v>78.85000000000001</x:v>
      </x:c>
      <x:c r="T237" s="60" t="n">
        <x:v>80.19999999999999</x:v>
      </x:c>
      <x:c r="U237" s="60" t="n">
        <x:v>79.525</x:v>
      </x:c>
      <x:c r="V237" s="60" t="n">
        <x:v>79</x:v>
      </x:c>
      <x:c r="W237" s="60" t="n">
        <x:v>79</x:v>
      </x:c>
      <x:c r="X237" s="60" t="n">
        <x:v>79</x:v>
      </x:c>
      <x:c r="Y237" s="60" t="n">
        <x:v>78</x:v>
      </x:c>
      <x:c r="Z237" s="60" t="n">
        <x:v>79</x:v>
      </x:c>
      <x:c r="AA237" s="60" t="n">
        <x:v>79</x:v>
      </x:c>
      <x:c r="AB237" s="60" t="n">
        <x:v>13</x:v>
      </x:c>
      <x:c r="AC237" s="60" t="n">
        <x:f>ROUND(((0.30*V237+0.20*W237+0.25*X237+0.15*Y237+0.10*AA237)+(0.30*Z237+0.20*X237+0.20*W237+0.15*AA237+0.15*(100-AB237)))/2,2)</x:f>
        <x:v>79.53</x:v>
      </x:c>
      <x:c r="AD237" s="60" t="n">
        <x:v>79</x:v>
      </x:c>
      <x:c r="AE237" s="60" t="n">
        <x:v>79</x:v>
      </x:c>
      <x:c r="AF237" s="60" t="n">
        <x:v>79</x:v>
      </x:c>
      <x:c r="AG237" s="60" t="n">
        <x:v>78</x:v>
      </x:c>
      <x:c r="AH237" s="60" t="n">
        <x:v>79</x:v>
      </x:c>
      <x:c r="AI237" s="60" t="n">
        <x:v>79</x:v>
      </x:c>
      <x:c r="AJ237" s="60" t="n">
        <x:v>13</x:v>
      </x:c>
      <x:c r="AK237" s="60" t="n">
        <x:f>ROUND(((0.30*AD237+0.20*AE237+0.25*AF237+0.15*AG237+0.10*AI237)+(0.30*AH237+0.20*AF237+0.20*AE237+0.15*AI237+0.15*(100-AJ237)))/2,2)</x:f>
        <x:v>79.53</x:v>
      </x:c>
      <x:c r="AL237" s="60" t="n">
        <x:v>79</x:v>
      </x:c>
      <x:c r="AM237" s="60" t="n">
        <x:v>79</x:v>
      </x:c>
      <x:c r="AN237" s="60" t="n">
        <x:v>79</x:v>
      </x:c>
      <x:c r="AO237" s="60" t="n">
        <x:v>78</x:v>
      </x:c>
      <x:c r="AP237" s="60" t="n">
        <x:v>79</x:v>
      </x:c>
      <x:c r="AQ237" s="60" t="n">
        <x:v>79</x:v>
      </x:c>
      <x:c r="AR237" s="60" t="n">
        <x:v>13</x:v>
      </x:c>
      <x:c r="AS237" s="60" t="n">
        <x:f>ROUND(((0.30*AL237+0.20*AM237+0.25*AN237+0.15*AO237+0.10*AQ237)+(0.30*AP237+0.20*AN237+0.20*AM237+0.15*AQ237+0.15*(100-AR237)))/2,2)</x:f>
        <x:v>79.53</x:v>
      </x:c>
      <x:c r="AT237" s="60" t="n">
        <x:f>ROUND(AVERAGE(V237,AD237,AL237),1)</x:f>
        <x:v>79</x:v>
      </x:c>
      <x:c r="AU237" s="60" t="n">
        <x:f>ROUND(AVERAGE(W237,AE237,AM237),1)</x:f>
        <x:v>79</x:v>
      </x:c>
      <x:c r="AV237" s="60" t="n">
        <x:f>ROUND(AVERAGE(X237,AF237,AN237),1)</x:f>
        <x:v>79</x:v>
      </x:c>
      <x:c r="AW237" s="60" t="n">
        <x:f>ROUND(AVERAGE(Y237,AG237,AO237),1)</x:f>
        <x:v>78</x:v>
      </x:c>
      <x:c r="AX237" s="60" t="n">
        <x:f>ROUND(AVERAGE(Z237,AH237,AP237),1)</x:f>
        <x:v>79</x:v>
      </x:c>
      <x:c r="AY237" s="60" t="n">
        <x:f>ROUND(AVERAGE(AA237,AI237,AQ237),1)</x:f>
        <x:v>79</x:v>
      </x:c>
      <x:c r="AZ237" s="60" t="n">
        <x:f>ROUND(AVERAGE(AB237,AJ237,AR237),1)</x:f>
        <x:v>13</x:v>
      </x:c>
      <x:c r="BA237" s="59" t="n">
        <x:v>5</x:v>
      </x:c>
      <x:c r="BB237" s="60" t="n">
        <x:f>ROUND(0.30*AT237+0.20*AU237+0.25*AV237+0.15*AW237+0.10*AY237,2)</x:f>
        <x:v>78.85</x:v>
      </x:c>
      <x:c r="BC237" s="60" t="n">
        <x:f>ROUND(0.30*AX237+0.20*AV237+0.20*AU237+0.15*AY237+0.15*(100-AZ237),2)</x:f>
        <x:v>80.2</x:v>
      </x:c>
      <x:c r="BD237" s="60" t="n">
        <x:f>ROUND(AVERAGE(BB237,BC237),2)</x:f>
        <x:v>79.53</x:v>
      </x:c>
      <x:c r="BE237" s="60" t="n">
        <x:f>ROUND(BD237-U237,2)</x:f>
        <x:v>0</x:v>
      </x:c>
      <x:c r="BF237" s="60" t="n">
        <x:f>ROUND(STDEV.P(AC237,AK237,AS237),3)</x:f>
        <x:v>0</x:v>
      </x:c>
      <x:c r="BG237" s="59" t="str"/>
      <x:c r="BH237" s="59" t="str">
        <x:v>30%评分池轻量复核</x:v>
      </x:c>
      <x:c r="BI237" s="40" t="str">
        <x:v>三轮复核后与原表基本一致</x:v>
      </x:c>
    </x:row>
    <x:row r="238" ht="30" customHeight="1">
      <x:c r="A238" s="59" t="n">
        <x:v>237</x:v>
      </x:c>
      <x:c r="B238" s="59" t="n">
        <x:v>237</x:v>
      </x:c>
      <x:c r="C238" s="59" t="str">
        <x:v>2026-06</x:v>
      </x:c>
      <x:c r="D238" s="59" t="n">
        <x:v>140</x:v>
      </x:c>
      <x:c r="E238" s="59" t="str">
        <x:v>2606.08537</x:v>
      </x:c>
      <x:c r="F238" s="40" t="str">
        <x:v>Two-bump axisymmetric solutions of the Nirenberg problem</x:v>
      </x:c>
      <x:c r="G238" s="40" t="str">
        <x:v>Yanyan Li; Luc Nguyen; Bo Wang</x:v>
      </x:c>
      <x:c r="H238" s="40" t="str">
        <x:v>analysis/PDE</x:v>
      </x:c>
      <x:c r="I238" s="59"/>
      <x:c r="J238" s="40" t="str">
        <x:v>https://arxiv.org/abs/2606.08537</x:v>
      </x:c>
      <x:c r="K238" s="60" t="n">
        <x:v>79</x:v>
      </x:c>
      <x:c r="L238" s="60" t="n">
        <x:v>79</x:v>
      </x:c>
      <x:c r="M238" s="60" t="n">
        <x:v>79</x:v>
      </x:c>
      <x:c r="N238" s="60" t="n">
        <x:v>78</x:v>
      </x:c>
      <x:c r="O238" s="60" t="n">
        <x:v>79</x:v>
      </x:c>
      <x:c r="P238" s="60" t="n">
        <x:v>79</x:v>
      </x:c>
      <x:c r="Q238" s="60" t="n">
        <x:v>13</x:v>
      </x:c>
      <x:c r="R238" s="59" t="n">
        <x:v>5</x:v>
      </x:c>
      <x:c r="S238" s="60" t="n">
        <x:v>78.85000000000001</x:v>
      </x:c>
      <x:c r="T238" s="60" t="n">
        <x:v>80.19999999999999</x:v>
      </x:c>
      <x:c r="U238" s="60" t="n">
        <x:v>79.525</x:v>
      </x:c>
      <x:c r="V238" s="60" t="n">
        <x:v>79</x:v>
      </x:c>
      <x:c r="W238" s="60" t="n">
        <x:v>79</x:v>
      </x:c>
      <x:c r="X238" s="60" t="n">
        <x:v>79</x:v>
      </x:c>
      <x:c r="Y238" s="60" t="n">
        <x:v>78</x:v>
      </x:c>
      <x:c r="Z238" s="60" t="n">
        <x:v>79</x:v>
      </x:c>
      <x:c r="AA238" s="60" t="n">
        <x:v>79</x:v>
      </x:c>
      <x:c r="AB238" s="60" t="n">
        <x:v>13</x:v>
      </x:c>
      <x:c r="AC238" s="60" t="n">
        <x:f>ROUND(((0.30*V238+0.20*W238+0.25*X238+0.15*Y238+0.10*AA238)+(0.30*Z238+0.20*X238+0.20*W238+0.15*AA238+0.15*(100-AB238)))/2,2)</x:f>
        <x:v>79.53</x:v>
      </x:c>
      <x:c r="AD238" s="60" t="n">
        <x:v>79</x:v>
      </x:c>
      <x:c r="AE238" s="60" t="n">
        <x:v>79</x:v>
      </x:c>
      <x:c r="AF238" s="60" t="n">
        <x:v>79</x:v>
      </x:c>
      <x:c r="AG238" s="60" t="n">
        <x:v>78</x:v>
      </x:c>
      <x:c r="AH238" s="60" t="n">
        <x:v>79</x:v>
      </x:c>
      <x:c r="AI238" s="60" t="n">
        <x:v>79</x:v>
      </x:c>
      <x:c r="AJ238" s="60" t="n">
        <x:v>13</x:v>
      </x:c>
      <x:c r="AK238" s="60" t="n">
        <x:f>ROUND(((0.30*AD238+0.20*AE238+0.25*AF238+0.15*AG238+0.10*AI238)+(0.30*AH238+0.20*AF238+0.20*AE238+0.15*AI238+0.15*(100-AJ238)))/2,2)</x:f>
        <x:v>79.53</x:v>
      </x:c>
      <x:c r="AL238" s="60" t="n">
        <x:v>79</x:v>
      </x:c>
      <x:c r="AM238" s="60" t="n">
        <x:v>79</x:v>
      </x:c>
      <x:c r="AN238" s="60" t="n">
        <x:v>79</x:v>
      </x:c>
      <x:c r="AO238" s="60" t="n">
        <x:v>78</x:v>
      </x:c>
      <x:c r="AP238" s="60" t="n">
        <x:v>79</x:v>
      </x:c>
      <x:c r="AQ238" s="60" t="n">
        <x:v>79</x:v>
      </x:c>
      <x:c r="AR238" s="60" t="n">
        <x:v>13</x:v>
      </x:c>
      <x:c r="AS238" s="60" t="n">
        <x:f>ROUND(((0.30*AL238+0.20*AM238+0.25*AN238+0.15*AO238+0.10*AQ238)+(0.30*AP238+0.20*AN238+0.20*AM238+0.15*AQ238+0.15*(100-AR238)))/2,2)</x:f>
        <x:v>79.53</x:v>
      </x:c>
      <x:c r="AT238" s="60" t="n">
        <x:f>ROUND(AVERAGE(V238,AD238,AL238),1)</x:f>
        <x:v>79</x:v>
      </x:c>
      <x:c r="AU238" s="60" t="n">
        <x:f>ROUND(AVERAGE(W238,AE238,AM238),1)</x:f>
        <x:v>79</x:v>
      </x:c>
      <x:c r="AV238" s="60" t="n">
        <x:f>ROUND(AVERAGE(X238,AF238,AN238),1)</x:f>
        <x:v>79</x:v>
      </x:c>
      <x:c r="AW238" s="60" t="n">
        <x:f>ROUND(AVERAGE(Y238,AG238,AO238),1)</x:f>
        <x:v>78</x:v>
      </x:c>
      <x:c r="AX238" s="60" t="n">
        <x:f>ROUND(AVERAGE(Z238,AH238,AP238),1)</x:f>
        <x:v>79</x:v>
      </x:c>
      <x:c r="AY238" s="60" t="n">
        <x:f>ROUND(AVERAGE(AA238,AI238,AQ238),1)</x:f>
        <x:v>79</x:v>
      </x:c>
      <x:c r="AZ238" s="60" t="n">
        <x:f>ROUND(AVERAGE(AB238,AJ238,AR238),1)</x:f>
        <x:v>13</x:v>
      </x:c>
      <x:c r="BA238" s="59" t="n">
        <x:v>5</x:v>
      </x:c>
      <x:c r="BB238" s="60" t="n">
        <x:f>ROUND(0.30*AT238+0.20*AU238+0.25*AV238+0.15*AW238+0.10*AY238,2)</x:f>
        <x:v>78.85</x:v>
      </x:c>
      <x:c r="BC238" s="60" t="n">
        <x:f>ROUND(0.30*AX238+0.20*AV238+0.20*AU238+0.15*AY238+0.15*(100-AZ238),2)</x:f>
        <x:v>80.2</x:v>
      </x:c>
      <x:c r="BD238" s="60" t="n">
        <x:f>ROUND(AVERAGE(BB238,BC238),2)</x:f>
        <x:v>79.53</x:v>
      </x:c>
      <x:c r="BE238" s="60" t="n">
        <x:f>ROUND(BD238-U238,2)</x:f>
        <x:v>0</x:v>
      </x:c>
      <x:c r="BF238" s="60" t="n">
        <x:f>ROUND(STDEV.P(AC238,AK238,AS238),3)</x:f>
        <x:v>0</x:v>
      </x:c>
      <x:c r="BG238" s="59" t="str"/>
      <x:c r="BH238" s="59" t="str">
        <x:v>30%评分池轻量复核</x:v>
      </x:c>
      <x:c r="BI238" s="40" t="str">
        <x:v>三轮复核后与原表基本一致</x:v>
      </x:c>
    </x:row>
    <x:row r="239" ht="30" customHeight="1">
      <x:c r="A239" s="59" t="n">
        <x:v>238</x:v>
      </x:c>
      <x:c r="B239" s="59" t="n">
        <x:v>239</x:v>
      </x:c>
      <x:c r="C239" s="59" t="str">
        <x:v>2026-06</x:v>
      </x:c>
      <x:c r="D239" s="59" t="n">
        <x:v>140</x:v>
      </x:c>
      <x:c r="E239" s="59" t="str">
        <x:v>2606.06916</x:v>
      </x:c>
      <x:c r="F239" s="40" t="str">
        <x:v>Non-unique solutions to the periodic gKdV equation</x:v>
      </x:c>
      <x:c r="G239" s="40" t="str">
        <x:v>Nicholas Gismondi; Kunyi (Mark) Ma; Mandon Pathak; Alexandru F. Radu</x:v>
      </x:c>
      <x:c r="H239" s="40" t="str">
        <x:v>dispersive PDE</x:v>
      </x:c>
      <x:c r="I239" s="59" t="n">
        <x:v>48</x:v>
      </x:c>
      <x:c r="J239" s="40" t="str">
        <x:v>https://arxiv.org/abs/2606.06916</x:v>
      </x:c>
      <x:c r="K239" s="60" t="n">
        <x:v>79</x:v>
      </x:c>
      <x:c r="L239" s="60" t="n">
        <x:v>79</x:v>
      </x:c>
      <x:c r="M239" s="60" t="n">
        <x:v>79</x:v>
      </x:c>
      <x:c r="N239" s="60" t="n">
        <x:v>78</x:v>
      </x:c>
      <x:c r="O239" s="60" t="n">
        <x:v>79</x:v>
      </x:c>
      <x:c r="P239" s="60" t="n">
        <x:v>79</x:v>
      </x:c>
      <x:c r="Q239" s="60" t="n">
        <x:v>13</x:v>
      </x:c>
      <x:c r="R239" s="59" t="n">
        <x:v>5</x:v>
      </x:c>
      <x:c r="S239" s="60" t="n">
        <x:v>78.85000000000001</x:v>
      </x:c>
      <x:c r="T239" s="60" t="n">
        <x:v>80.19999999999999</x:v>
      </x:c>
      <x:c r="U239" s="60" t="n">
        <x:v>79.525</x:v>
      </x:c>
      <x:c r="V239" s="60" t="n">
        <x:v>79</x:v>
      </x:c>
      <x:c r="W239" s="60" t="n">
        <x:v>79</x:v>
      </x:c>
      <x:c r="X239" s="60" t="n">
        <x:v>79</x:v>
      </x:c>
      <x:c r="Y239" s="60" t="n">
        <x:v>78</x:v>
      </x:c>
      <x:c r="Z239" s="60" t="n">
        <x:v>79</x:v>
      </x:c>
      <x:c r="AA239" s="60" t="n">
        <x:v>79</x:v>
      </x:c>
      <x:c r="AB239" s="60" t="n">
        <x:v>13</x:v>
      </x:c>
      <x:c r="AC239" s="60" t="n">
        <x:f>ROUND(((0.30*V239+0.20*W239+0.25*X239+0.15*Y239+0.10*AA239)+(0.30*Z239+0.20*X239+0.20*W239+0.15*AA239+0.15*(100-AB239)))/2,2)</x:f>
        <x:v>79.53</x:v>
      </x:c>
      <x:c r="AD239" s="60" t="n">
        <x:v>79</x:v>
      </x:c>
      <x:c r="AE239" s="60" t="n">
        <x:v>79</x:v>
      </x:c>
      <x:c r="AF239" s="60" t="n">
        <x:v>79</x:v>
      </x:c>
      <x:c r="AG239" s="60" t="n">
        <x:v>78</x:v>
      </x:c>
      <x:c r="AH239" s="60" t="n">
        <x:v>79</x:v>
      </x:c>
      <x:c r="AI239" s="60" t="n">
        <x:v>79</x:v>
      </x:c>
      <x:c r="AJ239" s="60" t="n">
        <x:v>13</x:v>
      </x:c>
      <x:c r="AK239" s="60" t="n">
        <x:f>ROUND(((0.30*AD239+0.20*AE239+0.25*AF239+0.15*AG239+0.10*AI239)+(0.30*AH239+0.20*AF239+0.20*AE239+0.15*AI239+0.15*(100-AJ239)))/2,2)</x:f>
        <x:v>79.53</x:v>
      </x:c>
      <x:c r="AL239" s="60" t="n">
        <x:v>79</x:v>
      </x:c>
      <x:c r="AM239" s="60" t="n">
        <x:v>79</x:v>
      </x:c>
      <x:c r="AN239" s="60" t="n">
        <x:v>79</x:v>
      </x:c>
      <x:c r="AO239" s="60" t="n">
        <x:v>78</x:v>
      </x:c>
      <x:c r="AP239" s="60" t="n">
        <x:v>79</x:v>
      </x:c>
      <x:c r="AQ239" s="60" t="n">
        <x:v>79</x:v>
      </x:c>
      <x:c r="AR239" s="60" t="n">
        <x:v>13</x:v>
      </x:c>
      <x:c r="AS239" s="60" t="n">
        <x:f>ROUND(((0.30*AL239+0.20*AM239+0.25*AN239+0.15*AO239+0.10*AQ239)+(0.30*AP239+0.20*AN239+0.20*AM239+0.15*AQ239+0.15*(100-AR239)))/2,2)</x:f>
        <x:v>79.53</x:v>
      </x:c>
      <x:c r="AT239" s="60" t="n">
        <x:f>ROUND(AVERAGE(V239,AD239,AL239),1)</x:f>
        <x:v>79</x:v>
      </x:c>
      <x:c r="AU239" s="60" t="n">
        <x:f>ROUND(AVERAGE(W239,AE239,AM239),1)</x:f>
        <x:v>79</x:v>
      </x:c>
      <x:c r="AV239" s="60" t="n">
        <x:f>ROUND(AVERAGE(X239,AF239,AN239),1)</x:f>
        <x:v>79</x:v>
      </x:c>
      <x:c r="AW239" s="60" t="n">
        <x:f>ROUND(AVERAGE(Y239,AG239,AO239),1)</x:f>
        <x:v>78</x:v>
      </x:c>
      <x:c r="AX239" s="60" t="n">
        <x:f>ROUND(AVERAGE(Z239,AH239,AP239),1)</x:f>
        <x:v>79</x:v>
      </x:c>
      <x:c r="AY239" s="60" t="n">
        <x:f>ROUND(AVERAGE(AA239,AI239,AQ239),1)</x:f>
        <x:v>79</x:v>
      </x:c>
      <x:c r="AZ239" s="60" t="n">
        <x:f>ROUND(AVERAGE(AB239,AJ239,AR239),1)</x:f>
        <x:v>13</x:v>
      </x:c>
      <x:c r="BA239" s="59" t="n">
        <x:v>5</x:v>
      </x:c>
      <x:c r="BB239" s="60" t="n">
        <x:f>ROUND(0.30*AT239+0.20*AU239+0.25*AV239+0.15*AW239+0.10*AY239,2)</x:f>
        <x:v>78.85</x:v>
      </x:c>
      <x:c r="BC239" s="60" t="n">
        <x:f>ROUND(0.30*AX239+0.20*AV239+0.20*AU239+0.15*AY239+0.15*(100-AZ239),2)</x:f>
        <x:v>80.2</x:v>
      </x:c>
      <x:c r="BD239" s="60" t="n">
        <x:f>ROUND(AVERAGE(BB239,BC239),2)</x:f>
        <x:v>79.53</x:v>
      </x:c>
      <x:c r="BE239" s="60" t="n">
        <x:f>ROUND(BD239-U239,2)</x:f>
        <x:v>0</x:v>
      </x:c>
      <x:c r="BF239" s="60" t="n">
        <x:f>ROUND(STDEV.P(AC239,AK239,AS239),3)</x:f>
        <x:v>0</x:v>
      </x:c>
      <x:c r="BG239" s="59" t="str"/>
      <x:c r="BH239" s="59" t="str">
        <x:v>30%评分池轻量复核</x:v>
      </x:c>
      <x:c r="BI239" s="40" t="str">
        <x:v>三轮复核后与原表基本一致</x:v>
      </x:c>
    </x:row>
    <x:row r="240" ht="30" customHeight="1">
      <x:c r="A240" s="59" t="n">
        <x:v>239</x:v>
      </x:c>
      <x:c r="B240" s="59" t="n">
        <x:v>240</x:v>
      </x:c>
      <x:c r="C240" s="59" t="str">
        <x:v>2026-06</x:v>
      </x:c>
      <x:c r="D240" s="59" t="n">
        <x:v>140</x:v>
      </x:c>
      <x:c r="E240" s="59" t="str">
        <x:v>2606.06911</x:v>
      </x:c>
      <x:c r="F240" s="40" t="str">
        <x:v>Area-preserving crystalline curvature flow in two dimensions</x:v>
      </x:c>
      <x:c r="G240" s="40" t="str">
        <x:v>Eric Kim</x:v>
      </x:c>
      <x:c r="H240" s="40" t="str">
        <x:v>geometric analysis</x:v>
      </x:c>
      <x:c r="I240" s="59" t="n">
        <x:v>42</x:v>
      </x:c>
      <x:c r="J240" s="40" t="str">
        <x:v>https://arxiv.org/abs/2606.06911</x:v>
      </x:c>
      <x:c r="K240" s="60" t="n">
        <x:v>79</x:v>
      </x:c>
      <x:c r="L240" s="60" t="n">
        <x:v>79</x:v>
      </x:c>
      <x:c r="M240" s="60" t="n">
        <x:v>79</x:v>
      </x:c>
      <x:c r="N240" s="60" t="n">
        <x:v>78</x:v>
      </x:c>
      <x:c r="O240" s="60" t="n">
        <x:v>79</x:v>
      </x:c>
      <x:c r="P240" s="60" t="n">
        <x:v>79</x:v>
      </x:c>
      <x:c r="Q240" s="60" t="n">
        <x:v>13</x:v>
      </x:c>
      <x:c r="R240" s="59" t="n">
        <x:v>5</x:v>
      </x:c>
      <x:c r="S240" s="60" t="n">
        <x:v>78.85000000000001</x:v>
      </x:c>
      <x:c r="T240" s="60" t="n">
        <x:v>80.19999999999999</x:v>
      </x:c>
      <x:c r="U240" s="60" t="n">
        <x:v>79.525</x:v>
      </x:c>
      <x:c r="V240" s="60" t="n">
        <x:v>79</x:v>
      </x:c>
      <x:c r="W240" s="60" t="n">
        <x:v>79</x:v>
      </x:c>
      <x:c r="X240" s="60" t="n">
        <x:v>79</x:v>
      </x:c>
      <x:c r="Y240" s="60" t="n">
        <x:v>78</x:v>
      </x:c>
      <x:c r="Z240" s="60" t="n">
        <x:v>79</x:v>
      </x:c>
      <x:c r="AA240" s="60" t="n">
        <x:v>79</x:v>
      </x:c>
      <x:c r="AB240" s="60" t="n">
        <x:v>13</x:v>
      </x:c>
      <x:c r="AC240" s="60" t="n">
        <x:f>ROUND(((0.30*V240+0.20*W240+0.25*X240+0.15*Y240+0.10*AA240)+(0.30*Z240+0.20*X240+0.20*W240+0.15*AA240+0.15*(100-AB240)))/2,2)</x:f>
        <x:v>79.53</x:v>
      </x:c>
      <x:c r="AD240" s="60" t="n">
        <x:v>79</x:v>
      </x:c>
      <x:c r="AE240" s="60" t="n">
        <x:v>79</x:v>
      </x:c>
      <x:c r="AF240" s="60" t="n">
        <x:v>79</x:v>
      </x:c>
      <x:c r="AG240" s="60" t="n">
        <x:v>78</x:v>
      </x:c>
      <x:c r="AH240" s="60" t="n">
        <x:v>79</x:v>
      </x:c>
      <x:c r="AI240" s="60" t="n">
        <x:v>79</x:v>
      </x:c>
      <x:c r="AJ240" s="60" t="n">
        <x:v>13</x:v>
      </x:c>
      <x:c r="AK240" s="60" t="n">
        <x:f>ROUND(((0.30*AD240+0.20*AE240+0.25*AF240+0.15*AG240+0.10*AI240)+(0.30*AH240+0.20*AF240+0.20*AE240+0.15*AI240+0.15*(100-AJ240)))/2,2)</x:f>
        <x:v>79.53</x:v>
      </x:c>
      <x:c r="AL240" s="60" t="n">
        <x:v>79</x:v>
      </x:c>
      <x:c r="AM240" s="60" t="n">
        <x:v>79</x:v>
      </x:c>
      <x:c r="AN240" s="60" t="n">
        <x:v>79</x:v>
      </x:c>
      <x:c r="AO240" s="60" t="n">
        <x:v>78</x:v>
      </x:c>
      <x:c r="AP240" s="60" t="n">
        <x:v>79</x:v>
      </x:c>
      <x:c r="AQ240" s="60" t="n">
        <x:v>79</x:v>
      </x:c>
      <x:c r="AR240" s="60" t="n">
        <x:v>13</x:v>
      </x:c>
      <x:c r="AS240" s="60" t="n">
        <x:f>ROUND(((0.30*AL240+0.20*AM240+0.25*AN240+0.15*AO240+0.10*AQ240)+(0.30*AP240+0.20*AN240+0.20*AM240+0.15*AQ240+0.15*(100-AR240)))/2,2)</x:f>
        <x:v>79.53</x:v>
      </x:c>
      <x:c r="AT240" s="60" t="n">
        <x:f>ROUND(AVERAGE(V240,AD240,AL240),1)</x:f>
        <x:v>79</x:v>
      </x:c>
      <x:c r="AU240" s="60" t="n">
        <x:f>ROUND(AVERAGE(W240,AE240,AM240),1)</x:f>
        <x:v>79</x:v>
      </x:c>
      <x:c r="AV240" s="60" t="n">
        <x:f>ROUND(AVERAGE(X240,AF240,AN240),1)</x:f>
        <x:v>79</x:v>
      </x:c>
      <x:c r="AW240" s="60" t="n">
        <x:f>ROUND(AVERAGE(Y240,AG240,AO240),1)</x:f>
        <x:v>78</x:v>
      </x:c>
      <x:c r="AX240" s="60" t="n">
        <x:f>ROUND(AVERAGE(Z240,AH240,AP240),1)</x:f>
        <x:v>79</x:v>
      </x:c>
      <x:c r="AY240" s="60" t="n">
        <x:f>ROUND(AVERAGE(AA240,AI240,AQ240),1)</x:f>
        <x:v>79</x:v>
      </x:c>
      <x:c r="AZ240" s="60" t="n">
        <x:f>ROUND(AVERAGE(AB240,AJ240,AR240),1)</x:f>
        <x:v>13</x:v>
      </x:c>
      <x:c r="BA240" s="59" t="n">
        <x:v>5</x:v>
      </x:c>
      <x:c r="BB240" s="60" t="n">
        <x:f>ROUND(0.30*AT240+0.20*AU240+0.25*AV240+0.15*AW240+0.10*AY240,2)</x:f>
        <x:v>78.85</x:v>
      </x:c>
      <x:c r="BC240" s="60" t="n">
        <x:f>ROUND(0.30*AX240+0.20*AV240+0.20*AU240+0.15*AY240+0.15*(100-AZ240),2)</x:f>
        <x:v>80.2</x:v>
      </x:c>
      <x:c r="BD240" s="60" t="n">
        <x:f>ROUND(AVERAGE(BB240,BC240),2)</x:f>
        <x:v>79.53</x:v>
      </x:c>
      <x:c r="BE240" s="60" t="n">
        <x:f>ROUND(BD240-U240,2)</x:f>
        <x:v>0</x:v>
      </x:c>
      <x:c r="BF240" s="60" t="n">
        <x:f>ROUND(STDEV.P(AC240,AK240,AS240),3)</x:f>
        <x:v>0</x:v>
      </x:c>
      <x:c r="BG240" s="59" t="str"/>
      <x:c r="BH240" s="59" t="str">
        <x:v>30%评分池轻量复核</x:v>
      </x:c>
      <x:c r="BI240" s="40" t="str">
        <x:v>三轮复核后与原表基本一致</x:v>
      </x:c>
    </x:row>
    <x:row r="241" ht="30" customHeight="1">
      <x:c r="A241" s="59" t="n">
        <x:v>240</x:v>
      </x:c>
      <x:c r="B241" s="59" t="n">
        <x:v>241</x:v>
      </x:c>
      <x:c r="C241" s="59" t="str">
        <x:v>2026-06</x:v>
      </x:c>
      <x:c r="D241" s="59" t="n">
        <x:v>140</x:v>
      </x:c>
      <x:c r="E241" s="59" t="str">
        <x:v>2606.06636</x:v>
      </x:c>
      <x:c r="F241" s="40" t="str">
        <x:v>On a rod-Kadomtsev-Petviashvili shallow water equation in two dimensions</x:v>
      </x:c>
      <x:c r="G241" s="40" t="str">
        <x:v>Tiantian Zhao; Kai Yan</x:v>
      </x:c>
      <x:c r="H241" s="40" t="str">
        <x:v>analysis/PDE</x:v>
      </x:c>
      <x:c r="I241" s="59" t="n">
        <x:v>36</x:v>
      </x:c>
      <x:c r="J241" s="40" t="str">
        <x:v>https://arxiv.org/abs/2606.06636</x:v>
      </x:c>
      <x:c r="K241" s="60" t="n">
        <x:v>79</x:v>
      </x:c>
      <x:c r="L241" s="60" t="n">
        <x:v>79</x:v>
      </x:c>
      <x:c r="M241" s="60" t="n">
        <x:v>79</x:v>
      </x:c>
      <x:c r="N241" s="60" t="n">
        <x:v>78</x:v>
      </x:c>
      <x:c r="O241" s="60" t="n">
        <x:v>79</x:v>
      </x:c>
      <x:c r="P241" s="60" t="n">
        <x:v>79</x:v>
      </x:c>
      <x:c r="Q241" s="60" t="n">
        <x:v>13</x:v>
      </x:c>
      <x:c r="R241" s="59" t="n">
        <x:v>5</x:v>
      </x:c>
      <x:c r="S241" s="60" t="n">
        <x:v>78.85000000000001</x:v>
      </x:c>
      <x:c r="T241" s="60" t="n">
        <x:v>80.19999999999999</x:v>
      </x:c>
      <x:c r="U241" s="60" t="n">
        <x:v>79.525</x:v>
      </x:c>
      <x:c r="V241" s="60" t="n">
        <x:v>79</x:v>
      </x:c>
      <x:c r="W241" s="60" t="n">
        <x:v>79</x:v>
      </x:c>
      <x:c r="X241" s="60" t="n">
        <x:v>79</x:v>
      </x:c>
      <x:c r="Y241" s="60" t="n">
        <x:v>78</x:v>
      </x:c>
      <x:c r="Z241" s="60" t="n">
        <x:v>79</x:v>
      </x:c>
      <x:c r="AA241" s="60" t="n">
        <x:v>79</x:v>
      </x:c>
      <x:c r="AB241" s="60" t="n">
        <x:v>13</x:v>
      </x:c>
      <x:c r="AC241" s="60" t="n">
        <x:f>ROUND(((0.30*V241+0.20*W241+0.25*X241+0.15*Y241+0.10*AA241)+(0.30*Z241+0.20*X241+0.20*W241+0.15*AA241+0.15*(100-AB241)))/2,2)</x:f>
        <x:v>79.53</x:v>
      </x:c>
      <x:c r="AD241" s="60" t="n">
        <x:v>79</x:v>
      </x:c>
      <x:c r="AE241" s="60" t="n">
        <x:v>79</x:v>
      </x:c>
      <x:c r="AF241" s="60" t="n">
        <x:v>79</x:v>
      </x:c>
      <x:c r="AG241" s="60" t="n">
        <x:v>78</x:v>
      </x:c>
      <x:c r="AH241" s="60" t="n">
        <x:v>79</x:v>
      </x:c>
      <x:c r="AI241" s="60" t="n">
        <x:v>79</x:v>
      </x:c>
      <x:c r="AJ241" s="60" t="n">
        <x:v>13</x:v>
      </x:c>
      <x:c r="AK241" s="60" t="n">
        <x:f>ROUND(((0.30*AD241+0.20*AE241+0.25*AF241+0.15*AG241+0.10*AI241)+(0.30*AH241+0.20*AF241+0.20*AE241+0.15*AI241+0.15*(100-AJ241)))/2,2)</x:f>
        <x:v>79.53</x:v>
      </x:c>
      <x:c r="AL241" s="60" t="n">
        <x:v>79</x:v>
      </x:c>
      <x:c r="AM241" s="60" t="n">
        <x:v>79</x:v>
      </x:c>
      <x:c r="AN241" s="60" t="n">
        <x:v>79</x:v>
      </x:c>
      <x:c r="AO241" s="60" t="n">
        <x:v>78</x:v>
      </x:c>
      <x:c r="AP241" s="60" t="n">
        <x:v>79</x:v>
      </x:c>
      <x:c r="AQ241" s="60" t="n">
        <x:v>79</x:v>
      </x:c>
      <x:c r="AR241" s="60" t="n">
        <x:v>13</x:v>
      </x:c>
      <x:c r="AS241" s="60" t="n">
        <x:f>ROUND(((0.30*AL241+0.20*AM241+0.25*AN241+0.15*AO241+0.10*AQ241)+(0.30*AP241+0.20*AN241+0.20*AM241+0.15*AQ241+0.15*(100-AR241)))/2,2)</x:f>
        <x:v>79.53</x:v>
      </x:c>
      <x:c r="AT241" s="60" t="n">
        <x:f>ROUND(AVERAGE(V241,AD241,AL241),1)</x:f>
        <x:v>79</x:v>
      </x:c>
      <x:c r="AU241" s="60" t="n">
        <x:f>ROUND(AVERAGE(W241,AE241,AM241),1)</x:f>
        <x:v>79</x:v>
      </x:c>
      <x:c r="AV241" s="60" t="n">
        <x:f>ROUND(AVERAGE(X241,AF241,AN241),1)</x:f>
        <x:v>79</x:v>
      </x:c>
      <x:c r="AW241" s="60" t="n">
        <x:f>ROUND(AVERAGE(Y241,AG241,AO241),1)</x:f>
        <x:v>78</x:v>
      </x:c>
      <x:c r="AX241" s="60" t="n">
        <x:f>ROUND(AVERAGE(Z241,AH241,AP241),1)</x:f>
        <x:v>79</x:v>
      </x:c>
      <x:c r="AY241" s="60" t="n">
        <x:f>ROUND(AVERAGE(AA241,AI241,AQ241),1)</x:f>
        <x:v>79</x:v>
      </x:c>
      <x:c r="AZ241" s="60" t="n">
        <x:f>ROUND(AVERAGE(AB241,AJ241,AR241),1)</x:f>
        <x:v>13</x:v>
      </x:c>
      <x:c r="BA241" s="59" t="n">
        <x:v>5</x:v>
      </x:c>
      <x:c r="BB241" s="60" t="n">
        <x:f>ROUND(0.30*AT241+0.20*AU241+0.25*AV241+0.15*AW241+0.10*AY241,2)</x:f>
        <x:v>78.85</x:v>
      </x:c>
      <x:c r="BC241" s="60" t="n">
        <x:f>ROUND(0.30*AX241+0.20*AV241+0.20*AU241+0.15*AY241+0.15*(100-AZ241),2)</x:f>
        <x:v>80.2</x:v>
      </x:c>
      <x:c r="BD241" s="60" t="n">
        <x:f>ROUND(AVERAGE(BB241,BC241),2)</x:f>
        <x:v>79.53</x:v>
      </x:c>
      <x:c r="BE241" s="60" t="n">
        <x:f>ROUND(BD241-U241,2)</x:f>
        <x:v>0</x:v>
      </x:c>
      <x:c r="BF241" s="60" t="n">
        <x:f>ROUND(STDEV.P(AC241,AK241,AS241),3)</x:f>
        <x:v>0</x:v>
      </x:c>
      <x:c r="BG241" s="59" t="str"/>
      <x:c r="BH241" s="59" t="str">
        <x:v>30%评分池轻量复核</x:v>
      </x:c>
      <x:c r="BI241" s="40" t="str">
        <x:v>三轮复核后与原表基本一致</x:v>
      </x:c>
    </x:row>
    <x:row r="242" ht="30" customHeight="1">
      <x:c r="A242" s="59" t="n">
        <x:v>241</x:v>
      </x:c>
      <x:c r="B242" s="59" t="n">
        <x:v>242</x:v>
      </x:c>
      <x:c r="C242" s="59" t="str">
        <x:v>2026-06</x:v>
      </x:c>
      <x:c r="D242" s="59" t="n">
        <x:v>140</x:v>
      </x:c>
      <x:c r="E242" s="59" t="str">
        <x:v>2606.06206</x:v>
      </x:c>
      <x:c r="F242" s="40" t="str">
        <x:v>Local and global properties of solutions of an elliptic equation involving exponential and gradient reaction</x:v>
      </x:c>
      <x:c r="G242" s="40" t="str">
        <x:v>Marie-Francoise Bidaut-Veron; Marta Garcia-Huidobro; Laurent Veron</x:v>
      </x:c>
      <x:c r="H242" s="40" t="str">
        <x:v>elliptic/parabolic regularity</x:v>
      </x:c>
      <x:c r="I242" s="59" t="n">
        <x:v>42</x:v>
      </x:c>
      <x:c r="J242" s="40" t="str">
        <x:v>https://arxiv.org/abs/2606.06206</x:v>
      </x:c>
      <x:c r="K242" s="60" t="n">
        <x:v>79</x:v>
      </x:c>
      <x:c r="L242" s="60" t="n">
        <x:v>79</x:v>
      </x:c>
      <x:c r="M242" s="60" t="n">
        <x:v>79</x:v>
      </x:c>
      <x:c r="N242" s="60" t="n">
        <x:v>78</x:v>
      </x:c>
      <x:c r="O242" s="60" t="n">
        <x:v>79</x:v>
      </x:c>
      <x:c r="P242" s="60" t="n">
        <x:v>79</x:v>
      </x:c>
      <x:c r="Q242" s="60" t="n">
        <x:v>13</x:v>
      </x:c>
      <x:c r="R242" s="59" t="n">
        <x:v>5</x:v>
      </x:c>
      <x:c r="S242" s="60" t="n">
        <x:v>78.85000000000001</x:v>
      </x:c>
      <x:c r="T242" s="60" t="n">
        <x:v>80.19999999999999</x:v>
      </x:c>
      <x:c r="U242" s="60" t="n">
        <x:v>79.525</x:v>
      </x:c>
      <x:c r="V242" s="60" t="n">
        <x:v>79</x:v>
      </x:c>
      <x:c r="W242" s="60" t="n">
        <x:v>79</x:v>
      </x:c>
      <x:c r="X242" s="60" t="n">
        <x:v>79</x:v>
      </x:c>
      <x:c r="Y242" s="60" t="n">
        <x:v>78</x:v>
      </x:c>
      <x:c r="Z242" s="60" t="n">
        <x:v>79</x:v>
      </x:c>
      <x:c r="AA242" s="60" t="n">
        <x:v>79</x:v>
      </x:c>
      <x:c r="AB242" s="60" t="n">
        <x:v>13</x:v>
      </x:c>
      <x:c r="AC242" s="60" t="n">
        <x:f>ROUND(((0.30*V242+0.20*W242+0.25*X242+0.15*Y242+0.10*AA242)+(0.30*Z242+0.20*X242+0.20*W242+0.15*AA242+0.15*(100-AB242)))/2,2)</x:f>
        <x:v>79.53</x:v>
      </x:c>
      <x:c r="AD242" s="60" t="n">
        <x:v>79</x:v>
      </x:c>
      <x:c r="AE242" s="60" t="n">
        <x:v>79</x:v>
      </x:c>
      <x:c r="AF242" s="60" t="n">
        <x:v>79</x:v>
      </x:c>
      <x:c r="AG242" s="60" t="n">
        <x:v>78</x:v>
      </x:c>
      <x:c r="AH242" s="60" t="n">
        <x:v>79</x:v>
      </x:c>
      <x:c r="AI242" s="60" t="n">
        <x:v>79</x:v>
      </x:c>
      <x:c r="AJ242" s="60" t="n">
        <x:v>13</x:v>
      </x:c>
      <x:c r="AK242" s="60" t="n">
        <x:f>ROUND(((0.30*AD242+0.20*AE242+0.25*AF242+0.15*AG242+0.10*AI242)+(0.30*AH242+0.20*AF242+0.20*AE242+0.15*AI242+0.15*(100-AJ242)))/2,2)</x:f>
        <x:v>79.53</x:v>
      </x:c>
      <x:c r="AL242" s="60" t="n">
        <x:v>79</x:v>
      </x:c>
      <x:c r="AM242" s="60" t="n">
        <x:v>79</x:v>
      </x:c>
      <x:c r="AN242" s="60" t="n">
        <x:v>79</x:v>
      </x:c>
      <x:c r="AO242" s="60" t="n">
        <x:v>78</x:v>
      </x:c>
      <x:c r="AP242" s="60" t="n">
        <x:v>79</x:v>
      </x:c>
      <x:c r="AQ242" s="60" t="n">
        <x:v>79</x:v>
      </x:c>
      <x:c r="AR242" s="60" t="n">
        <x:v>13</x:v>
      </x:c>
      <x:c r="AS242" s="60" t="n">
        <x:f>ROUND(((0.30*AL242+0.20*AM242+0.25*AN242+0.15*AO242+0.10*AQ242)+(0.30*AP242+0.20*AN242+0.20*AM242+0.15*AQ242+0.15*(100-AR242)))/2,2)</x:f>
        <x:v>79.53</x:v>
      </x:c>
      <x:c r="AT242" s="60" t="n">
        <x:f>ROUND(AVERAGE(V242,AD242,AL242),1)</x:f>
        <x:v>79</x:v>
      </x:c>
      <x:c r="AU242" s="60" t="n">
        <x:f>ROUND(AVERAGE(W242,AE242,AM242),1)</x:f>
        <x:v>79</x:v>
      </x:c>
      <x:c r="AV242" s="60" t="n">
        <x:f>ROUND(AVERAGE(X242,AF242,AN242),1)</x:f>
        <x:v>79</x:v>
      </x:c>
      <x:c r="AW242" s="60" t="n">
        <x:f>ROUND(AVERAGE(Y242,AG242,AO242),1)</x:f>
        <x:v>78</x:v>
      </x:c>
      <x:c r="AX242" s="60" t="n">
        <x:f>ROUND(AVERAGE(Z242,AH242,AP242),1)</x:f>
        <x:v>79</x:v>
      </x:c>
      <x:c r="AY242" s="60" t="n">
        <x:f>ROUND(AVERAGE(AA242,AI242,AQ242),1)</x:f>
        <x:v>79</x:v>
      </x:c>
      <x:c r="AZ242" s="60" t="n">
        <x:f>ROUND(AVERAGE(AB242,AJ242,AR242),1)</x:f>
        <x:v>13</x:v>
      </x:c>
      <x:c r="BA242" s="59" t="n">
        <x:v>5</x:v>
      </x:c>
      <x:c r="BB242" s="60" t="n">
        <x:f>ROUND(0.30*AT242+0.20*AU242+0.25*AV242+0.15*AW242+0.10*AY242,2)</x:f>
        <x:v>78.85</x:v>
      </x:c>
      <x:c r="BC242" s="60" t="n">
        <x:f>ROUND(0.30*AX242+0.20*AV242+0.20*AU242+0.15*AY242+0.15*(100-AZ242),2)</x:f>
        <x:v>80.2</x:v>
      </x:c>
      <x:c r="BD242" s="60" t="n">
        <x:f>ROUND(AVERAGE(BB242,BC242),2)</x:f>
        <x:v>79.53</x:v>
      </x:c>
      <x:c r="BE242" s="60" t="n">
        <x:f>ROUND(BD242-U242,2)</x:f>
        <x:v>0</x:v>
      </x:c>
      <x:c r="BF242" s="60" t="n">
        <x:f>ROUND(STDEV.P(AC242,AK242,AS242),3)</x:f>
        <x:v>0</x:v>
      </x:c>
      <x:c r="BG242" s="59" t="str"/>
      <x:c r="BH242" s="59" t="str">
        <x:v>30%评分池轻量复核</x:v>
      </x:c>
      <x:c r="BI242" s="40" t="str">
        <x:v>三轮复核后与原表基本一致</x:v>
      </x:c>
    </x:row>
    <x:row r="243" ht="30" customHeight="1">
      <x:c r="A243" s="59" t="n">
        <x:v>242</x:v>
      </x:c>
      <x:c r="B243" s="59" t="n">
        <x:v>243</x:v>
      </x:c>
      <x:c r="C243" s="59" t="str">
        <x:v>2026-06</x:v>
      </x:c>
      <x:c r="D243" s="59" t="n">
        <x:v>140</x:v>
      </x:c>
      <x:c r="E243" s="59" t="str">
        <x:v>2606.05593</x:v>
      </x:c>
      <x:c r="F243" s="40" t="str">
        <x:v>Interface problems of mixed spatial order</x:v>
      </x:c>
      <x:c r="G243" s="40" t="str">
        <x:v>Dionyssios Mantzavinos; Ravindra Pethiyagoda; Dave Smith</x:v>
      </x:c>
      <x:c r="H243" s="40" t="str">
        <x:v>analysis/PDE</x:v>
      </x:c>
      <x:c r="I243" s="59" t="n">
        <x:v>34</x:v>
      </x:c>
      <x:c r="J243" s="40" t="str">
        <x:v>https://arxiv.org/abs/2606.05593</x:v>
      </x:c>
      <x:c r="K243" s="60" t="n">
        <x:v>79</x:v>
      </x:c>
      <x:c r="L243" s="60" t="n">
        <x:v>79</x:v>
      </x:c>
      <x:c r="M243" s="60" t="n">
        <x:v>79</x:v>
      </x:c>
      <x:c r="N243" s="60" t="n">
        <x:v>78</x:v>
      </x:c>
      <x:c r="O243" s="60" t="n">
        <x:v>79</x:v>
      </x:c>
      <x:c r="P243" s="60" t="n">
        <x:v>79</x:v>
      </x:c>
      <x:c r="Q243" s="60" t="n">
        <x:v>13</x:v>
      </x:c>
      <x:c r="R243" s="59" t="n">
        <x:v>5</x:v>
      </x:c>
      <x:c r="S243" s="60" t="n">
        <x:v>78.85000000000001</x:v>
      </x:c>
      <x:c r="T243" s="60" t="n">
        <x:v>80.19999999999999</x:v>
      </x:c>
      <x:c r="U243" s="60" t="n">
        <x:v>79.525</x:v>
      </x:c>
      <x:c r="V243" s="60" t="n">
        <x:v>79</x:v>
      </x:c>
      <x:c r="W243" s="60" t="n">
        <x:v>79</x:v>
      </x:c>
      <x:c r="X243" s="60" t="n">
        <x:v>79</x:v>
      </x:c>
      <x:c r="Y243" s="60" t="n">
        <x:v>78</x:v>
      </x:c>
      <x:c r="Z243" s="60" t="n">
        <x:v>79</x:v>
      </x:c>
      <x:c r="AA243" s="60" t="n">
        <x:v>79</x:v>
      </x:c>
      <x:c r="AB243" s="60" t="n">
        <x:v>13</x:v>
      </x:c>
      <x:c r="AC243" s="60" t="n">
        <x:f>ROUND(((0.30*V243+0.20*W243+0.25*X243+0.15*Y243+0.10*AA243)+(0.30*Z243+0.20*X243+0.20*W243+0.15*AA243+0.15*(100-AB243)))/2,2)</x:f>
        <x:v>79.53</x:v>
      </x:c>
      <x:c r="AD243" s="60" t="n">
        <x:v>79</x:v>
      </x:c>
      <x:c r="AE243" s="60" t="n">
        <x:v>79</x:v>
      </x:c>
      <x:c r="AF243" s="60" t="n">
        <x:v>79</x:v>
      </x:c>
      <x:c r="AG243" s="60" t="n">
        <x:v>78</x:v>
      </x:c>
      <x:c r="AH243" s="60" t="n">
        <x:v>79</x:v>
      </x:c>
      <x:c r="AI243" s="60" t="n">
        <x:v>79</x:v>
      </x:c>
      <x:c r="AJ243" s="60" t="n">
        <x:v>13</x:v>
      </x:c>
      <x:c r="AK243" s="60" t="n">
        <x:f>ROUND(((0.30*AD243+0.20*AE243+0.25*AF243+0.15*AG243+0.10*AI243)+(0.30*AH243+0.20*AF243+0.20*AE243+0.15*AI243+0.15*(100-AJ243)))/2,2)</x:f>
        <x:v>79.53</x:v>
      </x:c>
      <x:c r="AL243" s="60" t="n">
        <x:v>79</x:v>
      </x:c>
      <x:c r="AM243" s="60" t="n">
        <x:v>79</x:v>
      </x:c>
      <x:c r="AN243" s="60" t="n">
        <x:v>79</x:v>
      </x:c>
      <x:c r="AO243" s="60" t="n">
        <x:v>78</x:v>
      </x:c>
      <x:c r="AP243" s="60" t="n">
        <x:v>79</x:v>
      </x:c>
      <x:c r="AQ243" s="60" t="n">
        <x:v>79</x:v>
      </x:c>
      <x:c r="AR243" s="60" t="n">
        <x:v>13</x:v>
      </x:c>
      <x:c r="AS243" s="60" t="n">
        <x:f>ROUND(((0.30*AL243+0.20*AM243+0.25*AN243+0.15*AO243+0.10*AQ243)+(0.30*AP243+0.20*AN243+0.20*AM243+0.15*AQ243+0.15*(100-AR243)))/2,2)</x:f>
        <x:v>79.53</x:v>
      </x:c>
      <x:c r="AT243" s="60" t="n">
        <x:f>ROUND(AVERAGE(V243,AD243,AL243),1)</x:f>
        <x:v>79</x:v>
      </x:c>
      <x:c r="AU243" s="60" t="n">
        <x:f>ROUND(AVERAGE(W243,AE243,AM243),1)</x:f>
        <x:v>79</x:v>
      </x:c>
      <x:c r="AV243" s="60" t="n">
        <x:f>ROUND(AVERAGE(X243,AF243,AN243),1)</x:f>
        <x:v>79</x:v>
      </x:c>
      <x:c r="AW243" s="60" t="n">
        <x:f>ROUND(AVERAGE(Y243,AG243,AO243),1)</x:f>
        <x:v>78</x:v>
      </x:c>
      <x:c r="AX243" s="60" t="n">
        <x:f>ROUND(AVERAGE(Z243,AH243,AP243),1)</x:f>
        <x:v>79</x:v>
      </x:c>
      <x:c r="AY243" s="60" t="n">
        <x:f>ROUND(AVERAGE(AA243,AI243,AQ243),1)</x:f>
        <x:v>79</x:v>
      </x:c>
      <x:c r="AZ243" s="60" t="n">
        <x:f>ROUND(AVERAGE(AB243,AJ243,AR243),1)</x:f>
        <x:v>13</x:v>
      </x:c>
      <x:c r="BA243" s="59" t="n">
        <x:v>5</x:v>
      </x:c>
      <x:c r="BB243" s="60" t="n">
        <x:f>ROUND(0.30*AT243+0.20*AU243+0.25*AV243+0.15*AW243+0.10*AY243,2)</x:f>
        <x:v>78.85</x:v>
      </x:c>
      <x:c r="BC243" s="60" t="n">
        <x:f>ROUND(0.30*AX243+0.20*AV243+0.20*AU243+0.15*AY243+0.15*(100-AZ243),2)</x:f>
        <x:v>80.2</x:v>
      </x:c>
      <x:c r="BD243" s="60" t="n">
        <x:f>ROUND(AVERAGE(BB243,BC243),2)</x:f>
        <x:v>79.53</x:v>
      </x:c>
      <x:c r="BE243" s="60" t="n">
        <x:f>ROUND(BD243-U243,2)</x:f>
        <x:v>0</x:v>
      </x:c>
      <x:c r="BF243" s="60" t="n">
        <x:f>ROUND(STDEV.P(AC243,AK243,AS243),3)</x:f>
        <x:v>0</x:v>
      </x:c>
      <x:c r="BG243" s="59" t="str"/>
      <x:c r="BH243" s="59" t="str">
        <x:v>30%评分池轻量复核</x:v>
      </x:c>
      <x:c r="BI243" s="40" t="str">
        <x:v>三轮复核后与原表基本一致</x:v>
      </x:c>
    </x:row>
    <x:row r="244" ht="30" customHeight="1">
      <x:c r="A244" s="59" t="n">
        <x:v>243</x:v>
      </x:c>
      <x:c r="B244" s="59" t="n">
        <x:v>244</x:v>
      </x:c>
      <x:c r="C244" s="59" t="str">
        <x:v>2026-06</x:v>
      </x:c>
      <x:c r="D244" s="59" t="n">
        <x:v>140</x:v>
      </x:c>
      <x:c r="E244" s="59" t="str">
        <x:v>2606.04270</x:v>
      </x:c>
      <x:c r="F244" s="40" t="str">
        <x:v>Space-Time Duality in Relativistic Diffusion via Subordination</x:v>
      </x:c>
      <x:c r="G244" s="40" t="str">
        <x:v>Cheng-Gang Li</x:v>
      </x:c>
      <x:c r="H244" s="40" t="str">
        <x:v>analysis/PDE</x:v>
      </x:c>
      <x:c r="I244" s="59"/>
      <x:c r="J244" s="40" t="str">
        <x:v>https://arxiv.org/abs/2606.04270</x:v>
      </x:c>
      <x:c r="K244" s="60" t="n">
        <x:v>79</x:v>
      </x:c>
      <x:c r="L244" s="60" t="n">
        <x:v>79</x:v>
      </x:c>
      <x:c r="M244" s="60" t="n">
        <x:v>79</x:v>
      </x:c>
      <x:c r="N244" s="60" t="n">
        <x:v>78</x:v>
      </x:c>
      <x:c r="O244" s="60" t="n">
        <x:v>79</x:v>
      </x:c>
      <x:c r="P244" s="60" t="n">
        <x:v>79</x:v>
      </x:c>
      <x:c r="Q244" s="60" t="n">
        <x:v>13</x:v>
      </x:c>
      <x:c r="R244" s="59" t="n">
        <x:v>5</x:v>
      </x:c>
      <x:c r="S244" s="60" t="n">
        <x:v>78.85000000000001</x:v>
      </x:c>
      <x:c r="T244" s="60" t="n">
        <x:v>80.19999999999999</x:v>
      </x:c>
      <x:c r="U244" s="60" t="n">
        <x:v>79.525</x:v>
      </x:c>
      <x:c r="V244" s="60" t="n">
        <x:v>79</x:v>
      </x:c>
      <x:c r="W244" s="60" t="n">
        <x:v>79</x:v>
      </x:c>
      <x:c r="X244" s="60" t="n">
        <x:v>79</x:v>
      </x:c>
      <x:c r="Y244" s="60" t="n">
        <x:v>78</x:v>
      </x:c>
      <x:c r="Z244" s="60" t="n">
        <x:v>79</x:v>
      </x:c>
      <x:c r="AA244" s="60" t="n">
        <x:v>79</x:v>
      </x:c>
      <x:c r="AB244" s="60" t="n">
        <x:v>13</x:v>
      </x:c>
      <x:c r="AC244" s="60" t="n">
        <x:f>ROUND(((0.30*V244+0.20*W244+0.25*X244+0.15*Y244+0.10*AA244)+(0.30*Z244+0.20*X244+0.20*W244+0.15*AA244+0.15*(100-AB244)))/2,2)</x:f>
        <x:v>79.53</x:v>
      </x:c>
      <x:c r="AD244" s="60" t="n">
        <x:v>79</x:v>
      </x:c>
      <x:c r="AE244" s="60" t="n">
        <x:v>79</x:v>
      </x:c>
      <x:c r="AF244" s="60" t="n">
        <x:v>79</x:v>
      </x:c>
      <x:c r="AG244" s="60" t="n">
        <x:v>78</x:v>
      </x:c>
      <x:c r="AH244" s="60" t="n">
        <x:v>79</x:v>
      </x:c>
      <x:c r="AI244" s="60" t="n">
        <x:v>79</x:v>
      </x:c>
      <x:c r="AJ244" s="60" t="n">
        <x:v>13</x:v>
      </x:c>
      <x:c r="AK244" s="60" t="n">
        <x:f>ROUND(((0.30*AD244+0.20*AE244+0.25*AF244+0.15*AG244+0.10*AI244)+(0.30*AH244+0.20*AF244+0.20*AE244+0.15*AI244+0.15*(100-AJ244)))/2,2)</x:f>
        <x:v>79.53</x:v>
      </x:c>
      <x:c r="AL244" s="60" t="n">
        <x:v>79</x:v>
      </x:c>
      <x:c r="AM244" s="60" t="n">
        <x:v>79</x:v>
      </x:c>
      <x:c r="AN244" s="60" t="n">
        <x:v>79</x:v>
      </x:c>
      <x:c r="AO244" s="60" t="n">
        <x:v>78</x:v>
      </x:c>
      <x:c r="AP244" s="60" t="n">
        <x:v>79</x:v>
      </x:c>
      <x:c r="AQ244" s="60" t="n">
        <x:v>79</x:v>
      </x:c>
      <x:c r="AR244" s="60" t="n">
        <x:v>13</x:v>
      </x:c>
      <x:c r="AS244" s="60" t="n">
        <x:f>ROUND(((0.30*AL244+0.20*AM244+0.25*AN244+0.15*AO244+0.10*AQ244)+(0.30*AP244+0.20*AN244+0.20*AM244+0.15*AQ244+0.15*(100-AR244)))/2,2)</x:f>
        <x:v>79.53</x:v>
      </x:c>
      <x:c r="AT244" s="60" t="n">
        <x:f>ROUND(AVERAGE(V244,AD244,AL244),1)</x:f>
        <x:v>79</x:v>
      </x:c>
      <x:c r="AU244" s="60" t="n">
        <x:f>ROUND(AVERAGE(W244,AE244,AM244),1)</x:f>
        <x:v>79</x:v>
      </x:c>
      <x:c r="AV244" s="60" t="n">
        <x:f>ROUND(AVERAGE(X244,AF244,AN244),1)</x:f>
        <x:v>79</x:v>
      </x:c>
      <x:c r="AW244" s="60" t="n">
        <x:f>ROUND(AVERAGE(Y244,AG244,AO244),1)</x:f>
        <x:v>78</x:v>
      </x:c>
      <x:c r="AX244" s="60" t="n">
        <x:f>ROUND(AVERAGE(Z244,AH244,AP244),1)</x:f>
        <x:v>79</x:v>
      </x:c>
      <x:c r="AY244" s="60" t="n">
        <x:f>ROUND(AVERAGE(AA244,AI244,AQ244),1)</x:f>
        <x:v>79</x:v>
      </x:c>
      <x:c r="AZ244" s="60" t="n">
        <x:f>ROUND(AVERAGE(AB244,AJ244,AR244),1)</x:f>
        <x:v>13</x:v>
      </x:c>
      <x:c r="BA244" s="59" t="n">
        <x:v>5</x:v>
      </x:c>
      <x:c r="BB244" s="60" t="n">
        <x:f>ROUND(0.30*AT244+0.20*AU244+0.25*AV244+0.15*AW244+0.10*AY244,2)</x:f>
        <x:v>78.85</x:v>
      </x:c>
      <x:c r="BC244" s="60" t="n">
        <x:f>ROUND(0.30*AX244+0.20*AV244+0.20*AU244+0.15*AY244+0.15*(100-AZ244),2)</x:f>
        <x:v>80.2</x:v>
      </x:c>
      <x:c r="BD244" s="60" t="n">
        <x:f>ROUND(AVERAGE(BB244,BC244),2)</x:f>
        <x:v>79.53</x:v>
      </x:c>
      <x:c r="BE244" s="60" t="n">
        <x:f>ROUND(BD244-U244,2)</x:f>
        <x:v>0</x:v>
      </x:c>
      <x:c r="BF244" s="60" t="n">
        <x:f>ROUND(STDEV.P(AC244,AK244,AS244),3)</x:f>
        <x:v>0</x:v>
      </x:c>
      <x:c r="BG244" s="59" t="str"/>
      <x:c r="BH244" s="59" t="str">
        <x:v>30%评分池轻量复核</x:v>
      </x:c>
      <x:c r="BI244" s="40" t="str">
        <x:v>三轮复核后与原表基本一致</x:v>
      </x:c>
    </x:row>
    <x:row r="245" ht="30" customHeight="1">
      <x:c r="A245" s="59" t="n">
        <x:v>244</x:v>
      </x:c>
      <x:c r="B245" s="59" t="n">
        <x:v>247</x:v>
      </x:c>
      <x:c r="C245" s="59" t="str">
        <x:v>2026-06</x:v>
      </x:c>
      <x:c r="D245" s="59" t="n">
        <x:v>140</x:v>
      </x:c>
      <x:c r="E245" s="59" t="str">
        <x:v>2606.03840</x:v>
      </x:c>
      <x:c r="F245" s="40" t="str">
        <x:v>On a system of semilinear damped sigma-evolution equations with different damping types in the critical case</x:v>
      </x:c>
      <x:c r="G245" s="40" t="str">
        <x:v>Trung Loc Tang; Tuan Anh Dao; The Anh Cung</x:v>
      </x:c>
      <x:c r="H245" s="40" t="str">
        <x:v>analysis/PDE</x:v>
      </x:c>
      <x:c r="I245" s="59"/>
      <x:c r="J245" s="40" t="str">
        <x:v>https://arxiv.org/abs/2606.03840</x:v>
      </x:c>
      <x:c r="K245" s="60" t="n">
        <x:v>79</x:v>
      </x:c>
      <x:c r="L245" s="60" t="n">
        <x:v>79</x:v>
      </x:c>
      <x:c r="M245" s="60" t="n">
        <x:v>79</x:v>
      </x:c>
      <x:c r="N245" s="60" t="n">
        <x:v>78</x:v>
      </x:c>
      <x:c r="O245" s="60" t="n">
        <x:v>79</x:v>
      </x:c>
      <x:c r="P245" s="60" t="n">
        <x:v>79</x:v>
      </x:c>
      <x:c r="Q245" s="60" t="n">
        <x:v>13</x:v>
      </x:c>
      <x:c r="R245" s="59" t="n">
        <x:v>5</x:v>
      </x:c>
      <x:c r="S245" s="60" t="n">
        <x:v>78.85000000000001</x:v>
      </x:c>
      <x:c r="T245" s="60" t="n">
        <x:v>80.19999999999999</x:v>
      </x:c>
      <x:c r="U245" s="60" t="n">
        <x:v>79.525</x:v>
      </x:c>
      <x:c r="V245" s="60" t="n">
        <x:v>79</x:v>
      </x:c>
      <x:c r="W245" s="60" t="n">
        <x:v>79</x:v>
      </x:c>
      <x:c r="X245" s="60" t="n">
        <x:v>79</x:v>
      </x:c>
      <x:c r="Y245" s="60" t="n">
        <x:v>78</x:v>
      </x:c>
      <x:c r="Z245" s="60" t="n">
        <x:v>79</x:v>
      </x:c>
      <x:c r="AA245" s="60" t="n">
        <x:v>79</x:v>
      </x:c>
      <x:c r="AB245" s="60" t="n">
        <x:v>13</x:v>
      </x:c>
      <x:c r="AC245" s="60" t="n">
        <x:f>ROUND(((0.30*V245+0.20*W245+0.25*X245+0.15*Y245+0.10*AA245)+(0.30*Z245+0.20*X245+0.20*W245+0.15*AA245+0.15*(100-AB245)))/2,2)</x:f>
        <x:v>79.53</x:v>
      </x:c>
      <x:c r="AD245" s="60" t="n">
        <x:v>79</x:v>
      </x:c>
      <x:c r="AE245" s="60" t="n">
        <x:v>79</x:v>
      </x:c>
      <x:c r="AF245" s="60" t="n">
        <x:v>79</x:v>
      </x:c>
      <x:c r="AG245" s="60" t="n">
        <x:v>78</x:v>
      </x:c>
      <x:c r="AH245" s="60" t="n">
        <x:v>79</x:v>
      </x:c>
      <x:c r="AI245" s="60" t="n">
        <x:v>79</x:v>
      </x:c>
      <x:c r="AJ245" s="60" t="n">
        <x:v>13</x:v>
      </x:c>
      <x:c r="AK245" s="60" t="n">
        <x:f>ROUND(((0.30*AD245+0.20*AE245+0.25*AF245+0.15*AG245+0.10*AI245)+(0.30*AH245+0.20*AF245+0.20*AE245+0.15*AI245+0.15*(100-AJ245)))/2,2)</x:f>
        <x:v>79.53</x:v>
      </x:c>
      <x:c r="AL245" s="60" t="n">
        <x:v>79</x:v>
      </x:c>
      <x:c r="AM245" s="60" t="n">
        <x:v>79</x:v>
      </x:c>
      <x:c r="AN245" s="60" t="n">
        <x:v>79</x:v>
      </x:c>
      <x:c r="AO245" s="60" t="n">
        <x:v>78</x:v>
      </x:c>
      <x:c r="AP245" s="60" t="n">
        <x:v>79</x:v>
      </x:c>
      <x:c r="AQ245" s="60" t="n">
        <x:v>79</x:v>
      </x:c>
      <x:c r="AR245" s="60" t="n">
        <x:v>13</x:v>
      </x:c>
      <x:c r="AS245" s="60" t="n">
        <x:f>ROUND(((0.30*AL245+0.20*AM245+0.25*AN245+0.15*AO245+0.10*AQ245)+(0.30*AP245+0.20*AN245+0.20*AM245+0.15*AQ245+0.15*(100-AR245)))/2,2)</x:f>
        <x:v>79.53</x:v>
      </x:c>
      <x:c r="AT245" s="60" t="n">
        <x:f>ROUND(AVERAGE(V245,AD245,AL245),1)</x:f>
        <x:v>79</x:v>
      </x:c>
      <x:c r="AU245" s="60" t="n">
        <x:f>ROUND(AVERAGE(W245,AE245,AM245),1)</x:f>
        <x:v>79</x:v>
      </x:c>
      <x:c r="AV245" s="60" t="n">
        <x:f>ROUND(AVERAGE(X245,AF245,AN245),1)</x:f>
        <x:v>79</x:v>
      </x:c>
      <x:c r="AW245" s="60" t="n">
        <x:f>ROUND(AVERAGE(Y245,AG245,AO245),1)</x:f>
        <x:v>78</x:v>
      </x:c>
      <x:c r="AX245" s="60" t="n">
        <x:f>ROUND(AVERAGE(Z245,AH245,AP245),1)</x:f>
        <x:v>79</x:v>
      </x:c>
      <x:c r="AY245" s="60" t="n">
        <x:f>ROUND(AVERAGE(AA245,AI245,AQ245),1)</x:f>
        <x:v>79</x:v>
      </x:c>
      <x:c r="AZ245" s="60" t="n">
        <x:f>ROUND(AVERAGE(AB245,AJ245,AR245),1)</x:f>
        <x:v>13</x:v>
      </x:c>
      <x:c r="BA245" s="59" t="n">
        <x:v>5</x:v>
      </x:c>
      <x:c r="BB245" s="60" t="n">
        <x:f>ROUND(0.30*AT245+0.20*AU245+0.25*AV245+0.15*AW245+0.10*AY245,2)</x:f>
        <x:v>78.85</x:v>
      </x:c>
      <x:c r="BC245" s="60" t="n">
        <x:f>ROUND(0.30*AX245+0.20*AV245+0.20*AU245+0.15*AY245+0.15*(100-AZ245),2)</x:f>
        <x:v>80.2</x:v>
      </x:c>
      <x:c r="BD245" s="60" t="n">
        <x:f>ROUND(AVERAGE(BB245,BC245),2)</x:f>
        <x:v>79.53</x:v>
      </x:c>
      <x:c r="BE245" s="60" t="n">
        <x:f>ROUND(BD245-U245,2)</x:f>
        <x:v>0</x:v>
      </x:c>
      <x:c r="BF245" s="60" t="n">
        <x:f>ROUND(STDEV.P(AC245,AK245,AS245),3)</x:f>
        <x:v>0</x:v>
      </x:c>
      <x:c r="BG245" s="59" t="str"/>
      <x:c r="BH245" s="59" t="str">
        <x:v>30%评分池轻量复核</x:v>
      </x:c>
      <x:c r="BI245" s="40" t="str">
        <x:v>三轮复核后与原表基本一致</x:v>
      </x:c>
    </x:row>
    <x:row r="246" ht="30" customHeight="1">
      <x:c r="A246" s="59" t="n">
        <x:v>245</x:v>
      </x:c>
      <x:c r="B246" s="59" t="n">
        <x:v>250</x:v>
      </x:c>
      <x:c r="C246" s="59" t="str">
        <x:v>2026-06</x:v>
      </x:c>
      <x:c r="D246" s="59" t="n">
        <x:v>140</x:v>
      </x:c>
      <x:c r="E246" s="59" t="str">
        <x:v>2606.02899</x:v>
      </x:c>
      <x:c r="F246" s="40" t="str">
        <x:v>A coupled prediction-correction Hughes' model for congested crowd motion</x:v>
      </x:c>
      <x:c r="G246" s="40" t="str">
        <x:v>Hamza Ennaji; Noureddine Igbida; Ghadir Jradi; Jose Miguel Urbano</x:v>
      </x:c>
      <x:c r="H246" s="40" t="str">
        <x:v>analysis/PDE</x:v>
      </x:c>
      <x:c r="I246" s="59"/>
      <x:c r="J246" s="40" t="str">
        <x:v>https://arxiv.org/abs/2606.02899</x:v>
      </x:c>
      <x:c r="K246" s="60" t="n">
        <x:v>79</x:v>
      </x:c>
      <x:c r="L246" s="60" t="n">
        <x:v>79</x:v>
      </x:c>
      <x:c r="M246" s="60" t="n">
        <x:v>79</x:v>
      </x:c>
      <x:c r="N246" s="60" t="n">
        <x:v>78</x:v>
      </x:c>
      <x:c r="O246" s="60" t="n">
        <x:v>79</x:v>
      </x:c>
      <x:c r="P246" s="60" t="n">
        <x:v>79</x:v>
      </x:c>
      <x:c r="Q246" s="60" t="n">
        <x:v>13</x:v>
      </x:c>
      <x:c r="R246" s="59" t="n">
        <x:v>5</x:v>
      </x:c>
      <x:c r="S246" s="60" t="n">
        <x:v>78.85000000000001</x:v>
      </x:c>
      <x:c r="T246" s="60" t="n">
        <x:v>80.19999999999999</x:v>
      </x:c>
      <x:c r="U246" s="60" t="n">
        <x:v>79.525</x:v>
      </x:c>
      <x:c r="V246" s="60" t="n">
        <x:v>79</x:v>
      </x:c>
      <x:c r="W246" s="60" t="n">
        <x:v>79</x:v>
      </x:c>
      <x:c r="X246" s="60" t="n">
        <x:v>79</x:v>
      </x:c>
      <x:c r="Y246" s="60" t="n">
        <x:v>78</x:v>
      </x:c>
      <x:c r="Z246" s="60" t="n">
        <x:v>79</x:v>
      </x:c>
      <x:c r="AA246" s="60" t="n">
        <x:v>79</x:v>
      </x:c>
      <x:c r="AB246" s="60" t="n">
        <x:v>13</x:v>
      </x:c>
      <x:c r="AC246" s="60" t="n">
        <x:f>ROUND(((0.30*V246+0.20*W246+0.25*X246+0.15*Y246+0.10*AA246)+(0.30*Z246+0.20*X246+0.20*W246+0.15*AA246+0.15*(100-AB246)))/2,2)</x:f>
        <x:v>79.53</x:v>
      </x:c>
      <x:c r="AD246" s="60" t="n">
        <x:v>79</x:v>
      </x:c>
      <x:c r="AE246" s="60" t="n">
        <x:v>79</x:v>
      </x:c>
      <x:c r="AF246" s="60" t="n">
        <x:v>79</x:v>
      </x:c>
      <x:c r="AG246" s="60" t="n">
        <x:v>78</x:v>
      </x:c>
      <x:c r="AH246" s="60" t="n">
        <x:v>79</x:v>
      </x:c>
      <x:c r="AI246" s="60" t="n">
        <x:v>79</x:v>
      </x:c>
      <x:c r="AJ246" s="60" t="n">
        <x:v>13</x:v>
      </x:c>
      <x:c r="AK246" s="60" t="n">
        <x:f>ROUND(((0.30*AD246+0.20*AE246+0.25*AF246+0.15*AG246+0.10*AI246)+(0.30*AH246+0.20*AF246+0.20*AE246+0.15*AI246+0.15*(100-AJ246)))/2,2)</x:f>
        <x:v>79.53</x:v>
      </x:c>
      <x:c r="AL246" s="60" t="n">
        <x:v>79</x:v>
      </x:c>
      <x:c r="AM246" s="60" t="n">
        <x:v>79</x:v>
      </x:c>
      <x:c r="AN246" s="60" t="n">
        <x:v>79</x:v>
      </x:c>
      <x:c r="AO246" s="60" t="n">
        <x:v>78</x:v>
      </x:c>
      <x:c r="AP246" s="60" t="n">
        <x:v>79</x:v>
      </x:c>
      <x:c r="AQ246" s="60" t="n">
        <x:v>79</x:v>
      </x:c>
      <x:c r="AR246" s="60" t="n">
        <x:v>13</x:v>
      </x:c>
      <x:c r="AS246" s="60" t="n">
        <x:f>ROUND(((0.30*AL246+0.20*AM246+0.25*AN246+0.15*AO246+0.10*AQ246)+(0.30*AP246+0.20*AN246+0.20*AM246+0.15*AQ246+0.15*(100-AR246)))/2,2)</x:f>
        <x:v>79.53</x:v>
      </x:c>
      <x:c r="AT246" s="60" t="n">
        <x:f>ROUND(AVERAGE(V246,AD246,AL246),1)</x:f>
        <x:v>79</x:v>
      </x:c>
      <x:c r="AU246" s="60" t="n">
        <x:f>ROUND(AVERAGE(W246,AE246,AM246),1)</x:f>
        <x:v>79</x:v>
      </x:c>
      <x:c r="AV246" s="60" t="n">
        <x:f>ROUND(AVERAGE(X246,AF246,AN246),1)</x:f>
        <x:v>79</x:v>
      </x:c>
      <x:c r="AW246" s="60" t="n">
        <x:f>ROUND(AVERAGE(Y246,AG246,AO246),1)</x:f>
        <x:v>78</x:v>
      </x:c>
      <x:c r="AX246" s="60" t="n">
        <x:f>ROUND(AVERAGE(Z246,AH246,AP246),1)</x:f>
        <x:v>79</x:v>
      </x:c>
      <x:c r="AY246" s="60" t="n">
        <x:f>ROUND(AVERAGE(AA246,AI246,AQ246),1)</x:f>
        <x:v>79</x:v>
      </x:c>
      <x:c r="AZ246" s="60" t="n">
        <x:f>ROUND(AVERAGE(AB246,AJ246,AR246),1)</x:f>
        <x:v>13</x:v>
      </x:c>
      <x:c r="BA246" s="59" t="n">
        <x:v>5</x:v>
      </x:c>
      <x:c r="BB246" s="60" t="n">
        <x:f>ROUND(0.30*AT246+0.20*AU246+0.25*AV246+0.15*AW246+0.10*AY246,2)</x:f>
        <x:v>78.85</x:v>
      </x:c>
      <x:c r="BC246" s="60" t="n">
        <x:f>ROUND(0.30*AX246+0.20*AV246+0.20*AU246+0.15*AY246+0.15*(100-AZ246),2)</x:f>
        <x:v>80.2</x:v>
      </x:c>
      <x:c r="BD246" s="60" t="n">
        <x:f>ROUND(AVERAGE(BB246,BC246),2)</x:f>
        <x:v>79.53</x:v>
      </x:c>
      <x:c r="BE246" s="60" t="n">
        <x:f>ROUND(BD246-U246,2)</x:f>
        <x:v>0</x:v>
      </x:c>
      <x:c r="BF246" s="60" t="n">
        <x:f>ROUND(STDEV.P(AC246,AK246,AS246),3)</x:f>
        <x:v>0</x:v>
      </x:c>
      <x:c r="BG246" s="59" t="str"/>
      <x:c r="BH246" s="59" t="str">
        <x:v>30%评分池轻量复核</x:v>
      </x:c>
      <x:c r="BI246" s="40" t="str">
        <x:v>三轮复核后与原表基本一致</x:v>
      </x:c>
    </x:row>
    <x:row r="247" ht="30" customHeight="1">
      <x:c r="A247" s="59" t="n">
        <x:v>246</x:v>
      </x:c>
      <x:c r="B247" s="59" t="n">
        <x:v>251</x:v>
      </x:c>
      <x:c r="C247" s="59" t="str">
        <x:v>2026-06</x:v>
      </x:c>
      <x:c r="D247" s="59" t="n">
        <x:v>140</x:v>
      </x:c>
      <x:c r="E247" s="59" t="str">
        <x:v>2606.02426</x:v>
      </x:c>
      <x:c r="F247" s="40" t="str">
        <x:v>Physical-Space Scarring in Generic Bunimovich Stadia</x:v>
      </x:c>
      <x:c r="G247" s="40" t="str">
        <x:v>Heng Li; Xizhi Liu</x:v>
      </x:c>
      <x:c r="H247" s="40" t="str">
        <x:v>analysis/PDE</x:v>
      </x:c>
      <x:c r="I247" s="59"/>
      <x:c r="J247" s="40" t="str">
        <x:v>https://arxiv.org/abs/2606.02426</x:v>
      </x:c>
      <x:c r="K247" s="60" t="n">
        <x:v>79</x:v>
      </x:c>
      <x:c r="L247" s="60" t="n">
        <x:v>79</x:v>
      </x:c>
      <x:c r="M247" s="60" t="n">
        <x:v>79</x:v>
      </x:c>
      <x:c r="N247" s="60" t="n">
        <x:v>78</x:v>
      </x:c>
      <x:c r="O247" s="60" t="n">
        <x:v>79</x:v>
      </x:c>
      <x:c r="P247" s="60" t="n">
        <x:v>79</x:v>
      </x:c>
      <x:c r="Q247" s="60" t="n">
        <x:v>13</x:v>
      </x:c>
      <x:c r="R247" s="59" t="n">
        <x:v>5</x:v>
      </x:c>
      <x:c r="S247" s="60" t="n">
        <x:v>78.85000000000001</x:v>
      </x:c>
      <x:c r="T247" s="60" t="n">
        <x:v>80.19999999999999</x:v>
      </x:c>
      <x:c r="U247" s="60" t="n">
        <x:v>79.525</x:v>
      </x:c>
      <x:c r="V247" s="60" t="n">
        <x:v>79</x:v>
      </x:c>
      <x:c r="W247" s="60" t="n">
        <x:v>79</x:v>
      </x:c>
      <x:c r="X247" s="60" t="n">
        <x:v>79</x:v>
      </x:c>
      <x:c r="Y247" s="60" t="n">
        <x:v>78</x:v>
      </x:c>
      <x:c r="Z247" s="60" t="n">
        <x:v>79</x:v>
      </x:c>
      <x:c r="AA247" s="60" t="n">
        <x:v>79</x:v>
      </x:c>
      <x:c r="AB247" s="60" t="n">
        <x:v>13</x:v>
      </x:c>
      <x:c r="AC247" s="60" t="n">
        <x:f>ROUND(((0.30*V247+0.20*W247+0.25*X247+0.15*Y247+0.10*AA247)+(0.30*Z247+0.20*X247+0.20*W247+0.15*AA247+0.15*(100-AB247)))/2,2)</x:f>
        <x:v>79.53</x:v>
      </x:c>
      <x:c r="AD247" s="60" t="n">
        <x:v>79</x:v>
      </x:c>
      <x:c r="AE247" s="60" t="n">
        <x:v>79</x:v>
      </x:c>
      <x:c r="AF247" s="60" t="n">
        <x:v>79</x:v>
      </x:c>
      <x:c r="AG247" s="60" t="n">
        <x:v>78</x:v>
      </x:c>
      <x:c r="AH247" s="60" t="n">
        <x:v>79</x:v>
      </x:c>
      <x:c r="AI247" s="60" t="n">
        <x:v>79</x:v>
      </x:c>
      <x:c r="AJ247" s="60" t="n">
        <x:v>13</x:v>
      </x:c>
      <x:c r="AK247" s="60" t="n">
        <x:f>ROUND(((0.30*AD247+0.20*AE247+0.25*AF247+0.15*AG247+0.10*AI247)+(0.30*AH247+0.20*AF247+0.20*AE247+0.15*AI247+0.15*(100-AJ247)))/2,2)</x:f>
        <x:v>79.53</x:v>
      </x:c>
      <x:c r="AL247" s="60" t="n">
        <x:v>79</x:v>
      </x:c>
      <x:c r="AM247" s="60" t="n">
        <x:v>79</x:v>
      </x:c>
      <x:c r="AN247" s="60" t="n">
        <x:v>79</x:v>
      </x:c>
      <x:c r="AO247" s="60" t="n">
        <x:v>78</x:v>
      </x:c>
      <x:c r="AP247" s="60" t="n">
        <x:v>79</x:v>
      </x:c>
      <x:c r="AQ247" s="60" t="n">
        <x:v>79</x:v>
      </x:c>
      <x:c r="AR247" s="60" t="n">
        <x:v>13</x:v>
      </x:c>
      <x:c r="AS247" s="60" t="n">
        <x:f>ROUND(((0.30*AL247+0.20*AM247+0.25*AN247+0.15*AO247+0.10*AQ247)+(0.30*AP247+0.20*AN247+0.20*AM247+0.15*AQ247+0.15*(100-AR247)))/2,2)</x:f>
        <x:v>79.53</x:v>
      </x:c>
      <x:c r="AT247" s="60" t="n">
        <x:f>ROUND(AVERAGE(V247,AD247,AL247),1)</x:f>
        <x:v>79</x:v>
      </x:c>
      <x:c r="AU247" s="60" t="n">
        <x:f>ROUND(AVERAGE(W247,AE247,AM247),1)</x:f>
        <x:v>79</x:v>
      </x:c>
      <x:c r="AV247" s="60" t="n">
        <x:f>ROUND(AVERAGE(X247,AF247,AN247),1)</x:f>
        <x:v>79</x:v>
      </x:c>
      <x:c r="AW247" s="60" t="n">
        <x:f>ROUND(AVERAGE(Y247,AG247,AO247),1)</x:f>
        <x:v>78</x:v>
      </x:c>
      <x:c r="AX247" s="60" t="n">
        <x:f>ROUND(AVERAGE(Z247,AH247,AP247),1)</x:f>
        <x:v>79</x:v>
      </x:c>
      <x:c r="AY247" s="60" t="n">
        <x:f>ROUND(AVERAGE(AA247,AI247,AQ247),1)</x:f>
        <x:v>79</x:v>
      </x:c>
      <x:c r="AZ247" s="60" t="n">
        <x:f>ROUND(AVERAGE(AB247,AJ247,AR247),1)</x:f>
        <x:v>13</x:v>
      </x:c>
      <x:c r="BA247" s="59" t="n">
        <x:v>5</x:v>
      </x:c>
      <x:c r="BB247" s="60" t="n">
        <x:f>ROUND(0.30*AT247+0.20*AU247+0.25*AV247+0.15*AW247+0.10*AY247,2)</x:f>
        <x:v>78.85</x:v>
      </x:c>
      <x:c r="BC247" s="60" t="n">
        <x:f>ROUND(0.30*AX247+0.20*AV247+0.20*AU247+0.15*AY247+0.15*(100-AZ247),2)</x:f>
        <x:v>80.2</x:v>
      </x:c>
      <x:c r="BD247" s="60" t="n">
        <x:f>ROUND(AVERAGE(BB247,BC247),2)</x:f>
        <x:v>79.53</x:v>
      </x:c>
      <x:c r="BE247" s="60" t="n">
        <x:f>ROUND(BD247-U247,2)</x:f>
        <x:v>0</x:v>
      </x:c>
      <x:c r="BF247" s="60" t="n">
        <x:f>ROUND(STDEV.P(AC247,AK247,AS247),3)</x:f>
        <x:v>0</x:v>
      </x:c>
      <x:c r="BG247" s="59" t="str"/>
      <x:c r="BH247" s="59" t="str">
        <x:v>30%评分池轻量复核</x:v>
      </x:c>
      <x:c r="BI247" s="40" t="str">
        <x:v>三轮复核后与原表基本一致</x:v>
      </x:c>
    </x:row>
    <x:row r="248" ht="30" customHeight="1">
      <x:c r="A248" s="59" t="n">
        <x:v>247</x:v>
      </x:c>
      <x:c r="B248" s="59" t="n">
        <x:v>253</x:v>
      </x:c>
      <x:c r="C248" s="59" t="str">
        <x:v>2026-06</x:v>
      </x:c>
      <x:c r="D248" s="59" t="n">
        <x:v>140</x:v>
      </x:c>
      <x:c r="E248" s="59" t="str">
        <x:v>2606.02141</x:v>
      </x:c>
      <x:c r="F248" s="40" t="str">
        <x:v>Normalized solutions to an exponential growth Choquard equation driven by mixed local-nonlocal operator in R^2</x:v>
      </x:c>
      <x:c r="G248" s="40" t="str">
        <x:v>Nidhi Nidhi; L. Sharma; K. Sreenadh</x:v>
      </x:c>
      <x:c r="H248" s="40" t="str">
        <x:v>analysis/PDE</x:v>
      </x:c>
      <x:c r="I248" s="59"/>
      <x:c r="J248" s="40" t="str">
        <x:v>https://arxiv.org/abs/2606.02141</x:v>
      </x:c>
      <x:c r="K248" s="60" t="n">
        <x:v>79</x:v>
      </x:c>
      <x:c r="L248" s="60" t="n">
        <x:v>79</x:v>
      </x:c>
      <x:c r="M248" s="60" t="n">
        <x:v>79</x:v>
      </x:c>
      <x:c r="N248" s="60" t="n">
        <x:v>78</x:v>
      </x:c>
      <x:c r="O248" s="60" t="n">
        <x:v>79</x:v>
      </x:c>
      <x:c r="P248" s="60" t="n">
        <x:v>79</x:v>
      </x:c>
      <x:c r="Q248" s="60" t="n">
        <x:v>13</x:v>
      </x:c>
      <x:c r="R248" s="59" t="n">
        <x:v>5</x:v>
      </x:c>
      <x:c r="S248" s="60" t="n">
        <x:v>78.85000000000001</x:v>
      </x:c>
      <x:c r="T248" s="60" t="n">
        <x:v>80.19999999999999</x:v>
      </x:c>
      <x:c r="U248" s="60" t="n">
        <x:v>79.525</x:v>
      </x:c>
      <x:c r="V248" s="60" t="n">
        <x:v>79</x:v>
      </x:c>
      <x:c r="W248" s="60" t="n">
        <x:v>79</x:v>
      </x:c>
      <x:c r="X248" s="60" t="n">
        <x:v>79</x:v>
      </x:c>
      <x:c r="Y248" s="60" t="n">
        <x:v>78</x:v>
      </x:c>
      <x:c r="Z248" s="60" t="n">
        <x:v>79</x:v>
      </x:c>
      <x:c r="AA248" s="60" t="n">
        <x:v>79</x:v>
      </x:c>
      <x:c r="AB248" s="60" t="n">
        <x:v>13</x:v>
      </x:c>
      <x:c r="AC248" s="60" t="n">
        <x:f>ROUND(((0.30*V248+0.20*W248+0.25*X248+0.15*Y248+0.10*AA248)+(0.30*Z248+0.20*X248+0.20*W248+0.15*AA248+0.15*(100-AB248)))/2,2)</x:f>
        <x:v>79.53</x:v>
      </x:c>
      <x:c r="AD248" s="60" t="n">
        <x:v>79</x:v>
      </x:c>
      <x:c r="AE248" s="60" t="n">
        <x:v>79</x:v>
      </x:c>
      <x:c r="AF248" s="60" t="n">
        <x:v>79</x:v>
      </x:c>
      <x:c r="AG248" s="60" t="n">
        <x:v>78</x:v>
      </x:c>
      <x:c r="AH248" s="60" t="n">
        <x:v>79</x:v>
      </x:c>
      <x:c r="AI248" s="60" t="n">
        <x:v>79</x:v>
      </x:c>
      <x:c r="AJ248" s="60" t="n">
        <x:v>13</x:v>
      </x:c>
      <x:c r="AK248" s="60" t="n">
        <x:f>ROUND(((0.30*AD248+0.20*AE248+0.25*AF248+0.15*AG248+0.10*AI248)+(0.30*AH248+0.20*AF248+0.20*AE248+0.15*AI248+0.15*(100-AJ248)))/2,2)</x:f>
        <x:v>79.53</x:v>
      </x:c>
      <x:c r="AL248" s="60" t="n">
        <x:v>79</x:v>
      </x:c>
      <x:c r="AM248" s="60" t="n">
        <x:v>79</x:v>
      </x:c>
      <x:c r="AN248" s="60" t="n">
        <x:v>79</x:v>
      </x:c>
      <x:c r="AO248" s="60" t="n">
        <x:v>78</x:v>
      </x:c>
      <x:c r="AP248" s="60" t="n">
        <x:v>79</x:v>
      </x:c>
      <x:c r="AQ248" s="60" t="n">
        <x:v>79</x:v>
      </x:c>
      <x:c r="AR248" s="60" t="n">
        <x:v>13</x:v>
      </x:c>
      <x:c r="AS248" s="60" t="n">
        <x:f>ROUND(((0.30*AL248+0.20*AM248+0.25*AN248+0.15*AO248+0.10*AQ248)+(0.30*AP248+0.20*AN248+0.20*AM248+0.15*AQ248+0.15*(100-AR248)))/2,2)</x:f>
        <x:v>79.53</x:v>
      </x:c>
      <x:c r="AT248" s="60" t="n">
        <x:f>ROUND(AVERAGE(V248,AD248,AL248),1)</x:f>
        <x:v>79</x:v>
      </x:c>
      <x:c r="AU248" s="60" t="n">
        <x:f>ROUND(AVERAGE(W248,AE248,AM248),1)</x:f>
        <x:v>79</x:v>
      </x:c>
      <x:c r="AV248" s="60" t="n">
        <x:f>ROUND(AVERAGE(X248,AF248,AN248),1)</x:f>
        <x:v>79</x:v>
      </x:c>
      <x:c r="AW248" s="60" t="n">
        <x:f>ROUND(AVERAGE(Y248,AG248,AO248),1)</x:f>
        <x:v>78</x:v>
      </x:c>
      <x:c r="AX248" s="60" t="n">
        <x:f>ROUND(AVERAGE(Z248,AH248,AP248),1)</x:f>
        <x:v>79</x:v>
      </x:c>
      <x:c r="AY248" s="60" t="n">
        <x:f>ROUND(AVERAGE(AA248,AI248,AQ248),1)</x:f>
        <x:v>79</x:v>
      </x:c>
      <x:c r="AZ248" s="60" t="n">
        <x:f>ROUND(AVERAGE(AB248,AJ248,AR248),1)</x:f>
        <x:v>13</x:v>
      </x:c>
      <x:c r="BA248" s="59" t="n">
        <x:v>5</x:v>
      </x:c>
      <x:c r="BB248" s="60" t="n">
        <x:f>ROUND(0.30*AT248+0.20*AU248+0.25*AV248+0.15*AW248+0.10*AY248,2)</x:f>
        <x:v>78.85</x:v>
      </x:c>
      <x:c r="BC248" s="60" t="n">
        <x:f>ROUND(0.30*AX248+0.20*AV248+0.20*AU248+0.15*AY248+0.15*(100-AZ248),2)</x:f>
        <x:v>80.2</x:v>
      </x:c>
      <x:c r="BD248" s="60" t="n">
        <x:f>ROUND(AVERAGE(BB248,BC248),2)</x:f>
        <x:v>79.53</x:v>
      </x:c>
      <x:c r="BE248" s="60" t="n">
        <x:f>ROUND(BD248-U248,2)</x:f>
        <x:v>0</x:v>
      </x:c>
      <x:c r="BF248" s="60" t="n">
        <x:f>ROUND(STDEV.P(AC248,AK248,AS248),3)</x:f>
        <x:v>0</x:v>
      </x:c>
      <x:c r="BG248" s="59" t="str"/>
      <x:c r="BH248" s="59" t="str">
        <x:v>30%评分池轻量复核</x:v>
      </x:c>
      <x:c r="BI248" s="40" t="str">
        <x:v>三轮复核后与原表基本一致</x:v>
      </x:c>
    </x:row>
    <x:row r="249" ht="30" customHeight="1">
      <x:c r="A249" s="59" t="n">
        <x:v>248</x:v>
      </x:c>
      <x:c r="B249" s="59" t="n">
        <x:v>254</x:v>
      </x:c>
      <x:c r="C249" s="59" t="str">
        <x:v>2026-06</x:v>
      </x:c>
      <x:c r="D249" s="59" t="n">
        <x:v>140</x:v>
      </x:c>
      <x:c r="E249" s="59" t="str">
        <x:v>2606.01913</x:v>
      </x:c>
      <x:c r="F249" s="40" t="str">
        <x:v>Three-scale singular limits with applications to rapidly rotating fluids and the hyperbolization of dispersive systems</x:v>
      </x:c>
      <x:c r="G249" s="40" t="str">
        <x:v>Vincent Duchene; Arnaud Duran; Khawla Msheik</x:v>
      </x:c>
      <x:c r="H249" s="40" t="str">
        <x:v>fluid/kinetic PDE</x:v>
      </x:c>
      <x:c r="I249" s="59"/>
      <x:c r="J249" s="40" t="str">
        <x:v>https://arxiv.org/abs/2606.01913</x:v>
      </x:c>
      <x:c r="K249" s="60" t="n">
        <x:v>79</x:v>
      </x:c>
      <x:c r="L249" s="60" t="n">
        <x:v>79</x:v>
      </x:c>
      <x:c r="M249" s="60" t="n">
        <x:v>79</x:v>
      </x:c>
      <x:c r="N249" s="60" t="n">
        <x:v>78</x:v>
      </x:c>
      <x:c r="O249" s="60" t="n">
        <x:v>79</x:v>
      </x:c>
      <x:c r="P249" s="60" t="n">
        <x:v>79</x:v>
      </x:c>
      <x:c r="Q249" s="60" t="n">
        <x:v>13</x:v>
      </x:c>
      <x:c r="R249" s="59" t="n">
        <x:v>5</x:v>
      </x:c>
      <x:c r="S249" s="60" t="n">
        <x:v>78.85000000000001</x:v>
      </x:c>
      <x:c r="T249" s="60" t="n">
        <x:v>80.19999999999999</x:v>
      </x:c>
      <x:c r="U249" s="60" t="n">
        <x:v>79.525</x:v>
      </x:c>
      <x:c r="V249" s="60" t="n">
        <x:v>79</x:v>
      </x:c>
      <x:c r="W249" s="60" t="n">
        <x:v>79</x:v>
      </x:c>
      <x:c r="X249" s="60" t="n">
        <x:v>79</x:v>
      </x:c>
      <x:c r="Y249" s="60" t="n">
        <x:v>78</x:v>
      </x:c>
      <x:c r="Z249" s="60" t="n">
        <x:v>79</x:v>
      </x:c>
      <x:c r="AA249" s="60" t="n">
        <x:v>79</x:v>
      </x:c>
      <x:c r="AB249" s="60" t="n">
        <x:v>13</x:v>
      </x:c>
      <x:c r="AC249" s="60" t="n">
        <x:f>ROUND(((0.30*V249+0.20*W249+0.25*X249+0.15*Y249+0.10*AA249)+(0.30*Z249+0.20*X249+0.20*W249+0.15*AA249+0.15*(100-AB249)))/2,2)</x:f>
        <x:v>79.53</x:v>
      </x:c>
      <x:c r="AD249" s="60" t="n">
        <x:v>79</x:v>
      </x:c>
      <x:c r="AE249" s="60" t="n">
        <x:v>79</x:v>
      </x:c>
      <x:c r="AF249" s="60" t="n">
        <x:v>79</x:v>
      </x:c>
      <x:c r="AG249" s="60" t="n">
        <x:v>78</x:v>
      </x:c>
      <x:c r="AH249" s="60" t="n">
        <x:v>79</x:v>
      </x:c>
      <x:c r="AI249" s="60" t="n">
        <x:v>79</x:v>
      </x:c>
      <x:c r="AJ249" s="60" t="n">
        <x:v>13</x:v>
      </x:c>
      <x:c r="AK249" s="60" t="n">
        <x:f>ROUND(((0.30*AD249+0.20*AE249+0.25*AF249+0.15*AG249+0.10*AI249)+(0.30*AH249+0.20*AF249+0.20*AE249+0.15*AI249+0.15*(100-AJ249)))/2,2)</x:f>
        <x:v>79.53</x:v>
      </x:c>
      <x:c r="AL249" s="60" t="n">
        <x:v>79</x:v>
      </x:c>
      <x:c r="AM249" s="60" t="n">
        <x:v>79</x:v>
      </x:c>
      <x:c r="AN249" s="60" t="n">
        <x:v>79</x:v>
      </x:c>
      <x:c r="AO249" s="60" t="n">
        <x:v>78</x:v>
      </x:c>
      <x:c r="AP249" s="60" t="n">
        <x:v>79</x:v>
      </x:c>
      <x:c r="AQ249" s="60" t="n">
        <x:v>79</x:v>
      </x:c>
      <x:c r="AR249" s="60" t="n">
        <x:v>13</x:v>
      </x:c>
      <x:c r="AS249" s="60" t="n">
        <x:f>ROUND(((0.30*AL249+0.20*AM249+0.25*AN249+0.15*AO249+0.10*AQ249)+(0.30*AP249+0.20*AN249+0.20*AM249+0.15*AQ249+0.15*(100-AR249)))/2,2)</x:f>
        <x:v>79.53</x:v>
      </x:c>
      <x:c r="AT249" s="60" t="n">
        <x:f>ROUND(AVERAGE(V249,AD249,AL249),1)</x:f>
        <x:v>79</x:v>
      </x:c>
      <x:c r="AU249" s="60" t="n">
        <x:f>ROUND(AVERAGE(W249,AE249,AM249),1)</x:f>
        <x:v>79</x:v>
      </x:c>
      <x:c r="AV249" s="60" t="n">
        <x:f>ROUND(AVERAGE(X249,AF249,AN249),1)</x:f>
        <x:v>79</x:v>
      </x:c>
      <x:c r="AW249" s="60" t="n">
        <x:f>ROUND(AVERAGE(Y249,AG249,AO249),1)</x:f>
        <x:v>78</x:v>
      </x:c>
      <x:c r="AX249" s="60" t="n">
        <x:f>ROUND(AVERAGE(Z249,AH249,AP249),1)</x:f>
        <x:v>79</x:v>
      </x:c>
      <x:c r="AY249" s="60" t="n">
        <x:f>ROUND(AVERAGE(AA249,AI249,AQ249),1)</x:f>
        <x:v>79</x:v>
      </x:c>
      <x:c r="AZ249" s="60" t="n">
        <x:f>ROUND(AVERAGE(AB249,AJ249,AR249),1)</x:f>
        <x:v>13</x:v>
      </x:c>
      <x:c r="BA249" s="59" t="n">
        <x:v>5</x:v>
      </x:c>
      <x:c r="BB249" s="60" t="n">
        <x:f>ROUND(0.30*AT249+0.20*AU249+0.25*AV249+0.15*AW249+0.10*AY249,2)</x:f>
        <x:v>78.85</x:v>
      </x:c>
      <x:c r="BC249" s="60" t="n">
        <x:f>ROUND(0.30*AX249+0.20*AV249+0.20*AU249+0.15*AY249+0.15*(100-AZ249),2)</x:f>
        <x:v>80.2</x:v>
      </x:c>
      <x:c r="BD249" s="60" t="n">
        <x:f>ROUND(AVERAGE(BB249,BC249),2)</x:f>
        <x:v>79.53</x:v>
      </x:c>
      <x:c r="BE249" s="60" t="n">
        <x:f>ROUND(BD249-U249,2)</x:f>
        <x:v>0</x:v>
      </x:c>
      <x:c r="BF249" s="60" t="n">
        <x:f>ROUND(STDEV.P(AC249,AK249,AS249),3)</x:f>
        <x:v>0</x:v>
      </x:c>
      <x:c r="BG249" s="59" t="str"/>
      <x:c r="BH249" s="59" t="str">
        <x:v>30%评分池轻量复核</x:v>
      </x:c>
      <x:c r="BI249" s="40" t="str">
        <x:v>三轮复核后与原表基本一致</x:v>
      </x:c>
    </x:row>
    <x:row r="250" ht="30" customHeight="1">
      <x:c r="A250" s="59" t="n">
        <x:v>249</x:v>
      </x:c>
      <x:c r="B250" s="59" t="n">
        <x:v>255</x:v>
      </x:c>
      <x:c r="C250" s="59" t="str">
        <x:v>2026-06</x:v>
      </x:c>
      <x:c r="D250" s="59" t="n">
        <x:v>140</x:v>
      </x:c>
      <x:c r="E250" s="59" t="str">
        <x:v>2606.01692</x:v>
      </x:c>
      <x:c r="F250" s="40" t="str">
        <x:v>On Dancer-type solutions for the Lane-Emden equation via semivirial-vanishing geometry</x:v>
      </x:c>
      <x:c r="G250" s="40" t="str">
        <x:v>Yongming Luo</x:v>
      </x:c>
      <x:c r="H250" s="40" t="str">
        <x:v>analysis/PDE</x:v>
      </x:c>
      <x:c r="I250" s="59"/>
      <x:c r="J250" s="40" t="str">
        <x:v>https://arxiv.org/abs/2606.01692</x:v>
      </x:c>
      <x:c r="K250" s="60" t="n">
        <x:v>79</x:v>
      </x:c>
      <x:c r="L250" s="60" t="n">
        <x:v>79</x:v>
      </x:c>
      <x:c r="M250" s="60" t="n">
        <x:v>79</x:v>
      </x:c>
      <x:c r="N250" s="60" t="n">
        <x:v>78</x:v>
      </x:c>
      <x:c r="O250" s="60" t="n">
        <x:v>79</x:v>
      </x:c>
      <x:c r="P250" s="60" t="n">
        <x:v>79</x:v>
      </x:c>
      <x:c r="Q250" s="60" t="n">
        <x:v>13</x:v>
      </x:c>
      <x:c r="R250" s="59" t="n">
        <x:v>5</x:v>
      </x:c>
      <x:c r="S250" s="60" t="n">
        <x:v>78.85000000000001</x:v>
      </x:c>
      <x:c r="T250" s="60" t="n">
        <x:v>80.19999999999999</x:v>
      </x:c>
      <x:c r="U250" s="60" t="n">
        <x:v>79.525</x:v>
      </x:c>
      <x:c r="V250" s="60" t="n">
        <x:v>79</x:v>
      </x:c>
      <x:c r="W250" s="60" t="n">
        <x:v>79</x:v>
      </x:c>
      <x:c r="X250" s="60" t="n">
        <x:v>79</x:v>
      </x:c>
      <x:c r="Y250" s="60" t="n">
        <x:v>78</x:v>
      </x:c>
      <x:c r="Z250" s="60" t="n">
        <x:v>79</x:v>
      </x:c>
      <x:c r="AA250" s="60" t="n">
        <x:v>79</x:v>
      </x:c>
      <x:c r="AB250" s="60" t="n">
        <x:v>13</x:v>
      </x:c>
      <x:c r="AC250" s="60" t="n">
        <x:f>ROUND(((0.30*V250+0.20*W250+0.25*X250+0.15*Y250+0.10*AA250)+(0.30*Z250+0.20*X250+0.20*W250+0.15*AA250+0.15*(100-AB250)))/2,2)</x:f>
        <x:v>79.53</x:v>
      </x:c>
      <x:c r="AD250" s="60" t="n">
        <x:v>79</x:v>
      </x:c>
      <x:c r="AE250" s="60" t="n">
        <x:v>79</x:v>
      </x:c>
      <x:c r="AF250" s="60" t="n">
        <x:v>79</x:v>
      </x:c>
      <x:c r="AG250" s="60" t="n">
        <x:v>78</x:v>
      </x:c>
      <x:c r="AH250" s="60" t="n">
        <x:v>79</x:v>
      </x:c>
      <x:c r="AI250" s="60" t="n">
        <x:v>79</x:v>
      </x:c>
      <x:c r="AJ250" s="60" t="n">
        <x:v>13</x:v>
      </x:c>
      <x:c r="AK250" s="60" t="n">
        <x:f>ROUND(((0.30*AD250+0.20*AE250+0.25*AF250+0.15*AG250+0.10*AI250)+(0.30*AH250+0.20*AF250+0.20*AE250+0.15*AI250+0.15*(100-AJ250)))/2,2)</x:f>
        <x:v>79.53</x:v>
      </x:c>
      <x:c r="AL250" s="60" t="n">
        <x:v>79</x:v>
      </x:c>
      <x:c r="AM250" s="60" t="n">
        <x:v>79</x:v>
      </x:c>
      <x:c r="AN250" s="60" t="n">
        <x:v>79</x:v>
      </x:c>
      <x:c r="AO250" s="60" t="n">
        <x:v>78</x:v>
      </x:c>
      <x:c r="AP250" s="60" t="n">
        <x:v>79</x:v>
      </x:c>
      <x:c r="AQ250" s="60" t="n">
        <x:v>79</x:v>
      </x:c>
      <x:c r="AR250" s="60" t="n">
        <x:v>13</x:v>
      </x:c>
      <x:c r="AS250" s="60" t="n">
        <x:f>ROUND(((0.30*AL250+0.20*AM250+0.25*AN250+0.15*AO250+0.10*AQ250)+(0.30*AP250+0.20*AN250+0.20*AM250+0.15*AQ250+0.15*(100-AR250)))/2,2)</x:f>
        <x:v>79.53</x:v>
      </x:c>
      <x:c r="AT250" s="60" t="n">
        <x:f>ROUND(AVERAGE(V250,AD250,AL250),1)</x:f>
        <x:v>79</x:v>
      </x:c>
      <x:c r="AU250" s="60" t="n">
        <x:f>ROUND(AVERAGE(W250,AE250,AM250),1)</x:f>
        <x:v>79</x:v>
      </x:c>
      <x:c r="AV250" s="60" t="n">
        <x:f>ROUND(AVERAGE(X250,AF250,AN250),1)</x:f>
        <x:v>79</x:v>
      </x:c>
      <x:c r="AW250" s="60" t="n">
        <x:f>ROUND(AVERAGE(Y250,AG250,AO250),1)</x:f>
        <x:v>78</x:v>
      </x:c>
      <x:c r="AX250" s="60" t="n">
        <x:f>ROUND(AVERAGE(Z250,AH250,AP250),1)</x:f>
        <x:v>79</x:v>
      </x:c>
      <x:c r="AY250" s="60" t="n">
        <x:f>ROUND(AVERAGE(AA250,AI250,AQ250),1)</x:f>
        <x:v>79</x:v>
      </x:c>
      <x:c r="AZ250" s="60" t="n">
        <x:f>ROUND(AVERAGE(AB250,AJ250,AR250),1)</x:f>
        <x:v>13</x:v>
      </x:c>
      <x:c r="BA250" s="59" t="n">
        <x:v>5</x:v>
      </x:c>
      <x:c r="BB250" s="60" t="n">
        <x:f>ROUND(0.30*AT250+0.20*AU250+0.25*AV250+0.15*AW250+0.10*AY250,2)</x:f>
        <x:v>78.85</x:v>
      </x:c>
      <x:c r="BC250" s="60" t="n">
        <x:f>ROUND(0.30*AX250+0.20*AV250+0.20*AU250+0.15*AY250+0.15*(100-AZ250),2)</x:f>
        <x:v>80.2</x:v>
      </x:c>
      <x:c r="BD250" s="60" t="n">
        <x:f>ROUND(AVERAGE(BB250,BC250),2)</x:f>
        <x:v>79.53</x:v>
      </x:c>
      <x:c r="BE250" s="60" t="n">
        <x:f>ROUND(BD250-U250,2)</x:f>
        <x:v>0</x:v>
      </x:c>
      <x:c r="BF250" s="60" t="n">
        <x:f>ROUND(STDEV.P(AC250,AK250,AS250),3)</x:f>
        <x:v>0</x:v>
      </x:c>
      <x:c r="BG250" s="59" t="str"/>
      <x:c r="BH250" s="59" t="str">
        <x:v>30%评分池轻量复核</x:v>
      </x:c>
      <x:c r="BI250" s="40" t="str">
        <x:v>三轮复核后与原表基本一致</x:v>
      </x:c>
    </x:row>
    <x:row r="251" ht="30" customHeight="1">
      <x:c r="A251" s="59" t="n">
        <x:v>250</x:v>
      </x:c>
      <x:c r="B251" s="59" t="n">
        <x:v>256</x:v>
      </x:c>
      <x:c r="C251" s="59" t="str">
        <x:v>2026-06</x:v>
      </x:c>
      <x:c r="D251" s="59" t="n">
        <x:v>140</x:v>
      </x:c>
      <x:c r="E251" s="59" t="str">
        <x:v>2606.01430</x:v>
      </x:c>
      <x:c r="F251" s="40" t="str">
        <x:v>A variational approach to ferronematics with a dimension reduction</x:v>
      </x:c>
      <x:c r="G251" s="40" t="str">
        <x:v>Shilpa Dutta</x:v>
      </x:c>
      <x:c r="H251" s="40" t="str">
        <x:v>analysis/PDE</x:v>
      </x:c>
      <x:c r="I251" s="59"/>
      <x:c r="J251" s="40" t="str">
        <x:v>https://arxiv.org/abs/2606.01430</x:v>
      </x:c>
      <x:c r="K251" s="60" t="n">
        <x:v>79</x:v>
      </x:c>
      <x:c r="L251" s="60" t="n">
        <x:v>79</x:v>
      </x:c>
      <x:c r="M251" s="60" t="n">
        <x:v>79</x:v>
      </x:c>
      <x:c r="N251" s="60" t="n">
        <x:v>78</x:v>
      </x:c>
      <x:c r="O251" s="60" t="n">
        <x:v>79</x:v>
      </x:c>
      <x:c r="P251" s="60" t="n">
        <x:v>79</x:v>
      </x:c>
      <x:c r="Q251" s="60" t="n">
        <x:v>13</x:v>
      </x:c>
      <x:c r="R251" s="59" t="n">
        <x:v>5</x:v>
      </x:c>
      <x:c r="S251" s="60" t="n">
        <x:v>78.85000000000001</x:v>
      </x:c>
      <x:c r="T251" s="60" t="n">
        <x:v>80.19999999999999</x:v>
      </x:c>
      <x:c r="U251" s="60" t="n">
        <x:v>79.525</x:v>
      </x:c>
      <x:c r="V251" s="60" t="n">
        <x:v>79</x:v>
      </x:c>
      <x:c r="W251" s="60" t="n">
        <x:v>79</x:v>
      </x:c>
      <x:c r="X251" s="60" t="n">
        <x:v>79</x:v>
      </x:c>
      <x:c r="Y251" s="60" t="n">
        <x:v>78</x:v>
      </x:c>
      <x:c r="Z251" s="60" t="n">
        <x:v>79</x:v>
      </x:c>
      <x:c r="AA251" s="60" t="n">
        <x:v>79</x:v>
      </x:c>
      <x:c r="AB251" s="60" t="n">
        <x:v>13</x:v>
      </x:c>
      <x:c r="AC251" s="60" t="n">
        <x:f>ROUND(((0.30*V251+0.20*W251+0.25*X251+0.15*Y251+0.10*AA251)+(0.30*Z251+0.20*X251+0.20*W251+0.15*AA251+0.15*(100-AB251)))/2,2)</x:f>
        <x:v>79.53</x:v>
      </x:c>
      <x:c r="AD251" s="60" t="n">
        <x:v>79</x:v>
      </x:c>
      <x:c r="AE251" s="60" t="n">
        <x:v>79</x:v>
      </x:c>
      <x:c r="AF251" s="60" t="n">
        <x:v>79</x:v>
      </x:c>
      <x:c r="AG251" s="60" t="n">
        <x:v>78</x:v>
      </x:c>
      <x:c r="AH251" s="60" t="n">
        <x:v>79</x:v>
      </x:c>
      <x:c r="AI251" s="60" t="n">
        <x:v>79</x:v>
      </x:c>
      <x:c r="AJ251" s="60" t="n">
        <x:v>13</x:v>
      </x:c>
      <x:c r="AK251" s="60" t="n">
        <x:f>ROUND(((0.30*AD251+0.20*AE251+0.25*AF251+0.15*AG251+0.10*AI251)+(0.30*AH251+0.20*AF251+0.20*AE251+0.15*AI251+0.15*(100-AJ251)))/2,2)</x:f>
        <x:v>79.53</x:v>
      </x:c>
      <x:c r="AL251" s="60" t="n">
        <x:v>79</x:v>
      </x:c>
      <x:c r="AM251" s="60" t="n">
        <x:v>79</x:v>
      </x:c>
      <x:c r="AN251" s="60" t="n">
        <x:v>79</x:v>
      </x:c>
      <x:c r="AO251" s="60" t="n">
        <x:v>78</x:v>
      </x:c>
      <x:c r="AP251" s="60" t="n">
        <x:v>79</x:v>
      </x:c>
      <x:c r="AQ251" s="60" t="n">
        <x:v>79</x:v>
      </x:c>
      <x:c r="AR251" s="60" t="n">
        <x:v>13</x:v>
      </x:c>
      <x:c r="AS251" s="60" t="n">
        <x:f>ROUND(((0.30*AL251+0.20*AM251+0.25*AN251+0.15*AO251+0.10*AQ251)+(0.30*AP251+0.20*AN251+0.20*AM251+0.15*AQ251+0.15*(100-AR251)))/2,2)</x:f>
        <x:v>79.53</x:v>
      </x:c>
      <x:c r="AT251" s="60" t="n">
        <x:f>ROUND(AVERAGE(V251,AD251,AL251),1)</x:f>
        <x:v>79</x:v>
      </x:c>
      <x:c r="AU251" s="60" t="n">
        <x:f>ROUND(AVERAGE(W251,AE251,AM251),1)</x:f>
        <x:v>79</x:v>
      </x:c>
      <x:c r="AV251" s="60" t="n">
        <x:f>ROUND(AVERAGE(X251,AF251,AN251),1)</x:f>
        <x:v>79</x:v>
      </x:c>
      <x:c r="AW251" s="60" t="n">
        <x:f>ROUND(AVERAGE(Y251,AG251,AO251),1)</x:f>
        <x:v>78</x:v>
      </x:c>
      <x:c r="AX251" s="60" t="n">
        <x:f>ROUND(AVERAGE(Z251,AH251,AP251),1)</x:f>
        <x:v>79</x:v>
      </x:c>
      <x:c r="AY251" s="60" t="n">
        <x:f>ROUND(AVERAGE(AA251,AI251,AQ251),1)</x:f>
        <x:v>79</x:v>
      </x:c>
      <x:c r="AZ251" s="60" t="n">
        <x:f>ROUND(AVERAGE(AB251,AJ251,AR251),1)</x:f>
        <x:v>13</x:v>
      </x:c>
      <x:c r="BA251" s="59" t="n">
        <x:v>5</x:v>
      </x:c>
      <x:c r="BB251" s="60" t="n">
        <x:f>ROUND(0.30*AT251+0.20*AU251+0.25*AV251+0.15*AW251+0.10*AY251,2)</x:f>
        <x:v>78.85</x:v>
      </x:c>
      <x:c r="BC251" s="60" t="n">
        <x:f>ROUND(0.30*AX251+0.20*AV251+0.20*AU251+0.15*AY251+0.15*(100-AZ251),2)</x:f>
        <x:v>80.2</x:v>
      </x:c>
      <x:c r="BD251" s="60" t="n">
        <x:f>ROUND(AVERAGE(BB251,BC251),2)</x:f>
        <x:v>79.53</x:v>
      </x:c>
      <x:c r="BE251" s="60" t="n">
        <x:f>ROUND(BD251-U251,2)</x:f>
        <x:v>0</x:v>
      </x:c>
      <x:c r="BF251" s="60" t="n">
        <x:f>ROUND(STDEV.P(AC251,AK251,AS251),3)</x:f>
        <x:v>0</x:v>
      </x:c>
      <x:c r="BG251" s="59" t="str"/>
      <x:c r="BH251" s="59" t="str">
        <x:v>30%评分池轻量复核</x:v>
      </x:c>
      <x:c r="BI251" s="40" t="str">
        <x:v>三轮复核后与原表基本一致</x:v>
      </x:c>
    </x:row>
    <x:row r="252" ht="30" customHeight="1">
      <x:c r="A252" s="59" t="n">
        <x:v>251</x:v>
      </x:c>
      <x:c r="B252" s="59" t="n">
        <x:v>257</x:v>
      </x:c>
      <x:c r="C252" s="59" t="str">
        <x:v>2026-06</x:v>
      </x:c>
      <x:c r="D252" s="59" t="n">
        <x:v>140</x:v>
      </x:c>
      <x:c r="E252" s="59" t="str">
        <x:v>2606.01073</x:v>
      </x:c>
      <x:c r="F252" s="40" t="str">
        <x:v>On admissible solutions to the coupled Riemann problem with heat-flux discontinuity</x:v>
      </x:c>
      <x:c r="G252" s="40" t="str">
        <x:v>Changsheng Yu; Tiegang Liu</x:v>
      </x:c>
      <x:c r="H252" s="40" t="str">
        <x:v>analysis/PDE</x:v>
      </x:c>
      <x:c r="I252" s="59"/>
      <x:c r="J252" s="40" t="str">
        <x:v>https://arxiv.org/abs/2606.01073</x:v>
      </x:c>
      <x:c r="K252" s="60" t="n">
        <x:v>79</x:v>
      </x:c>
      <x:c r="L252" s="60" t="n">
        <x:v>79</x:v>
      </x:c>
      <x:c r="M252" s="60" t="n">
        <x:v>79</x:v>
      </x:c>
      <x:c r="N252" s="60" t="n">
        <x:v>78</x:v>
      </x:c>
      <x:c r="O252" s="60" t="n">
        <x:v>79</x:v>
      </x:c>
      <x:c r="P252" s="60" t="n">
        <x:v>79</x:v>
      </x:c>
      <x:c r="Q252" s="60" t="n">
        <x:v>13</x:v>
      </x:c>
      <x:c r="R252" s="59" t="n">
        <x:v>5</x:v>
      </x:c>
      <x:c r="S252" s="60" t="n">
        <x:v>78.85000000000001</x:v>
      </x:c>
      <x:c r="T252" s="60" t="n">
        <x:v>80.19999999999999</x:v>
      </x:c>
      <x:c r="U252" s="60" t="n">
        <x:v>79.525</x:v>
      </x:c>
      <x:c r="V252" s="60" t="n">
        <x:v>79</x:v>
      </x:c>
      <x:c r="W252" s="60" t="n">
        <x:v>79</x:v>
      </x:c>
      <x:c r="X252" s="60" t="n">
        <x:v>79</x:v>
      </x:c>
      <x:c r="Y252" s="60" t="n">
        <x:v>78</x:v>
      </x:c>
      <x:c r="Z252" s="60" t="n">
        <x:v>79</x:v>
      </x:c>
      <x:c r="AA252" s="60" t="n">
        <x:v>79</x:v>
      </x:c>
      <x:c r="AB252" s="60" t="n">
        <x:v>13</x:v>
      </x:c>
      <x:c r="AC252" s="60" t="n">
        <x:f>ROUND(((0.30*V252+0.20*W252+0.25*X252+0.15*Y252+0.10*AA252)+(0.30*Z252+0.20*X252+0.20*W252+0.15*AA252+0.15*(100-AB252)))/2,2)</x:f>
        <x:v>79.53</x:v>
      </x:c>
      <x:c r="AD252" s="60" t="n">
        <x:v>79</x:v>
      </x:c>
      <x:c r="AE252" s="60" t="n">
        <x:v>79</x:v>
      </x:c>
      <x:c r="AF252" s="60" t="n">
        <x:v>79</x:v>
      </x:c>
      <x:c r="AG252" s="60" t="n">
        <x:v>78</x:v>
      </x:c>
      <x:c r="AH252" s="60" t="n">
        <x:v>79</x:v>
      </x:c>
      <x:c r="AI252" s="60" t="n">
        <x:v>79</x:v>
      </x:c>
      <x:c r="AJ252" s="60" t="n">
        <x:v>13</x:v>
      </x:c>
      <x:c r="AK252" s="60" t="n">
        <x:f>ROUND(((0.30*AD252+0.20*AE252+0.25*AF252+0.15*AG252+0.10*AI252)+(0.30*AH252+0.20*AF252+0.20*AE252+0.15*AI252+0.15*(100-AJ252)))/2,2)</x:f>
        <x:v>79.53</x:v>
      </x:c>
      <x:c r="AL252" s="60" t="n">
        <x:v>79</x:v>
      </x:c>
      <x:c r="AM252" s="60" t="n">
        <x:v>79</x:v>
      </x:c>
      <x:c r="AN252" s="60" t="n">
        <x:v>79</x:v>
      </x:c>
      <x:c r="AO252" s="60" t="n">
        <x:v>78</x:v>
      </x:c>
      <x:c r="AP252" s="60" t="n">
        <x:v>79</x:v>
      </x:c>
      <x:c r="AQ252" s="60" t="n">
        <x:v>79</x:v>
      </x:c>
      <x:c r="AR252" s="60" t="n">
        <x:v>13</x:v>
      </x:c>
      <x:c r="AS252" s="60" t="n">
        <x:f>ROUND(((0.30*AL252+0.20*AM252+0.25*AN252+0.15*AO252+0.10*AQ252)+(0.30*AP252+0.20*AN252+0.20*AM252+0.15*AQ252+0.15*(100-AR252)))/2,2)</x:f>
        <x:v>79.53</x:v>
      </x:c>
      <x:c r="AT252" s="60" t="n">
        <x:f>ROUND(AVERAGE(V252,AD252,AL252),1)</x:f>
        <x:v>79</x:v>
      </x:c>
      <x:c r="AU252" s="60" t="n">
        <x:f>ROUND(AVERAGE(W252,AE252,AM252),1)</x:f>
        <x:v>79</x:v>
      </x:c>
      <x:c r="AV252" s="60" t="n">
        <x:f>ROUND(AVERAGE(X252,AF252,AN252),1)</x:f>
        <x:v>79</x:v>
      </x:c>
      <x:c r="AW252" s="60" t="n">
        <x:f>ROUND(AVERAGE(Y252,AG252,AO252),1)</x:f>
        <x:v>78</x:v>
      </x:c>
      <x:c r="AX252" s="60" t="n">
        <x:f>ROUND(AVERAGE(Z252,AH252,AP252),1)</x:f>
        <x:v>79</x:v>
      </x:c>
      <x:c r="AY252" s="60" t="n">
        <x:f>ROUND(AVERAGE(AA252,AI252,AQ252),1)</x:f>
        <x:v>79</x:v>
      </x:c>
      <x:c r="AZ252" s="60" t="n">
        <x:f>ROUND(AVERAGE(AB252,AJ252,AR252),1)</x:f>
        <x:v>13</x:v>
      </x:c>
      <x:c r="BA252" s="59" t="n">
        <x:v>5</x:v>
      </x:c>
      <x:c r="BB252" s="60" t="n">
        <x:f>ROUND(0.30*AT252+0.20*AU252+0.25*AV252+0.15*AW252+0.10*AY252,2)</x:f>
        <x:v>78.85</x:v>
      </x:c>
      <x:c r="BC252" s="60" t="n">
        <x:f>ROUND(0.30*AX252+0.20*AV252+0.20*AU252+0.15*AY252+0.15*(100-AZ252),2)</x:f>
        <x:v>80.2</x:v>
      </x:c>
      <x:c r="BD252" s="60" t="n">
        <x:f>ROUND(AVERAGE(BB252,BC252),2)</x:f>
        <x:v>79.53</x:v>
      </x:c>
      <x:c r="BE252" s="60" t="n">
        <x:f>ROUND(BD252-U252,2)</x:f>
        <x:v>0</x:v>
      </x:c>
      <x:c r="BF252" s="60" t="n">
        <x:f>ROUND(STDEV.P(AC252,AK252,AS252),3)</x:f>
        <x:v>0</x:v>
      </x:c>
      <x:c r="BG252" s="59" t="str"/>
      <x:c r="BH252" s="59" t="str">
        <x:v>30%评分池轻量复核</x:v>
      </x:c>
      <x:c r="BI252" s="40" t="str">
        <x:v>三轮复核后与原表基本一致</x:v>
      </x:c>
    </x:row>
    <x:row r="253" ht="30" customHeight="1">
      <x:c r="A253" s="59" t="n">
        <x:v>252</x:v>
      </x:c>
      <x:c r="B253" s="59" t="n">
        <x:v>248</x:v>
      </x:c>
      <x:c r="C253" s="59" t="str">
        <x:v>2026-06</x:v>
      </x:c>
      <x:c r="D253" s="59" t="n">
        <x:v>140</x:v>
      </x:c>
      <x:c r="E253" s="59" t="str">
        <x:v>2606.03684</x:v>
      </x:c>
      <x:c r="F253" s="40" t="str">
        <x:v>To 1/2-logconcavity and beyond: Geometric properties of Dirichlet eigenfunctions</x:v>
      </x:c>
      <x:c r="G253" s="40" t="str">
        <x:v>Lei Qin; Jin Sun; Kui Wang</x:v>
      </x:c>
      <x:c r="H253" s="40" t="str">
        <x:v>geometric analysis</x:v>
      </x:c>
      <x:c r="I253" s="59" t="n">
        <x:v>22</x:v>
      </x:c>
      <x:c r="J253" s="40" t="str">
        <x:v>https://arxiv.org/abs/2606.03684</x:v>
      </x:c>
      <x:c r="K253" s="60" t="n">
        <x:v>79</x:v>
      </x:c>
      <x:c r="L253" s="60" t="n">
        <x:v>79</x:v>
      </x:c>
      <x:c r="M253" s="60" t="n">
        <x:v>79</x:v>
      </x:c>
      <x:c r="N253" s="60" t="n">
        <x:v>78</x:v>
      </x:c>
      <x:c r="O253" s="60" t="n">
        <x:v>79</x:v>
      </x:c>
      <x:c r="P253" s="60" t="n">
        <x:v>79</x:v>
      </x:c>
      <x:c r="Q253" s="60" t="n">
        <x:v>13</x:v>
      </x:c>
      <x:c r="R253" s="59" t="n">
        <x:v>5</x:v>
      </x:c>
      <x:c r="S253" s="60" t="n">
        <x:v>78.85000000000001</x:v>
      </x:c>
      <x:c r="T253" s="60" t="n">
        <x:v>80.19999999999999</x:v>
      </x:c>
      <x:c r="U253" s="60" t="n">
        <x:v>79.525</x:v>
      </x:c>
      <x:c r="V253" s="60" t="n">
        <x:v>79</x:v>
      </x:c>
      <x:c r="W253" s="60" t="n">
        <x:v>79</x:v>
      </x:c>
      <x:c r="X253" s="60" t="n">
        <x:v>79</x:v>
      </x:c>
      <x:c r="Y253" s="60" t="n">
        <x:v>78</x:v>
      </x:c>
      <x:c r="Z253" s="60" t="n">
        <x:v>79</x:v>
      </x:c>
      <x:c r="AA253" s="60" t="n">
        <x:v>79</x:v>
      </x:c>
      <x:c r="AB253" s="60" t="n">
        <x:v>13</x:v>
      </x:c>
      <x:c r="AC253" s="60" t="n">
        <x:f>ROUND(((0.30*V253+0.20*W253+0.25*X253+0.15*Y253+0.10*AA253)+(0.30*Z253+0.20*X253+0.20*W253+0.15*AA253+0.15*(100-AB253)))/2,2)</x:f>
        <x:v>79.53</x:v>
      </x:c>
      <x:c r="AD253" s="60" t="n">
        <x:v>79</x:v>
      </x:c>
      <x:c r="AE253" s="60" t="n">
        <x:v>79</x:v>
      </x:c>
      <x:c r="AF253" s="60" t="n">
        <x:v>79</x:v>
      </x:c>
      <x:c r="AG253" s="60" t="n">
        <x:v>78</x:v>
      </x:c>
      <x:c r="AH253" s="60" t="n">
        <x:v>79</x:v>
      </x:c>
      <x:c r="AI253" s="60" t="n">
        <x:v>79</x:v>
      </x:c>
      <x:c r="AJ253" s="60" t="n">
        <x:v>13.4</x:v>
      </x:c>
      <x:c r="AK253" s="60" t="n">
        <x:f>ROUND(((0.30*AD253+0.20*AE253+0.25*AF253+0.15*AG253+0.10*AI253)+(0.30*AH253+0.20*AF253+0.20*AE253+0.15*AI253+0.15*(100-AJ253)))/2,2)</x:f>
        <x:v>79.5</x:v>
      </x:c>
      <x:c r="AL253" s="60" t="n">
        <x:v>79</x:v>
      </x:c>
      <x:c r="AM253" s="60" t="n">
        <x:v>79</x:v>
      </x:c>
      <x:c r="AN253" s="60" t="n">
        <x:v>79</x:v>
      </x:c>
      <x:c r="AO253" s="60" t="n">
        <x:v>78</x:v>
      </x:c>
      <x:c r="AP253" s="60" t="n">
        <x:v>79</x:v>
      </x:c>
      <x:c r="AQ253" s="60" t="n">
        <x:v>79</x:v>
      </x:c>
      <x:c r="AR253" s="60" t="n">
        <x:v>13</x:v>
      </x:c>
      <x:c r="AS253" s="60" t="n">
        <x:f>ROUND(((0.30*AL253+0.20*AM253+0.25*AN253+0.15*AO253+0.10*AQ253)+(0.30*AP253+0.20*AN253+0.20*AM253+0.15*AQ253+0.15*(100-AR253)))/2,2)</x:f>
        <x:v>79.53</x:v>
      </x:c>
      <x:c r="AT253" s="60" t="n">
        <x:f>ROUND(AVERAGE(V253,AD253,AL253),1)</x:f>
        <x:v>79</x:v>
      </x:c>
      <x:c r="AU253" s="60" t="n">
        <x:f>ROUND(AVERAGE(W253,AE253,AM253),1)</x:f>
        <x:v>79</x:v>
      </x:c>
      <x:c r="AV253" s="60" t="n">
        <x:f>ROUND(AVERAGE(X253,AF253,AN253),1)</x:f>
        <x:v>79</x:v>
      </x:c>
      <x:c r="AW253" s="60" t="n">
        <x:f>ROUND(AVERAGE(Y253,AG253,AO253),1)</x:f>
        <x:v>78</x:v>
      </x:c>
      <x:c r="AX253" s="60" t="n">
        <x:f>ROUND(AVERAGE(Z253,AH253,AP253),1)</x:f>
        <x:v>79</x:v>
      </x:c>
      <x:c r="AY253" s="60" t="n">
        <x:f>ROUND(AVERAGE(AA253,AI253,AQ253),1)</x:f>
        <x:v>79</x:v>
      </x:c>
      <x:c r="AZ253" s="60" t="n">
        <x:f>ROUND(AVERAGE(AB253,AJ253,AR253),1)</x:f>
        <x:v>13.1</x:v>
      </x:c>
      <x:c r="BA253" s="59" t="n">
        <x:v>5</x:v>
      </x:c>
      <x:c r="BB253" s="60" t="n">
        <x:f>ROUND(0.30*AT253+0.20*AU253+0.25*AV253+0.15*AW253+0.10*AY253,2)</x:f>
        <x:v>78.85</x:v>
      </x:c>
      <x:c r="BC253" s="60" t="n">
        <x:f>ROUND(0.30*AX253+0.20*AV253+0.20*AU253+0.15*AY253+0.15*(100-AZ253),2)</x:f>
        <x:v>80.18</x:v>
      </x:c>
      <x:c r="BD253" s="60" t="n">
        <x:f>ROUND(AVERAGE(BB253,BC253),2)</x:f>
        <x:v>79.52</x:v>
      </x:c>
      <x:c r="BE253" s="60" t="n">
        <x:f>ROUND(BD253-U253,2)</x:f>
        <x:v>-0.01</x:v>
      </x:c>
      <x:c r="BF253" s="60" t="n">
        <x:f>ROUND(STDEV.P(AC253,AK253,AS253),3)</x:f>
        <x:v>0.014</x:v>
      </x:c>
      <x:c r="BG253" s="59" t="str"/>
      <x:c r="BH253" s="59" t="str">
        <x:v>30%评分池轻量复核</x:v>
      </x:c>
      <x:c r="BI253" s="40" t="str">
        <x:v>三轮复核后与原表基本一致</x:v>
      </x:c>
    </x:row>
    <x:row r="254" ht="30" customHeight="1">
      <x:c r="A254" s="59" t="n">
        <x:v>253</x:v>
      </x:c>
      <x:c r="B254" s="59" t="n">
        <x:v>252</x:v>
      </x:c>
      <x:c r="C254" s="59" t="str">
        <x:v>2026-06</x:v>
      </x:c>
      <x:c r="D254" s="59" t="n">
        <x:v>140</x:v>
      </x:c>
      <x:c r="E254" s="59" t="str">
        <x:v>2606.02227</x:v>
      </x:c>
      <x:c r="F254" s="40" t="str">
        <x:v>On a class of critical Schrodinger-Poisson systems involving the (p,q)-Laplacian</x:v>
      </x:c>
      <x:c r="G254" s="40" t="str">
        <x:v>Laura Baldelli; Roberta Filippucci</x:v>
      </x:c>
      <x:c r="H254" s="40" t="str">
        <x:v>dispersive PDE</x:v>
      </x:c>
      <x:c r="I254" s="59"/>
      <x:c r="J254" s="40" t="str">
        <x:v>https://arxiv.org/abs/2606.02227</x:v>
      </x:c>
      <x:c r="K254" s="60" t="n">
        <x:v>79</x:v>
      </x:c>
      <x:c r="L254" s="60" t="n">
        <x:v>79</x:v>
      </x:c>
      <x:c r="M254" s="60" t="n">
        <x:v>79</x:v>
      </x:c>
      <x:c r="N254" s="60" t="n">
        <x:v>78</x:v>
      </x:c>
      <x:c r="O254" s="60" t="n">
        <x:v>79</x:v>
      </x:c>
      <x:c r="P254" s="60" t="n">
        <x:v>79</x:v>
      </x:c>
      <x:c r="Q254" s="60" t="n">
        <x:v>13</x:v>
      </x:c>
      <x:c r="R254" s="59" t="n">
        <x:v>5</x:v>
      </x:c>
      <x:c r="S254" s="60" t="n">
        <x:v>78.85000000000001</x:v>
      </x:c>
      <x:c r="T254" s="60" t="n">
        <x:v>80.19999999999999</x:v>
      </x:c>
      <x:c r="U254" s="60" t="n">
        <x:v>79.525</x:v>
      </x:c>
      <x:c r="V254" s="60" t="n">
        <x:v>79</x:v>
      </x:c>
      <x:c r="W254" s="60" t="n">
        <x:v>79</x:v>
      </x:c>
      <x:c r="X254" s="60" t="n">
        <x:v>79</x:v>
      </x:c>
      <x:c r="Y254" s="60" t="n">
        <x:v>77.9</x:v>
      </x:c>
      <x:c r="Z254" s="60" t="n">
        <x:v>79</x:v>
      </x:c>
      <x:c r="AA254" s="60" t="n">
        <x:v>79</x:v>
      </x:c>
      <x:c r="AB254" s="60" t="n">
        <x:v>13</x:v>
      </x:c>
      <x:c r="AC254" s="60" t="n">
        <x:f>ROUND(((0.30*V254+0.20*W254+0.25*X254+0.15*Y254+0.10*AA254)+(0.30*Z254+0.20*X254+0.20*W254+0.15*AA254+0.15*(100-AB254)))/2,2)</x:f>
        <x:v>79.52</x:v>
      </x:c>
      <x:c r="AD254" s="60" t="n">
        <x:v>79</x:v>
      </x:c>
      <x:c r="AE254" s="60" t="n">
        <x:v>79</x:v>
      </x:c>
      <x:c r="AF254" s="60" t="n">
        <x:v>79</x:v>
      </x:c>
      <x:c r="AG254" s="60" t="n">
        <x:v>77.9</x:v>
      </x:c>
      <x:c r="AH254" s="60" t="n">
        <x:v>79</x:v>
      </x:c>
      <x:c r="AI254" s="60" t="n">
        <x:v>79</x:v>
      </x:c>
      <x:c r="AJ254" s="60" t="n">
        <x:v>13</x:v>
      </x:c>
      <x:c r="AK254" s="60" t="n">
        <x:f>ROUND(((0.30*AD254+0.20*AE254+0.25*AF254+0.15*AG254+0.10*AI254)+(0.30*AH254+0.20*AF254+0.20*AE254+0.15*AI254+0.15*(100-AJ254)))/2,2)</x:f>
        <x:v>79.52</x:v>
      </x:c>
      <x:c r="AL254" s="60" t="n">
        <x:v>79</x:v>
      </x:c>
      <x:c r="AM254" s="60" t="n">
        <x:v>79</x:v>
      </x:c>
      <x:c r="AN254" s="60" t="n">
        <x:v>79</x:v>
      </x:c>
      <x:c r="AO254" s="60" t="n">
        <x:v>77.9</x:v>
      </x:c>
      <x:c r="AP254" s="60" t="n">
        <x:v>79</x:v>
      </x:c>
      <x:c r="AQ254" s="60" t="n">
        <x:v>79</x:v>
      </x:c>
      <x:c r="AR254" s="60" t="n">
        <x:v>13</x:v>
      </x:c>
      <x:c r="AS254" s="60" t="n">
        <x:f>ROUND(((0.30*AL254+0.20*AM254+0.25*AN254+0.15*AO254+0.10*AQ254)+(0.30*AP254+0.20*AN254+0.20*AM254+0.15*AQ254+0.15*(100-AR254)))/2,2)</x:f>
        <x:v>79.52</x:v>
      </x:c>
      <x:c r="AT254" s="60" t="n">
        <x:f>ROUND(AVERAGE(V254,AD254,AL254),1)</x:f>
        <x:v>79</x:v>
      </x:c>
      <x:c r="AU254" s="60" t="n">
        <x:f>ROUND(AVERAGE(W254,AE254,AM254),1)</x:f>
        <x:v>79</x:v>
      </x:c>
      <x:c r="AV254" s="60" t="n">
        <x:f>ROUND(AVERAGE(X254,AF254,AN254),1)</x:f>
        <x:v>79</x:v>
      </x:c>
      <x:c r="AW254" s="60" t="n">
        <x:f>ROUND(AVERAGE(Y254,AG254,AO254),1)</x:f>
        <x:v>77.9</x:v>
      </x:c>
      <x:c r="AX254" s="60" t="n">
        <x:f>ROUND(AVERAGE(Z254,AH254,AP254),1)</x:f>
        <x:v>79</x:v>
      </x:c>
      <x:c r="AY254" s="60" t="n">
        <x:f>ROUND(AVERAGE(AA254,AI254,AQ254),1)</x:f>
        <x:v>79</x:v>
      </x:c>
      <x:c r="AZ254" s="60" t="n">
        <x:f>ROUND(AVERAGE(AB254,AJ254,AR254),1)</x:f>
        <x:v>13</x:v>
      </x:c>
      <x:c r="BA254" s="59" t="n">
        <x:v>5</x:v>
      </x:c>
      <x:c r="BB254" s="60" t="n">
        <x:f>ROUND(0.30*AT254+0.20*AU254+0.25*AV254+0.15*AW254+0.10*AY254,2)</x:f>
        <x:v>78.84</x:v>
      </x:c>
      <x:c r="BC254" s="60" t="n">
        <x:f>ROUND(0.30*AX254+0.20*AV254+0.20*AU254+0.15*AY254+0.15*(100-AZ254),2)</x:f>
        <x:v>80.2</x:v>
      </x:c>
      <x:c r="BD254" s="60" t="n">
        <x:f>ROUND(AVERAGE(BB254,BC254),2)</x:f>
        <x:v>79.52</x:v>
      </x:c>
      <x:c r="BE254" s="60" t="n">
        <x:f>ROUND(BD254-U254,2)</x:f>
        <x:v>-0.01</x:v>
      </x:c>
      <x:c r="BF254" s="60" t="n">
        <x:f>ROUND(STDEV.P(AC254,AK254,AS254),3)</x:f>
        <x:v>0</x:v>
      </x:c>
      <x:c r="BG254" s="59" t="str"/>
      <x:c r="BH254" s="59" t="str">
        <x:v>30%评分池轻量复核</x:v>
      </x:c>
      <x:c r="BI254" s="40" t="str">
        <x:v>范围偏专门，广度轻微回调</x:v>
      </x:c>
    </x:row>
    <x:row r="255" ht="30" customHeight="1">
      <x:c r="A255" s="59" t="n">
        <x:v>254</x:v>
      </x:c>
      <x:c r="B255" s="59" t="n">
        <x:v>235</x:v>
      </x:c>
      <x:c r="C255" s="59" t="str">
        <x:v>2026-06</x:v>
      </x:c>
      <x:c r="D255" s="59" t="n">
        <x:v>140</x:v>
      </x:c>
      <x:c r="E255" s="59" t="str">
        <x:v>2606.09775</x:v>
      </x:c>
      <x:c r="F255" s="40" t="str">
        <x:v>Linear Stability of the Lamb-Chaplygin Dipole</x:v>
      </x:c>
      <x:c r="G255" s="40" t="str">
        <x:v>Francesco Pio Numero; Paolo Ventura</x:v>
      </x:c>
      <x:c r="H255" s="40" t="str">
        <x:v>analysis/PDE</x:v>
      </x:c>
      <x:c r="I255" s="59" t="n">
        <x:v>16</x:v>
      </x:c>
      <x:c r="J255" s="40" t="str">
        <x:v>https://arxiv.org/abs/2606.09775</x:v>
      </x:c>
      <x:c r="K255" s="60" t="n">
        <x:v>79</x:v>
      </x:c>
      <x:c r="L255" s="60" t="n">
        <x:v>79</x:v>
      </x:c>
      <x:c r="M255" s="60" t="n">
        <x:v>79</x:v>
      </x:c>
      <x:c r="N255" s="60" t="n">
        <x:v>78</x:v>
      </x:c>
      <x:c r="O255" s="60" t="n">
        <x:v>79</x:v>
      </x:c>
      <x:c r="P255" s="60" t="n">
        <x:v>79</x:v>
      </x:c>
      <x:c r="Q255" s="60" t="n">
        <x:v>13</x:v>
      </x:c>
      <x:c r="R255" s="59" t="n">
        <x:v>5</x:v>
      </x:c>
      <x:c r="S255" s="60" t="n">
        <x:v>78.85000000000001</x:v>
      </x:c>
      <x:c r="T255" s="60" t="n">
        <x:v>80.19999999999999</x:v>
      </x:c>
      <x:c r="U255" s="60" t="n">
        <x:v>79.525</x:v>
      </x:c>
      <x:c r="V255" s="60" t="n">
        <x:v>79</x:v>
      </x:c>
      <x:c r="W255" s="60" t="n">
        <x:v>79</x:v>
      </x:c>
      <x:c r="X255" s="60" t="n">
        <x:v>79</x:v>
      </x:c>
      <x:c r="Y255" s="60" t="n">
        <x:v>78</x:v>
      </x:c>
      <x:c r="Z255" s="60" t="n">
        <x:v>79</x:v>
      </x:c>
      <x:c r="AA255" s="60" t="n">
        <x:v>79</x:v>
      </x:c>
      <x:c r="AB255" s="60" t="n">
        <x:v>13</x:v>
      </x:c>
      <x:c r="AC255" s="60" t="n">
        <x:f>ROUND(((0.30*V255+0.20*W255+0.25*X255+0.15*Y255+0.10*AA255)+(0.30*Z255+0.20*X255+0.20*W255+0.15*AA255+0.15*(100-AB255)))/2,2)</x:f>
        <x:v>79.53</x:v>
      </x:c>
      <x:c r="AD255" s="60" t="n">
        <x:v>79</x:v>
      </x:c>
      <x:c r="AE255" s="60" t="n">
        <x:v>79</x:v>
      </x:c>
      <x:c r="AF255" s="60" t="n">
        <x:v>79</x:v>
      </x:c>
      <x:c r="AG255" s="60" t="n">
        <x:v>78</x:v>
      </x:c>
      <x:c r="AH255" s="60" t="n">
        <x:v>79</x:v>
      </x:c>
      <x:c r="AI255" s="60" t="n">
        <x:v>79</x:v>
      </x:c>
      <x:c r="AJ255" s="60" t="n">
        <x:v>13.4</x:v>
      </x:c>
      <x:c r="AK255" s="60" t="n">
        <x:f>ROUND(((0.30*AD255+0.20*AE255+0.25*AF255+0.15*AG255+0.10*AI255)+(0.30*AH255+0.20*AF255+0.20*AE255+0.15*AI255+0.15*(100-AJ255)))/2,2)</x:f>
        <x:v>79.5</x:v>
      </x:c>
      <x:c r="AL255" s="60" t="n">
        <x:v>79</x:v>
      </x:c>
      <x:c r="AM255" s="60" t="n">
        <x:v>79</x:v>
      </x:c>
      <x:c r="AN255" s="60" t="n">
        <x:v>79</x:v>
      </x:c>
      <x:c r="AO255" s="60" t="n">
        <x:v>78</x:v>
      </x:c>
      <x:c r="AP255" s="60" t="n">
        <x:v>79</x:v>
      </x:c>
      <x:c r="AQ255" s="60" t="n">
        <x:v>79</x:v>
      </x:c>
      <x:c r="AR255" s="60" t="n">
        <x:v>13.5</x:v>
      </x:c>
      <x:c r="AS255" s="60" t="n">
        <x:f>ROUND(((0.30*AL255+0.20*AM255+0.25*AN255+0.15*AO255+0.10*AQ255)+(0.30*AP255+0.20*AN255+0.20*AM255+0.15*AQ255+0.15*(100-AR255)))/2,2)</x:f>
        <x:v>79.49</x:v>
      </x:c>
      <x:c r="AT255" s="60" t="n">
        <x:f>ROUND(AVERAGE(V255,AD255,AL255),1)</x:f>
        <x:v>79</x:v>
      </x:c>
      <x:c r="AU255" s="60" t="n">
        <x:f>ROUND(AVERAGE(W255,AE255,AM255),1)</x:f>
        <x:v>79</x:v>
      </x:c>
      <x:c r="AV255" s="60" t="n">
        <x:f>ROUND(AVERAGE(X255,AF255,AN255),1)</x:f>
        <x:v>79</x:v>
      </x:c>
      <x:c r="AW255" s="60" t="n">
        <x:f>ROUND(AVERAGE(Y255,AG255,AO255),1)</x:f>
        <x:v>78</x:v>
      </x:c>
      <x:c r="AX255" s="60" t="n">
        <x:f>ROUND(AVERAGE(Z255,AH255,AP255),1)</x:f>
        <x:v>79</x:v>
      </x:c>
      <x:c r="AY255" s="60" t="n">
        <x:f>ROUND(AVERAGE(AA255,AI255,AQ255),1)</x:f>
        <x:v>79</x:v>
      </x:c>
      <x:c r="AZ255" s="60" t="n">
        <x:f>ROUND(AVERAGE(AB255,AJ255,AR255),1)</x:f>
        <x:v>13.3</x:v>
      </x:c>
      <x:c r="BA255" s="59" t="n">
        <x:v>5</x:v>
      </x:c>
      <x:c r="BB255" s="60" t="n">
        <x:f>ROUND(0.30*AT255+0.20*AU255+0.25*AV255+0.15*AW255+0.10*AY255,2)</x:f>
        <x:v>78.85</x:v>
      </x:c>
      <x:c r="BC255" s="60" t="n">
        <x:f>ROUND(0.30*AX255+0.20*AV255+0.20*AU255+0.15*AY255+0.15*(100-AZ255),2)</x:f>
        <x:v>80.15</x:v>
      </x:c>
      <x:c r="BD255" s="60" t="n">
        <x:f>ROUND(AVERAGE(BB255,BC255),2)</x:f>
        <x:v>79.5</x:v>
      </x:c>
      <x:c r="BE255" s="60" t="n">
        <x:f>ROUND(BD255-U255,2)</x:f>
        <x:v>-0.03</x:v>
      </x:c>
      <x:c r="BF255" s="60" t="n">
        <x:f>ROUND(STDEV.P(AC255,AK255,AS255),3)</x:f>
        <x:v>0.017</x:v>
      </x:c>
      <x:c r="BG255" s="59" t="str"/>
      <x:c r="BH255" s="59" t="str">
        <x:v>30%评分池轻量复核</x:v>
      </x:c>
      <x:c r="BI255" s="40" t="str">
        <x:v>三轮复核后与原表基本一致</x:v>
      </x:c>
    </x:row>
    <x:row r="256" ht="30" customHeight="1">
      <x:c r="A256" s="59" t="n">
        <x:v>255</x:v>
      </x:c>
      <x:c r="B256" s="59" t="n">
        <x:v>245</x:v>
      </x:c>
      <x:c r="C256" s="59" t="str">
        <x:v>2026-06</x:v>
      </x:c>
      <x:c r="D256" s="59" t="n">
        <x:v>140</x:v>
      </x:c>
      <x:c r="E256" s="59" t="str">
        <x:v>2606.04230</x:v>
      </x:c>
      <x:c r="F256" s="40" t="str">
        <x:v>Study via Approximate Symmetries of the Emergence of Secondary Flux in the Bevilacqua-Galeao Model</x:v>
      </x:c>
      <x:c r="G256" s="40" t="str">
        <x:v>Yuri Bozhkov; Stylianos Dimas; Antonio J. Silva Neto</x:v>
      </x:c>
      <x:c r="H256" s="40" t="str">
        <x:v>analysis/PDE</x:v>
      </x:c>
      <x:c r="I256" s="59" t="n">
        <x:v>16</x:v>
      </x:c>
      <x:c r="J256" s="40" t="str">
        <x:v>https://arxiv.org/abs/2606.04230</x:v>
      </x:c>
      <x:c r="K256" s="60" t="n">
        <x:v>79</x:v>
      </x:c>
      <x:c r="L256" s="60" t="n">
        <x:v>79</x:v>
      </x:c>
      <x:c r="M256" s="60" t="n">
        <x:v>79</x:v>
      </x:c>
      <x:c r="N256" s="60" t="n">
        <x:v>78</x:v>
      </x:c>
      <x:c r="O256" s="60" t="n">
        <x:v>79</x:v>
      </x:c>
      <x:c r="P256" s="60" t="n">
        <x:v>79</x:v>
      </x:c>
      <x:c r="Q256" s="60" t="n">
        <x:v>13</x:v>
      </x:c>
      <x:c r="R256" s="59" t="n">
        <x:v>5</x:v>
      </x:c>
      <x:c r="S256" s="60" t="n">
        <x:v>78.85000000000001</x:v>
      </x:c>
      <x:c r="T256" s="60" t="n">
        <x:v>80.19999999999999</x:v>
      </x:c>
      <x:c r="U256" s="60" t="n">
        <x:v>79.525</x:v>
      </x:c>
      <x:c r="V256" s="60" t="n">
        <x:v>79</x:v>
      </x:c>
      <x:c r="W256" s="60" t="n">
        <x:v>79</x:v>
      </x:c>
      <x:c r="X256" s="60" t="n">
        <x:v>79</x:v>
      </x:c>
      <x:c r="Y256" s="60" t="n">
        <x:v>78</x:v>
      </x:c>
      <x:c r="Z256" s="60" t="n">
        <x:v>79</x:v>
      </x:c>
      <x:c r="AA256" s="60" t="n">
        <x:v>79</x:v>
      </x:c>
      <x:c r="AB256" s="60" t="n">
        <x:v>13</x:v>
      </x:c>
      <x:c r="AC256" s="60" t="n">
        <x:f>ROUND(((0.30*V256+0.20*W256+0.25*X256+0.15*Y256+0.10*AA256)+(0.30*Z256+0.20*X256+0.20*W256+0.15*AA256+0.15*(100-AB256)))/2,2)</x:f>
        <x:v>79.53</x:v>
      </x:c>
      <x:c r="AD256" s="60" t="n">
        <x:v>79</x:v>
      </x:c>
      <x:c r="AE256" s="60" t="n">
        <x:v>79</x:v>
      </x:c>
      <x:c r="AF256" s="60" t="n">
        <x:v>79</x:v>
      </x:c>
      <x:c r="AG256" s="60" t="n">
        <x:v>78</x:v>
      </x:c>
      <x:c r="AH256" s="60" t="n">
        <x:v>79</x:v>
      </x:c>
      <x:c r="AI256" s="60" t="n">
        <x:v>79</x:v>
      </x:c>
      <x:c r="AJ256" s="60" t="n">
        <x:v>13.4</x:v>
      </x:c>
      <x:c r="AK256" s="60" t="n">
        <x:f>ROUND(((0.30*AD256+0.20*AE256+0.25*AF256+0.15*AG256+0.10*AI256)+(0.30*AH256+0.20*AF256+0.20*AE256+0.15*AI256+0.15*(100-AJ256)))/2,2)</x:f>
        <x:v>79.5</x:v>
      </x:c>
      <x:c r="AL256" s="60" t="n">
        <x:v>79</x:v>
      </x:c>
      <x:c r="AM256" s="60" t="n">
        <x:v>79</x:v>
      </x:c>
      <x:c r="AN256" s="60" t="n">
        <x:v>79</x:v>
      </x:c>
      <x:c r="AO256" s="60" t="n">
        <x:v>78</x:v>
      </x:c>
      <x:c r="AP256" s="60" t="n">
        <x:v>79</x:v>
      </x:c>
      <x:c r="AQ256" s="60" t="n">
        <x:v>79</x:v>
      </x:c>
      <x:c r="AR256" s="60" t="n">
        <x:v>13.5</x:v>
      </x:c>
      <x:c r="AS256" s="60" t="n">
        <x:f>ROUND(((0.30*AL256+0.20*AM256+0.25*AN256+0.15*AO256+0.10*AQ256)+(0.30*AP256+0.20*AN256+0.20*AM256+0.15*AQ256+0.15*(100-AR256)))/2,2)</x:f>
        <x:v>79.49</x:v>
      </x:c>
      <x:c r="AT256" s="60" t="n">
        <x:f>ROUND(AVERAGE(V256,AD256,AL256),1)</x:f>
        <x:v>79</x:v>
      </x:c>
      <x:c r="AU256" s="60" t="n">
        <x:f>ROUND(AVERAGE(W256,AE256,AM256),1)</x:f>
        <x:v>79</x:v>
      </x:c>
      <x:c r="AV256" s="60" t="n">
        <x:f>ROUND(AVERAGE(X256,AF256,AN256),1)</x:f>
        <x:v>79</x:v>
      </x:c>
      <x:c r="AW256" s="60" t="n">
        <x:f>ROUND(AVERAGE(Y256,AG256,AO256),1)</x:f>
        <x:v>78</x:v>
      </x:c>
      <x:c r="AX256" s="60" t="n">
        <x:f>ROUND(AVERAGE(Z256,AH256,AP256),1)</x:f>
        <x:v>79</x:v>
      </x:c>
      <x:c r="AY256" s="60" t="n">
        <x:f>ROUND(AVERAGE(AA256,AI256,AQ256),1)</x:f>
        <x:v>79</x:v>
      </x:c>
      <x:c r="AZ256" s="60" t="n">
        <x:f>ROUND(AVERAGE(AB256,AJ256,AR256),1)</x:f>
        <x:v>13.3</x:v>
      </x:c>
      <x:c r="BA256" s="59" t="n">
        <x:v>5</x:v>
      </x:c>
      <x:c r="BB256" s="60" t="n">
        <x:f>ROUND(0.30*AT256+0.20*AU256+0.25*AV256+0.15*AW256+0.10*AY256,2)</x:f>
        <x:v>78.85</x:v>
      </x:c>
      <x:c r="BC256" s="60" t="n">
        <x:f>ROUND(0.30*AX256+0.20*AV256+0.20*AU256+0.15*AY256+0.15*(100-AZ256),2)</x:f>
        <x:v>80.15</x:v>
      </x:c>
      <x:c r="BD256" s="60" t="n">
        <x:f>ROUND(AVERAGE(BB256,BC256),2)</x:f>
        <x:v>79.5</x:v>
      </x:c>
      <x:c r="BE256" s="60" t="n">
        <x:f>ROUND(BD256-U256,2)</x:f>
        <x:v>-0.03</x:v>
      </x:c>
      <x:c r="BF256" s="60" t="n">
        <x:f>ROUND(STDEV.P(AC256,AK256,AS256),3)</x:f>
        <x:v>0.017</x:v>
      </x:c>
      <x:c r="BG256" s="59" t="str"/>
      <x:c r="BH256" s="59" t="str">
        <x:v>30%评分池轻量复核</x:v>
      </x:c>
      <x:c r="BI256" s="40" t="str">
        <x:v>三轮复核后与原表基本一致</x:v>
      </x:c>
    </x:row>
    <x:row r="257" ht="30" customHeight="1">
      <x:c r="A257" s="59" t="n">
        <x:v>256</x:v>
      </x:c>
      <x:c r="B257" s="59" t="n">
        <x:v>246</x:v>
      </x:c>
      <x:c r="C257" s="59" t="str">
        <x:v>2026-06</x:v>
      </x:c>
      <x:c r="D257" s="59" t="n">
        <x:v>140</x:v>
      </x:c>
      <x:c r="E257" s="59" t="str">
        <x:v>2606.04195</x:v>
      </x:c>
      <x:c r="F257" s="40" t="str">
        <x:v>Kernel-Robust Dynamics for Reaction-Diffusion Equations with Measure-Valued Delay</x:v>
      </x:c>
      <x:c r="G257" s="40" t="str">
        <x:v>Lennon Shikhman</x:v>
      </x:c>
      <x:c r="H257" s="40" t="str">
        <x:v>analysis/PDE</x:v>
      </x:c>
      <x:c r="I257" s="59" t="n">
        <x:v>18</x:v>
      </x:c>
      <x:c r="J257" s="40" t="str">
        <x:v>https://arxiv.org/abs/2606.04195</x:v>
      </x:c>
      <x:c r="K257" s="60" t="n">
        <x:v>79</x:v>
      </x:c>
      <x:c r="L257" s="60" t="n">
        <x:v>79</x:v>
      </x:c>
      <x:c r="M257" s="60" t="n">
        <x:v>79</x:v>
      </x:c>
      <x:c r="N257" s="60" t="n">
        <x:v>78</x:v>
      </x:c>
      <x:c r="O257" s="60" t="n">
        <x:v>79</x:v>
      </x:c>
      <x:c r="P257" s="60" t="n">
        <x:v>79</x:v>
      </x:c>
      <x:c r="Q257" s="60" t="n">
        <x:v>13</x:v>
      </x:c>
      <x:c r="R257" s="59" t="n">
        <x:v>5</x:v>
      </x:c>
      <x:c r="S257" s="60" t="n">
        <x:v>78.85000000000001</x:v>
      </x:c>
      <x:c r="T257" s="60" t="n">
        <x:v>80.19999999999999</x:v>
      </x:c>
      <x:c r="U257" s="60" t="n">
        <x:v>79.525</x:v>
      </x:c>
      <x:c r="V257" s="60" t="n">
        <x:v>79</x:v>
      </x:c>
      <x:c r="W257" s="60" t="n">
        <x:v>79</x:v>
      </x:c>
      <x:c r="X257" s="60" t="n">
        <x:v>79</x:v>
      </x:c>
      <x:c r="Y257" s="60" t="n">
        <x:v>78</x:v>
      </x:c>
      <x:c r="Z257" s="60" t="n">
        <x:v>79</x:v>
      </x:c>
      <x:c r="AA257" s="60" t="n">
        <x:v>79</x:v>
      </x:c>
      <x:c r="AB257" s="60" t="n">
        <x:v>13</x:v>
      </x:c>
      <x:c r="AC257" s="60" t="n">
        <x:f>ROUND(((0.30*V257+0.20*W257+0.25*X257+0.15*Y257+0.10*AA257)+(0.30*Z257+0.20*X257+0.20*W257+0.15*AA257+0.15*(100-AB257)))/2,2)</x:f>
        <x:v>79.53</x:v>
      </x:c>
      <x:c r="AD257" s="60" t="n">
        <x:v>79</x:v>
      </x:c>
      <x:c r="AE257" s="60" t="n">
        <x:v>79</x:v>
      </x:c>
      <x:c r="AF257" s="60" t="n">
        <x:v>79</x:v>
      </x:c>
      <x:c r="AG257" s="60" t="n">
        <x:v>78</x:v>
      </x:c>
      <x:c r="AH257" s="60" t="n">
        <x:v>79</x:v>
      </x:c>
      <x:c r="AI257" s="60" t="n">
        <x:v>79</x:v>
      </x:c>
      <x:c r="AJ257" s="60" t="n">
        <x:v>13.4</x:v>
      </x:c>
      <x:c r="AK257" s="60" t="n">
        <x:f>ROUND(((0.30*AD257+0.20*AE257+0.25*AF257+0.15*AG257+0.10*AI257)+(0.30*AH257+0.20*AF257+0.20*AE257+0.15*AI257+0.15*(100-AJ257)))/2,2)</x:f>
        <x:v>79.5</x:v>
      </x:c>
      <x:c r="AL257" s="60" t="n">
        <x:v>79</x:v>
      </x:c>
      <x:c r="AM257" s="60" t="n">
        <x:v>79</x:v>
      </x:c>
      <x:c r="AN257" s="60" t="n">
        <x:v>79</x:v>
      </x:c>
      <x:c r="AO257" s="60" t="n">
        <x:v>78</x:v>
      </x:c>
      <x:c r="AP257" s="60" t="n">
        <x:v>79</x:v>
      </x:c>
      <x:c r="AQ257" s="60" t="n">
        <x:v>79</x:v>
      </x:c>
      <x:c r="AR257" s="60" t="n">
        <x:v>13.5</x:v>
      </x:c>
      <x:c r="AS257" s="60" t="n">
        <x:f>ROUND(((0.30*AL257+0.20*AM257+0.25*AN257+0.15*AO257+0.10*AQ257)+(0.30*AP257+0.20*AN257+0.20*AM257+0.15*AQ257+0.15*(100-AR257)))/2,2)</x:f>
        <x:v>79.49</x:v>
      </x:c>
      <x:c r="AT257" s="60" t="n">
        <x:f>ROUND(AVERAGE(V257,AD257,AL257),1)</x:f>
        <x:v>79</x:v>
      </x:c>
      <x:c r="AU257" s="60" t="n">
        <x:f>ROUND(AVERAGE(W257,AE257,AM257),1)</x:f>
        <x:v>79</x:v>
      </x:c>
      <x:c r="AV257" s="60" t="n">
        <x:f>ROUND(AVERAGE(X257,AF257,AN257),1)</x:f>
        <x:v>79</x:v>
      </x:c>
      <x:c r="AW257" s="60" t="n">
        <x:f>ROUND(AVERAGE(Y257,AG257,AO257),1)</x:f>
        <x:v>78</x:v>
      </x:c>
      <x:c r="AX257" s="60" t="n">
        <x:f>ROUND(AVERAGE(Z257,AH257,AP257),1)</x:f>
        <x:v>79</x:v>
      </x:c>
      <x:c r="AY257" s="60" t="n">
        <x:f>ROUND(AVERAGE(AA257,AI257,AQ257),1)</x:f>
        <x:v>79</x:v>
      </x:c>
      <x:c r="AZ257" s="60" t="n">
        <x:f>ROUND(AVERAGE(AB257,AJ257,AR257),1)</x:f>
        <x:v>13.3</x:v>
      </x:c>
      <x:c r="BA257" s="59" t="n">
        <x:v>5</x:v>
      </x:c>
      <x:c r="BB257" s="60" t="n">
        <x:f>ROUND(0.30*AT257+0.20*AU257+0.25*AV257+0.15*AW257+0.10*AY257,2)</x:f>
        <x:v>78.85</x:v>
      </x:c>
      <x:c r="BC257" s="60" t="n">
        <x:f>ROUND(0.30*AX257+0.20*AV257+0.20*AU257+0.15*AY257+0.15*(100-AZ257),2)</x:f>
        <x:v>80.15</x:v>
      </x:c>
      <x:c r="BD257" s="60" t="n">
        <x:f>ROUND(AVERAGE(BB257,BC257),2)</x:f>
        <x:v>79.5</x:v>
      </x:c>
      <x:c r="BE257" s="60" t="n">
        <x:f>ROUND(BD257-U257,2)</x:f>
        <x:v>-0.03</x:v>
      </x:c>
      <x:c r="BF257" s="60" t="n">
        <x:f>ROUND(STDEV.P(AC257,AK257,AS257),3)</x:f>
        <x:v>0.017</x:v>
      </x:c>
      <x:c r="BG257" s="59" t="str"/>
      <x:c r="BH257" s="59" t="str">
        <x:v>30%评分池轻量复核</x:v>
      </x:c>
      <x:c r="BI257" s="40" t="str">
        <x:v>三轮复核后与原表基本一致</x:v>
      </x:c>
    </x:row>
    <x:row r="258" ht="30" customHeight="1">
      <x:c r="A258" s="59" t="n">
        <x:v>257</x:v>
      </x:c>
      <x:c r="B258" s="59" t="n">
        <x:v>249</x:v>
      </x:c>
      <x:c r="C258" s="59" t="str">
        <x:v>2026-06</x:v>
      </x:c>
      <x:c r="D258" s="59" t="n">
        <x:v>140</x:v>
      </x:c>
      <x:c r="E258" s="59" t="str">
        <x:v>2606.03580</x:v>
      </x:c>
      <x:c r="F258" s="40" t="str">
        <x:v>Remarks on selection problems for first-order discounted mean field games</x:v>
      </x:c>
      <x:c r="G258" s="40" t="str">
        <x:v>Kengo Terai</x:v>
      </x:c>
      <x:c r="H258" s="40" t="str">
        <x:v>analysis/PDE</x:v>
      </x:c>
      <x:c r="I258" s="59" t="n">
        <x:v>16</x:v>
      </x:c>
      <x:c r="J258" s="40" t="str">
        <x:v>https://arxiv.org/abs/2606.03580</x:v>
      </x:c>
      <x:c r="K258" s="60" t="n">
        <x:v>79</x:v>
      </x:c>
      <x:c r="L258" s="60" t="n">
        <x:v>79</x:v>
      </x:c>
      <x:c r="M258" s="60" t="n">
        <x:v>79</x:v>
      </x:c>
      <x:c r="N258" s="60" t="n">
        <x:v>78</x:v>
      </x:c>
      <x:c r="O258" s="60" t="n">
        <x:v>79</x:v>
      </x:c>
      <x:c r="P258" s="60" t="n">
        <x:v>79</x:v>
      </x:c>
      <x:c r="Q258" s="60" t="n">
        <x:v>13</x:v>
      </x:c>
      <x:c r="R258" s="59" t="n">
        <x:v>5</x:v>
      </x:c>
      <x:c r="S258" s="60" t="n">
        <x:v>78.85000000000001</x:v>
      </x:c>
      <x:c r="T258" s="60" t="n">
        <x:v>80.19999999999999</x:v>
      </x:c>
      <x:c r="U258" s="60" t="n">
        <x:v>79.525</x:v>
      </x:c>
      <x:c r="V258" s="60" t="n">
        <x:v>79</x:v>
      </x:c>
      <x:c r="W258" s="60" t="n">
        <x:v>78.9</x:v>
      </x:c>
      <x:c r="X258" s="60" t="n">
        <x:v>79</x:v>
      </x:c>
      <x:c r="Y258" s="60" t="n">
        <x:v>78</x:v>
      </x:c>
      <x:c r="Z258" s="60" t="n">
        <x:v>79</x:v>
      </x:c>
      <x:c r="AA258" s="60" t="n">
        <x:v>79</x:v>
      </x:c>
      <x:c r="AB258" s="60" t="n">
        <x:v>13</x:v>
      </x:c>
      <x:c r="AC258" s="60" t="n">
        <x:f>ROUND(((0.30*V258+0.20*W258+0.25*X258+0.15*Y258+0.10*AA258)+(0.30*Z258+0.20*X258+0.20*W258+0.15*AA258+0.15*(100-AB258)))/2,2)</x:f>
        <x:v>79.51</x:v>
      </x:c>
      <x:c r="AD258" s="60" t="n">
        <x:v>79</x:v>
      </x:c>
      <x:c r="AE258" s="60" t="n">
        <x:v>79</x:v>
      </x:c>
      <x:c r="AF258" s="60" t="n">
        <x:v>79</x:v>
      </x:c>
      <x:c r="AG258" s="60" t="n">
        <x:v>78</x:v>
      </x:c>
      <x:c r="AH258" s="60" t="n">
        <x:v>79</x:v>
      </x:c>
      <x:c r="AI258" s="60" t="n">
        <x:v>79</x:v>
      </x:c>
      <x:c r="AJ258" s="60" t="n">
        <x:v>13.4</x:v>
      </x:c>
      <x:c r="AK258" s="60" t="n">
        <x:f>ROUND(((0.30*AD258+0.20*AE258+0.25*AF258+0.15*AG258+0.10*AI258)+(0.30*AH258+0.20*AF258+0.20*AE258+0.15*AI258+0.15*(100-AJ258)))/2,2)</x:f>
        <x:v>79.5</x:v>
      </x:c>
      <x:c r="AL258" s="60" t="n">
        <x:v>79</x:v>
      </x:c>
      <x:c r="AM258" s="60" t="n">
        <x:v>79</x:v>
      </x:c>
      <x:c r="AN258" s="60" t="n">
        <x:v>79</x:v>
      </x:c>
      <x:c r="AO258" s="60" t="n">
        <x:v>78</x:v>
      </x:c>
      <x:c r="AP258" s="60" t="n">
        <x:v>79</x:v>
      </x:c>
      <x:c r="AQ258" s="60" t="n">
        <x:v>79</x:v>
      </x:c>
      <x:c r="AR258" s="60" t="n">
        <x:v>13.5</x:v>
      </x:c>
      <x:c r="AS258" s="60" t="n">
        <x:f>ROUND(((0.30*AL258+0.20*AM258+0.25*AN258+0.15*AO258+0.10*AQ258)+(0.30*AP258+0.20*AN258+0.20*AM258+0.15*AQ258+0.15*(100-AR258)))/2,2)</x:f>
        <x:v>79.49</x:v>
      </x:c>
      <x:c r="AT258" s="60" t="n">
        <x:f>ROUND(AVERAGE(V258,AD258,AL258),1)</x:f>
        <x:v>79</x:v>
      </x:c>
      <x:c r="AU258" s="60" t="n">
        <x:f>ROUND(AVERAGE(W258,AE258,AM258),1)</x:f>
        <x:v>79</x:v>
      </x:c>
      <x:c r="AV258" s="60" t="n">
        <x:f>ROUND(AVERAGE(X258,AF258,AN258),1)</x:f>
        <x:v>79</x:v>
      </x:c>
      <x:c r="AW258" s="60" t="n">
        <x:f>ROUND(AVERAGE(Y258,AG258,AO258),1)</x:f>
        <x:v>78</x:v>
      </x:c>
      <x:c r="AX258" s="60" t="n">
        <x:f>ROUND(AVERAGE(Z258,AH258,AP258),1)</x:f>
        <x:v>79</x:v>
      </x:c>
      <x:c r="AY258" s="60" t="n">
        <x:f>ROUND(AVERAGE(AA258,AI258,AQ258),1)</x:f>
        <x:v>79</x:v>
      </x:c>
      <x:c r="AZ258" s="60" t="n">
        <x:f>ROUND(AVERAGE(AB258,AJ258,AR258),1)</x:f>
        <x:v>13.3</x:v>
      </x:c>
      <x:c r="BA258" s="59" t="n">
        <x:v>5</x:v>
      </x:c>
      <x:c r="BB258" s="60" t="n">
        <x:f>ROUND(0.30*AT258+0.20*AU258+0.25*AV258+0.15*AW258+0.10*AY258,2)</x:f>
        <x:v>78.85</x:v>
      </x:c>
      <x:c r="BC258" s="60" t="n">
        <x:f>ROUND(0.30*AX258+0.20*AV258+0.20*AU258+0.15*AY258+0.15*(100-AZ258),2)</x:f>
        <x:v>80.15</x:v>
      </x:c>
      <x:c r="BD258" s="60" t="n">
        <x:f>ROUND(AVERAGE(BB258,BC258),2)</x:f>
        <x:v>79.5</x:v>
      </x:c>
      <x:c r="BE258" s="60" t="n">
        <x:f>ROUND(BD258-U258,2)</x:f>
        <x:v>-0.03</x:v>
      </x:c>
      <x:c r="BF258" s="60" t="n">
        <x:f>ROUND(STDEV.P(AC258,AK258,AS258),3)</x:f>
        <x:v>0.008</x:v>
      </x:c>
      <x:c r="BG258" s="59" t="str"/>
      <x:c r="BH258" s="59" t="str">
        <x:v>30%评分池轻量复核</x:v>
      </x:c>
      <x:c r="BI258" s="40" t="str">
        <x:v>三轮复核后与原表基本一致</x:v>
      </x:c>
    </x:row>
    <x:row r="259" ht="30" customHeight="1">
      <x:c r="A259" s="59" t="n">
        <x:v>258</x:v>
      </x:c>
      <x:c r="B259" s="59" t="n">
        <x:v>258</x:v>
      </x:c>
      <x:c r="C259" s="59" t="str">
        <x:v>2026-06</x:v>
      </x:c>
      <x:c r="D259" s="59" t="n">
        <x:v>166</x:v>
      </x:c>
      <x:c r="E259" s="59" t="str">
        <x:v>2606.04682</x:v>
      </x:c>
      <x:c r="F259" s="40" t="str">
        <x:v>L^2-boundedness of the n-th Calderon commutator on Lipschitz graphs</x:v>
      </x:c>
      <x:c r="G259" s="40" t="str">
        <x:v>Joan Hernandez; Joan Mateu; Laura Prat</x:v>
      </x:c>
      <x:c r="H259" s="40" t="str">
        <x:v>inverse/scattering</x:v>
      </x:c>
      <x:c r="I259" s="59"/>
      <x:c r="J259" s="40" t="str">
        <x:v>https://arxiv.org/abs/2606.04682</x:v>
      </x:c>
      <x:c r="K259" s="60" t="n">
        <x:v>80</x:v>
      </x:c>
      <x:c r="L259" s="60" t="n">
        <x:v>78</x:v>
      </x:c>
      <x:c r="M259" s="60" t="n">
        <x:v>79</x:v>
      </x:c>
      <x:c r="N259" s="60" t="n">
        <x:v>78</x:v>
      </x:c>
      <x:c r="O259" s="60" t="n">
        <x:v>79</x:v>
      </x:c>
      <x:c r="P259" s="60" t="n">
        <x:v>79</x:v>
      </x:c>
      <x:c r="Q259" s="60" t="n">
        <x:v>13</x:v>
      </x:c>
      <x:c r="R259" s="59" t="n">
        <x:v>5</x:v>
      </x:c>
      <x:c r="S259" s="60" t="n">
        <x:v>78.95</x:v>
      </x:c>
      <x:c r="T259" s="60" t="n">
        <x:v>80</x:v>
      </x:c>
      <x:c r="U259" s="60" t="n">
        <x:v>79.475</x:v>
      </x:c>
      <x:c r="V259" s="60" t="n">
        <x:v>80.1</x:v>
      </x:c>
      <x:c r="W259" s="60" t="n">
        <x:v>78</x:v>
      </x:c>
      <x:c r="X259" s="60" t="n">
        <x:v>79.1</x:v>
      </x:c>
      <x:c r="Y259" s="60" t="n">
        <x:v>78</x:v>
      </x:c>
      <x:c r="Z259" s="60" t="n">
        <x:v>79.1</x:v>
      </x:c>
      <x:c r="AA259" s="60" t="n">
        <x:v>79</x:v>
      </x:c>
      <x:c r="AB259" s="60" t="n">
        <x:v>13</x:v>
      </x:c>
      <x:c r="AC259" s="60" t="n">
        <x:f>ROUND(((0.30*V259+0.20*W259+0.25*X259+0.15*Y259+0.10*AA259)+(0.30*Z259+0.20*X259+0.20*W259+0.15*AA259+0.15*(100-AB259)))/2,2)</x:f>
        <x:v>79.53</x:v>
      </x:c>
      <x:c r="AD259" s="60" t="n">
        <x:v>80</x:v>
      </x:c>
      <x:c r="AE259" s="60" t="n">
        <x:v>78</x:v>
      </x:c>
      <x:c r="AF259" s="60" t="n">
        <x:v>79</x:v>
      </x:c>
      <x:c r="AG259" s="60" t="n">
        <x:v>78</x:v>
      </x:c>
      <x:c r="AH259" s="60" t="n">
        <x:v>79</x:v>
      </x:c>
      <x:c r="AI259" s="60" t="n">
        <x:v>79</x:v>
      </x:c>
      <x:c r="AJ259" s="60" t="n">
        <x:v>13</x:v>
      </x:c>
      <x:c r="AK259" s="60" t="n">
        <x:f>ROUND(((0.30*AD259+0.20*AE259+0.25*AF259+0.15*AG259+0.10*AI259)+(0.30*AH259+0.20*AF259+0.20*AE259+0.15*AI259+0.15*(100-AJ259)))/2,2)</x:f>
        <x:v>79.47</x:v>
      </x:c>
      <x:c r="AL259" s="60" t="n">
        <x:v>80</x:v>
      </x:c>
      <x:c r="AM259" s="60" t="n">
        <x:v>78</x:v>
      </x:c>
      <x:c r="AN259" s="60" t="n">
        <x:v>79.1</x:v>
      </x:c>
      <x:c r="AO259" s="60" t="n">
        <x:v>78</x:v>
      </x:c>
      <x:c r="AP259" s="60" t="n">
        <x:v>79</x:v>
      </x:c>
      <x:c r="AQ259" s="60" t="n">
        <x:v>79</x:v>
      </x:c>
      <x:c r="AR259" s="60" t="n">
        <x:v>13</x:v>
      </x:c>
      <x:c r="AS259" s="60" t="n">
        <x:f>ROUND(((0.30*AL259+0.20*AM259+0.25*AN259+0.15*AO259+0.10*AQ259)+(0.30*AP259+0.20*AN259+0.20*AM259+0.15*AQ259+0.15*(100-AR259)))/2,2)</x:f>
        <x:v>79.5</x:v>
      </x:c>
      <x:c r="AT259" s="60" t="n">
        <x:f>ROUND(AVERAGE(V259,AD259,AL259),1)</x:f>
        <x:v>80</x:v>
      </x:c>
      <x:c r="AU259" s="60" t="n">
        <x:f>ROUND(AVERAGE(W259,AE259,AM259),1)</x:f>
        <x:v>78</x:v>
      </x:c>
      <x:c r="AV259" s="60" t="n">
        <x:f>ROUND(AVERAGE(X259,AF259,AN259),1)</x:f>
        <x:v>79.1</x:v>
      </x:c>
      <x:c r="AW259" s="60" t="n">
        <x:f>ROUND(AVERAGE(Y259,AG259,AO259),1)</x:f>
        <x:v>78</x:v>
      </x:c>
      <x:c r="AX259" s="60" t="n">
        <x:f>ROUND(AVERAGE(Z259,AH259,AP259),1)</x:f>
        <x:v>79</x:v>
      </x:c>
      <x:c r="AY259" s="60" t="n">
        <x:f>ROUND(AVERAGE(AA259,AI259,AQ259),1)</x:f>
        <x:v>79</x:v>
      </x:c>
      <x:c r="AZ259" s="60" t="n">
        <x:f>ROUND(AVERAGE(AB259,AJ259,AR259),1)</x:f>
        <x:v>13</x:v>
      </x:c>
      <x:c r="BA259" s="59" t="n">
        <x:v>5</x:v>
      </x:c>
      <x:c r="BB259" s="60" t="n">
        <x:f>ROUND(0.30*AT259+0.20*AU259+0.25*AV259+0.15*AW259+0.10*AY259,2)</x:f>
        <x:v>78.98</x:v>
      </x:c>
      <x:c r="BC259" s="60" t="n">
        <x:f>ROUND(0.30*AX259+0.20*AV259+0.20*AU259+0.15*AY259+0.15*(100-AZ259),2)</x:f>
        <x:v>80.02</x:v>
      </x:c>
      <x:c r="BD259" s="60" t="n">
        <x:f>ROUND(AVERAGE(BB259,BC259),2)</x:f>
        <x:v>79.5</x:v>
      </x:c>
      <x:c r="BE259" s="60" t="n">
        <x:f>ROUND(BD259-U259,2)</x:f>
        <x:v>0.03</x:v>
      </x:c>
      <x:c r="BF259" s="60" t="n">
        <x:f>ROUND(STDEV.P(AC259,AK259,AS259),3)</x:f>
        <x:v>0.024</x:v>
      </x:c>
      <x:c r="BG259" s="59" t="str"/>
      <x:c r="BH259" s="59" t="str">
        <x:v>30%评分池轻量复核</x:v>
      </x:c>
      <x:c r="BI259" s="40" t="str">
        <x:v>三轮复核后与原表基本一致</x:v>
      </x:c>
    </x:row>
    <x:row r="260" ht="30" customHeight="1">
      <x:c r="A260" s="59" t="n">
        <x:v>259</x:v>
      </x:c>
      <x:c r="B260" s="59" t="n">
        <x:v>259</x:v>
      </x:c>
      <x:c r="C260" s="59" t="str">
        <x:v>2026-06</x:v>
      </x:c>
      <x:c r="D260" s="59" t="n">
        <x:v>167</x:v>
      </x:c>
      <x:c r="E260" s="59" t="str">
        <x:v>2606.12388</x:v>
      </x:c>
      <x:c r="F260" s="40" t="str">
        <x:v>Schauder-type Estimates and Log-Critical Well-posedness for Two-Phase Muskat Problem with Surface Tension</x:v>
      </x:c>
      <x:c r="G260" s="40" t="str">
        <x:v>Ke Chen; Ruilin Hu; Quoc-Hung Nguyen</x:v>
      </x:c>
      <x:c r="H260" s="40" t="str">
        <x:v>elliptic/parabolic regularity</x:v>
      </x:c>
      <x:c r="I260" s="59"/>
      <x:c r="J260" s="40" t="str">
        <x:v>https://arxiv.org/abs/2606.12388</x:v>
      </x:c>
      <x:c r="K260" s="60" t="n">
        <x:v>79</x:v>
      </x:c>
      <x:c r="L260" s="60" t="n">
        <x:v>78</x:v>
      </x:c>
      <x:c r="M260" s="60" t="n">
        <x:v>79</x:v>
      </x:c>
      <x:c r="N260" s="60" t="n">
        <x:v>79</x:v>
      </x:c>
      <x:c r="O260" s="60" t="n">
        <x:v>79</x:v>
      </x:c>
      <x:c r="P260" s="60" t="n">
        <x:v>79</x:v>
      </x:c>
      <x:c r="Q260" s="60" t="n">
        <x:v>13</x:v>
      </x:c>
      <x:c r="R260" s="59" t="n">
        <x:v>5</x:v>
      </x:c>
      <x:c r="S260" s="60" t="n">
        <x:v>78.8</x:v>
      </x:c>
      <x:c r="T260" s="60" t="n">
        <x:v>80</x:v>
      </x:c>
      <x:c r="U260" s="60" t="n">
        <x:v>79.4</x:v>
      </x:c>
      <x:c r="V260" s="60" t="n">
        <x:v>79</x:v>
      </x:c>
      <x:c r="W260" s="60" t="n">
        <x:v>78.1</x:v>
      </x:c>
      <x:c r="X260" s="60" t="n">
        <x:v>79</x:v>
      </x:c>
      <x:c r="Y260" s="60" t="n">
        <x:v>79.1</x:v>
      </x:c>
      <x:c r="Z260" s="60" t="n">
        <x:v>79.1</x:v>
      </x:c>
      <x:c r="AA260" s="60" t="n">
        <x:v>79</x:v>
      </x:c>
      <x:c r="AB260" s="60" t="n">
        <x:v>13</x:v>
      </x:c>
      <x:c r="AC260" s="60" t="n">
        <x:f>ROUND(((0.30*V260+0.20*W260+0.25*X260+0.15*Y260+0.10*AA260)+(0.30*Z260+0.20*X260+0.20*W260+0.15*AA260+0.15*(100-AB260)))/2,2)</x:f>
        <x:v>79.44</x:v>
      </x:c>
      <x:c r="AD260" s="60" t="n">
        <x:v>79</x:v>
      </x:c>
      <x:c r="AE260" s="60" t="n">
        <x:v>78.1</x:v>
      </x:c>
      <x:c r="AF260" s="60" t="n">
        <x:v>79</x:v>
      </x:c>
      <x:c r="AG260" s="60" t="n">
        <x:v>79.1</x:v>
      </x:c>
      <x:c r="AH260" s="60" t="n">
        <x:v>79</x:v>
      </x:c>
      <x:c r="AI260" s="60" t="n">
        <x:v>79</x:v>
      </x:c>
      <x:c r="AJ260" s="60" t="n">
        <x:v>13</x:v>
      </x:c>
      <x:c r="AK260" s="60" t="n">
        <x:f>ROUND(((0.30*AD260+0.20*AE260+0.25*AF260+0.15*AG260+0.10*AI260)+(0.30*AH260+0.20*AF260+0.20*AE260+0.15*AI260+0.15*(100-AJ260)))/2,2)</x:f>
        <x:v>79.43</x:v>
      </x:c>
      <x:c r="AL260" s="60" t="n">
        <x:v>79</x:v>
      </x:c>
      <x:c r="AM260" s="60" t="n">
        <x:v>78.1</x:v>
      </x:c>
      <x:c r="AN260" s="60" t="n">
        <x:v>79</x:v>
      </x:c>
      <x:c r="AO260" s="60" t="n">
        <x:v>79.1</x:v>
      </x:c>
      <x:c r="AP260" s="60" t="n">
        <x:v>79.1</x:v>
      </x:c>
      <x:c r="AQ260" s="60" t="n">
        <x:v>79</x:v>
      </x:c>
      <x:c r="AR260" s="60" t="n">
        <x:v>13</x:v>
      </x:c>
      <x:c r="AS260" s="60" t="n">
        <x:f>ROUND(((0.30*AL260+0.20*AM260+0.25*AN260+0.15*AO260+0.10*AQ260)+(0.30*AP260+0.20*AN260+0.20*AM260+0.15*AQ260+0.15*(100-AR260)))/2,2)</x:f>
        <x:v>79.44</x:v>
      </x:c>
      <x:c r="AT260" s="60" t="n">
        <x:f>ROUND(AVERAGE(V260,AD260,AL260),1)</x:f>
        <x:v>79</x:v>
      </x:c>
      <x:c r="AU260" s="60" t="n">
        <x:f>ROUND(AVERAGE(W260,AE260,AM260),1)</x:f>
        <x:v>78.1</x:v>
      </x:c>
      <x:c r="AV260" s="60" t="n">
        <x:f>ROUND(AVERAGE(X260,AF260,AN260),1)</x:f>
        <x:v>79</x:v>
      </x:c>
      <x:c r="AW260" s="60" t="n">
        <x:f>ROUND(AVERAGE(Y260,AG260,AO260),1)</x:f>
        <x:v>79.1</x:v>
      </x:c>
      <x:c r="AX260" s="60" t="n">
        <x:f>ROUND(AVERAGE(Z260,AH260,AP260),1)</x:f>
        <x:v>79.1</x:v>
      </x:c>
      <x:c r="AY260" s="60" t="n">
        <x:f>ROUND(AVERAGE(AA260,AI260,AQ260),1)</x:f>
        <x:v>79</x:v>
      </x:c>
      <x:c r="AZ260" s="60" t="n">
        <x:f>ROUND(AVERAGE(AB260,AJ260,AR260),1)</x:f>
        <x:v>13</x:v>
      </x:c>
      <x:c r="BA260" s="59" t="n">
        <x:v>5</x:v>
      </x:c>
      <x:c r="BB260" s="60" t="n">
        <x:f>ROUND(0.30*AT260+0.20*AU260+0.25*AV260+0.15*AW260+0.10*AY260,2)</x:f>
        <x:v>78.84</x:v>
      </x:c>
      <x:c r="BC260" s="60" t="n">
        <x:f>ROUND(0.30*AX260+0.20*AV260+0.20*AU260+0.15*AY260+0.15*(100-AZ260),2)</x:f>
        <x:v>80.05</x:v>
      </x:c>
      <x:c r="BD260" s="60" t="n">
        <x:f>ROUND(AVERAGE(BB260,BC260),2)</x:f>
        <x:v>79.44</x:v>
      </x:c>
      <x:c r="BE260" s="60" t="n">
        <x:f>ROUND(BD260-U260,2)</x:f>
        <x:v>0.04</x:v>
      </x:c>
      <x:c r="BF260" s="60" t="n">
        <x:f>ROUND(STDEV.P(AC260,AK260,AS260),3)</x:f>
        <x:v>0.005</x:v>
      </x:c>
      <x:c r="BG260" s="59" t="str"/>
      <x:c r="BH260" s="59" t="str">
        <x:v>30%评分池轻量复核</x:v>
      </x:c>
      <x:c r="BI260" s="40" t="str">
        <x:v>三轮复核后与原表基本一致</x:v>
      </x:c>
    </x:row>
    <x:row r="261" ht="30" customHeight="1">
      <x:c r="A261" s="59" t="n">
        <x:v>260</x:v>
      </x:c>
      <x:c r="B261" s="59" t="n">
        <x:v>261</x:v>
      </x:c>
      <x:c r="C261" s="59" t="str">
        <x:v>2026-06</x:v>
      </x:c>
      <x:c r="D261" s="59" t="n">
        <x:v>168</x:v>
      </x:c>
      <x:c r="E261" s="59" t="str">
        <x:v>2606.15541</x:v>
      </x:c>
      <x:c r="F261" s="40" t="str">
        <x:v>Strong ill-posedness of 2D Boussinesq equations in supercritical Besov spaces</x:v>
      </x:c>
      <x:c r="G261" s="40" t="str">
        <x:v>Jinlu Li; Yanghai Yu</x:v>
      </x:c>
      <x:c r="H261" s="40" t="str">
        <x:v>fluid/kinetic PDE</x:v>
      </x:c>
      <x:c r="I261" s="59"/>
      <x:c r="J261" s="40" t="str">
        <x:v>https://arxiv.org/abs/2606.15541</x:v>
      </x:c>
      <x:c r="K261" s="60" t="n">
        <x:v>79</x:v>
      </x:c>
      <x:c r="L261" s="60" t="n">
        <x:v>78</x:v>
      </x:c>
      <x:c r="M261" s="60" t="n">
        <x:v>79</x:v>
      </x:c>
      <x:c r="N261" s="60" t="n">
        <x:v>78</x:v>
      </x:c>
      <x:c r="O261" s="60" t="n">
        <x:v>79</x:v>
      </x:c>
      <x:c r="P261" s="60" t="n">
        <x:v>79</x:v>
      </x:c>
      <x:c r="Q261" s="60" t="n">
        <x:v>13</x:v>
      </x:c>
      <x:c r="R261" s="59" t="n">
        <x:v>5</x:v>
      </x:c>
      <x:c r="S261" s="60" t="n">
        <x:v>78.65</x:v>
      </x:c>
      <x:c r="T261" s="60" t="n">
        <x:v>80</x:v>
      </x:c>
      <x:c r="U261" s="60" t="n">
        <x:v>79.325</x:v>
      </x:c>
      <x:c r="V261" s="60" t="n">
        <x:v>79.1</x:v>
      </x:c>
      <x:c r="W261" s="60" t="n">
        <x:v>78</x:v>
      </x:c>
      <x:c r="X261" s="60" t="n">
        <x:v>79.1</x:v>
      </x:c>
      <x:c r="Y261" s="60" t="n">
        <x:v>78</x:v>
      </x:c>
      <x:c r="Z261" s="60" t="n">
        <x:v>79.1</x:v>
      </x:c>
      <x:c r="AA261" s="60" t="n">
        <x:v>79</x:v>
      </x:c>
      <x:c r="AB261" s="60" t="n">
        <x:v>13</x:v>
      </x:c>
      <x:c r="AC261" s="60" t="n">
        <x:f>ROUND(((0.30*V261+0.20*W261+0.25*X261+0.15*Y261+0.10*AA261)+(0.30*Z261+0.20*X261+0.20*W261+0.15*AA261+0.15*(100-AB261)))/2,2)</x:f>
        <x:v>79.38</x:v>
      </x:c>
      <x:c r="AD261" s="60" t="n">
        <x:v>79</x:v>
      </x:c>
      <x:c r="AE261" s="60" t="n">
        <x:v>78</x:v>
      </x:c>
      <x:c r="AF261" s="60" t="n">
        <x:v>79</x:v>
      </x:c>
      <x:c r="AG261" s="60" t="n">
        <x:v>78</x:v>
      </x:c>
      <x:c r="AH261" s="60" t="n">
        <x:v>79</x:v>
      </x:c>
      <x:c r="AI261" s="60" t="n">
        <x:v>79</x:v>
      </x:c>
      <x:c r="AJ261" s="60" t="n">
        <x:v>13</x:v>
      </x:c>
      <x:c r="AK261" s="60" t="n">
        <x:f>ROUND(((0.30*AD261+0.20*AE261+0.25*AF261+0.15*AG261+0.10*AI261)+(0.30*AH261+0.20*AF261+0.20*AE261+0.15*AI261+0.15*(100-AJ261)))/2,2)</x:f>
        <x:v>79.33</x:v>
      </x:c>
      <x:c r="AL261" s="60" t="n">
        <x:v>79</x:v>
      </x:c>
      <x:c r="AM261" s="60" t="n">
        <x:v>78</x:v>
      </x:c>
      <x:c r="AN261" s="60" t="n">
        <x:v>79.1</x:v>
      </x:c>
      <x:c r="AO261" s="60" t="n">
        <x:v>78</x:v>
      </x:c>
      <x:c r="AP261" s="60" t="n">
        <x:v>79</x:v>
      </x:c>
      <x:c r="AQ261" s="60" t="n">
        <x:v>79</x:v>
      </x:c>
      <x:c r="AR261" s="60" t="n">
        <x:v>13</x:v>
      </x:c>
      <x:c r="AS261" s="60" t="n">
        <x:f>ROUND(((0.30*AL261+0.20*AM261+0.25*AN261+0.15*AO261+0.10*AQ261)+(0.30*AP261+0.20*AN261+0.20*AM261+0.15*AQ261+0.15*(100-AR261)))/2,2)</x:f>
        <x:v>79.35</x:v>
      </x:c>
      <x:c r="AT261" s="60" t="n">
        <x:f>ROUND(AVERAGE(V261,AD261,AL261),1)</x:f>
        <x:v>79</x:v>
      </x:c>
      <x:c r="AU261" s="60" t="n">
        <x:f>ROUND(AVERAGE(W261,AE261,AM261),1)</x:f>
        <x:v>78</x:v>
      </x:c>
      <x:c r="AV261" s="60" t="n">
        <x:f>ROUND(AVERAGE(X261,AF261,AN261),1)</x:f>
        <x:v>79.1</x:v>
      </x:c>
      <x:c r="AW261" s="60" t="n">
        <x:f>ROUND(AVERAGE(Y261,AG261,AO261),1)</x:f>
        <x:v>78</x:v>
      </x:c>
      <x:c r="AX261" s="60" t="n">
        <x:f>ROUND(AVERAGE(Z261,AH261,AP261),1)</x:f>
        <x:v>79</x:v>
      </x:c>
      <x:c r="AY261" s="60" t="n">
        <x:f>ROUND(AVERAGE(AA261,AI261,AQ261),1)</x:f>
        <x:v>79</x:v>
      </x:c>
      <x:c r="AZ261" s="60" t="n">
        <x:f>ROUND(AVERAGE(AB261,AJ261,AR261),1)</x:f>
        <x:v>13</x:v>
      </x:c>
      <x:c r="BA261" s="59" t="n">
        <x:v>5</x:v>
      </x:c>
      <x:c r="BB261" s="60" t="n">
        <x:f>ROUND(0.30*AT261+0.20*AU261+0.25*AV261+0.15*AW261+0.10*AY261,2)</x:f>
        <x:v>78.68</x:v>
      </x:c>
      <x:c r="BC261" s="60" t="n">
        <x:f>ROUND(0.30*AX261+0.20*AV261+0.20*AU261+0.15*AY261+0.15*(100-AZ261),2)</x:f>
        <x:v>80.02</x:v>
      </x:c>
      <x:c r="BD261" s="60" t="n">
        <x:f>ROUND(AVERAGE(BB261,BC261),2)</x:f>
        <x:v>79.35</x:v>
      </x:c>
      <x:c r="BE261" s="60" t="n">
        <x:f>ROUND(BD261-U261,2)</x:f>
        <x:v>0.02</x:v>
      </x:c>
      <x:c r="BF261" s="60" t="n">
        <x:f>ROUND(STDEV.P(AC261,AK261,AS261),3)</x:f>
        <x:v>0.021</x:v>
      </x:c>
      <x:c r="BG261" s="59" t="str"/>
      <x:c r="BH261" s="59" t="str">
        <x:v>30%评分池轻量复核</x:v>
      </x:c>
      <x:c r="BI261" s="40" t="str">
        <x:v>三轮复核后与原表基本一致</x:v>
      </x:c>
    </x:row>
    <x:row r="262" ht="30" customHeight="1">
      <x:c r="A262" s="59" t="n">
        <x:v>261</x:v>
      </x:c>
      <x:c r="B262" s="59" t="n">
        <x:v>260</x:v>
      </x:c>
      <x:c r="C262" s="59" t="str">
        <x:v>2026-06</x:v>
      </x:c>
      <x:c r="D262" s="59" t="n">
        <x:v>168</x:v>
      </x:c>
      <x:c r="E262" s="59" t="str">
        <x:v>2606.27185</x:v>
      </x:c>
      <x:c r="F262" s="40" t="str">
        <x:v>Instability of periodic waves in generalized Korteweg-de Vries-Burgers equation with monostable source</x:v>
      </x:c>
      <x:c r="G262" s="40" t="str">
        <x:v>Aarushi Kansal; Ashish Kumar Pandey</x:v>
      </x:c>
      <x:c r="H262" s="40" t="str">
        <x:v>dispersive PDE</x:v>
      </x:c>
      <x:c r="I262" s="59" t="n">
        <x:v>38</x:v>
      </x:c>
      <x:c r="J262" s="40" t="str">
        <x:v>https://arxiv.org/abs/2606.27185</x:v>
      </x:c>
      <x:c r="K262" s="60" t="n">
        <x:v>79</x:v>
      </x:c>
      <x:c r="L262" s="60" t="n">
        <x:v>78</x:v>
      </x:c>
      <x:c r="M262" s="60" t="n">
        <x:v>79</x:v>
      </x:c>
      <x:c r="N262" s="60" t="n">
        <x:v>78</x:v>
      </x:c>
      <x:c r="O262" s="60" t="n">
        <x:v>79</x:v>
      </x:c>
      <x:c r="P262" s="60" t="n">
        <x:v>79</x:v>
      </x:c>
      <x:c r="Q262" s="60" t="n">
        <x:v>13</x:v>
      </x:c>
      <x:c r="R262" s="59" t="n">
        <x:v>5</x:v>
      </x:c>
      <x:c r="S262" s="60" t="n">
        <x:v>78.65</x:v>
      </x:c>
      <x:c r="T262" s="60" t="n">
        <x:v>80</x:v>
      </x:c>
      <x:c r="U262" s="60" t="n">
        <x:v>79.325</x:v>
      </x:c>
      <x:c r="V262" s="60" t="n">
        <x:v>79</x:v>
      </x:c>
      <x:c r="W262" s="60" t="n">
        <x:v>78</x:v>
      </x:c>
      <x:c r="X262" s="60" t="n">
        <x:v>79</x:v>
      </x:c>
      <x:c r="Y262" s="60" t="n">
        <x:v>78</x:v>
      </x:c>
      <x:c r="Z262" s="60" t="n">
        <x:v>79</x:v>
      </x:c>
      <x:c r="AA262" s="60" t="n">
        <x:v>79</x:v>
      </x:c>
      <x:c r="AB262" s="60" t="n">
        <x:v>13</x:v>
      </x:c>
      <x:c r="AC262" s="60" t="n">
        <x:f>ROUND(((0.30*V262+0.20*W262+0.25*X262+0.15*Y262+0.10*AA262)+(0.30*Z262+0.20*X262+0.20*W262+0.15*AA262+0.15*(100-AB262)))/2,2)</x:f>
        <x:v>79.33</x:v>
      </x:c>
      <x:c r="AD262" s="60" t="n">
        <x:v>79</x:v>
      </x:c>
      <x:c r="AE262" s="60" t="n">
        <x:v>78</x:v>
      </x:c>
      <x:c r="AF262" s="60" t="n">
        <x:v>79</x:v>
      </x:c>
      <x:c r="AG262" s="60" t="n">
        <x:v>78</x:v>
      </x:c>
      <x:c r="AH262" s="60" t="n">
        <x:v>79</x:v>
      </x:c>
      <x:c r="AI262" s="60" t="n">
        <x:v>79</x:v>
      </x:c>
      <x:c r="AJ262" s="60" t="n">
        <x:v>13</x:v>
      </x:c>
      <x:c r="AK262" s="60" t="n">
        <x:f>ROUND(((0.30*AD262+0.20*AE262+0.25*AF262+0.15*AG262+0.10*AI262)+(0.30*AH262+0.20*AF262+0.20*AE262+0.15*AI262+0.15*(100-AJ262)))/2,2)</x:f>
        <x:v>79.33</x:v>
      </x:c>
      <x:c r="AL262" s="60" t="n">
        <x:v>79</x:v>
      </x:c>
      <x:c r="AM262" s="60" t="n">
        <x:v>78</x:v>
      </x:c>
      <x:c r="AN262" s="60" t="n">
        <x:v>79</x:v>
      </x:c>
      <x:c r="AO262" s="60" t="n">
        <x:v>78</x:v>
      </x:c>
      <x:c r="AP262" s="60" t="n">
        <x:v>79</x:v>
      </x:c>
      <x:c r="AQ262" s="60" t="n">
        <x:v>79</x:v>
      </x:c>
      <x:c r="AR262" s="60" t="n">
        <x:v>13</x:v>
      </x:c>
      <x:c r="AS262" s="60" t="n">
        <x:f>ROUND(((0.30*AL262+0.20*AM262+0.25*AN262+0.15*AO262+0.10*AQ262)+(0.30*AP262+0.20*AN262+0.20*AM262+0.15*AQ262+0.15*(100-AR262)))/2,2)</x:f>
        <x:v>79.33</x:v>
      </x:c>
      <x:c r="AT262" s="60" t="n">
        <x:f>ROUND(AVERAGE(V262,AD262,AL262),1)</x:f>
        <x:v>79</x:v>
      </x:c>
      <x:c r="AU262" s="60" t="n">
        <x:f>ROUND(AVERAGE(W262,AE262,AM262),1)</x:f>
        <x:v>78</x:v>
      </x:c>
      <x:c r="AV262" s="60" t="n">
        <x:f>ROUND(AVERAGE(X262,AF262,AN262),1)</x:f>
        <x:v>79</x:v>
      </x:c>
      <x:c r="AW262" s="60" t="n">
        <x:f>ROUND(AVERAGE(Y262,AG262,AO262),1)</x:f>
        <x:v>78</x:v>
      </x:c>
      <x:c r="AX262" s="60" t="n">
        <x:f>ROUND(AVERAGE(Z262,AH262,AP262),1)</x:f>
        <x:v>79</x:v>
      </x:c>
      <x:c r="AY262" s="60" t="n">
        <x:f>ROUND(AVERAGE(AA262,AI262,AQ262),1)</x:f>
        <x:v>79</x:v>
      </x:c>
      <x:c r="AZ262" s="60" t="n">
        <x:f>ROUND(AVERAGE(AB262,AJ262,AR262),1)</x:f>
        <x:v>13</x:v>
      </x:c>
      <x:c r="BA262" s="59" t="n">
        <x:v>5</x:v>
      </x:c>
      <x:c r="BB262" s="60" t="n">
        <x:f>ROUND(0.30*AT262+0.20*AU262+0.25*AV262+0.15*AW262+0.10*AY262,2)</x:f>
        <x:v>78.65</x:v>
      </x:c>
      <x:c r="BC262" s="60" t="n">
        <x:f>ROUND(0.30*AX262+0.20*AV262+0.20*AU262+0.15*AY262+0.15*(100-AZ262),2)</x:f>
        <x:v>80</x:v>
      </x:c>
      <x:c r="BD262" s="60" t="n">
        <x:f>ROUND(AVERAGE(BB262,BC262),2)</x:f>
        <x:v>79.33</x:v>
      </x:c>
      <x:c r="BE262" s="60" t="n">
        <x:f>ROUND(BD262-U262,2)</x:f>
        <x:v>0</x:v>
      </x:c>
      <x:c r="BF262" s="60" t="n">
        <x:f>ROUND(STDEV.P(AC262,AK262,AS262),3)</x:f>
        <x:v>0</x:v>
      </x:c>
      <x:c r="BG262" s="59" t="str"/>
      <x:c r="BH262" s="59" t="str">
        <x:v>30%评分池轻量复核</x:v>
      </x:c>
      <x:c r="BI262" s="40" t="str">
        <x:v>三轮复核后与原表基本一致</x:v>
      </x:c>
    </x:row>
    <x:row r="263" ht="30" customHeight="1">
      <x:c r="A263" s="59" t="n">
        <x:v>262</x:v>
      </x:c>
      <x:c r="B263" s="59" t="n">
        <x:v>262</x:v>
      </x:c>
      <x:c r="C263" s="59" t="str">
        <x:v>2026-06</x:v>
      </x:c>
      <x:c r="D263" s="59" t="n">
        <x:v>168</x:v>
      </x:c>
      <x:c r="E263" s="59" t="str">
        <x:v>2606.11124</x:v>
      </x:c>
      <x:c r="F263" s="40" t="str">
        <x:v>Well-posedness and stability for a thermoelectromagnetic system</x:v>
      </x:c>
      <x:c r="G263" s="40" t="str">
        <x:v>Francesca Bucci; Matthias Eller; Nella Rotundo</x:v>
      </x:c>
      <x:c r="H263" s="40" t="str">
        <x:v>analysis/PDE</x:v>
      </x:c>
      <x:c r="I263" s="59" t="n">
        <x:v>20</x:v>
      </x:c>
      <x:c r="J263" s="40" t="str">
        <x:v>https://arxiv.org/abs/2606.11124</x:v>
      </x:c>
      <x:c r="K263" s="60" t="n">
        <x:v>79</x:v>
      </x:c>
      <x:c r="L263" s="60" t="n">
        <x:v>78</x:v>
      </x:c>
      <x:c r="M263" s="60" t="n">
        <x:v>79</x:v>
      </x:c>
      <x:c r="N263" s="60" t="n">
        <x:v>78</x:v>
      </x:c>
      <x:c r="O263" s="60" t="n">
        <x:v>79</x:v>
      </x:c>
      <x:c r="P263" s="60" t="n">
        <x:v>79</x:v>
      </x:c>
      <x:c r="Q263" s="60" t="n">
        <x:v>13</x:v>
      </x:c>
      <x:c r="R263" s="59" t="n">
        <x:v>5</x:v>
      </x:c>
      <x:c r="S263" s="60" t="n">
        <x:v>78.65</x:v>
      </x:c>
      <x:c r="T263" s="60" t="n">
        <x:v>80</x:v>
      </x:c>
      <x:c r="U263" s="60" t="n">
        <x:v>79.325</x:v>
      </x:c>
      <x:c r="V263" s="60" t="n">
        <x:v>79</x:v>
      </x:c>
      <x:c r="W263" s="60" t="n">
        <x:v>78</x:v>
      </x:c>
      <x:c r="X263" s="60" t="n">
        <x:v>79</x:v>
      </x:c>
      <x:c r="Y263" s="60" t="n">
        <x:v>78</x:v>
      </x:c>
      <x:c r="Z263" s="60" t="n">
        <x:v>79</x:v>
      </x:c>
      <x:c r="AA263" s="60" t="n">
        <x:v>79</x:v>
      </x:c>
      <x:c r="AB263" s="60" t="n">
        <x:v>13</x:v>
      </x:c>
      <x:c r="AC263" s="60" t="n">
        <x:f>ROUND(((0.30*V263+0.20*W263+0.25*X263+0.15*Y263+0.10*AA263)+(0.30*Z263+0.20*X263+0.20*W263+0.15*AA263+0.15*(100-AB263)))/2,2)</x:f>
        <x:v>79.33</x:v>
      </x:c>
      <x:c r="AD263" s="60" t="n">
        <x:v>79</x:v>
      </x:c>
      <x:c r="AE263" s="60" t="n">
        <x:v>78</x:v>
      </x:c>
      <x:c r="AF263" s="60" t="n">
        <x:v>79</x:v>
      </x:c>
      <x:c r="AG263" s="60" t="n">
        <x:v>78</x:v>
      </x:c>
      <x:c r="AH263" s="60" t="n">
        <x:v>79</x:v>
      </x:c>
      <x:c r="AI263" s="60" t="n">
        <x:v>79</x:v>
      </x:c>
      <x:c r="AJ263" s="60" t="n">
        <x:v>13.4</x:v>
      </x:c>
      <x:c r="AK263" s="60" t="n">
        <x:f>ROUND(((0.30*AD263+0.20*AE263+0.25*AF263+0.15*AG263+0.10*AI263)+(0.30*AH263+0.20*AF263+0.20*AE263+0.15*AI263+0.15*(100-AJ263)))/2,2)</x:f>
        <x:v>79.3</x:v>
      </x:c>
      <x:c r="AL263" s="60" t="n">
        <x:v>79</x:v>
      </x:c>
      <x:c r="AM263" s="60" t="n">
        <x:v>78</x:v>
      </x:c>
      <x:c r="AN263" s="60" t="n">
        <x:v>79</x:v>
      </x:c>
      <x:c r="AO263" s="60" t="n">
        <x:v>78</x:v>
      </x:c>
      <x:c r="AP263" s="60" t="n">
        <x:v>79</x:v>
      </x:c>
      <x:c r="AQ263" s="60" t="n">
        <x:v>79</x:v>
      </x:c>
      <x:c r="AR263" s="60" t="n">
        <x:v>13.5</x:v>
      </x:c>
      <x:c r="AS263" s="60" t="n">
        <x:f>ROUND(((0.30*AL263+0.20*AM263+0.25*AN263+0.15*AO263+0.10*AQ263)+(0.30*AP263+0.20*AN263+0.20*AM263+0.15*AQ263+0.15*(100-AR263)))/2,2)</x:f>
        <x:v>79.29</x:v>
      </x:c>
      <x:c r="AT263" s="60" t="n">
        <x:f>ROUND(AVERAGE(V263,AD263,AL263),1)</x:f>
        <x:v>79</x:v>
      </x:c>
      <x:c r="AU263" s="60" t="n">
        <x:f>ROUND(AVERAGE(W263,AE263,AM263),1)</x:f>
        <x:v>78</x:v>
      </x:c>
      <x:c r="AV263" s="60" t="n">
        <x:f>ROUND(AVERAGE(X263,AF263,AN263),1)</x:f>
        <x:v>79</x:v>
      </x:c>
      <x:c r="AW263" s="60" t="n">
        <x:f>ROUND(AVERAGE(Y263,AG263,AO263),1)</x:f>
        <x:v>78</x:v>
      </x:c>
      <x:c r="AX263" s="60" t="n">
        <x:f>ROUND(AVERAGE(Z263,AH263,AP263),1)</x:f>
        <x:v>79</x:v>
      </x:c>
      <x:c r="AY263" s="60" t="n">
        <x:f>ROUND(AVERAGE(AA263,AI263,AQ263),1)</x:f>
        <x:v>79</x:v>
      </x:c>
      <x:c r="AZ263" s="60" t="n">
        <x:f>ROUND(AVERAGE(AB263,AJ263,AR263),1)</x:f>
        <x:v>13.3</x:v>
      </x:c>
      <x:c r="BA263" s="59" t="n">
        <x:v>5</x:v>
      </x:c>
      <x:c r="BB263" s="60" t="n">
        <x:f>ROUND(0.30*AT263+0.20*AU263+0.25*AV263+0.15*AW263+0.10*AY263,2)</x:f>
        <x:v>78.65</x:v>
      </x:c>
      <x:c r="BC263" s="60" t="n">
        <x:f>ROUND(0.30*AX263+0.20*AV263+0.20*AU263+0.15*AY263+0.15*(100-AZ263),2)</x:f>
        <x:v>79.96</x:v>
      </x:c>
      <x:c r="BD263" s="60" t="n">
        <x:f>ROUND(AVERAGE(BB263,BC263),2)</x:f>
        <x:v>79.31</x:v>
      </x:c>
      <x:c r="BE263" s="60" t="n">
        <x:f>ROUND(BD263-U263,2)</x:f>
        <x:v>-0.02</x:v>
      </x:c>
      <x:c r="BF263" s="60" t="n">
        <x:f>ROUND(STDEV.P(AC263,AK263,AS263),3)</x:f>
        <x:v>0.017</x:v>
      </x:c>
      <x:c r="BG263" s="59" t="str"/>
      <x:c r="BH263" s="59" t="str">
        <x:v>30%评分池轻量复核</x:v>
      </x:c>
      <x:c r="BI263" s="40" t="str">
        <x:v>三轮复核后与原表基本一致</x:v>
      </x:c>
    </x:row>
    <x:row r="264" ht="30" customHeight="1">
      <x:c r="A264" s="59" t="n">
        <x:v>263</x:v>
      </x:c>
      <x:c r="B264" s="59" t="n">
        <x:v>263</x:v>
      </x:c>
      <x:c r="C264" s="59" t="str">
        <x:v>2026-06</x:v>
      </x:c>
      <x:c r="D264" s="59" t="n">
        <x:v>168</x:v>
      </x:c>
      <x:c r="E264" s="59" t="str">
        <x:v>2606.04635</x:v>
      </x:c>
      <x:c r="F264" s="40" t="str">
        <x:v>Gaussian decay for the Harmonic oscillator</x:v>
      </x:c>
      <x:c r="G264" s="40" t="str">
        <x:v>Manish Chaurasia</x:v>
      </x:c>
      <x:c r="H264" s="40" t="str">
        <x:v>analysis/PDE</x:v>
      </x:c>
      <x:c r="I264" s="59" t="n">
        <x:v>15</x:v>
      </x:c>
      <x:c r="J264" s="40" t="str">
        <x:v>https://arxiv.org/abs/2606.04635</x:v>
      </x:c>
      <x:c r="K264" s="60" t="n">
        <x:v>79</x:v>
      </x:c>
      <x:c r="L264" s="60" t="n">
        <x:v>78</x:v>
      </x:c>
      <x:c r="M264" s="60" t="n">
        <x:v>79</x:v>
      </x:c>
      <x:c r="N264" s="60" t="n">
        <x:v>78</x:v>
      </x:c>
      <x:c r="O264" s="60" t="n">
        <x:v>79</x:v>
      </x:c>
      <x:c r="P264" s="60" t="n">
        <x:v>79</x:v>
      </x:c>
      <x:c r="Q264" s="60" t="n">
        <x:v>13</x:v>
      </x:c>
      <x:c r="R264" s="59" t="n">
        <x:v>5</x:v>
      </x:c>
      <x:c r="S264" s="60" t="n">
        <x:v>78.65</x:v>
      </x:c>
      <x:c r="T264" s="60" t="n">
        <x:v>80</x:v>
      </x:c>
      <x:c r="U264" s="60" t="n">
        <x:v>79.325</x:v>
      </x:c>
      <x:c r="V264" s="60" t="n">
        <x:v>79</x:v>
      </x:c>
      <x:c r="W264" s="60" t="n">
        <x:v>78</x:v>
      </x:c>
      <x:c r="X264" s="60" t="n">
        <x:v>79</x:v>
      </x:c>
      <x:c r="Y264" s="60" t="n">
        <x:v>78</x:v>
      </x:c>
      <x:c r="Z264" s="60" t="n">
        <x:v>79</x:v>
      </x:c>
      <x:c r="AA264" s="60" t="n">
        <x:v>79</x:v>
      </x:c>
      <x:c r="AB264" s="60" t="n">
        <x:v>13</x:v>
      </x:c>
      <x:c r="AC264" s="60" t="n">
        <x:f>ROUND(((0.30*V264+0.20*W264+0.25*X264+0.15*Y264+0.10*AA264)+(0.30*Z264+0.20*X264+0.20*W264+0.15*AA264+0.15*(100-AB264)))/2,2)</x:f>
        <x:v>79.33</x:v>
      </x:c>
      <x:c r="AD264" s="60" t="n">
        <x:v>79</x:v>
      </x:c>
      <x:c r="AE264" s="60" t="n">
        <x:v>78</x:v>
      </x:c>
      <x:c r="AF264" s="60" t="n">
        <x:v>79</x:v>
      </x:c>
      <x:c r="AG264" s="60" t="n">
        <x:v>78</x:v>
      </x:c>
      <x:c r="AH264" s="60" t="n">
        <x:v>79</x:v>
      </x:c>
      <x:c r="AI264" s="60" t="n">
        <x:v>79</x:v>
      </x:c>
      <x:c r="AJ264" s="60" t="n">
        <x:v>13.4</x:v>
      </x:c>
      <x:c r="AK264" s="60" t="n">
        <x:f>ROUND(((0.30*AD264+0.20*AE264+0.25*AF264+0.15*AG264+0.10*AI264)+(0.30*AH264+0.20*AF264+0.20*AE264+0.15*AI264+0.15*(100-AJ264)))/2,2)</x:f>
        <x:v>79.3</x:v>
      </x:c>
      <x:c r="AL264" s="60" t="n">
        <x:v>79</x:v>
      </x:c>
      <x:c r="AM264" s="60" t="n">
        <x:v>78</x:v>
      </x:c>
      <x:c r="AN264" s="60" t="n">
        <x:v>79</x:v>
      </x:c>
      <x:c r="AO264" s="60" t="n">
        <x:v>78</x:v>
      </x:c>
      <x:c r="AP264" s="60" t="n">
        <x:v>79</x:v>
      </x:c>
      <x:c r="AQ264" s="60" t="n">
        <x:v>79</x:v>
      </x:c>
      <x:c r="AR264" s="60" t="n">
        <x:v>13.5</x:v>
      </x:c>
      <x:c r="AS264" s="60" t="n">
        <x:f>ROUND(((0.30*AL264+0.20*AM264+0.25*AN264+0.15*AO264+0.10*AQ264)+(0.30*AP264+0.20*AN264+0.20*AM264+0.15*AQ264+0.15*(100-AR264)))/2,2)</x:f>
        <x:v>79.29</x:v>
      </x:c>
      <x:c r="AT264" s="60" t="n">
        <x:f>ROUND(AVERAGE(V264,AD264,AL264),1)</x:f>
        <x:v>79</x:v>
      </x:c>
      <x:c r="AU264" s="60" t="n">
        <x:f>ROUND(AVERAGE(W264,AE264,AM264),1)</x:f>
        <x:v>78</x:v>
      </x:c>
      <x:c r="AV264" s="60" t="n">
        <x:f>ROUND(AVERAGE(X264,AF264,AN264),1)</x:f>
        <x:v>79</x:v>
      </x:c>
      <x:c r="AW264" s="60" t="n">
        <x:f>ROUND(AVERAGE(Y264,AG264,AO264),1)</x:f>
        <x:v>78</x:v>
      </x:c>
      <x:c r="AX264" s="60" t="n">
        <x:f>ROUND(AVERAGE(Z264,AH264,AP264),1)</x:f>
        <x:v>79</x:v>
      </x:c>
      <x:c r="AY264" s="60" t="n">
        <x:f>ROUND(AVERAGE(AA264,AI264,AQ264),1)</x:f>
        <x:v>79</x:v>
      </x:c>
      <x:c r="AZ264" s="60" t="n">
        <x:f>ROUND(AVERAGE(AB264,AJ264,AR264),1)</x:f>
        <x:v>13.3</x:v>
      </x:c>
      <x:c r="BA264" s="59" t="n">
        <x:v>5</x:v>
      </x:c>
      <x:c r="BB264" s="60" t="n">
        <x:f>ROUND(0.30*AT264+0.20*AU264+0.25*AV264+0.15*AW264+0.10*AY264,2)</x:f>
        <x:v>78.65</x:v>
      </x:c>
      <x:c r="BC264" s="60" t="n">
        <x:f>ROUND(0.30*AX264+0.20*AV264+0.20*AU264+0.15*AY264+0.15*(100-AZ264),2)</x:f>
        <x:v>79.96</x:v>
      </x:c>
      <x:c r="BD264" s="60" t="n">
        <x:f>ROUND(AVERAGE(BB264,BC264),2)</x:f>
        <x:v>79.31</x:v>
      </x:c>
      <x:c r="BE264" s="60" t="n">
        <x:f>ROUND(BD264-U264,2)</x:f>
        <x:v>-0.02</x:v>
      </x:c>
      <x:c r="BF264" s="60" t="n">
        <x:f>ROUND(STDEV.P(AC264,AK264,AS264),3)</x:f>
        <x:v>0.017</x:v>
      </x:c>
      <x:c r="BG264" s="59" t="str"/>
      <x:c r="BH264" s="59" t="str">
        <x:v>30%评分池轻量复核</x:v>
      </x:c>
      <x:c r="BI264" s="40" t="str">
        <x:v>三轮复核后与原表基本一致</x:v>
      </x:c>
    </x:row>
    <x:row r="265" ht="30" customHeight="1">
      <x:c r="A265" s="59" t="n">
        <x:v>264</x:v>
      </x:c>
      <x:c r="B265" s="59" t="n">
        <x:v>264</x:v>
      </x:c>
      <x:c r="C265" s="59" t="str">
        <x:v>2026-06</x:v>
      </x:c>
      <x:c r="D265" s="59" t="n">
        <x:v>168</x:v>
      </x:c>
      <x:c r="E265" s="59" t="str">
        <x:v>2606.04498</x:v>
      </x:c>
      <x:c r="F265" s="40" t="str">
        <x:v>The Free Lunch Theorem of Homogenisation</x:v>
      </x:c>
      <x:c r="G265" s="40" t="str">
        <x:v>Andreas Buchinger; Marianna Porfido; Marcus Waurick</x:v>
      </x:c>
      <x:c r="H265" s="40" t="str">
        <x:v>analysis/PDE</x:v>
      </x:c>
      <x:c r="I265" s="59" t="n">
        <x:v>20</x:v>
      </x:c>
      <x:c r="J265" s="40" t="str">
        <x:v>https://arxiv.org/abs/2606.04498</x:v>
      </x:c>
      <x:c r="K265" s="60" t="n">
        <x:v>79</x:v>
      </x:c>
      <x:c r="L265" s="60" t="n">
        <x:v>78</x:v>
      </x:c>
      <x:c r="M265" s="60" t="n">
        <x:v>79</x:v>
      </x:c>
      <x:c r="N265" s="60" t="n">
        <x:v>78</x:v>
      </x:c>
      <x:c r="O265" s="60" t="n">
        <x:v>79</x:v>
      </x:c>
      <x:c r="P265" s="60" t="n">
        <x:v>79</x:v>
      </x:c>
      <x:c r="Q265" s="60" t="n">
        <x:v>13</x:v>
      </x:c>
      <x:c r="R265" s="59" t="n">
        <x:v>5</x:v>
      </x:c>
      <x:c r="S265" s="60" t="n">
        <x:v>78.65</x:v>
      </x:c>
      <x:c r="T265" s="60" t="n">
        <x:v>80</x:v>
      </x:c>
      <x:c r="U265" s="60" t="n">
        <x:v>79.325</x:v>
      </x:c>
      <x:c r="V265" s="60" t="n">
        <x:v>79</x:v>
      </x:c>
      <x:c r="W265" s="60" t="n">
        <x:v>78</x:v>
      </x:c>
      <x:c r="X265" s="60" t="n">
        <x:v>79</x:v>
      </x:c>
      <x:c r="Y265" s="60" t="n">
        <x:v>78</x:v>
      </x:c>
      <x:c r="Z265" s="60" t="n">
        <x:v>79</x:v>
      </x:c>
      <x:c r="AA265" s="60" t="n">
        <x:v>79</x:v>
      </x:c>
      <x:c r="AB265" s="60" t="n">
        <x:v>13</x:v>
      </x:c>
      <x:c r="AC265" s="60" t="n">
        <x:f>ROUND(((0.30*V265+0.20*W265+0.25*X265+0.15*Y265+0.10*AA265)+(0.30*Z265+0.20*X265+0.20*W265+0.15*AA265+0.15*(100-AB265)))/2,2)</x:f>
        <x:v>79.33</x:v>
      </x:c>
      <x:c r="AD265" s="60" t="n">
        <x:v>79</x:v>
      </x:c>
      <x:c r="AE265" s="60" t="n">
        <x:v>78</x:v>
      </x:c>
      <x:c r="AF265" s="60" t="n">
        <x:v>79</x:v>
      </x:c>
      <x:c r="AG265" s="60" t="n">
        <x:v>78</x:v>
      </x:c>
      <x:c r="AH265" s="60" t="n">
        <x:v>79</x:v>
      </x:c>
      <x:c r="AI265" s="60" t="n">
        <x:v>79</x:v>
      </x:c>
      <x:c r="AJ265" s="60" t="n">
        <x:v>13.4</x:v>
      </x:c>
      <x:c r="AK265" s="60" t="n">
        <x:f>ROUND(((0.30*AD265+0.20*AE265+0.25*AF265+0.15*AG265+0.10*AI265)+(0.30*AH265+0.20*AF265+0.20*AE265+0.15*AI265+0.15*(100-AJ265)))/2,2)</x:f>
        <x:v>79.3</x:v>
      </x:c>
      <x:c r="AL265" s="60" t="n">
        <x:v>79</x:v>
      </x:c>
      <x:c r="AM265" s="60" t="n">
        <x:v>78</x:v>
      </x:c>
      <x:c r="AN265" s="60" t="n">
        <x:v>79</x:v>
      </x:c>
      <x:c r="AO265" s="60" t="n">
        <x:v>78</x:v>
      </x:c>
      <x:c r="AP265" s="60" t="n">
        <x:v>79</x:v>
      </x:c>
      <x:c r="AQ265" s="60" t="n">
        <x:v>79</x:v>
      </x:c>
      <x:c r="AR265" s="60" t="n">
        <x:v>13.5</x:v>
      </x:c>
      <x:c r="AS265" s="60" t="n">
        <x:f>ROUND(((0.30*AL265+0.20*AM265+0.25*AN265+0.15*AO265+0.10*AQ265)+(0.30*AP265+0.20*AN265+0.20*AM265+0.15*AQ265+0.15*(100-AR265)))/2,2)</x:f>
        <x:v>79.29</x:v>
      </x:c>
      <x:c r="AT265" s="60" t="n">
        <x:f>ROUND(AVERAGE(V265,AD265,AL265),1)</x:f>
        <x:v>79</x:v>
      </x:c>
      <x:c r="AU265" s="60" t="n">
        <x:f>ROUND(AVERAGE(W265,AE265,AM265),1)</x:f>
        <x:v>78</x:v>
      </x:c>
      <x:c r="AV265" s="60" t="n">
        <x:f>ROUND(AVERAGE(X265,AF265,AN265),1)</x:f>
        <x:v>79</x:v>
      </x:c>
      <x:c r="AW265" s="60" t="n">
        <x:f>ROUND(AVERAGE(Y265,AG265,AO265),1)</x:f>
        <x:v>78</x:v>
      </x:c>
      <x:c r="AX265" s="60" t="n">
        <x:f>ROUND(AVERAGE(Z265,AH265,AP265),1)</x:f>
        <x:v>79</x:v>
      </x:c>
      <x:c r="AY265" s="60" t="n">
        <x:f>ROUND(AVERAGE(AA265,AI265,AQ265),1)</x:f>
        <x:v>79</x:v>
      </x:c>
      <x:c r="AZ265" s="60" t="n">
        <x:f>ROUND(AVERAGE(AB265,AJ265,AR265),1)</x:f>
        <x:v>13.3</x:v>
      </x:c>
      <x:c r="BA265" s="59" t="n">
        <x:v>5</x:v>
      </x:c>
      <x:c r="BB265" s="60" t="n">
        <x:f>ROUND(0.30*AT265+0.20*AU265+0.25*AV265+0.15*AW265+0.10*AY265,2)</x:f>
        <x:v>78.65</x:v>
      </x:c>
      <x:c r="BC265" s="60" t="n">
        <x:f>ROUND(0.30*AX265+0.20*AV265+0.20*AU265+0.15*AY265+0.15*(100-AZ265),2)</x:f>
        <x:v>79.96</x:v>
      </x:c>
      <x:c r="BD265" s="60" t="n">
        <x:f>ROUND(AVERAGE(BB265,BC265),2)</x:f>
        <x:v>79.31</x:v>
      </x:c>
      <x:c r="BE265" s="60" t="n">
        <x:f>ROUND(BD265-U265,2)</x:f>
        <x:v>-0.02</x:v>
      </x:c>
      <x:c r="BF265" s="60" t="n">
        <x:f>ROUND(STDEV.P(AC265,AK265,AS265),3)</x:f>
        <x:v>0.017</x:v>
      </x:c>
      <x:c r="BG265" s="59" t="str"/>
      <x:c r="BH265" s="59" t="str">
        <x:v>30%评分池轻量复核</x:v>
      </x:c>
      <x:c r="BI265" s="40" t="str">
        <x:v>三轮复核后与原表基本一致</x:v>
      </x:c>
    </x:row>
    <x:row r="266" ht="30" customHeight="1">
      <x:c r="A266" s="59" t="n">
        <x:v>265</x:v>
      </x:c>
      <x:c r="B266" s="59" t="n">
        <x:v>265</x:v>
      </x:c>
      <x:c r="C266" s="59" t="str">
        <x:v>2026-06</x:v>
      </x:c>
      <x:c r="D266" s="59" t="n">
        <x:v>173</x:v>
      </x:c>
      <x:c r="E266" s="59" t="str">
        <x:v>2606.07021</x:v>
      </x:c>
      <x:c r="F266" s="40" t="str">
        <x:v>Rogue waves for semilinear wave equations</x:v>
      </x:c>
      <x:c r="G266" s="40" t="str">
        <x:v>Julia Henninger</x:v>
      </x:c>
      <x:c r="H266" s="40" t="str">
        <x:v>dispersive PDE</x:v>
      </x:c>
      <x:c r="I266" s="59"/>
      <x:c r="J266" s="40" t="str">
        <x:v>https://arxiv.org/abs/2606.07021</x:v>
      </x:c>
      <x:c r="K266" s="60" t="n">
        <x:v>78</x:v>
      </x:c>
      <x:c r="L266" s="60" t="n">
        <x:v>78</x:v>
      </x:c>
      <x:c r="M266" s="60" t="n">
        <x:v>79</x:v>
      </x:c>
      <x:c r="N266" s="60" t="n">
        <x:v>77</x:v>
      </x:c>
      <x:c r="O266" s="60" t="n">
        <x:v>78</x:v>
      </x:c>
      <x:c r="P266" s="60" t="n">
        <x:v>78</x:v>
      </x:c>
      <x:c r="Q266" s="60" t="n">
        <x:v>13</x:v>
      </x:c>
      <x:c r="R266" s="59" t="n">
        <x:v>5</x:v>
      </x:c>
      <x:c r="S266" s="60" t="n">
        <x:v>78.1</x:v>
      </x:c>
      <x:c r="T266" s="60" t="n">
        <x:v>79.55</x:v>
      </x:c>
      <x:c r="U266" s="60" t="n">
        <x:v>78.82499999999999</x:v>
      </x:c>
      <x:c r="V266" s="60" t="n">
        <x:v>78.1</x:v>
      </x:c>
      <x:c r="W266" s="60" t="n">
        <x:v>78</x:v>
      </x:c>
      <x:c r="X266" s="60" t="n">
        <x:v>79.1</x:v>
      </x:c>
      <x:c r="Y266" s="60" t="n">
        <x:v>77</x:v>
      </x:c>
      <x:c r="Z266" s="60" t="n">
        <x:v>78.1</x:v>
      </x:c>
      <x:c r="AA266" s="60" t="n">
        <x:v>78</x:v>
      </x:c>
      <x:c r="AB266" s="60" t="n">
        <x:v>13</x:v>
      </x:c>
      <x:c r="AC266" s="60" t="n">
        <x:f>ROUND(((0.30*V266+0.20*W266+0.25*X266+0.15*Y266+0.10*AA266)+(0.30*Z266+0.20*X266+0.20*W266+0.15*AA266+0.15*(100-AB266)))/2,2)</x:f>
        <x:v>78.88</x:v>
      </x:c>
      <x:c r="AD266" s="60" t="n">
        <x:v>78</x:v>
      </x:c>
      <x:c r="AE266" s="60" t="n">
        <x:v>78</x:v>
      </x:c>
      <x:c r="AF266" s="60" t="n">
        <x:v>79</x:v>
      </x:c>
      <x:c r="AG266" s="60" t="n">
        <x:v>77</x:v>
      </x:c>
      <x:c r="AH266" s="60" t="n">
        <x:v>78</x:v>
      </x:c>
      <x:c r="AI266" s="60" t="n">
        <x:v>78</x:v>
      </x:c>
      <x:c r="AJ266" s="60" t="n">
        <x:v>13</x:v>
      </x:c>
      <x:c r="AK266" s="60" t="n">
        <x:f>ROUND(((0.30*AD266+0.20*AE266+0.25*AF266+0.15*AG266+0.10*AI266)+(0.30*AH266+0.20*AF266+0.20*AE266+0.15*AI266+0.15*(100-AJ266)))/2,2)</x:f>
        <x:v>78.82</x:v>
      </x:c>
      <x:c r="AL266" s="60" t="n">
        <x:v>78</x:v>
      </x:c>
      <x:c r="AM266" s="60" t="n">
        <x:v>78</x:v>
      </x:c>
      <x:c r="AN266" s="60" t="n">
        <x:v>79.1</x:v>
      </x:c>
      <x:c r="AO266" s="60" t="n">
        <x:v>77</x:v>
      </x:c>
      <x:c r="AP266" s="60" t="n">
        <x:v>78</x:v>
      </x:c>
      <x:c r="AQ266" s="60" t="n">
        <x:v>78</x:v>
      </x:c>
      <x:c r="AR266" s="60" t="n">
        <x:v>13</x:v>
      </x:c>
      <x:c r="AS266" s="60" t="n">
        <x:f>ROUND(((0.30*AL266+0.20*AM266+0.25*AN266+0.15*AO266+0.10*AQ266)+(0.30*AP266+0.20*AN266+0.20*AM266+0.15*AQ266+0.15*(100-AR266)))/2,2)</x:f>
        <x:v>78.85</x:v>
      </x:c>
      <x:c r="AT266" s="60" t="n">
        <x:f>ROUND(AVERAGE(V266,AD266,AL266),1)</x:f>
        <x:v>78</x:v>
      </x:c>
      <x:c r="AU266" s="60" t="n">
        <x:f>ROUND(AVERAGE(W266,AE266,AM266),1)</x:f>
        <x:v>78</x:v>
      </x:c>
      <x:c r="AV266" s="60" t="n">
        <x:f>ROUND(AVERAGE(X266,AF266,AN266),1)</x:f>
        <x:v>79.1</x:v>
      </x:c>
      <x:c r="AW266" s="60" t="n">
        <x:f>ROUND(AVERAGE(Y266,AG266,AO266),1)</x:f>
        <x:v>77</x:v>
      </x:c>
      <x:c r="AX266" s="60" t="n">
        <x:f>ROUND(AVERAGE(Z266,AH266,AP266),1)</x:f>
        <x:v>78</x:v>
      </x:c>
      <x:c r="AY266" s="60" t="n">
        <x:f>ROUND(AVERAGE(AA266,AI266,AQ266),1)</x:f>
        <x:v>78</x:v>
      </x:c>
      <x:c r="AZ266" s="60" t="n">
        <x:f>ROUND(AVERAGE(AB266,AJ266,AR266),1)</x:f>
        <x:v>13</x:v>
      </x:c>
      <x:c r="BA266" s="59" t="n">
        <x:v>5</x:v>
      </x:c>
      <x:c r="BB266" s="60" t="n">
        <x:f>ROUND(0.30*AT266+0.20*AU266+0.25*AV266+0.15*AW266+0.10*AY266,2)</x:f>
        <x:v>78.13</x:v>
      </x:c>
      <x:c r="BC266" s="60" t="n">
        <x:f>ROUND(0.30*AX266+0.20*AV266+0.20*AU266+0.15*AY266+0.15*(100-AZ266),2)</x:f>
        <x:v>79.57</x:v>
      </x:c>
      <x:c r="BD266" s="60" t="n">
        <x:f>ROUND(AVERAGE(BB266,BC266),2)</x:f>
        <x:v>78.85</x:v>
      </x:c>
      <x:c r="BE266" s="60" t="n">
        <x:f>ROUND(BD266-U266,2)</x:f>
        <x:v>0.03</x:v>
      </x:c>
      <x:c r="BF266" s="60" t="n">
        <x:f>ROUND(STDEV.P(AC266,AK266,AS266),3)</x:f>
        <x:v>0.024</x:v>
      </x:c>
      <x:c r="BG266" s="59" t="str"/>
      <x:c r="BH266" s="59" t="str">
        <x:v>30%评分池轻量复核</x:v>
      </x:c>
      <x:c r="BI266" s="40" t="str">
        <x:v>三轮复核后与原表基本一致</x:v>
      </x:c>
    </x:row>
    <x:row r="267" ht="30" customHeight="1">
      <x:c r="A267" s="59" t="n">
        <x:v>266</x:v>
      </x:c>
      <x:c r="B267" s="59" t="n">
        <x:v>266</x:v>
      </x:c>
      <x:c r="C267" s="59" t="str">
        <x:v>2026-06</x:v>
      </x:c>
      <x:c r="D267" s="59" t="n">
        <x:v>174</x:v>
      </x:c>
      <x:c r="E267" s="59" t="str">
        <x:v>2606.10556</x:v>
      </x:c>
      <x:c r="F267" s="40" t="str">
        <x:v>Structured deformations for energies with general surface terms</x:v>
      </x:c>
      <x:c r="G267" s="40" t="str">
        <x:v>Davide Donati; Manuel Friedrich</x:v>
      </x:c>
      <x:c r="H267" s="40" t="str">
        <x:v>analysis/PDE</x:v>
      </x:c>
      <x:c r="I267" s="59" t="n">
        <x:v>58</x:v>
      </x:c>
      <x:c r="J267" s="40" t="str">
        <x:v>https://arxiv.org/abs/2606.10556</x:v>
      </x:c>
      <x:c r="K267" s="60" t="n">
        <x:v>78</x:v>
      </x:c>
      <x:c r="L267" s="60" t="n">
        <x:v>78</x:v>
      </x:c>
      <x:c r="M267" s="60" t="n">
        <x:v>78</x:v>
      </x:c>
      <x:c r="N267" s="60" t="n">
        <x:v>78</x:v>
      </x:c>
      <x:c r="O267" s="60" t="n">
        <x:v>79</x:v>
      </x:c>
      <x:c r="P267" s="60" t="n">
        <x:v>78</x:v>
      </x:c>
      <x:c r="Q267" s="60" t="n">
        <x:v>13</x:v>
      </x:c>
      <x:c r="R267" s="59" t="n">
        <x:v>5</x:v>
      </x:c>
      <x:c r="S267" s="60" t="n">
        <x:v>78</x:v>
      </x:c>
      <x:c r="T267" s="60" t="n">
        <x:v>79.64999999999999</x:v>
      </x:c>
      <x:c r="U267" s="60" t="n">
        <x:v>78.82499999999999</x:v>
      </x:c>
      <x:c r="V267" s="60" t="n">
        <x:v>78</x:v>
      </x:c>
      <x:c r="W267" s="60" t="n">
        <x:v>78</x:v>
      </x:c>
      <x:c r="X267" s="60" t="n">
        <x:v>78</x:v>
      </x:c>
      <x:c r="Y267" s="60" t="n">
        <x:v>78</x:v>
      </x:c>
      <x:c r="Z267" s="60" t="n">
        <x:v>79</x:v>
      </x:c>
      <x:c r="AA267" s="60" t="n">
        <x:v>78</x:v>
      </x:c>
      <x:c r="AB267" s="60" t="n">
        <x:v>13</x:v>
      </x:c>
      <x:c r="AC267" s="60" t="n">
        <x:f>ROUND(((0.30*V267+0.20*W267+0.25*X267+0.15*Y267+0.10*AA267)+(0.30*Z267+0.20*X267+0.20*W267+0.15*AA267+0.15*(100-AB267)))/2,2)</x:f>
        <x:v>78.82</x:v>
      </x:c>
      <x:c r="AD267" s="60" t="n">
        <x:v>78</x:v>
      </x:c>
      <x:c r="AE267" s="60" t="n">
        <x:v>78</x:v>
      </x:c>
      <x:c r="AF267" s="60" t="n">
        <x:v>78</x:v>
      </x:c>
      <x:c r="AG267" s="60" t="n">
        <x:v>78</x:v>
      </x:c>
      <x:c r="AH267" s="60" t="n">
        <x:v>79</x:v>
      </x:c>
      <x:c r="AI267" s="60" t="n">
        <x:v>78</x:v>
      </x:c>
      <x:c r="AJ267" s="60" t="n">
        <x:v>13</x:v>
      </x:c>
      <x:c r="AK267" s="60" t="n">
        <x:f>ROUND(((0.30*AD267+0.20*AE267+0.25*AF267+0.15*AG267+0.10*AI267)+(0.30*AH267+0.20*AF267+0.20*AE267+0.15*AI267+0.15*(100-AJ267)))/2,2)</x:f>
        <x:v>78.82</x:v>
      </x:c>
      <x:c r="AL267" s="60" t="n">
        <x:v>78</x:v>
      </x:c>
      <x:c r="AM267" s="60" t="n">
        <x:v>78</x:v>
      </x:c>
      <x:c r="AN267" s="60" t="n">
        <x:v>78</x:v>
      </x:c>
      <x:c r="AO267" s="60" t="n">
        <x:v>78</x:v>
      </x:c>
      <x:c r="AP267" s="60" t="n">
        <x:v>79</x:v>
      </x:c>
      <x:c r="AQ267" s="60" t="n">
        <x:v>78</x:v>
      </x:c>
      <x:c r="AR267" s="60" t="n">
        <x:v>13</x:v>
      </x:c>
      <x:c r="AS267" s="60" t="n">
        <x:f>ROUND(((0.30*AL267+0.20*AM267+0.25*AN267+0.15*AO267+0.10*AQ267)+(0.30*AP267+0.20*AN267+0.20*AM267+0.15*AQ267+0.15*(100-AR267)))/2,2)</x:f>
        <x:v>78.82</x:v>
      </x:c>
      <x:c r="AT267" s="60" t="n">
        <x:f>ROUND(AVERAGE(V267,AD267,AL267),1)</x:f>
        <x:v>78</x:v>
      </x:c>
      <x:c r="AU267" s="60" t="n">
        <x:f>ROUND(AVERAGE(W267,AE267,AM267),1)</x:f>
        <x:v>78</x:v>
      </x:c>
      <x:c r="AV267" s="60" t="n">
        <x:f>ROUND(AVERAGE(X267,AF267,AN267),1)</x:f>
        <x:v>78</x:v>
      </x:c>
      <x:c r="AW267" s="60" t="n">
        <x:f>ROUND(AVERAGE(Y267,AG267,AO267),1)</x:f>
        <x:v>78</x:v>
      </x:c>
      <x:c r="AX267" s="60" t="n">
        <x:f>ROUND(AVERAGE(Z267,AH267,AP267),1)</x:f>
        <x:v>79</x:v>
      </x:c>
      <x:c r="AY267" s="60" t="n">
        <x:f>ROUND(AVERAGE(AA267,AI267,AQ267),1)</x:f>
        <x:v>78</x:v>
      </x:c>
      <x:c r="AZ267" s="60" t="n">
        <x:f>ROUND(AVERAGE(AB267,AJ267,AR267),1)</x:f>
        <x:v>13</x:v>
      </x:c>
      <x:c r="BA267" s="59" t="n">
        <x:v>5</x:v>
      </x:c>
      <x:c r="BB267" s="60" t="n">
        <x:f>ROUND(0.30*AT267+0.20*AU267+0.25*AV267+0.15*AW267+0.10*AY267,2)</x:f>
        <x:v>78</x:v>
      </x:c>
      <x:c r="BC267" s="60" t="n">
        <x:f>ROUND(0.30*AX267+0.20*AV267+0.20*AU267+0.15*AY267+0.15*(100-AZ267),2)</x:f>
        <x:v>79.65</x:v>
      </x:c>
      <x:c r="BD267" s="60" t="n">
        <x:f>ROUND(AVERAGE(BB267,BC267),2)</x:f>
        <x:v>78.83</x:v>
      </x:c>
      <x:c r="BE267" s="60" t="n">
        <x:f>ROUND(BD267-U267,2)</x:f>
        <x:v>0.01</x:v>
      </x:c>
      <x:c r="BF267" s="60" t="n">
        <x:f>ROUND(STDEV.P(AC267,AK267,AS267),3)</x:f>
        <x:v>0</x:v>
      </x:c>
      <x:c r="BG267" s="59" t="str"/>
      <x:c r="BH267" s="59" t="str">
        <x:v>30%评分池轻量复核</x:v>
      </x:c>
      <x:c r="BI267" s="40" t="str">
        <x:v>三轮复核后与原表基本一致</x:v>
      </x:c>
    </x:row>
    <x:row r="268" ht="30" customHeight="1">
      <x:c r="A268" s="59" t="n">
        <x:v>267</x:v>
      </x:c>
      <x:c r="B268" s="59" t="n">
        <x:v>267</x:v>
      </x:c>
      <x:c r="C268" s="59" t="str">
        <x:v>2026-06</x:v>
      </x:c>
      <x:c r="D268" s="59" t="n">
        <x:v>174</x:v>
      </x:c>
      <x:c r="E268" s="59" t="str">
        <x:v>2606.05764</x:v>
      </x:c>
      <x:c r="F268" s="40" t="str">
        <x:v>Global Existence for 3D Anisotropic MHD system with Horizontal Dissipation and Small Horizontal Variations</x:v>
      </x:c>
      <x:c r="G268" s="40" t="str">
        <x:v>Qiliang Lin; Chenyin Qian; Daoyao Zhou</x:v>
      </x:c>
      <x:c r="H268" s="40" t="str">
        <x:v>fluid/kinetic PDE</x:v>
      </x:c>
      <x:c r="I268" s="59"/>
      <x:c r="J268" s="40" t="str">
        <x:v>https://arxiv.org/abs/2606.05764</x:v>
      </x:c>
      <x:c r="K268" s="60" t="n">
        <x:v>78</x:v>
      </x:c>
      <x:c r="L268" s="60" t="n">
        <x:v>78</x:v>
      </x:c>
      <x:c r="M268" s="60" t="n">
        <x:v>78</x:v>
      </x:c>
      <x:c r="N268" s="60" t="n">
        <x:v>78</x:v>
      </x:c>
      <x:c r="O268" s="60" t="n">
        <x:v>79</x:v>
      </x:c>
      <x:c r="P268" s="60" t="n">
        <x:v>78</x:v>
      </x:c>
      <x:c r="Q268" s="60" t="n">
        <x:v>13</x:v>
      </x:c>
      <x:c r="R268" s="59" t="n">
        <x:v>5</x:v>
      </x:c>
      <x:c r="S268" s="60" t="n">
        <x:v>78</x:v>
      </x:c>
      <x:c r="T268" s="60" t="n">
        <x:v>79.64999999999999</x:v>
      </x:c>
      <x:c r="U268" s="60" t="n">
        <x:v>78.82499999999999</x:v>
      </x:c>
      <x:c r="V268" s="60" t="n">
        <x:v>78</x:v>
      </x:c>
      <x:c r="W268" s="60" t="n">
        <x:v>78</x:v>
      </x:c>
      <x:c r="X268" s="60" t="n">
        <x:v>78</x:v>
      </x:c>
      <x:c r="Y268" s="60" t="n">
        <x:v>78</x:v>
      </x:c>
      <x:c r="Z268" s="60" t="n">
        <x:v>79</x:v>
      </x:c>
      <x:c r="AA268" s="60" t="n">
        <x:v>78</x:v>
      </x:c>
      <x:c r="AB268" s="60" t="n">
        <x:v>13</x:v>
      </x:c>
      <x:c r="AC268" s="60" t="n">
        <x:f>ROUND(((0.30*V268+0.20*W268+0.25*X268+0.15*Y268+0.10*AA268)+(0.30*Z268+0.20*X268+0.20*W268+0.15*AA268+0.15*(100-AB268)))/2,2)</x:f>
        <x:v>78.82</x:v>
      </x:c>
      <x:c r="AD268" s="60" t="n">
        <x:v>78</x:v>
      </x:c>
      <x:c r="AE268" s="60" t="n">
        <x:v>78</x:v>
      </x:c>
      <x:c r="AF268" s="60" t="n">
        <x:v>78</x:v>
      </x:c>
      <x:c r="AG268" s="60" t="n">
        <x:v>78</x:v>
      </x:c>
      <x:c r="AH268" s="60" t="n">
        <x:v>79</x:v>
      </x:c>
      <x:c r="AI268" s="60" t="n">
        <x:v>78</x:v>
      </x:c>
      <x:c r="AJ268" s="60" t="n">
        <x:v>13</x:v>
      </x:c>
      <x:c r="AK268" s="60" t="n">
        <x:f>ROUND(((0.30*AD268+0.20*AE268+0.25*AF268+0.15*AG268+0.10*AI268)+(0.30*AH268+0.20*AF268+0.20*AE268+0.15*AI268+0.15*(100-AJ268)))/2,2)</x:f>
        <x:v>78.82</x:v>
      </x:c>
      <x:c r="AL268" s="60" t="n">
        <x:v>78</x:v>
      </x:c>
      <x:c r="AM268" s="60" t="n">
        <x:v>78</x:v>
      </x:c>
      <x:c r="AN268" s="60" t="n">
        <x:v>78</x:v>
      </x:c>
      <x:c r="AO268" s="60" t="n">
        <x:v>78</x:v>
      </x:c>
      <x:c r="AP268" s="60" t="n">
        <x:v>79</x:v>
      </x:c>
      <x:c r="AQ268" s="60" t="n">
        <x:v>78</x:v>
      </x:c>
      <x:c r="AR268" s="60" t="n">
        <x:v>13</x:v>
      </x:c>
      <x:c r="AS268" s="60" t="n">
        <x:f>ROUND(((0.30*AL268+0.20*AM268+0.25*AN268+0.15*AO268+0.10*AQ268)+(0.30*AP268+0.20*AN268+0.20*AM268+0.15*AQ268+0.15*(100-AR268)))/2,2)</x:f>
        <x:v>78.82</x:v>
      </x:c>
      <x:c r="AT268" s="60" t="n">
        <x:f>ROUND(AVERAGE(V268,AD268,AL268),1)</x:f>
        <x:v>78</x:v>
      </x:c>
      <x:c r="AU268" s="60" t="n">
        <x:f>ROUND(AVERAGE(W268,AE268,AM268),1)</x:f>
        <x:v>78</x:v>
      </x:c>
      <x:c r="AV268" s="60" t="n">
        <x:f>ROUND(AVERAGE(X268,AF268,AN268),1)</x:f>
        <x:v>78</x:v>
      </x:c>
      <x:c r="AW268" s="60" t="n">
        <x:f>ROUND(AVERAGE(Y268,AG268,AO268),1)</x:f>
        <x:v>78</x:v>
      </x:c>
      <x:c r="AX268" s="60" t="n">
        <x:f>ROUND(AVERAGE(Z268,AH268,AP268),1)</x:f>
        <x:v>79</x:v>
      </x:c>
      <x:c r="AY268" s="60" t="n">
        <x:f>ROUND(AVERAGE(AA268,AI268,AQ268),1)</x:f>
        <x:v>78</x:v>
      </x:c>
      <x:c r="AZ268" s="60" t="n">
        <x:f>ROUND(AVERAGE(AB268,AJ268,AR268),1)</x:f>
        <x:v>13</x:v>
      </x:c>
      <x:c r="BA268" s="59" t="n">
        <x:v>5</x:v>
      </x:c>
      <x:c r="BB268" s="60" t="n">
        <x:f>ROUND(0.30*AT268+0.20*AU268+0.25*AV268+0.15*AW268+0.10*AY268,2)</x:f>
        <x:v>78</x:v>
      </x:c>
      <x:c r="BC268" s="60" t="n">
        <x:f>ROUND(0.30*AX268+0.20*AV268+0.20*AU268+0.15*AY268+0.15*(100-AZ268),2)</x:f>
        <x:v>79.65</x:v>
      </x:c>
      <x:c r="BD268" s="60" t="n">
        <x:f>ROUND(AVERAGE(BB268,BC268),2)</x:f>
        <x:v>78.83</x:v>
      </x:c>
      <x:c r="BE268" s="60" t="n">
        <x:f>ROUND(BD268-U268,2)</x:f>
        <x:v>0.01</x:v>
      </x:c>
      <x:c r="BF268" s="60" t="n">
        <x:f>ROUND(STDEV.P(AC268,AK268,AS268),3)</x:f>
        <x:v>0</x:v>
      </x:c>
      <x:c r="BG268" s="59" t="str"/>
      <x:c r="BH268" s="59" t="str">
        <x:v>30%评分池轻量复核</x:v>
      </x:c>
      <x:c r="BI268" s="40" t="str">
        <x:v>三轮复核后与原表基本一致</x:v>
      </x:c>
    </x:row>
    <x:row r="269" ht="30" customHeight="1">
      <x:c r="A269" s="59" t="n">
        <x:v>268</x:v>
      </x:c>
      <x:c r="B269" s="59" t="n">
        <x:v>268</x:v>
      </x:c>
      <x:c r="C269" s="59" t="str">
        <x:v>2026-06</x:v>
      </x:c>
      <x:c r="D269" s="59" t="n">
        <x:v>174</x:v>
      </x:c>
      <x:c r="E269" s="59" t="str">
        <x:v>2606.05592</x:v>
      </x:c>
      <x:c r="F269" s="40" t="str">
        <x:v>Solutions to critical equations with a superposition of nonlocal Hartree-type nonlinearities</x:v>
      </x:c>
      <x:c r="G269" s="40" t="str">
        <x:v>Artur Jorge Marinho; Kanishka Perera</x:v>
      </x:c>
      <x:c r="H269" s="40" t="str">
        <x:v>analysis/PDE</x:v>
      </x:c>
      <x:c r="I269" s="59"/>
      <x:c r="J269" s="40" t="str">
        <x:v>https://arxiv.org/abs/2606.05592</x:v>
      </x:c>
      <x:c r="K269" s="60" t="n">
        <x:v>78</x:v>
      </x:c>
      <x:c r="L269" s="60" t="n">
        <x:v>78</x:v>
      </x:c>
      <x:c r="M269" s="60" t="n">
        <x:v>78</x:v>
      </x:c>
      <x:c r="N269" s="60" t="n">
        <x:v>78</x:v>
      </x:c>
      <x:c r="O269" s="60" t="n">
        <x:v>79</x:v>
      </x:c>
      <x:c r="P269" s="60" t="n">
        <x:v>78</x:v>
      </x:c>
      <x:c r="Q269" s="60" t="n">
        <x:v>13</x:v>
      </x:c>
      <x:c r="R269" s="59" t="n">
        <x:v>5</x:v>
      </x:c>
      <x:c r="S269" s="60" t="n">
        <x:v>78</x:v>
      </x:c>
      <x:c r="T269" s="60" t="n">
        <x:v>79.64999999999999</x:v>
      </x:c>
      <x:c r="U269" s="60" t="n">
        <x:v>78.82499999999999</x:v>
      </x:c>
      <x:c r="V269" s="60" t="n">
        <x:v>78</x:v>
      </x:c>
      <x:c r="W269" s="60" t="n">
        <x:v>78</x:v>
      </x:c>
      <x:c r="X269" s="60" t="n">
        <x:v>78</x:v>
      </x:c>
      <x:c r="Y269" s="60" t="n">
        <x:v>78</x:v>
      </x:c>
      <x:c r="Z269" s="60" t="n">
        <x:v>79</x:v>
      </x:c>
      <x:c r="AA269" s="60" t="n">
        <x:v>78</x:v>
      </x:c>
      <x:c r="AB269" s="60" t="n">
        <x:v>13</x:v>
      </x:c>
      <x:c r="AC269" s="60" t="n">
        <x:f>ROUND(((0.30*V269+0.20*W269+0.25*X269+0.15*Y269+0.10*AA269)+(0.30*Z269+0.20*X269+0.20*W269+0.15*AA269+0.15*(100-AB269)))/2,2)</x:f>
        <x:v>78.82</x:v>
      </x:c>
      <x:c r="AD269" s="60" t="n">
        <x:v>78</x:v>
      </x:c>
      <x:c r="AE269" s="60" t="n">
        <x:v>78</x:v>
      </x:c>
      <x:c r="AF269" s="60" t="n">
        <x:v>78</x:v>
      </x:c>
      <x:c r="AG269" s="60" t="n">
        <x:v>78</x:v>
      </x:c>
      <x:c r="AH269" s="60" t="n">
        <x:v>79</x:v>
      </x:c>
      <x:c r="AI269" s="60" t="n">
        <x:v>78</x:v>
      </x:c>
      <x:c r="AJ269" s="60" t="n">
        <x:v>13</x:v>
      </x:c>
      <x:c r="AK269" s="60" t="n">
        <x:f>ROUND(((0.30*AD269+0.20*AE269+0.25*AF269+0.15*AG269+0.10*AI269)+(0.30*AH269+0.20*AF269+0.20*AE269+0.15*AI269+0.15*(100-AJ269)))/2,2)</x:f>
        <x:v>78.82</x:v>
      </x:c>
      <x:c r="AL269" s="60" t="n">
        <x:v>78</x:v>
      </x:c>
      <x:c r="AM269" s="60" t="n">
        <x:v>78</x:v>
      </x:c>
      <x:c r="AN269" s="60" t="n">
        <x:v>78</x:v>
      </x:c>
      <x:c r="AO269" s="60" t="n">
        <x:v>78</x:v>
      </x:c>
      <x:c r="AP269" s="60" t="n">
        <x:v>79</x:v>
      </x:c>
      <x:c r="AQ269" s="60" t="n">
        <x:v>78</x:v>
      </x:c>
      <x:c r="AR269" s="60" t="n">
        <x:v>13</x:v>
      </x:c>
      <x:c r="AS269" s="60" t="n">
        <x:f>ROUND(((0.30*AL269+0.20*AM269+0.25*AN269+0.15*AO269+0.10*AQ269)+(0.30*AP269+0.20*AN269+0.20*AM269+0.15*AQ269+0.15*(100-AR269)))/2,2)</x:f>
        <x:v>78.82</x:v>
      </x:c>
      <x:c r="AT269" s="60" t="n">
        <x:f>ROUND(AVERAGE(V269,AD269,AL269),1)</x:f>
        <x:v>78</x:v>
      </x:c>
      <x:c r="AU269" s="60" t="n">
        <x:f>ROUND(AVERAGE(W269,AE269,AM269),1)</x:f>
        <x:v>78</x:v>
      </x:c>
      <x:c r="AV269" s="60" t="n">
        <x:f>ROUND(AVERAGE(X269,AF269,AN269),1)</x:f>
        <x:v>78</x:v>
      </x:c>
      <x:c r="AW269" s="60" t="n">
        <x:f>ROUND(AVERAGE(Y269,AG269,AO269),1)</x:f>
        <x:v>78</x:v>
      </x:c>
      <x:c r="AX269" s="60" t="n">
        <x:f>ROUND(AVERAGE(Z269,AH269,AP269),1)</x:f>
        <x:v>79</x:v>
      </x:c>
      <x:c r="AY269" s="60" t="n">
        <x:f>ROUND(AVERAGE(AA269,AI269,AQ269),1)</x:f>
        <x:v>78</x:v>
      </x:c>
      <x:c r="AZ269" s="60" t="n">
        <x:f>ROUND(AVERAGE(AB269,AJ269,AR269),1)</x:f>
        <x:v>13</x:v>
      </x:c>
      <x:c r="BA269" s="59" t="n">
        <x:v>5</x:v>
      </x:c>
      <x:c r="BB269" s="60" t="n">
        <x:f>ROUND(0.30*AT269+0.20*AU269+0.25*AV269+0.15*AW269+0.10*AY269,2)</x:f>
        <x:v>78</x:v>
      </x:c>
      <x:c r="BC269" s="60" t="n">
        <x:f>ROUND(0.30*AX269+0.20*AV269+0.20*AU269+0.15*AY269+0.15*(100-AZ269),2)</x:f>
        <x:v>79.65</x:v>
      </x:c>
      <x:c r="BD269" s="60" t="n">
        <x:f>ROUND(AVERAGE(BB269,BC269),2)</x:f>
        <x:v>78.83</x:v>
      </x:c>
      <x:c r="BE269" s="60" t="n">
        <x:f>ROUND(BD269-U269,2)</x:f>
        <x:v>0.01</x:v>
      </x:c>
      <x:c r="BF269" s="60" t="n">
        <x:f>ROUND(STDEV.P(AC269,AK269,AS269),3)</x:f>
        <x:v>0</x:v>
      </x:c>
      <x:c r="BG269" s="59" t="str"/>
      <x:c r="BH269" s="59" t="str">
        <x:v>30%评分池轻量复核</x:v>
      </x:c>
      <x:c r="BI269" s="40" t="str">
        <x:v>三轮复核后与原表基本一致</x:v>
      </x:c>
    </x:row>
    <x:row r="270" ht="30" customHeight="1">
      <x:c r="A270" s="59" t="n">
        <x:v>269</x:v>
      </x:c>
      <x:c r="B270" s="59" t="n">
        <x:v>269</x:v>
      </x:c>
      <x:c r="C270" s="59" t="str">
        <x:v>2026-06</x:v>
      </x:c>
      <x:c r="D270" s="59" t="n">
        <x:v>174</x:v>
      </x:c>
      <x:c r="E270" s="59" t="str">
        <x:v>2606.05398</x:v>
      </x:c>
      <x:c r="F270" s="40" t="str">
        <x:v>Thin Domains, Reduction, and Slow Manifolds</x:v>
      </x:c>
      <x:c r="G270" s="40" t="str">
        <x:v>Christian Kuehn; Jan-Eric Sulzbach</x:v>
      </x:c>
      <x:c r="H270" s="40" t="str">
        <x:v>analysis/PDE</x:v>
      </x:c>
      <x:c r="I270" s="59"/>
      <x:c r="J270" s="40" t="str">
        <x:v>https://arxiv.org/abs/2606.05398</x:v>
      </x:c>
      <x:c r="K270" s="60" t="n">
        <x:v>78</x:v>
      </x:c>
      <x:c r="L270" s="60" t="n">
        <x:v>78</x:v>
      </x:c>
      <x:c r="M270" s="60" t="n">
        <x:v>78</x:v>
      </x:c>
      <x:c r="N270" s="60" t="n">
        <x:v>78</x:v>
      </x:c>
      <x:c r="O270" s="60" t="n">
        <x:v>79</x:v>
      </x:c>
      <x:c r="P270" s="60" t="n">
        <x:v>78</x:v>
      </x:c>
      <x:c r="Q270" s="60" t="n">
        <x:v>13</x:v>
      </x:c>
      <x:c r="R270" s="59" t="n">
        <x:v>5</x:v>
      </x:c>
      <x:c r="S270" s="60" t="n">
        <x:v>78</x:v>
      </x:c>
      <x:c r="T270" s="60" t="n">
        <x:v>79.64999999999999</x:v>
      </x:c>
      <x:c r="U270" s="60" t="n">
        <x:v>78.82499999999999</x:v>
      </x:c>
      <x:c r="V270" s="60" t="n">
        <x:v>78</x:v>
      </x:c>
      <x:c r="W270" s="60" t="n">
        <x:v>78</x:v>
      </x:c>
      <x:c r="X270" s="60" t="n">
        <x:v>78</x:v>
      </x:c>
      <x:c r="Y270" s="60" t="n">
        <x:v>78</x:v>
      </x:c>
      <x:c r="Z270" s="60" t="n">
        <x:v>79</x:v>
      </x:c>
      <x:c r="AA270" s="60" t="n">
        <x:v>78</x:v>
      </x:c>
      <x:c r="AB270" s="60" t="n">
        <x:v>13</x:v>
      </x:c>
      <x:c r="AC270" s="60" t="n">
        <x:f>ROUND(((0.30*V270+0.20*W270+0.25*X270+0.15*Y270+0.10*AA270)+(0.30*Z270+0.20*X270+0.20*W270+0.15*AA270+0.15*(100-AB270)))/2,2)</x:f>
        <x:v>78.82</x:v>
      </x:c>
      <x:c r="AD270" s="60" t="n">
        <x:v>78</x:v>
      </x:c>
      <x:c r="AE270" s="60" t="n">
        <x:v>78</x:v>
      </x:c>
      <x:c r="AF270" s="60" t="n">
        <x:v>78</x:v>
      </x:c>
      <x:c r="AG270" s="60" t="n">
        <x:v>78</x:v>
      </x:c>
      <x:c r="AH270" s="60" t="n">
        <x:v>79</x:v>
      </x:c>
      <x:c r="AI270" s="60" t="n">
        <x:v>78</x:v>
      </x:c>
      <x:c r="AJ270" s="60" t="n">
        <x:v>13</x:v>
      </x:c>
      <x:c r="AK270" s="60" t="n">
        <x:f>ROUND(((0.30*AD270+0.20*AE270+0.25*AF270+0.15*AG270+0.10*AI270)+(0.30*AH270+0.20*AF270+0.20*AE270+0.15*AI270+0.15*(100-AJ270)))/2,2)</x:f>
        <x:v>78.82</x:v>
      </x:c>
      <x:c r="AL270" s="60" t="n">
        <x:v>78</x:v>
      </x:c>
      <x:c r="AM270" s="60" t="n">
        <x:v>78</x:v>
      </x:c>
      <x:c r="AN270" s="60" t="n">
        <x:v>78</x:v>
      </x:c>
      <x:c r="AO270" s="60" t="n">
        <x:v>78</x:v>
      </x:c>
      <x:c r="AP270" s="60" t="n">
        <x:v>79</x:v>
      </x:c>
      <x:c r="AQ270" s="60" t="n">
        <x:v>78</x:v>
      </x:c>
      <x:c r="AR270" s="60" t="n">
        <x:v>13</x:v>
      </x:c>
      <x:c r="AS270" s="60" t="n">
        <x:f>ROUND(((0.30*AL270+0.20*AM270+0.25*AN270+0.15*AO270+0.10*AQ270)+(0.30*AP270+0.20*AN270+0.20*AM270+0.15*AQ270+0.15*(100-AR270)))/2,2)</x:f>
        <x:v>78.82</x:v>
      </x:c>
      <x:c r="AT270" s="60" t="n">
        <x:f>ROUND(AVERAGE(V270,AD270,AL270),1)</x:f>
        <x:v>78</x:v>
      </x:c>
      <x:c r="AU270" s="60" t="n">
        <x:f>ROUND(AVERAGE(W270,AE270,AM270),1)</x:f>
        <x:v>78</x:v>
      </x:c>
      <x:c r="AV270" s="60" t="n">
        <x:f>ROUND(AVERAGE(X270,AF270,AN270),1)</x:f>
        <x:v>78</x:v>
      </x:c>
      <x:c r="AW270" s="60" t="n">
        <x:f>ROUND(AVERAGE(Y270,AG270,AO270),1)</x:f>
        <x:v>78</x:v>
      </x:c>
      <x:c r="AX270" s="60" t="n">
        <x:f>ROUND(AVERAGE(Z270,AH270,AP270),1)</x:f>
        <x:v>79</x:v>
      </x:c>
      <x:c r="AY270" s="60" t="n">
        <x:f>ROUND(AVERAGE(AA270,AI270,AQ270),1)</x:f>
        <x:v>78</x:v>
      </x:c>
      <x:c r="AZ270" s="60" t="n">
        <x:f>ROUND(AVERAGE(AB270,AJ270,AR270),1)</x:f>
        <x:v>13</x:v>
      </x:c>
      <x:c r="BA270" s="59" t="n">
        <x:v>5</x:v>
      </x:c>
      <x:c r="BB270" s="60" t="n">
        <x:f>ROUND(0.30*AT270+0.20*AU270+0.25*AV270+0.15*AW270+0.10*AY270,2)</x:f>
        <x:v>78</x:v>
      </x:c>
      <x:c r="BC270" s="60" t="n">
        <x:f>ROUND(0.30*AX270+0.20*AV270+0.20*AU270+0.15*AY270+0.15*(100-AZ270),2)</x:f>
        <x:v>79.65</x:v>
      </x:c>
      <x:c r="BD270" s="60" t="n">
        <x:f>ROUND(AVERAGE(BB270,BC270),2)</x:f>
        <x:v>78.83</x:v>
      </x:c>
      <x:c r="BE270" s="60" t="n">
        <x:f>ROUND(BD270-U270,2)</x:f>
        <x:v>0.01</x:v>
      </x:c>
      <x:c r="BF270" s="60" t="n">
        <x:f>ROUND(STDEV.P(AC270,AK270,AS270),3)</x:f>
        <x:v>0</x:v>
      </x:c>
      <x:c r="BG270" s="59" t="str"/>
      <x:c r="BH270" s="59" t="str">
        <x:v>30%评分池轻量复核</x:v>
      </x:c>
      <x:c r="BI270" s="40" t="str">
        <x:v>三轮复核后与原表基本一致</x:v>
      </x:c>
    </x:row>
    <x:row r="271" ht="30" customHeight="1">
      <x:c r="A271" s="59" t="n">
        <x:v>270</x:v>
      </x:c>
      <x:c r="B271" s="59" t="n">
        <x:v>270</x:v>
      </x:c>
      <x:c r="C271" s="59" t="str">
        <x:v>2026-06</x:v>
      </x:c>
      <x:c r="D271" s="59" t="n">
        <x:v>174</x:v>
      </x:c>
      <x:c r="E271" s="59" t="str">
        <x:v>2606.05140</x:v>
      </x:c>
      <x:c r="F271" s="40" t="str">
        <x:v>Phase transitions for the noisy transformer model in arbitrary dimension</x:v>
      </x:c>
      <x:c r="G271" s="40" t="str">
        <x:v>Kyunghoo Mun; Matthew Rosenzweig</x:v>
      </x:c>
      <x:c r="H271" s="40" t="str">
        <x:v>analysis/PDE</x:v>
      </x:c>
      <x:c r="I271" s="59" t="n">
        <x:v>18</x:v>
      </x:c>
      <x:c r="J271" s="40" t="str">
        <x:v>https://arxiv.org/abs/2606.05140</x:v>
      </x:c>
      <x:c r="K271" s="60" t="n">
        <x:v>78</x:v>
      </x:c>
      <x:c r="L271" s="60" t="n">
        <x:v>78</x:v>
      </x:c>
      <x:c r="M271" s="60" t="n">
        <x:v>78</x:v>
      </x:c>
      <x:c r="N271" s="60" t="n">
        <x:v>78</x:v>
      </x:c>
      <x:c r="O271" s="60" t="n">
        <x:v>79</x:v>
      </x:c>
      <x:c r="P271" s="60" t="n">
        <x:v>78</x:v>
      </x:c>
      <x:c r="Q271" s="60" t="n">
        <x:v>13</x:v>
      </x:c>
      <x:c r="R271" s="59" t="n">
        <x:v>5</x:v>
      </x:c>
      <x:c r="S271" s="60" t="n">
        <x:v>78</x:v>
      </x:c>
      <x:c r="T271" s="60" t="n">
        <x:v>79.64999999999999</x:v>
      </x:c>
      <x:c r="U271" s="60" t="n">
        <x:v>78.82499999999999</x:v>
      </x:c>
      <x:c r="V271" s="60" t="n">
        <x:v>78</x:v>
      </x:c>
      <x:c r="W271" s="60" t="n">
        <x:v>78</x:v>
      </x:c>
      <x:c r="X271" s="60" t="n">
        <x:v>78</x:v>
      </x:c>
      <x:c r="Y271" s="60" t="n">
        <x:v>78</x:v>
      </x:c>
      <x:c r="Z271" s="60" t="n">
        <x:v>79</x:v>
      </x:c>
      <x:c r="AA271" s="60" t="n">
        <x:v>78</x:v>
      </x:c>
      <x:c r="AB271" s="60" t="n">
        <x:v>13</x:v>
      </x:c>
      <x:c r="AC271" s="60" t="n">
        <x:f>ROUND(((0.30*V271+0.20*W271+0.25*X271+0.15*Y271+0.10*AA271)+(0.30*Z271+0.20*X271+0.20*W271+0.15*AA271+0.15*(100-AB271)))/2,2)</x:f>
        <x:v>78.82</x:v>
      </x:c>
      <x:c r="AD271" s="60" t="n">
        <x:v>78</x:v>
      </x:c>
      <x:c r="AE271" s="60" t="n">
        <x:v>78</x:v>
      </x:c>
      <x:c r="AF271" s="60" t="n">
        <x:v>78</x:v>
      </x:c>
      <x:c r="AG271" s="60" t="n">
        <x:v>78</x:v>
      </x:c>
      <x:c r="AH271" s="60" t="n">
        <x:v>79</x:v>
      </x:c>
      <x:c r="AI271" s="60" t="n">
        <x:v>78</x:v>
      </x:c>
      <x:c r="AJ271" s="60" t="n">
        <x:v>13.4</x:v>
      </x:c>
      <x:c r="AK271" s="60" t="n">
        <x:f>ROUND(((0.30*AD271+0.20*AE271+0.25*AF271+0.15*AG271+0.10*AI271)+(0.30*AH271+0.20*AF271+0.20*AE271+0.15*AI271+0.15*(100-AJ271)))/2,2)</x:f>
        <x:v>78.79</x:v>
      </x:c>
      <x:c r="AL271" s="60" t="n">
        <x:v>78</x:v>
      </x:c>
      <x:c r="AM271" s="60" t="n">
        <x:v>78</x:v>
      </x:c>
      <x:c r="AN271" s="60" t="n">
        <x:v>78</x:v>
      </x:c>
      <x:c r="AO271" s="60" t="n">
        <x:v>78</x:v>
      </x:c>
      <x:c r="AP271" s="60" t="n">
        <x:v>79</x:v>
      </x:c>
      <x:c r="AQ271" s="60" t="n">
        <x:v>78</x:v>
      </x:c>
      <x:c r="AR271" s="60" t="n">
        <x:v>13.5</x:v>
      </x:c>
      <x:c r="AS271" s="60" t="n">
        <x:f>ROUND(((0.30*AL271+0.20*AM271+0.25*AN271+0.15*AO271+0.10*AQ271)+(0.30*AP271+0.20*AN271+0.20*AM271+0.15*AQ271+0.15*(100-AR271)))/2,2)</x:f>
        <x:v>78.79</x:v>
      </x:c>
      <x:c r="AT271" s="60" t="n">
        <x:f>ROUND(AVERAGE(V271,AD271,AL271),1)</x:f>
        <x:v>78</x:v>
      </x:c>
      <x:c r="AU271" s="60" t="n">
        <x:f>ROUND(AVERAGE(W271,AE271,AM271),1)</x:f>
        <x:v>78</x:v>
      </x:c>
      <x:c r="AV271" s="60" t="n">
        <x:f>ROUND(AVERAGE(X271,AF271,AN271),1)</x:f>
        <x:v>78</x:v>
      </x:c>
      <x:c r="AW271" s="60" t="n">
        <x:f>ROUND(AVERAGE(Y271,AG271,AO271),1)</x:f>
        <x:v>78</x:v>
      </x:c>
      <x:c r="AX271" s="60" t="n">
        <x:f>ROUND(AVERAGE(Z271,AH271,AP271),1)</x:f>
        <x:v>79</x:v>
      </x:c>
      <x:c r="AY271" s="60" t="n">
        <x:f>ROUND(AVERAGE(AA271,AI271,AQ271),1)</x:f>
        <x:v>78</x:v>
      </x:c>
      <x:c r="AZ271" s="60" t="n">
        <x:f>ROUND(AVERAGE(AB271,AJ271,AR271),1)</x:f>
        <x:v>13.3</x:v>
      </x:c>
      <x:c r="BA271" s="59" t="n">
        <x:v>5</x:v>
      </x:c>
      <x:c r="BB271" s="60" t="n">
        <x:f>ROUND(0.30*AT271+0.20*AU271+0.25*AV271+0.15*AW271+0.10*AY271,2)</x:f>
        <x:v>78</x:v>
      </x:c>
      <x:c r="BC271" s="60" t="n">
        <x:f>ROUND(0.30*AX271+0.20*AV271+0.20*AU271+0.15*AY271+0.15*(100-AZ271),2)</x:f>
        <x:v>79.6</x:v>
      </x:c>
      <x:c r="BD271" s="60" t="n">
        <x:f>ROUND(AVERAGE(BB271,BC271),2)</x:f>
        <x:v>78.8</x:v>
      </x:c>
      <x:c r="BE271" s="60" t="n">
        <x:f>ROUND(BD271-U271,2)</x:f>
        <x:v>-0.02</x:v>
      </x:c>
      <x:c r="BF271" s="60" t="n">
        <x:f>ROUND(STDEV.P(AC271,AK271,AS271),3)</x:f>
        <x:v>0.014</x:v>
      </x:c>
      <x:c r="BG271" s="59" t="str"/>
      <x:c r="BH271" s="59" t="str">
        <x:v>30%评分池轻量复核</x:v>
      </x:c>
      <x:c r="BI271" s="40" t="str">
        <x:v>三轮复核后与原表基本一致</x:v>
      </x:c>
    </x:row>
    <x:row r="272" ht="30" customHeight="1">
      <x:c r="A272" s="59" t="n">
        <x:v>271</x:v>
      </x:c>
      <x:c r="B272" s="59" t="n">
        <x:v>271</x:v>
      </x:c>
      <x:c r="C272" s="59" t="str">
        <x:v>2026-06</x:v>
      </x:c>
      <x:c r="D272" s="59" t="n">
        <x:v>179</x:v>
      </x:c>
      <x:c r="E272" s="59" t="str">
        <x:v>2606.07295</x:v>
      </x:c>
      <x:c r="F272" s="40" t="str">
        <x:v>Kohler-Jobin inequality for p-Laplace operator</x:v>
      </x:c>
      <x:c r="G272" s="40" t="str">
        <x:v>Francesco Chiacchio; Vincenzo Ferone; Anna Mercaldo; Jing Wang</x:v>
      </x:c>
      <x:c r="H272" s="40" t="str">
        <x:v>inequalities/function spaces</x:v>
      </x:c>
      <x:c r="I272" s="59"/>
      <x:c r="J272" s="40" t="str">
        <x:v>https://arxiv.org/abs/2606.07295</x:v>
      </x:c>
      <x:c r="K272" s="60" t="n">
        <x:v>78</x:v>
      </x:c>
      <x:c r="L272" s="60" t="n">
        <x:v>78</x:v>
      </x:c>
      <x:c r="M272" s="60" t="n">
        <x:v>78</x:v>
      </x:c>
      <x:c r="N272" s="60" t="n">
        <x:v>78</x:v>
      </x:c>
      <x:c r="O272" s="60" t="n">
        <x:v>78</x:v>
      </x:c>
      <x:c r="P272" s="60" t="n">
        <x:v>79</x:v>
      </x:c>
      <x:c r="Q272" s="60" t="n">
        <x:v>13</x:v>
      </x:c>
      <x:c r="R272" s="59" t="n">
        <x:v>5</x:v>
      </x:c>
      <x:c r="S272" s="60" t="n">
        <x:v>78.10000000000001</x:v>
      </x:c>
      <x:c r="T272" s="60" t="n">
        <x:v>79.5</x:v>
      </x:c>
      <x:c r="U272" s="60" t="n">
        <x:v>78.80000000000001</x:v>
      </x:c>
      <x:c r="V272" s="60" t="n">
        <x:v>78</x:v>
      </x:c>
      <x:c r="W272" s="60" t="n">
        <x:v>78</x:v>
      </x:c>
      <x:c r="X272" s="60" t="n">
        <x:v>78</x:v>
      </x:c>
      <x:c r="Y272" s="60" t="n">
        <x:v>78</x:v>
      </x:c>
      <x:c r="Z272" s="60" t="n">
        <x:v>78</x:v>
      </x:c>
      <x:c r="AA272" s="60" t="n">
        <x:v>79</x:v>
      </x:c>
      <x:c r="AB272" s="60" t="n">
        <x:v>13</x:v>
      </x:c>
      <x:c r="AC272" s="60" t="n">
        <x:f>ROUND(((0.30*V272+0.20*W272+0.25*X272+0.15*Y272+0.10*AA272)+(0.30*Z272+0.20*X272+0.20*W272+0.15*AA272+0.15*(100-AB272)))/2,2)</x:f>
        <x:v>78.8</x:v>
      </x:c>
      <x:c r="AD272" s="60" t="n">
        <x:v>78</x:v>
      </x:c>
      <x:c r="AE272" s="60" t="n">
        <x:v>78</x:v>
      </x:c>
      <x:c r="AF272" s="60" t="n">
        <x:v>78</x:v>
      </x:c>
      <x:c r="AG272" s="60" t="n">
        <x:v>78</x:v>
      </x:c>
      <x:c r="AH272" s="60" t="n">
        <x:v>78</x:v>
      </x:c>
      <x:c r="AI272" s="60" t="n">
        <x:v>79</x:v>
      </x:c>
      <x:c r="AJ272" s="60" t="n">
        <x:v>13</x:v>
      </x:c>
      <x:c r="AK272" s="60" t="n">
        <x:f>ROUND(((0.30*AD272+0.20*AE272+0.25*AF272+0.15*AG272+0.10*AI272)+(0.30*AH272+0.20*AF272+0.20*AE272+0.15*AI272+0.15*(100-AJ272)))/2,2)</x:f>
        <x:v>78.8</x:v>
      </x:c>
      <x:c r="AL272" s="60" t="n">
        <x:v>78</x:v>
      </x:c>
      <x:c r="AM272" s="60" t="n">
        <x:v>78</x:v>
      </x:c>
      <x:c r="AN272" s="60" t="n">
        <x:v>78</x:v>
      </x:c>
      <x:c r="AO272" s="60" t="n">
        <x:v>78</x:v>
      </x:c>
      <x:c r="AP272" s="60" t="n">
        <x:v>78</x:v>
      </x:c>
      <x:c r="AQ272" s="60" t="n">
        <x:v>79</x:v>
      </x:c>
      <x:c r="AR272" s="60" t="n">
        <x:v>13</x:v>
      </x:c>
      <x:c r="AS272" s="60" t="n">
        <x:f>ROUND(((0.30*AL272+0.20*AM272+0.25*AN272+0.15*AO272+0.10*AQ272)+(0.30*AP272+0.20*AN272+0.20*AM272+0.15*AQ272+0.15*(100-AR272)))/2,2)</x:f>
        <x:v>78.8</x:v>
      </x:c>
      <x:c r="AT272" s="60" t="n">
        <x:f>ROUND(AVERAGE(V272,AD272,AL272),1)</x:f>
        <x:v>78</x:v>
      </x:c>
      <x:c r="AU272" s="60" t="n">
        <x:f>ROUND(AVERAGE(W272,AE272,AM272),1)</x:f>
        <x:v>78</x:v>
      </x:c>
      <x:c r="AV272" s="60" t="n">
        <x:f>ROUND(AVERAGE(X272,AF272,AN272),1)</x:f>
        <x:v>78</x:v>
      </x:c>
      <x:c r="AW272" s="60" t="n">
        <x:f>ROUND(AVERAGE(Y272,AG272,AO272),1)</x:f>
        <x:v>78</x:v>
      </x:c>
      <x:c r="AX272" s="60" t="n">
        <x:f>ROUND(AVERAGE(Z272,AH272,AP272),1)</x:f>
        <x:v>78</x:v>
      </x:c>
      <x:c r="AY272" s="60" t="n">
        <x:f>ROUND(AVERAGE(AA272,AI272,AQ272),1)</x:f>
        <x:v>79</x:v>
      </x:c>
      <x:c r="AZ272" s="60" t="n">
        <x:f>ROUND(AVERAGE(AB272,AJ272,AR272),1)</x:f>
        <x:v>13</x:v>
      </x:c>
      <x:c r="BA272" s="59" t="n">
        <x:v>5</x:v>
      </x:c>
      <x:c r="BB272" s="60" t="n">
        <x:f>ROUND(0.30*AT272+0.20*AU272+0.25*AV272+0.15*AW272+0.10*AY272,2)</x:f>
        <x:v>78.1</x:v>
      </x:c>
      <x:c r="BC272" s="60" t="n">
        <x:f>ROUND(0.30*AX272+0.20*AV272+0.20*AU272+0.15*AY272+0.15*(100-AZ272),2)</x:f>
        <x:v>79.5</x:v>
      </x:c>
      <x:c r="BD272" s="60" t="n">
        <x:f>ROUND(AVERAGE(BB272,BC272),2)</x:f>
        <x:v>78.8</x:v>
      </x:c>
      <x:c r="BE272" s="60" t="n">
        <x:f>ROUND(BD272-U272,2)</x:f>
        <x:v>0</x:v>
      </x:c>
      <x:c r="BF272" s="60" t="n">
        <x:f>ROUND(STDEV.P(AC272,AK272,AS272),3)</x:f>
        <x:v>0</x:v>
      </x:c>
      <x:c r="BG272" s="59" t="str"/>
      <x:c r="BH272" s="59" t="str">
        <x:v>30%评分池轻量复核</x:v>
      </x:c>
      <x:c r="BI272" s="40" t="str">
        <x:v>三轮复核后与原表基本一致</x:v>
      </x:c>
    </x:row>
    <x:row r="273" ht="30" customHeight="1">
      <x:c r="A273" s="59" t="n">
        <x:v>272</x:v>
      </x:c>
      <x:c r="B273" s="59" t="n">
        <x:v>272</x:v>
      </x:c>
      <x:c r="C273" s="59" t="str">
        <x:v>2026-06</x:v>
      </x:c>
      <x:c r="D273" s="59" t="n">
        <x:v>180</x:v>
      </x:c>
      <x:c r="E273" s="59" t="str">
        <x:v>2606.05879</x:v>
      </x:c>
      <x:c r="F273" s="40" t="str">
        <x:v>Convergence of a discrete-in-time Approximation to a Degenerate Parabolic-Hyperbolic System</x:v>
      </x:c>
      <x:c r="G273" s="40" t="str">
        <x:v>Julia Hauser; Hideki Murakawa; Markus Schmidtchen</x:v>
      </x:c>
      <x:c r="H273" s="40" t="str">
        <x:v>analysis/PDE</x:v>
      </x:c>
      <x:c r="I273" s="59"/>
      <x:c r="J273" s="40" t="str">
        <x:v>https://arxiv.org/abs/2606.05879</x:v>
      </x:c>
      <x:c r="K273" s="60" t="n">
        <x:v>78</x:v>
      </x:c>
      <x:c r="L273" s="60" t="n">
        <x:v>78</x:v>
      </x:c>
      <x:c r="M273" s="60" t="n">
        <x:v>78</x:v>
      </x:c>
      <x:c r="N273" s="60" t="n">
        <x:v>78</x:v>
      </x:c>
      <x:c r="O273" s="60" t="n">
        <x:v>79</x:v>
      </x:c>
      <x:c r="P273" s="60" t="n">
        <x:v>78</x:v>
      </x:c>
      <x:c r="Q273" s="60" t="n">
        <x:v>14</x:v>
      </x:c>
      <x:c r="R273" s="59" t="n">
        <x:v>5</x:v>
      </x:c>
      <x:c r="S273" s="60" t="n">
        <x:v>78</x:v>
      </x:c>
      <x:c r="T273" s="60" t="n">
        <x:v>79.5</x:v>
      </x:c>
      <x:c r="U273" s="60" t="n">
        <x:v>78.75</x:v>
      </x:c>
      <x:c r="V273" s="60" t="n">
        <x:v>78</x:v>
      </x:c>
      <x:c r="W273" s="60" t="n">
        <x:v>78</x:v>
      </x:c>
      <x:c r="X273" s="60" t="n">
        <x:v>78</x:v>
      </x:c>
      <x:c r="Y273" s="60" t="n">
        <x:v>78</x:v>
      </x:c>
      <x:c r="Z273" s="60" t="n">
        <x:v>79</x:v>
      </x:c>
      <x:c r="AA273" s="60" t="n">
        <x:v>78</x:v>
      </x:c>
      <x:c r="AB273" s="60" t="n">
        <x:v>14</x:v>
      </x:c>
      <x:c r="AC273" s="60" t="n">
        <x:f>ROUND(((0.30*V273+0.20*W273+0.25*X273+0.15*Y273+0.10*AA273)+(0.30*Z273+0.20*X273+0.20*W273+0.15*AA273+0.15*(100-AB273)))/2,2)</x:f>
        <x:v>78.75</x:v>
      </x:c>
      <x:c r="AD273" s="60" t="n">
        <x:v>78</x:v>
      </x:c>
      <x:c r="AE273" s="60" t="n">
        <x:v>78</x:v>
      </x:c>
      <x:c r="AF273" s="60" t="n">
        <x:v>78</x:v>
      </x:c>
      <x:c r="AG273" s="60" t="n">
        <x:v>78</x:v>
      </x:c>
      <x:c r="AH273" s="60" t="n">
        <x:v>79</x:v>
      </x:c>
      <x:c r="AI273" s="60" t="n">
        <x:v>78</x:v>
      </x:c>
      <x:c r="AJ273" s="60" t="n">
        <x:v>14</x:v>
      </x:c>
      <x:c r="AK273" s="60" t="n">
        <x:f>ROUND(((0.30*AD273+0.20*AE273+0.25*AF273+0.15*AG273+0.10*AI273)+(0.30*AH273+0.20*AF273+0.20*AE273+0.15*AI273+0.15*(100-AJ273)))/2,2)</x:f>
        <x:v>78.75</x:v>
      </x:c>
      <x:c r="AL273" s="60" t="n">
        <x:v>78</x:v>
      </x:c>
      <x:c r="AM273" s="60" t="n">
        <x:v>78</x:v>
      </x:c>
      <x:c r="AN273" s="60" t="n">
        <x:v>78</x:v>
      </x:c>
      <x:c r="AO273" s="60" t="n">
        <x:v>78</x:v>
      </x:c>
      <x:c r="AP273" s="60" t="n">
        <x:v>79</x:v>
      </x:c>
      <x:c r="AQ273" s="60" t="n">
        <x:v>78</x:v>
      </x:c>
      <x:c r="AR273" s="60" t="n">
        <x:v>14</x:v>
      </x:c>
      <x:c r="AS273" s="60" t="n">
        <x:f>ROUND(((0.30*AL273+0.20*AM273+0.25*AN273+0.15*AO273+0.10*AQ273)+(0.30*AP273+0.20*AN273+0.20*AM273+0.15*AQ273+0.15*(100-AR273)))/2,2)</x:f>
        <x:v>78.75</x:v>
      </x:c>
      <x:c r="AT273" s="60" t="n">
        <x:f>ROUND(AVERAGE(V273,AD273,AL273),1)</x:f>
        <x:v>78</x:v>
      </x:c>
      <x:c r="AU273" s="60" t="n">
        <x:f>ROUND(AVERAGE(W273,AE273,AM273),1)</x:f>
        <x:v>78</x:v>
      </x:c>
      <x:c r="AV273" s="60" t="n">
        <x:f>ROUND(AVERAGE(X273,AF273,AN273),1)</x:f>
        <x:v>78</x:v>
      </x:c>
      <x:c r="AW273" s="60" t="n">
        <x:f>ROUND(AVERAGE(Y273,AG273,AO273),1)</x:f>
        <x:v>78</x:v>
      </x:c>
      <x:c r="AX273" s="60" t="n">
        <x:f>ROUND(AVERAGE(Z273,AH273,AP273),1)</x:f>
        <x:v>79</x:v>
      </x:c>
      <x:c r="AY273" s="60" t="n">
        <x:f>ROUND(AVERAGE(AA273,AI273,AQ273),1)</x:f>
        <x:v>78</x:v>
      </x:c>
      <x:c r="AZ273" s="60" t="n">
        <x:f>ROUND(AVERAGE(AB273,AJ273,AR273),1)</x:f>
        <x:v>14</x:v>
      </x:c>
      <x:c r="BA273" s="59" t="n">
        <x:v>5</x:v>
      </x:c>
      <x:c r="BB273" s="60" t="n">
        <x:f>ROUND(0.30*AT273+0.20*AU273+0.25*AV273+0.15*AW273+0.10*AY273,2)</x:f>
        <x:v>78</x:v>
      </x:c>
      <x:c r="BC273" s="60" t="n">
        <x:f>ROUND(0.30*AX273+0.20*AV273+0.20*AU273+0.15*AY273+0.15*(100-AZ273),2)</x:f>
        <x:v>79.5</x:v>
      </x:c>
      <x:c r="BD273" s="60" t="n">
        <x:f>ROUND(AVERAGE(BB273,BC273),2)</x:f>
        <x:v>78.75</x:v>
      </x:c>
      <x:c r="BE273" s="60" t="n">
        <x:f>ROUND(BD273-U273,2)</x:f>
        <x:v>0</x:v>
      </x:c>
      <x:c r="BF273" s="60" t="n">
        <x:f>ROUND(STDEV.P(AC273,AK273,AS273),3)</x:f>
        <x:v>0</x:v>
      </x:c>
      <x:c r="BG273" s="59" t="str"/>
      <x:c r="BH273" s="59" t="str">
        <x:v>30%评分池轻量复核</x:v>
      </x:c>
      <x:c r="BI273" s="40" t="str">
        <x:v>三轮复核后与原表基本一致</x:v>
      </x:c>
    </x:row>
    <x:row r="274" ht="30" customHeight="1">
      <x:c r="A274" s="59" t="n">
        <x:v>273</x:v>
      </x:c>
      <x:c r="B274" s="59" t="n">
        <x:v>273</x:v>
      </x:c>
      <x:c r="C274" s="59" t="str">
        <x:v>2026-06</x:v>
      </x:c>
      <x:c r="D274" s="59" t="n">
        <x:v>181</x:v>
      </x:c>
      <x:c r="E274" s="59" t="str">
        <x:v>2606.30279</x:v>
      </x:c>
      <x:c r="F274" s="40" t="str">
        <x:v>Blow-up for weakly superlinear heat equations and blow-up controllability of the linear heat equation</x:v>
      </x:c>
      <x:c r="G274" s="40" t="str">
        <x:v>Kevin Le Balc'h; Philippe Souplet</x:v>
      </x:c>
      <x:c r="H274" s="40" t="str">
        <x:v>analysis/PDE</x:v>
      </x:c>
      <x:c r="I274" s="59"/>
      <x:c r="J274" s="40" t="str">
        <x:v>https://arxiv.org/abs/2606.30279</x:v>
      </x:c>
      <x:c r="K274" s="60" t="n">
        <x:v>78</x:v>
      </x:c>
      <x:c r="L274" s="60" t="n">
        <x:v>78</x:v>
      </x:c>
      <x:c r="M274" s="60" t="n">
        <x:v>78</x:v>
      </x:c>
      <x:c r="N274" s="60" t="n">
        <x:v>77</x:v>
      </x:c>
      <x:c r="O274" s="60" t="n">
        <x:v>79</x:v>
      </x:c>
      <x:c r="P274" s="60" t="n">
        <x:v>78</x:v>
      </x:c>
      <x:c r="Q274" s="60" t="n">
        <x:v>13</x:v>
      </x:c>
      <x:c r="R274" s="59" t="n">
        <x:v>5</x:v>
      </x:c>
      <x:c r="S274" s="60" t="n">
        <x:v>77.85</x:v>
      </x:c>
      <x:c r="T274" s="60" t="n">
        <x:v>79.64999999999999</x:v>
      </x:c>
      <x:c r="U274" s="60" t="n">
        <x:v>78.75</x:v>
      </x:c>
      <x:c r="V274" s="60" t="n">
        <x:v>78</x:v>
      </x:c>
      <x:c r="W274" s="60" t="n">
        <x:v>78</x:v>
      </x:c>
      <x:c r="X274" s="60" t="n">
        <x:v>78</x:v>
      </x:c>
      <x:c r="Y274" s="60" t="n">
        <x:v>77</x:v>
      </x:c>
      <x:c r="Z274" s="60" t="n">
        <x:v>79</x:v>
      </x:c>
      <x:c r="AA274" s="60" t="n">
        <x:v>78</x:v>
      </x:c>
      <x:c r="AB274" s="60" t="n">
        <x:v>13</x:v>
      </x:c>
      <x:c r="AC274" s="60" t="n">
        <x:f>ROUND(((0.30*V274+0.20*W274+0.25*X274+0.15*Y274+0.10*AA274)+(0.30*Z274+0.20*X274+0.20*W274+0.15*AA274+0.15*(100-AB274)))/2,2)</x:f>
        <x:v>78.75</x:v>
      </x:c>
      <x:c r="AD274" s="60" t="n">
        <x:v>78</x:v>
      </x:c>
      <x:c r="AE274" s="60" t="n">
        <x:v>78</x:v>
      </x:c>
      <x:c r="AF274" s="60" t="n">
        <x:v>78</x:v>
      </x:c>
      <x:c r="AG274" s="60" t="n">
        <x:v>77</x:v>
      </x:c>
      <x:c r="AH274" s="60" t="n">
        <x:v>79</x:v>
      </x:c>
      <x:c r="AI274" s="60" t="n">
        <x:v>78</x:v>
      </x:c>
      <x:c r="AJ274" s="60" t="n">
        <x:v>13</x:v>
      </x:c>
      <x:c r="AK274" s="60" t="n">
        <x:f>ROUND(((0.30*AD274+0.20*AE274+0.25*AF274+0.15*AG274+0.10*AI274)+(0.30*AH274+0.20*AF274+0.20*AE274+0.15*AI274+0.15*(100-AJ274)))/2,2)</x:f>
        <x:v>78.75</x:v>
      </x:c>
      <x:c r="AL274" s="60" t="n">
        <x:v>78</x:v>
      </x:c>
      <x:c r="AM274" s="60" t="n">
        <x:v>78</x:v>
      </x:c>
      <x:c r="AN274" s="60" t="n">
        <x:v>78</x:v>
      </x:c>
      <x:c r="AO274" s="60" t="n">
        <x:v>77</x:v>
      </x:c>
      <x:c r="AP274" s="60" t="n">
        <x:v>79</x:v>
      </x:c>
      <x:c r="AQ274" s="60" t="n">
        <x:v>78</x:v>
      </x:c>
      <x:c r="AR274" s="60" t="n">
        <x:v>13</x:v>
      </x:c>
      <x:c r="AS274" s="60" t="n">
        <x:f>ROUND(((0.30*AL274+0.20*AM274+0.25*AN274+0.15*AO274+0.10*AQ274)+(0.30*AP274+0.20*AN274+0.20*AM274+0.15*AQ274+0.15*(100-AR274)))/2,2)</x:f>
        <x:v>78.75</x:v>
      </x:c>
      <x:c r="AT274" s="60" t="n">
        <x:f>ROUND(AVERAGE(V274,AD274,AL274),1)</x:f>
        <x:v>78</x:v>
      </x:c>
      <x:c r="AU274" s="60" t="n">
        <x:f>ROUND(AVERAGE(W274,AE274,AM274),1)</x:f>
        <x:v>78</x:v>
      </x:c>
      <x:c r="AV274" s="60" t="n">
        <x:f>ROUND(AVERAGE(X274,AF274,AN274),1)</x:f>
        <x:v>78</x:v>
      </x:c>
      <x:c r="AW274" s="60" t="n">
        <x:f>ROUND(AVERAGE(Y274,AG274,AO274),1)</x:f>
        <x:v>77</x:v>
      </x:c>
      <x:c r="AX274" s="60" t="n">
        <x:f>ROUND(AVERAGE(Z274,AH274,AP274),1)</x:f>
        <x:v>79</x:v>
      </x:c>
      <x:c r="AY274" s="60" t="n">
        <x:f>ROUND(AVERAGE(AA274,AI274,AQ274),1)</x:f>
        <x:v>78</x:v>
      </x:c>
      <x:c r="AZ274" s="60" t="n">
        <x:f>ROUND(AVERAGE(AB274,AJ274,AR274),1)</x:f>
        <x:v>13</x:v>
      </x:c>
      <x:c r="BA274" s="59" t="n">
        <x:v>5</x:v>
      </x:c>
      <x:c r="BB274" s="60" t="n">
        <x:f>ROUND(0.30*AT274+0.20*AU274+0.25*AV274+0.15*AW274+0.10*AY274,2)</x:f>
        <x:v>77.85</x:v>
      </x:c>
      <x:c r="BC274" s="60" t="n">
        <x:f>ROUND(0.30*AX274+0.20*AV274+0.20*AU274+0.15*AY274+0.15*(100-AZ274),2)</x:f>
        <x:v>79.65</x:v>
      </x:c>
      <x:c r="BD274" s="60" t="n">
        <x:f>ROUND(AVERAGE(BB274,BC274),2)</x:f>
        <x:v>78.75</x:v>
      </x:c>
      <x:c r="BE274" s="60" t="n">
        <x:f>ROUND(BD274-U274,2)</x:f>
        <x:v>0</x:v>
      </x:c>
      <x:c r="BF274" s="60" t="n">
        <x:f>ROUND(STDEV.P(AC274,AK274,AS274),3)</x:f>
        <x:v>0</x:v>
      </x:c>
      <x:c r="BG274" s="59" t="str"/>
      <x:c r="BH274" s="59" t="str">
        <x:v>30%评分池轻量复核</x:v>
      </x:c>
      <x:c r="BI274" s="40" t="str">
        <x:v>三轮复核后与原表基本一致</x:v>
      </x:c>
    </x:row>
    <x:row r="275" ht="30" customHeight="1">
      <x:c r="A275" s="59" t="n">
        <x:v>274</x:v>
      </x:c>
      <x:c r="B275" s="59" t="n">
        <x:v>278</x:v>
      </x:c>
      <x:c r="C275" s="59" t="str">
        <x:v>2026-06</x:v>
      </x:c>
      <x:c r="D275" s="59" t="n">
        <x:v>182</x:v>
      </x:c>
      <x:c r="E275" s="59" t="str">
        <x:v>2606.11892</x:v>
      </x:c>
      <x:c r="F275" s="40" t="str">
        <x:v>Mean-field imitation dynamics on fast assortative networks</x:v>
      </x:c>
      <x:c r="G275" s="40" t="str">
        <x:v>Benedict Russell; Andrew Nugent; Jacques Bara</x:v>
      </x:c>
      <x:c r="H275" s="40" t="str">
        <x:v>analysis/PDE</x:v>
      </x:c>
      <x:c r="I275" s="59"/>
      <x:c r="J275" s="40" t="str">
        <x:v>https://arxiv.org/abs/2606.11892</x:v>
      </x:c>
      <x:c r="K275" s="60" t="n">
        <x:v>78</x:v>
      </x:c>
      <x:c r="L275" s="60" t="n">
        <x:v>78</x:v>
      </x:c>
      <x:c r="M275" s="60" t="n">
        <x:v>78</x:v>
      </x:c>
      <x:c r="N275" s="60" t="n">
        <x:v>77</x:v>
      </x:c>
      <x:c r="O275" s="60" t="n">
        <x:v>78</x:v>
      </x:c>
      <x:c r="P275" s="60" t="n">
        <x:v>78</x:v>
      </x:c>
      <x:c r="Q275" s="60" t="n">
        <x:v>13</x:v>
      </x:c>
      <x:c r="R275" s="59" t="n">
        <x:v>5</x:v>
      </x:c>
      <x:c r="S275" s="60" t="n">
        <x:v>77.85</x:v>
      </x:c>
      <x:c r="T275" s="60" t="n">
        <x:v>79.35</x:v>
      </x:c>
      <x:c r="U275" s="60" t="n">
        <x:v>78.6</x:v>
      </x:c>
      <x:c r="V275" s="60" t="n">
        <x:v>78.1</x:v>
      </x:c>
      <x:c r="W275" s="60" t="n">
        <x:v>78</x:v>
      </x:c>
      <x:c r="X275" s="60" t="n">
        <x:v>78.1</x:v>
      </x:c>
      <x:c r="Y275" s="60" t="n">
        <x:v>77</x:v>
      </x:c>
      <x:c r="Z275" s="60" t="n">
        <x:v>78.1</x:v>
      </x:c>
      <x:c r="AA275" s="60" t="n">
        <x:v>78</x:v>
      </x:c>
      <x:c r="AB275" s="60" t="n">
        <x:v>13</x:v>
      </x:c>
      <x:c r="AC275" s="60" t="n">
        <x:f>ROUND(((0.30*V275+0.20*W275+0.25*X275+0.15*Y275+0.10*AA275)+(0.30*Z275+0.20*X275+0.20*W275+0.15*AA275+0.15*(100-AB275)))/2,2)</x:f>
        <x:v>78.65</x:v>
      </x:c>
      <x:c r="AD275" s="60" t="n">
        <x:v>78</x:v>
      </x:c>
      <x:c r="AE275" s="60" t="n">
        <x:v>78</x:v>
      </x:c>
      <x:c r="AF275" s="60" t="n">
        <x:v>78</x:v>
      </x:c>
      <x:c r="AG275" s="60" t="n">
        <x:v>77</x:v>
      </x:c>
      <x:c r="AH275" s="60" t="n">
        <x:v>78</x:v>
      </x:c>
      <x:c r="AI275" s="60" t="n">
        <x:v>78</x:v>
      </x:c>
      <x:c r="AJ275" s="60" t="n">
        <x:v>13</x:v>
      </x:c>
      <x:c r="AK275" s="60" t="n">
        <x:f>ROUND(((0.30*AD275+0.20*AE275+0.25*AF275+0.15*AG275+0.10*AI275)+(0.30*AH275+0.20*AF275+0.20*AE275+0.15*AI275+0.15*(100-AJ275)))/2,2)</x:f>
        <x:v>78.6</x:v>
      </x:c>
      <x:c r="AL275" s="60" t="n">
        <x:v>78</x:v>
      </x:c>
      <x:c r="AM275" s="60" t="n">
        <x:v>78</x:v>
      </x:c>
      <x:c r="AN275" s="60" t="n">
        <x:v>78.1</x:v>
      </x:c>
      <x:c r="AO275" s="60" t="n">
        <x:v>77</x:v>
      </x:c>
      <x:c r="AP275" s="60" t="n">
        <x:v>78</x:v>
      </x:c>
      <x:c r="AQ275" s="60" t="n">
        <x:v>78</x:v>
      </x:c>
      <x:c r="AR275" s="60" t="n">
        <x:v>13</x:v>
      </x:c>
      <x:c r="AS275" s="60" t="n">
        <x:f>ROUND(((0.30*AL275+0.20*AM275+0.25*AN275+0.15*AO275+0.10*AQ275)+(0.30*AP275+0.20*AN275+0.20*AM275+0.15*AQ275+0.15*(100-AR275)))/2,2)</x:f>
        <x:v>78.62</x:v>
      </x:c>
      <x:c r="AT275" s="60" t="n">
        <x:f>ROUND(AVERAGE(V275,AD275,AL275),1)</x:f>
        <x:v>78</x:v>
      </x:c>
      <x:c r="AU275" s="60" t="n">
        <x:f>ROUND(AVERAGE(W275,AE275,AM275),1)</x:f>
        <x:v>78</x:v>
      </x:c>
      <x:c r="AV275" s="60" t="n">
        <x:f>ROUND(AVERAGE(X275,AF275,AN275),1)</x:f>
        <x:v>78.1</x:v>
      </x:c>
      <x:c r="AW275" s="60" t="n">
        <x:f>ROUND(AVERAGE(Y275,AG275,AO275),1)</x:f>
        <x:v>77</x:v>
      </x:c>
      <x:c r="AX275" s="60" t="n">
        <x:f>ROUND(AVERAGE(Z275,AH275,AP275),1)</x:f>
        <x:v>78</x:v>
      </x:c>
      <x:c r="AY275" s="60" t="n">
        <x:f>ROUND(AVERAGE(AA275,AI275,AQ275),1)</x:f>
        <x:v>78</x:v>
      </x:c>
      <x:c r="AZ275" s="60" t="n">
        <x:f>ROUND(AVERAGE(AB275,AJ275,AR275),1)</x:f>
        <x:v>13</x:v>
      </x:c>
      <x:c r="BA275" s="59" t="n">
        <x:v>5</x:v>
      </x:c>
      <x:c r="BB275" s="60" t="n">
        <x:f>ROUND(0.30*AT275+0.20*AU275+0.25*AV275+0.15*AW275+0.10*AY275,2)</x:f>
        <x:v>77.88</x:v>
      </x:c>
      <x:c r="BC275" s="60" t="n">
        <x:f>ROUND(0.30*AX275+0.20*AV275+0.20*AU275+0.15*AY275+0.15*(100-AZ275),2)</x:f>
        <x:v>79.37</x:v>
      </x:c>
      <x:c r="BD275" s="60" t="n">
        <x:f>ROUND(AVERAGE(BB275,BC275),2)</x:f>
        <x:v>78.63</x:v>
      </x:c>
      <x:c r="BE275" s="60" t="n">
        <x:f>ROUND(BD275-U275,2)</x:f>
        <x:v>0.03</x:v>
      </x:c>
      <x:c r="BF275" s="60" t="n">
        <x:f>ROUND(STDEV.P(AC275,AK275,AS275),3)</x:f>
        <x:v>0.021</x:v>
      </x:c>
      <x:c r="BG275" s="59" t="str"/>
      <x:c r="BH275" s="59" t="str">
        <x:v>30%评分池轻量复核</x:v>
      </x:c>
      <x:c r="BI275" s="40" t="str">
        <x:v>三轮复核后与原表基本一致</x:v>
      </x:c>
    </x:row>
    <x:row r="276" ht="30" customHeight="1">
      <x:c r="A276" s="59" t="n">
        <x:v>275</x:v>
      </x:c>
      <x:c r="B276" s="59" t="n">
        <x:v>274</x:v>
      </x:c>
      <x:c r="C276" s="59" t="str">
        <x:v>2026-06</x:v>
      </x:c>
      <x:c r="D276" s="59" t="n">
        <x:v>182</x:v>
      </x:c>
      <x:c r="E276" s="59" t="str">
        <x:v>2606.12227</x:v>
      </x:c>
      <x:c r="F276" s="40" t="str">
        <x:v>Stability of critical constant steady state of a Keller-Segel model</x:v>
      </x:c>
      <x:c r="G276" s="40" t="str">
        <x:v>Nobuhito Miyake; Hiroshi Wakui; Tetsuya Yamada</x:v>
      </x:c>
      <x:c r="H276" s="40" t="str">
        <x:v>analysis/PDE</x:v>
      </x:c>
      <x:c r="I276" s="59"/>
      <x:c r="J276" s="40" t="str">
        <x:v>https://arxiv.org/abs/2606.12227</x:v>
      </x:c>
      <x:c r="K276" s="60" t="n">
        <x:v>78</x:v>
      </x:c>
      <x:c r="L276" s="60" t="n">
        <x:v>78</x:v>
      </x:c>
      <x:c r="M276" s="60" t="n">
        <x:v>78</x:v>
      </x:c>
      <x:c r="N276" s="60" t="n">
        <x:v>77</x:v>
      </x:c>
      <x:c r="O276" s="60" t="n">
        <x:v>78</x:v>
      </x:c>
      <x:c r="P276" s="60" t="n">
        <x:v>78</x:v>
      </x:c>
      <x:c r="Q276" s="60" t="n">
        <x:v>13</x:v>
      </x:c>
      <x:c r="R276" s="59" t="n">
        <x:v>5</x:v>
      </x:c>
      <x:c r="S276" s="60" t="n">
        <x:v>77.85</x:v>
      </x:c>
      <x:c r="T276" s="60" t="n">
        <x:v>79.35</x:v>
      </x:c>
      <x:c r="U276" s="60" t="n">
        <x:v>78.6</x:v>
      </x:c>
      <x:c r="V276" s="60" t="n">
        <x:v>78</x:v>
      </x:c>
      <x:c r="W276" s="60" t="n">
        <x:v>78</x:v>
      </x:c>
      <x:c r="X276" s="60" t="n">
        <x:v>78</x:v>
      </x:c>
      <x:c r="Y276" s="60" t="n">
        <x:v>77</x:v>
      </x:c>
      <x:c r="Z276" s="60" t="n">
        <x:v>78</x:v>
      </x:c>
      <x:c r="AA276" s="60" t="n">
        <x:v>78</x:v>
      </x:c>
      <x:c r="AB276" s="60" t="n">
        <x:v>13</x:v>
      </x:c>
      <x:c r="AC276" s="60" t="n">
        <x:f>ROUND(((0.30*V276+0.20*W276+0.25*X276+0.15*Y276+0.10*AA276)+(0.30*Z276+0.20*X276+0.20*W276+0.15*AA276+0.15*(100-AB276)))/2,2)</x:f>
        <x:v>78.6</x:v>
      </x:c>
      <x:c r="AD276" s="60" t="n">
        <x:v>78</x:v>
      </x:c>
      <x:c r="AE276" s="60" t="n">
        <x:v>78</x:v>
      </x:c>
      <x:c r="AF276" s="60" t="n">
        <x:v>78</x:v>
      </x:c>
      <x:c r="AG276" s="60" t="n">
        <x:v>77</x:v>
      </x:c>
      <x:c r="AH276" s="60" t="n">
        <x:v>78</x:v>
      </x:c>
      <x:c r="AI276" s="60" t="n">
        <x:v>78</x:v>
      </x:c>
      <x:c r="AJ276" s="60" t="n">
        <x:v>13</x:v>
      </x:c>
      <x:c r="AK276" s="60" t="n">
        <x:f>ROUND(((0.30*AD276+0.20*AE276+0.25*AF276+0.15*AG276+0.10*AI276)+(0.30*AH276+0.20*AF276+0.20*AE276+0.15*AI276+0.15*(100-AJ276)))/2,2)</x:f>
        <x:v>78.6</x:v>
      </x:c>
      <x:c r="AL276" s="60" t="n">
        <x:v>78</x:v>
      </x:c>
      <x:c r="AM276" s="60" t="n">
        <x:v>78</x:v>
      </x:c>
      <x:c r="AN276" s="60" t="n">
        <x:v>78</x:v>
      </x:c>
      <x:c r="AO276" s="60" t="n">
        <x:v>77</x:v>
      </x:c>
      <x:c r="AP276" s="60" t="n">
        <x:v>78</x:v>
      </x:c>
      <x:c r="AQ276" s="60" t="n">
        <x:v>78</x:v>
      </x:c>
      <x:c r="AR276" s="60" t="n">
        <x:v>13</x:v>
      </x:c>
      <x:c r="AS276" s="60" t="n">
        <x:f>ROUND(((0.30*AL276+0.20*AM276+0.25*AN276+0.15*AO276+0.10*AQ276)+(0.30*AP276+0.20*AN276+0.20*AM276+0.15*AQ276+0.15*(100-AR276)))/2,2)</x:f>
        <x:v>78.6</x:v>
      </x:c>
      <x:c r="AT276" s="60" t="n">
        <x:f>ROUND(AVERAGE(V276,AD276,AL276),1)</x:f>
        <x:v>78</x:v>
      </x:c>
      <x:c r="AU276" s="60" t="n">
        <x:f>ROUND(AVERAGE(W276,AE276,AM276),1)</x:f>
        <x:v>78</x:v>
      </x:c>
      <x:c r="AV276" s="60" t="n">
        <x:f>ROUND(AVERAGE(X276,AF276,AN276),1)</x:f>
        <x:v>78</x:v>
      </x:c>
      <x:c r="AW276" s="60" t="n">
        <x:f>ROUND(AVERAGE(Y276,AG276,AO276),1)</x:f>
        <x:v>77</x:v>
      </x:c>
      <x:c r="AX276" s="60" t="n">
        <x:f>ROUND(AVERAGE(Z276,AH276,AP276),1)</x:f>
        <x:v>78</x:v>
      </x:c>
      <x:c r="AY276" s="60" t="n">
        <x:f>ROUND(AVERAGE(AA276,AI276,AQ276),1)</x:f>
        <x:v>78</x:v>
      </x:c>
      <x:c r="AZ276" s="60" t="n">
        <x:f>ROUND(AVERAGE(AB276,AJ276,AR276),1)</x:f>
        <x:v>13</x:v>
      </x:c>
      <x:c r="BA276" s="59" t="n">
        <x:v>5</x:v>
      </x:c>
      <x:c r="BB276" s="60" t="n">
        <x:f>ROUND(0.30*AT276+0.20*AU276+0.25*AV276+0.15*AW276+0.10*AY276,2)</x:f>
        <x:v>77.85</x:v>
      </x:c>
      <x:c r="BC276" s="60" t="n">
        <x:f>ROUND(0.30*AX276+0.20*AV276+0.20*AU276+0.15*AY276+0.15*(100-AZ276),2)</x:f>
        <x:v>79.35</x:v>
      </x:c>
      <x:c r="BD276" s="60" t="n">
        <x:f>ROUND(AVERAGE(BB276,BC276),2)</x:f>
        <x:v>78.6</x:v>
      </x:c>
      <x:c r="BE276" s="60" t="n">
        <x:f>ROUND(BD276-U276,2)</x:f>
        <x:v>0</x:v>
      </x:c>
      <x:c r="BF276" s="60" t="n">
        <x:f>ROUND(STDEV.P(AC276,AK276,AS276),3)</x:f>
        <x:v>0</x:v>
      </x:c>
      <x:c r="BG276" s="59" t="str"/>
      <x:c r="BH276" s="59" t="str">
        <x:v>30%评分池轻量复核</x:v>
      </x:c>
      <x:c r="BI276" s="40" t="str">
        <x:v>三轮复核后与原表基本一致</x:v>
      </x:c>
    </x:row>
    <x:row r="277" ht="30" customHeight="1">
      <x:c r="A277" s="59" t="n">
        <x:v>276</x:v>
      </x:c>
      <x:c r="B277" s="59" t="n">
        <x:v>275</x:v>
      </x:c>
      <x:c r="C277" s="59" t="str">
        <x:v>2026-06</x:v>
      </x:c>
      <x:c r="D277" s="59" t="n">
        <x:v>182</x:v>
      </x:c>
      <x:c r="E277" s="59" t="str">
        <x:v>2606.12183</x:v>
      </x:c>
      <x:c r="F277" s="40" t="str">
        <x:v>On almost sure growth of Holder norms for 1d periodic fractional BBM equation</x:v>
      </x:c>
      <x:c r="G277" s="40" t="str">
        <x:v>Pablo Merino</x:v>
      </x:c>
      <x:c r="H277" s="40" t="str">
        <x:v>analysis/PDE</x:v>
      </x:c>
      <x:c r="I277" s="59"/>
      <x:c r="J277" s="40" t="str">
        <x:v>https://arxiv.org/abs/2606.12183</x:v>
      </x:c>
      <x:c r="K277" s="60" t="n">
        <x:v>78</x:v>
      </x:c>
      <x:c r="L277" s="60" t="n">
        <x:v>78</x:v>
      </x:c>
      <x:c r="M277" s="60" t="n">
        <x:v>78</x:v>
      </x:c>
      <x:c r="N277" s="60" t="n">
        <x:v>77</x:v>
      </x:c>
      <x:c r="O277" s="60" t="n">
        <x:v>78</x:v>
      </x:c>
      <x:c r="P277" s="60" t="n">
        <x:v>78</x:v>
      </x:c>
      <x:c r="Q277" s="60" t="n">
        <x:v>13</x:v>
      </x:c>
      <x:c r="R277" s="59" t="n">
        <x:v>5</x:v>
      </x:c>
      <x:c r="S277" s="60" t="n">
        <x:v>77.85</x:v>
      </x:c>
      <x:c r="T277" s="60" t="n">
        <x:v>79.35</x:v>
      </x:c>
      <x:c r="U277" s="60" t="n">
        <x:v>78.6</x:v>
      </x:c>
      <x:c r="V277" s="60" t="n">
        <x:v>78</x:v>
      </x:c>
      <x:c r="W277" s="60" t="n">
        <x:v>78</x:v>
      </x:c>
      <x:c r="X277" s="60" t="n">
        <x:v>78</x:v>
      </x:c>
      <x:c r="Y277" s="60" t="n">
        <x:v>77</x:v>
      </x:c>
      <x:c r="Z277" s="60" t="n">
        <x:v>78</x:v>
      </x:c>
      <x:c r="AA277" s="60" t="n">
        <x:v>78</x:v>
      </x:c>
      <x:c r="AB277" s="60" t="n">
        <x:v>13</x:v>
      </x:c>
      <x:c r="AC277" s="60" t="n">
        <x:f>ROUND(((0.30*V277+0.20*W277+0.25*X277+0.15*Y277+0.10*AA277)+(0.30*Z277+0.20*X277+0.20*W277+0.15*AA277+0.15*(100-AB277)))/2,2)</x:f>
        <x:v>78.6</x:v>
      </x:c>
      <x:c r="AD277" s="60" t="n">
        <x:v>78</x:v>
      </x:c>
      <x:c r="AE277" s="60" t="n">
        <x:v>78</x:v>
      </x:c>
      <x:c r="AF277" s="60" t="n">
        <x:v>78</x:v>
      </x:c>
      <x:c r="AG277" s="60" t="n">
        <x:v>77</x:v>
      </x:c>
      <x:c r="AH277" s="60" t="n">
        <x:v>78</x:v>
      </x:c>
      <x:c r="AI277" s="60" t="n">
        <x:v>78</x:v>
      </x:c>
      <x:c r="AJ277" s="60" t="n">
        <x:v>13</x:v>
      </x:c>
      <x:c r="AK277" s="60" t="n">
        <x:f>ROUND(((0.30*AD277+0.20*AE277+0.25*AF277+0.15*AG277+0.10*AI277)+(0.30*AH277+0.20*AF277+0.20*AE277+0.15*AI277+0.15*(100-AJ277)))/2,2)</x:f>
        <x:v>78.6</x:v>
      </x:c>
      <x:c r="AL277" s="60" t="n">
        <x:v>78</x:v>
      </x:c>
      <x:c r="AM277" s="60" t="n">
        <x:v>78</x:v>
      </x:c>
      <x:c r="AN277" s="60" t="n">
        <x:v>78</x:v>
      </x:c>
      <x:c r="AO277" s="60" t="n">
        <x:v>77</x:v>
      </x:c>
      <x:c r="AP277" s="60" t="n">
        <x:v>78</x:v>
      </x:c>
      <x:c r="AQ277" s="60" t="n">
        <x:v>78</x:v>
      </x:c>
      <x:c r="AR277" s="60" t="n">
        <x:v>13</x:v>
      </x:c>
      <x:c r="AS277" s="60" t="n">
        <x:f>ROUND(((0.30*AL277+0.20*AM277+0.25*AN277+0.15*AO277+0.10*AQ277)+(0.30*AP277+0.20*AN277+0.20*AM277+0.15*AQ277+0.15*(100-AR277)))/2,2)</x:f>
        <x:v>78.6</x:v>
      </x:c>
      <x:c r="AT277" s="60" t="n">
        <x:f>ROUND(AVERAGE(V277,AD277,AL277),1)</x:f>
        <x:v>78</x:v>
      </x:c>
      <x:c r="AU277" s="60" t="n">
        <x:f>ROUND(AVERAGE(W277,AE277,AM277),1)</x:f>
        <x:v>78</x:v>
      </x:c>
      <x:c r="AV277" s="60" t="n">
        <x:f>ROUND(AVERAGE(X277,AF277,AN277),1)</x:f>
        <x:v>78</x:v>
      </x:c>
      <x:c r="AW277" s="60" t="n">
        <x:f>ROUND(AVERAGE(Y277,AG277,AO277),1)</x:f>
        <x:v>77</x:v>
      </x:c>
      <x:c r="AX277" s="60" t="n">
        <x:f>ROUND(AVERAGE(Z277,AH277,AP277),1)</x:f>
        <x:v>78</x:v>
      </x:c>
      <x:c r="AY277" s="60" t="n">
        <x:f>ROUND(AVERAGE(AA277,AI277,AQ277),1)</x:f>
        <x:v>78</x:v>
      </x:c>
      <x:c r="AZ277" s="60" t="n">
        <x:f>ROUND(AVERAGE(AB277,AJ277,AR277),1)</x:f>
        <x:v>13</x:v>
      </x:c>
      <x:c r="BA277" s="59" t="n">
        <x:v>5</x:v>
      </x:c>
      <x:c r="BB277" s="60" t="n">
        <x:f>ROUND(0.30*AT277+0.20*AU277+0.25*AV277+0.15*AW277+0.10*AY277,2)</x:f>
        <x:v>77.85</x:v>
      </x:c>
      <x:c r="BC277" s="60" t="n">
        <x:f>ROUND(0.30*AX277+0.20*AV277+0.20*AU277+0.15*AY277+0.15*(100-AZ277),2)</x:f>
        <x:v>79.35</x:v>
      </x:c>
      <x:c r="BD277" s="60" t="n">
        <x:f>ROUND(AVERAGE(BB277,BC277),2)</x:f>
        <x:v>78.6</x:v>
      </x:c>
      <x:c r="BE277" s="60" t="n">
        <x:f>ROUND(BD277-U277,2)</x:f>
        <x:v>0</x:v>
      </x:c>
      <x:c r="BF277" s="60" t="n">
        <x:f>ROUND(STDEV.P(AC277,AK277,AS277),3)</x:f>
        <x:v>0</x:v>
      </x:c>
      <x:c r="BG277" s="59" t="str"/>
      <x:c r="BH277" s="59" t="str">
        <x:v>30%评分池轻量复核</x:v>
      </x:c>
      <x:c r="BI277" s="40" t="str">
        <x:v>三轮复核后与原表基本一致</x:v>
      </x:c>
    </x:row>
    <x:row r="278" ht="30" customHeight="1">
      <x:c r="A278" s="59" t="n">
        <x:v>277</x:v>
      </x:c>
      <x:c r="B278" s="59" t="n">
        <x:v>276</x:v>
      </x:c>
      <x:c r="C278" s="59" t="str">
        <x:v>2026-06</x:v>
      </x:c>
      <x:c r="D278" s="59" t="n">
        <x:v>182</x:v>
      </x:c>
      <x:c r="E278" s="59" t="str">
        <x:v>2606.11960</x:v>
      </x:c>
      <x:c r="F278" s="40" t="str">
        <x:v>Hartree-type heat equation associated to fractional anharmonic oscillator on weighted modulation spaces</x:v>
      </x:c>
      <x:c r="G278" s="40" t="str">
        <x:v>Aparajita Dasgupta; Uttam Kumar Dolai</x:v>
      </x:c>
      <x:c r="H278" s="40" t="str">
        <x:v>analysis/PDE</x:v>
      </x:c>
      <x:c r="I278" s="59"/>
      <x:c r="J278" s="40" t="str">
        <x:v>https://arxiv.org/abs/2606.11960</x:v>
      </x:c>
      <x:c r="K278" s="60" t="n">
        <x:v>78</x:v>
      </x:c>
      <x:c r="L278" s="60" t="n">
        <x:v>78</x:v>
      </x:c>
      <x:c r="M278" s="60" t="n">
        <x:v>78</x:v>
      </x:c>
      <x:c r="N278" s="60" t="n">
        <x:v>77</x:v>
      </x:c>
      <x:c r="O278" s="60" t="n">
        <x:v>78</x:v>
      </x:c>
      <x:c r="P278" s="60" t="n">
        <x:v>78</x:v>
      </x:c>
      <x:c r="Q278" s="60" t="n">
        <x:v>13</x:v>
      </x:c>
      <x:c r="R278" s="59" t="n">
        <x:v>5</x:v>
      </x:c>
      <x:c r="S278" s="60" t="n">
        <x:v>77.85</x:v>
      </x:c>
      <x:c r="T278" s="60" t="n">
        <x:v>79.35</x:v>
      </x:c>
      <x:c r="U278" s="60" t="n">
        <x:v>78.6</x:v>
      </x:c>
      <x:c r="V278" s="60" t="n">
        <x:v>78</x:v>
      </x:c>
      <x:c r="W278" s="60" t="n">
        <x:v>78</x:v>
      </x:c>
      <x:c r="X278" s="60" t="n">
        <x:v>78</x:v>
      </x:c>
      <x:c r="Y278" s="60" t="n">
        <x:v>77</x:v>
      </x:c>
      <x:c r="Z278" s="60" t="n">
        <x:v>78</x:v>
      </x:c>
      <x:c r="AA278" s="60" t="n">
        <x:v>78</x:v>
      </x:c>
      <x:c r="AB278" s="60" t="n">
        <x:v>13</x:v>
      </x:c>
      <x:c r="AC278" s="60" t="n">
        <x:f>ROUND(((0.30*V278+0.20*W278+0.25*X278+0.15*Y278+0.10*AA278)+(0.30*Z278+0.20*X278+0.20*W278+0.15*AA278+0.15*(100-AB278)))/2,2)</x:f>
        <x:v>78.6</x:v>
      </x:c>
      <x:c r="AD278" s="60" t="n">
        <x:v>78</x:v>
      </x:c>
      <x:c r="AE278" s="60" t="n">
        <x:v>78</x:v>
      </x:c>
      <x:c r="AF278" s="60" t="n">
        <x:v>78</x:v>
      </x:c>
      <x:c r="AG278" s="60" t="n">
        <x:v>77</x:v>
      </x:c>
      <x:c r="AH278" s="60" t="n">
        <x:v>78</x:v>
      </x:c>
      <x:c r="AI278" s="60" t="n">
        <x:v>78</x:v>
      </x:c>
      <x:c r="AJ278" s="60" t="n">
        <x:v>13</x:v>
      </x:c>
      <x:c r="AK278" s="60" t="n">
        <x:f>ROUND(((0.30*AD278+0.20*AE278+0.25*AF278+0.15*AG278+0.10*AI278)+(0.30*AH278+0.20*AF278+0.20*AE278+0.15*AI278+0.15*(100-AJ278)))/2,2)</x:f>
        <x:v>78.6</x:v>
      </x:c>
      <x:c r="AL278" s="60" t="n">
        <x:v>78</x:v>
      </x:c>
      <x:c r="AM278" s="60" t="n">
        <x:v>78</x:v>
      </x:c>
      <x:c r="AN278" s="60" t="n">
        <x:v>78</x:v>
      </x:c>
      <x:c r="AO278" s="60" t="n">
        <x:v>77</x:v>
      </x:c>
      <x:c r="AP278" s="60" t="n">
        <x:v>78</x:v>
      </x:c>
      <x:c r="AQ278" s="60" t="n">
        <x:v>78</x:v>
      </x:c>
      <x:c r="AR278" s="60" t="n">
        <x:v>13</x:v>
      </x:c>
      <x:c r="AS278" s="60" t="n">
        <x:f>ROUND(((0.30*AL278+0.20*AM278+0.25*AN278+0.15*AO278+0.10*AQ278)+(0.30*AP278+0.20*AN278+0.20*AM278+0.15*AQ278+0.15*(100-AR278)))/2,2)</x:f>
        <x:v>78.6</x:v>
      </x:c>
      <x:c r="AT278" s="60" t="n">
        <x:f>ROUND(AVERAGE(V278,AD278,AL278),1)</x:f>
        <x:v>78</x:v>
      </x:c>
      <x:c r="AU278" s="60" t="n">
        <x:f>ROUND(AVERAGE(W278,AE278,AM278),1)</x:f>
        <x:v>78</x:v>
      </x:c>
      <x:c r="AV278" s="60" t="n">
        <x:f>ROUND(AVERAGE(X278,AF278,AN278),1)</x:f>
        <x:v>78</x:v>
      </x:c>
      <x:c r="AW278" s="60" t="n">
        <x:f>ROUND(AVERAGE(Y278,AG278,AO278),1)</x:f>
        <x:v>77</x:v>
      </x:c>
      <x:c r="AX278" s="60" t="n">
        <x:f>ROUND(AVERAGE(Z278,AH278,AP278),1)</x:f>
        <x:v>78</x:v>
      </x:c>
      <x:c r="AY278" s="60" t="n">
        <x:f>ROUND(AVERAGE(AA278,AI278,AQ278),1)</x:f>
        <x:v>78</x:v>
      </x:c>
      <x:c r="AZ278" s="60" t="n">
        <x:f>ROUND(AVERAGE(AB278,AJ278,AR278),1)</x:f>
        <x:v>13</x:v>
      </x:c>
      <x:c r="BA278" s="59" t="n">
        <x:v>5</x:v>
      </x:c>
      <x:c r="BB278" s="60" t="n">
        <x:f>ROUND(0.30*AT278+0.20*AU278+0.25*AV278+0.15*AW278+0.10*AY278,2)</x:f>
        <x:v>77.85</x:v>
      </x:c>
      <x:c r="BC278" s="60" t="n">
        <x:f>ROUND(0.30*AX278+0.20*AV278+0.20*AU278+0.15*AY278+0.15*(100-AZ278),2)</x:f>
        <x:v>79.35</x:v>
      </x:c>
      <x:c r="BD278" s="60" t="n">
        <x:f>ROUND(AVERAGE(BB278,BC278),2)</x:f>
        <x:v>78.6</x:v>
      </x:c>
      <x:c r="BE278" s="60" t="n">
        <x:f>ROUND(BD278-U278,2)</x:f>
        <x:v>0</x:v>
      </x:c>
      <x:c r="BF278" s="60" t="n">
        <x:f>ROUND(STDEV.P(AC278,AK278,AS278),3)</x:f>
        <x:v>0</x:v>
      </x:c>
      <x:c r="BG278" s="59" t="str"/>
      <x:c r="BH278" s="59" t="str">
        <x:v>30%评分池轻量复核</x:v>
      </x:c>
      <x:c r="BI278" s="40" t="str">
        <x:v>三轮复核后与原表基本一致</x:v>
      </x:c>
    </x:row>
    <x:row r="279" ht="30" customHeight="1">
      <x:c r="A279" s="59" t="n">
        <x:v>278</x:v>
      </x:c>
      <x:c r="B279" s="59" t="n">
        <x:v>277</x:v>
      </x:c>
      <x:c r="C279" s="59" t="str">
        <x:v>2026-06</x:v>
      </x:c>
      <x:c r="D279" s="59" t="n">
        <x:v>182</x:v>
      </x:c>
      <x:c r="E279" s="59" t="str">
        <x:v>2606.11955</x:v>
      </x:c>
      <x:c r="F279" s="40" t="str">
        <x:v>Trace and Hardy-Sobolev type inequalities for classes of elliptic operators</x:v>
      </x:c>
      <x:c r="G279" s="40" t="str">
        <x:v>Loic Constantin; Ranieri Franca Freire; Jacques Giacomoni</x:v>
      </x:c>
      <x:c r="H279" s="40" t="str">
        <x:v>inequalities/function spaces</x:v>
      </x:c>
      <x:c r="I279" s="59"/>
      <x:c r="J279" s="40" t="str">
        <x:v>https://arxiv.org/abs/2606.11955</x:v>
      </x:c>
      <x:c r="K279" s="60" t="n">
        <x:v>78</x:v>
      </x:c>
      <x:c r="L279" s="60" t="n">
        <x:v>78</x:v>
      </x:c>
      <x:c r="M279" s="60" t="n">
        <x:v>78</x:v>
      </x:c>
      <x:c r="N279" s="60" t="n">
        <x:v>77</x:v>
      </x:c>
      <x:c r="O279" s="60" t="n">
        <x:v>78</x:v>
      </x:c>
      <x:c r="P279" s="60" t="n">
        <x:v>78</x:v>
      </x:c>
      <x:c r="Q279" s="60" t="n">
        <x:v>13</x:v>
      </x:c>
      <x:c r="R279" s="59" t="n">
        <x:v>5</x:v>
      </x:c>
      <x:c r="S279" s="60" t="n">
        <x:v>77.85</x:v>
      </x:c>
      <x:c r="T279" s="60" t="n">
        <x:v>79.35</x:v>
      </x:c>
      <x:c r="U279" s="60" t="n">
        <x:v>78.6</x:v>
      </x:c>
      <x:c r="V279" s="60" t="n">
        <x:v>78</x:v>
      </x:c>
      <x:c r="W279" s="60" t="n">
        <x:v>78</x:v>
      </x:c>
      <x:c r="X279" s="60" t="n">
        <x:v>78</x:v>
      </x:c>
      <x:c r="Y279" s="60" t="n">
        <x:v>77</x:v>
      </x:c>
      <x:c r="Z279" s="60" t="n">
        <x:v>78</x:v>
      </x:c>
      <x:c r="AA279" s="60" t="n">
        <x:v>78</x:v>
      </x:c>
      <x:c r="AB279" s="60" t="n">
        <x:v>13</x:v>
      </x:c>
      <x:c r="AC279" s="60" t="n">
        <x:f>ROUND(((0.30*V279+0.20*W279+0.25*X279+0.15*Y279+0.10*AA279)+(0.30*Z279+0.20*X279+0.20*W279+0.15*AA279+0.15*(100-AB279)))/2,2)</x:f>
        <x:v>78.6</x:v>
      </x:c>
      <x:c r="AD279" s="60" t="n">
        <x:v>78</x:v>
      </x:c>
      <x:c r="AE279" s="60" t="n">
        <x:v>78</x:v>
      </x:c>
      <x:c r="AF279" s="60" t="n">
        <x:v>78</x:v>
      </x:c>
      <x:c r="AG279" s="60" t="n">
        <x:v>77</x:v>
      </x:c>
      <x:c r="AH279" s="60" t="n">
        <x:v>78</x:v>
      </x:c>
      <x:c r="AI279" s="60" t="n">
        <x:v>78</x:v>
      </x:c>
      <x:c r="AJ279" s="60" t="n">
        <x:v>13</x:v>
      </x:c>
      <x:c r="AK279" s="60" t="n">
        <x:f>ROUND(((0.30*AD279+0.20*AE279+0.25*AF279+0.15*AG279+0.10*AI279)+(0.30*AH279+0.20*AF279+0.20*AE279+0.15*AI279+0.15*(100-AJ279)))/2,2)</x:f>
        <x:v>78.6</x:v>
      </x:c>
      <x:c r="AL279" s="60" t="n">
        <x:v>78</x:v>
      </x:c>
      <x:c r="AM279" s="60" t="n">
        <x:v>78</x:v>
      </x:c>
      <x:c r="AN279" s="60" t="n">
        <x:v>78</x:v>
      </x:c>
      <x:c r="AO279" s="60" t="n">
        <x:v>77</x:v>
      </x:c>
      <x:c r="AP279" s="60" t="n">
        <x:v>78</x:v>
      </x:c>
      <x:c r="AQ279" s="60" t="n">
        <x:v>78</x:v>
      </x:c>
      <x:c r="AR279" s="60" t="n">
        <x:v>13</x:v>
      </x:c>
      <x:c r="AS279" s="60" t="n">
        <x:f>ROUND(((0.30*AL279+0.20*AM279+0.25*AN279+0.15*AO279+0.10*AQ279)+(0.30*AP279+0.20*AN279+0.20*AM279+0.15*AQ279+0.15*(100-AR279)))/2,2)</x:f>
        <x:v>78.6</x:v>
      </x:c>
      <x:c r="AT279" s="60" t="n">
        <x:f>ROUND(AVERAGE(V279,AD279,AL279),1)</x:f>
        <x:v>78</x:v>
      </x:c>
      <x:c r="AU279" s="60" t="n">
        <x:f>ROUND(AVERAGE(W279,AE279,AM279),1)</x:f>
        <x:v>78</x:v>
      </x:c>
      <x:c r="AV279" s="60" t="n">
        <x:f>ROUND(AVERAGE(X279,AF279,AN279),1)</x:f>
        <x:v>78</x:v>
      </x:c>
      <x:c r="AW279" s="60" t="n">
        <x:f>ROUND(AVERAGE(Y279,AG279,AO279),1)</x:f>
        <x:v>77</x:v>
      </x:c>
      <x:c r="AX279" s="60" t="n">
        <x:f>ROUND(AVERAGE(Z279,AH279,AP279),1)</x:f>
        <x:v>78</x:v>
      </x:c>
      <x:c r="AY279" s="60" t="n">
        <x:f>ROUND(AVERAGE(AA279,AI279,AQ279),1)</x:f>
        <x:v>78</x:v>
      </x:c>
      <x:c r="AZ279" s="60" t="n">
        <x:f>ROUND(AVERAGE(AB279,AJ279,AR279),1)</x:f>
        <x:v>13</x:v>
      </x:c>
      <x:c r="BA279" s="59" t="n">
        <x:v>5</x:v>
      </x:c>
      <x:c r="BB279" s="60" t="n">
        <x:f>ROUND(0.30*AT279+0.20*AU279+0.25*AV279+0.15*AW279+0.10*AY279,2)</x:f>
        <x:v>77.85</x:v>
      </x:c>
      <x:c r="BC279" s="60" t="n">
        <x:f>ROUND(0.30*AX279+0.20*AV279+0.20*AU279+0.15*AY279+0.15*(100-AZ279),2)</x:f>
        <x:v>79.35</x:v>
      </x:c>
      <x:c r="BD279" s="60" t="n">
        <x:f>ROUND(AVERAGE(BB279,BC279),2)</x:f>
        <x:v>78.6</x:v>
      </x:c>
      <x:c r="BE279" s="60" t="n">
        <x:f>ROUND(BD279-U279,2)</x:f>
        <x:v>0</x:v>
      </x:c>
      <x:c r="BF279" s="60" t="n">
        <x:f>ROUND(STDEV.P(AC279,AK279,AS279),3)</x:f>
        <x:v>0</x:v>
      </x:c>
      <x:c r="BG279" s="59" t="str"/>
      <x:c r="BH279" s="59" t="str">
        <x:v>30%评分池轻量复核</x:v>
      </x:c>
      <x:c r="BI279" s="40" t="str">
        <x:v>三轮复核后与原表基本一致</x:v>
      </x:c>
    </x:row>
    <x:row r="280" ht="30" customHeight="1">
      <x:c r="A280" s="59" t="n">
        <x:v>279</x:v>
      </x:c>
      <x:c r="B280" s="59" t="n">
        <x:v>279</x:v>
      </x:c>
      <x:c r="C280" s="59" t="str">
        <x:v>2026-06</x:v>
      </x:c>
      <x:c r="D280" s="59" t="n">
        <x:v>182</x:v>
      </x:c>
      <x:c r="E280" s="59" t="str">
        <x:v>2606.10685</x:v>
      </x:c>
      <x:c r="F280" s="40" t="str">
        <x:v>Dynamical Amrein-Berthier Uncertainty for Fractional Schrodinger Flows</x:v>
      </x:c>
      <x:c r="G280" s="40" t="str">
        <x:v>Piero D'Ancona; Diego Fiorletta</x:v>
      </x:c>
      <x:c r="H280" s="40" t="str">
        <x:v>dispersive PDE</x:v>
      </x:c>
      <x:c r="I280" s="59"/>
      <x:c r="J280" s="40" t="str">
        <x:v>https://arxiv.org/abs/2606.10685</x:v>
      </x:c>
      <x:c r="K280" s="60" t="n">
        <x:v>78</x:v>
      </x:c>
      <x:c r="L280" s="60" t="n">
        <x:v>78</x:v>
      </x:c>
      <x:c r="M280" s="60" t="n">
        <x:v>78</x:v>
      </x:c>
      <x:c r="N280" s="60" t="n">
        <x:v>77</x:v>
      </x:c>
      <x:c r="O280" s="60" t="n">
        <x:v>78</x:v>
      </x:c>
      <x:c r="P280" s="60" t="n">
        <x:v>78</x:v>
      </x:c>
      <x:c r="Q280" s="60" t="n">
        <x:v>13</x:v>
      </x:c>
      <x:c r="R280" s="59" t="n">
        <x:v>5</x:v>
      </x:c>
      <x:c r="S280" s="60" t="n">
        <x:v>77.85</x:v>
      </x:c>
      <x:c r="T280" s="60" t="n">
        <x:v>79.35</x:v>
      </x:c>
      <x:c r="U280" s="60" t="n">
        <x:v>78.6</x:v>
      </x:c>
      <x:c r="V280" s="60" t="n">
        <x:v>78</x:v>
      </x:c>
      <x:c r="W280" s="60" t="n">
        <x:v>78</x:v>
      </x:c>
      <x:c r="X280" s="60" t="n">
        <x:v>78</x:v>
      </x:c>
      <x:c r="Y280" s="60" t="n">
        <x:v>77</x:v>
      </x:c>
      <x:c r="Z280" s="60" t="n">
        <x:v>78</x:v>
      </x:c>
      <x:c r="AA280" s="60" t="n">
        <x:v>78</x:v>
      </x:c>
      <x:c r="AB280" s="60" t="n">
        <x:v>13</x:v>
      </x:c>
      <x:c r="AC280" s="60" t="n">
        <x:f>ROUND(((0.30*V280+0.20*W280+0.25*X280+0.15*Y280+0.10*AA280)+(0.30*Z280+0.20*X280+0.20*W280+0.15*AA280+0.15*(100-AB280)))/2,2)</x:f>
        <x:v>78.6</x:v>
      </x:c>
      <x:c r="AD280" s="60" t="n">
        <x:v>78</x:v>
      </x:c>
      <x:c r="AE280" s="60" t="n">
        <x:v>78</x:v>
      </x:c>
      <x:c r="AF280" s="60" t="n">
        <x:v>78</x:v>
      </x:c>
      <x:c r="AG280" s="60" t="n">
        <x:v>77</x:v>
      </x:c>
      <x:c r="AH280" s="60" t="n">
        <x:v>78</x:v>
      </x:c>
      <x:c r="AI280" s="60" t="n">
        <x:v>78</x:v>
      </x:c>
      <x:c r="AJ280" s="60" t="n">
        <x:v>13</x:v>
      </x:c>
      <x:c r="AK280" s="60" t="n">
        <x:f>ROUND(((0.30*AD280+0.20*AE280+0.25*AF280+0.15*AG280+0.10*AI280)+(0.30*AH280+0.20*AF280+0.20*AE280+0.15*AI280+0.15*(100-AJ280)))/2,2)</x:f>
        <x:v>78.6</x:v>
      </x:c>
      <x:c r="AL280" s="60" t="n">
        <x:v>78</x:v>
      </x:c>
      <x:c r="AM280" s="60" t="n">
        <x:v>78</x:v>
      </x:c>
      <x:c r="AN280" s="60" t="n">
        <x:v>78</x:v>
      </x:c>
      <x:c r="AO280" s="60" t="n">
        <x:v>77</x:v>
      </x:c>
      <x:c r="AP280" s="60" t="n">
        <x:v>78</x:v>
      </x:c>
      <x:c r="AQ280" s="60" t="n">
        <x:v>78</x:v>
      </x:c>
      <x:c r="AR280" s="60" t="n">
        <x:v>13</x:v>
      </x:c>
      <x:c r="AS280" s="60" t="n">
        <x:f>ROUND(((0.30*AL280+0.20*AM280+0.25*AN280+0.15*AO280+0.10*AQ280)+(0.30*AP280+0.20*AN280+0.20*AM280+0.15*AQ280+0.15*(100-AR280)))/2,2)</x:f>
        <x:v>78.6</x:v>
      </x:c>
      <x:c r="AT280" s="60" t="n">
        <x:f>ROUND(AVERAGE(V280,AD280,AL280),1)</x:f>
        <x:v>78</x:v>
      </x:c>
      <x:c r="AU280" s="60" t="n">
        <x:f>ROUND(AVERAGE(W280,AE280,AM280),1)</x:f>
        <x:v>78</x:v>
      </x:c>
      <x:c r="AV280" s="60" t="n">
        <x:f>ROUND(AVERAGE(X280,AF280,AN280),1)</x:f>
        <x:v>78</x:v>
      </x:c>
      <x:c r="AW280" s="60" t="n">
        <x:f>ROUND(AVERAGE(Y280,AG280,AO280),1)</x:f>
        <x:v>77</x:v>
      </x:c>
      <x:c r="AX280" s="60" t="n">
        <x:f>ROUND(AVERAGE(Z280,AH280,AP280),1)</x:f>
        <x:v>78</x:v>
      </x:c>
      <x:c r="AY280" s="60" t="n">
        <x:f>ROUND(AVERAGE(AA280,AI280,AQ280),1)</x:f>
        <x:v>78</x:v>
      </x:c>
      <x:c r="AZ280" s="60" t="n">
        <x:f>ROUND(AVERAGE(AB280,AJ280,AR280),1)</x:f>
        <x:v>13</x:v>
      </x:c>
      <x:c r="BA280" s="59" t="n">
        <x:v>5</x:v>
      </x:c>
      <x:c r="BB280" s="60" t="n">
        <x:f>ROUND(0.30*AT280+0.20*AU280+0.25*AV280+0.15*AW280+0.10*AY280,2)</x:f>
        <x:v>77.85</x:v>
      </x:c>
      <x:c r="BC280" s="60" t="n">
        <x:f>ROUND(0.30*AX280+0.20*AV280+0.20*AU280+0.15*AY280+0.15*(100-AZ280),2)</x:f>
        <x:v>79.35</x:v>
      </x:c>
      <x:c r="BD280" s="60" t="n">
        <x:f>ROUND(AVERAGE(BB280,BC280),2)</x:f>
        <x:v>78.6</x:v>
      </x:c>
      <x:c r="BE280" s="60" t="n">
        <x:f>ROUND(BD280-U280,2)</x:f>
        <x:v>0</x:v>
      </x:c>
      <x:c r="BF280" s="60" t="n">
        <x:f>ROUND(STDEV.P(AC280,AK280,AS280),3)</x:f>
        <x:v>0</x:v>
      </x:c>
      <x:c r="BG280" s="59" t="str"/>
      <x:c r="BH280" s="59" t="str">
        <x:v>30%评分池轻量复核</x:v>
      </x:c>
      <x:c r="BI280" s="40" t="str">
        <x:v>三轮复核后与原表基本一致</x:v>
      </x:c>
    </x:row>
    <x:row r="281" ht="30" customHeight="1">
      <x:c r="A281" s="59" t="n">
        <x:v>280</x:v>
      </x:c>
      <x:c r="B281" s="59" t="n">
        <x:v>280</x:v>
      </x:c>
      <x:c r="C281" s="59" t="str">
        <x:v>2026-06</x:v>
      </x:c>
      <x:c r="D281" s="59" t="n">
        <x:v>182</x:v>
      </x:c>
      <x:c r="E281" s="59" t="str">
        <x:v>2606.10590</x:v>
      </x:c>
      <x:c r="F281" s="40" t="str">
        <x:v>Higher integrability for parabolic double phase equations with an improved gap bound</x:v>
      </x:c>
      <x:c r="G281" s="40" t="str">
        <x:v>Abhrojyoti Sen; Jarkko Siltakoski</x:v>
      </x:c>
      <x:c r="H281" s="40" t="str">
        <x:v>analysis/PDE</x:v>
      </x:c>
      <x:c r="I281" s="59" t="n">
        <x:v>40</x:v>
      </x:c>
      <x:c r="J281" s="40" t="str">
        <x:v>https://arxiv.org/abs/2606.10590</x:v>
      </x:c>
      <x:c r="K281" s="60" t="n">
        <x:v>78</x:v>
      </x:c>
      <x:c r="L281" s="60" t="n">
        <x:v>78</x:v>
      </x:c>
      <x:c r="M281" s="60" t="n">
        <x:v>78</x:v>
      </x:c>
      <x:c r="N281" s="60" t="n">
        <x:v>77</x:v>
      </x:c>
      <x:c r="O281" s="60" t="n">
        <x:v>78</x:v>
      </x:c>
      <x:c r="P281" s="60" t="n">
        <x:v>78</x:v>
      </x:c>
      <x:c r="Q281" s="60" t="n">
        <x:v>13</x:v>
      </x:c>
      <x:c r="R281" s="59" t="n">
        <x:v>5</x:v>
      </x:c>
      <x:c r="S281" s="60" t="n">
        <x:v>77.85</x:v>
      </x:c>
      <x:c r="T281" s="60" t="n">
        <x:v>79.35</x:v>
      </x:c>
      <x:c r="U281" s="60" t="n">
        <x:v>78.6</x:v>
      </x:c>
      <x:c r="V281" s="60" t="n">
        <x:v>78</x:v>
      </x:c>
      <x:c r="W281" s="60" t="n">
        <x:v>78</x:v>
      </x:c>
      <x:c r="X281" s="60" t="n">
        <x:v>78</x:v>
      </x:c>
      <x:c r="Y281" s="60" t="n">
        <x:v>77</x:v>
      </x:c>
      <x:c r="Z281" s="60" t="n">
        <x:v>78</x:v>
      </x:c>
      <x:c r="AA281" s="60" t="n">
        <x:v>78</x:v>
      </x:c>
      <x:c r="AB281" s="60" t="n">
        <x:v>13</x:v>
      </x:c>
      <x:c r="AC281" s="60" t="n">
        <x:f>ROUND(((0.30*V281+0.20*W281+0.25*X281+0.15*Y281+0.10*AA281)+(0.30*Z281+0.20*X281+0.20*W281+0.15*AA281+0.15*(100-AB281)))/2,2)</x:f>
        <x:v>78.6</x:v>
      </x:c>
      <x:c r="AD281" s="60" t="n">
        <x:v>78</x:v>
      </x:c>
      <x:c r="AE281" s="60" t="n">
        <x:v>78</x:v>
      </x:c>
      <x:c r="AF281" s="60" t="n">
        <x:v>78</x:v>
      </x:c>
      <x:c r="AG281" s="60" t="n">
        <x:v>77</x:v>
      </x:c>
      <x:c r="AH281" s="60" t="n">
        <x:v>78</x:v>
      </x:c>
      <x:c r="AI281" s="60" t="n">
        <x:v>78</x:v>
      </x:c>
      <x:c r="AJ281" s="60" t="n">
        <x:v>13</x:v>
      </x:c>
      <x:c r="AK281" s="60" t="n">
        <x:f>ROUND(((0.30*AD281+0.20*AE281+0.25*AF281+0.15*AG281+0.10*AI281)+(0.30*AH281+0.20*AF281+0.20*AE281+0.15*AI281+0.15*(100-AJ281)))/2,2)</x:f>
        <x:v>78.6</x:v>
      </x:c>
      <x:c r="AL281" s="60" t="n">
        <x:v>78</x:v>
      </x:c>
      <x:c r="AM281" s="60" t="n">
        <x:v>78</x:v>
      </x:c>
      <x:c r="AN281" s="60" t="n">
        <x:v>78</x:v>
      </x:c>
      <x:c r="AO281" s="60" t="n">
        <x:v>77</x:v>
      </x:c>
      <x:c r="AP281" s="60" t="n">
        <x:v>78</x:v>
      </x:c>
      <x:c r="AQ281" s="60" t="n">
        <x:v>78</x:v>
      </x:c>
      <x:c r="AR281" s="60" t="n">
        <x:v>13</x:v>
      </x:c>
      <x:c r="AS281" s="60" t="n">
        <x:f>ROUND(((0.30*AL281+0.20*AM281+0.25*AN281+0.15*AO281+0.10*AQ281)+(0.30*AP281+0.20*AN281+0.20*AM281+0.15*AQ281+0.15*(100-AR281)))/2,2)</x:f>
        <x:v>78.6</x:v>
      </x:c>
      <x:c r="AT281" s="60" t="n">
        <x:f>ROUND(AVERAGE(V281,AD281,AL281),1)</x:f>
        <x:v>78</x:v>
      </x:c>
      <x:c r="AU281" s="60" t="n">
        <x:f>ROUND(AVERAGE(W281,AE281,AM281),1)</x:f>
        <x:v>78</x:v>
      </x:c>
      <x:c r="AV281" s="60" t="n">
        <x:f>ROUND(AVERAGE(X281,AF281,AN281),1)</x:f>
        <x:v>78</x:v>
      </x:c>
      <x:c r="AW281" s="60" t="n">
        <x:f>ROUND(AVERAGE(Y281,AG281,AO281),1)</x:f>
        <x:v>77</x:v>
      </x:c>
      <x:c r="AX281" s="60" t="n">
        <x:f>ROUND(AVERAGE(Z281,AH281,AP281),1)</x:f>
        <x:v>78</x:v>
      </x:c>
      <x:c r="AY281" s="60" t="n">
        <x:f>ROUND(AVERAGE(AA281,AI281,AQ281),1)</x:f>
        <x:v>78</x:v>
      </x:c>
      <x:c r="AZ281" s="60" t="n">
        <x:f>ROUND(AVERAGE(AB281,AJ281,AR281),1)</x:f>
        <x:v>13</x:v>
      </x:c>
      <x:c r="BA281" s="59" t="n">
        <x:v>5</x:v>
      </x:c>
      <x:c r="BB281" s="60" t="n">
        <x:f>ROUND(0.30*AT281+0.20*AU281+0.25*AV281+0.15*AW281+0.10*AY281,2)</x:f>
        <x:v>77.85</x:v>
      </x:c>
      <x:c r="BC281" s="60" t="n">
        <x:f>ROUND(0.30*AX281+0.20*AV281+0.20*AU281+0.15*AY281+0.15*(100-AZ281),2)</x:f>
        <x:v>79.35</x:v>
      </x:c>
      <x:c r="BD281" s="60" t="n">
        <x:f>ROUND(AVERAGE(BB281,BC281),2)</x:f>
        <x:v>78.6</x:v>
      </x:c>
      <x:c r="BE281" s="60" t="n">
        <x:f>ROUND(BD281-U281,2)</x:f>
        <x:v>0</x:v>
      </x:c>
      <x:c r="BF281" s="60" t="n">
        <x:f>ROUND(STDEV.P(AC281,AK281,AS281),3)</x:f>
        <x:v>0</x:v>
      </x:c>
      <x:c r="BG281" s="59" t="str"/>
      <x:c r="BH281" s="59" t="str">
        <x:v>30%评分池轻量复核</x:v>
      </x:c>
      <x:c r="BI281" s="40" t="str">
        <x:v>三轮复核后与原表基本一致</x:v>
      </x:c>
    </x:row>
    <x:row r="282" ht="30" customHeight="1">
      <x:c r="A282" s="59" t="n">
        <x:v>281</x:v>
      </x:c>
      <x:c r="B282" s="59" t="n">
        <x:v>281</x:v>
      </x:c>
      <x:c r="C282" s="59" t="str">
        <x:v>2026-06</x:v>
      </x:c>
      <x:c r="D282" s="59" t="n">
        <x:v>182</x:v>
      </x:c>
      <x:c r="E282" s="59" t="str">
        <x:v>2606.09256</x:v>
      </x:c>
      <x:c r="F282" s="40" t="str">
        <x:v>A sign-changing Poisson kernel for a non-symmetric elliptic operator in a bounded domain</x:v>
      </x:c>
      <x:c r="G282" s="40" t="str">
        <x:v>Seick Kim</x:v>
      </x:c>
      <x:c r="H282" s="40" t="str">
        <x:v>analysis/PDE</x:v>
      </x:c>
      <x:c r="I282" s="59" t="n">
        <x:v>34</x:v>
      </x:c>
      <x:c r="J282" s="40" t="str">
        <x:v>https://arxiv.org/abs/2606.09256</x:v>
      </x:c>
      <x:c r="K282" s="60" t="n">
        <x:v>78</x:v>
      </x:c>
      <x:c r="L282" s="60" t="n">
        <x:v>78</x:v>
      </x:c>
      <x:c r="M282" s="60" t="n">
        <x:v>78</x:v>
      </x:c>
      <x:c r="N282" s="60" t="n">
        <x:v>77</x:v>
      </x:c>
      <x:c r="O282" s="60" t="n">
        <x:v>78</x:v>
      </x:c>
      <x:c r="P282" s="60" t="n">
        <x:v>78</x:v>
      </x:c>
      <x:c r="Q282" s="60" t="n">
        <x:v>13</x:v>
      </x:c>
      <x:c r="R282" s="59" t="n">
        <x:v>5</x:v>
      </x:c>
      <x:c r="S282" s="60" t="n">
        <x:v>77.85</x:v>
      </x:c>
      <x:c r="T282" s="60" t="n">
        <x:v>79.35</x:v>
      </x:c>
      <x:c r="U282" s="60" t="n">
        <x:v>78.6</x:v>
      </x:c>
      <x:c r="V282" s="60" t="n">
        <x:v>78</x:v>
      </x:c>
      <x:c r="W282" s="60" t="n">
        <x:v>78</x:v>
      </x:c>
      <x:c r="X282" s="60" t="n">
        <x:v>78</x:v>
      </x:c>
      <x:c r="Y282" s="60" t="n">
        <x:v>77</x:v>
      </x:c>
      <x:c r="Z282" s="60" t="n">
        <x:v>78</x:v>
      </x:c>
      <x:c r="AA282" s="60" t="n">
        <x:v>78</x:v>
      </x:c>
      <x:c r="AB282" s="60" t="n">
        <x:v>13</x:v>
      </x:c>
      <x:c r="AC282" s="60" t="n">
        <x:f>ROUND(((0.30*V282+0.20*W282+0.25*X282+0.15*Y282+0.10*AA282)+(0.30*Z282+0.20*X282+0.20*W282+0.15*AA282+0.15*(100-AB282)))/2,2)</x:f>
        <x:v>78.6</x:v>
      </x:c>
      <x:c r="AD282" s="60" t="n">
        <x:v>78</x:v>
      </x:c>
      <x:c r="AE282" s="60" t="n">
        <x:v>78</x:v>
      </x:c>
      <x:c r="AF282" s="60" t="n">
        <x:v>78</x:v>
      </x:c>
      <x:c r="AG282" s="60" t="n">
        <x:v>77</x:v>
      </x:c>
      <x:c r="AH282" s="60" t="n">
        <x:v>78</x:v>
      </x:c>
      <x:c r="AI282" s="60" t="n">
        <x:v>78</x:v>
      </x:c>
      <x:c r="AJ282" s="60" t="n">
        <x:v>13</x:v>
      </x:c>
      <x:c r="AK282" s="60" t="n">
        <x:f>ROUND(((0.30*AD282+0.20*AE282+0.25*AF282+0.15*AG282+0.10*AI282)+(0.30*AH282+0.20*AF282+0.20*AE282+0.15*AI282+0.15*(100-AJ282)))/2,2)</x:f>
        <x:v>78.6</x:v>
      </x:c>
      <x:c r="AL282" s="60" t="n">
        <x:v>78</x:v>
      </x:c>
      <x:c r="AM282" s="60" t="n">
        <x:v>78</x:v>
      </x:c>
      <x:c r="AN282" s="60" t="n">
        <x:v>78</x:v>
      </x:c>
      <x:c r="AO282" s="60" t="n">
        <x:v>77</x:v>
      </x:c>
      <x:c r="AP282" s="60" t="n">
        <x:v>78</x:v>
      </x:c>
      <x:c r="AQ282" s="60" t="n">
        <x:v>78</x:v>
      </x:c>
      <x:c r="AR282" s="60" t="n">
        <x:v>13</x:v>
      </x:c>
      <x:c r="AS282" s="60" t="n">
        <x:f>ROUND(((0.30*AL282+0.20*AM282+0.25*AN282+0.15*AO282+0.10*AQ282)+(0.30*AP282+0.20*AN282+0.20*AM282+0.15*AQ282+0.15*(100-AR282)))/2,2)</x:f>
        <x:v>78.6</x:v>
      </x:c>
      <x:c r="AT282" s="60" t="n">
        <x:f>ROUND(AVERAGE(V282,AD282,AL282),1)</x:f>
        <x:v>78</x:v>
      </x:c>
      <x:c r="AU282" s="60" t="n">
        <x:f>ROUND(AVERAGE(W282,AE282,AM282),1)</x:f>
        <x:v>78</x:v>
      </x:c>
      <x:c r="AV282" s="60" t="n">
        <x:f>ROUND(AVERAGE(X282,AF282,AN282),1)</x:f>
        <x:v>78</x:v>
      </x:c>
      <x:c r="AW282" s="60" t="n">
        <x:f>ROUND(AVERAGE(Y282,AG282,AO282),1)</x:f>
        <x:v>77</x:v>
      </x:c>
      <x:c r="AX282" s="60" t="n">
        <x:f>ROUND(AVERAGE(Z282,AH282,AP282),1)</x:f>
        <x:v>78</x:v>
      </x:c>
      <x:c r="AY282" s="60" t="n">
        <x:f>ROUND(AVERAGE(AA282,AI282,AQ282),1)</x:f>
        <x:v>78</x:v>
      </x:c>
      <x:c r="AZ282" s="60" t="n">
        <x:f>ROUND(AVERAGE(AB282,AJ282,AR282),1)</x:f>
        <x:v>13</x:v>
      </x:c>
      <x:c r="BA282" s="59" t="n">
        <x:v>5</x:v>
      </x:c>
      <x:c r="BB282" s="60" t="n">
        <x:f>ROUND(0.30*AT282+0.20*AU282+0.25*AV282+0.15*AW282+0.10*AY282,2)</x:f>
        <x:v>77.85</x:v>
      </x:c>
      <x:c r="BC282" s="60" t="n">
        <x:f>ROUND(0.30*AX282+0.20*AV282+0.20*AU282+0.15*AY282+0.15*(100-AZ282),2)</x:f>
        <x:v>79.35</x:v>
      </x:c>
      <x:c r="BD282" s="60" t="n">
        <x:f>ROUND(AVERAGE(BB282,BC282),2)</x:f>
        <x:v>78.6</x:v>
      </x:c>
      <x:c r="BE282" s="60" t="n">
        <x:f>ROUND(BD282-U282,2)</x:f>
        <x:v>0</x:v>
      </x:c>
      <x:c r="BF282" s="60" t="n">
        <x:f>ROUND(STDEV.P(AC282,AK282,AS282),3)</x:f>
        <x:v>0</x:v>
      </x:c>
      <x:c r="BG282" s="59" t="str"/>
      <x:c r="BH282" s="59" t="str">
        <x:v>30%评分池轻量复核</x:v>
      </x:c>
      <x:c r="BI282" s="40" t="str">
        <x:v>三轮复核后与原表基本一致</x:v>
      </x:c>
    </x:row>
    <x:row r="283" ht="30" customHeight="1">
      <x:c r="A283" s="59" t="n">
        <x:v>282</x:v>
      </x:c>
      <x:c r="B283" s="59" t="n">
        <x:v>283</x:v>
      </x:c>
      <x:c r="C283" s="59" t="str">
        <x:v>2026-06</x:v>
      </x:c>
      <x:c r="D283" s="59" t="n">
        <x:v>182</x:v>
      </x:c>
      <x:c r="E283" s="59" t="str">
        <x:v>2606.08222</x:v>
      </x:c>
      <x:c r="F283" s="40" t="str">
        <x:v>On Neumann p-Laplacian Lane-Emden equations and isoperimetric problems</x:v>
      </x:c>
      <x:c r="G283" s="40" t="str">
        <x:v>Sean McCurdy; Alberto Saldana; Delia Schiera</x:v>
      </x:c>
      <x:c r="H283" s="40" t="str">
        <x:v>analysis/PDE</x:v>
      </x:c>
      <x:c r="I283" s="59"/>
      <x:c r="J283" s="40" t="str">
        <x:v>https://arxiv.org/abs/2606.08222</x:v>
      </x:c>
      <x:c r="K283" s="60" t="n">
        <x:v>78</x:v>
      </x:c>
      <x:c r="L283" s="60" t="n">
        <x:v>78</x:v>
      </x:c>
      <x:c r="M283" s="60" t="n">
        <x:v>78</x:v>
      </x:c>
      <x:c r="N283" s="60" t="n">
        <x:v>77</x:v>
      </x:c>
      <x:c r="O283" s="60" t="n">
        <x:v>78</x:v>
      </x:c>
      <x:c r="P283" s="60" t="n">
        <x:v>78</x:v>
      </x:c>
      <x:c r="Q283" s="60" t="n">
        <x:v>13</x:v>
      </x:c>
      <x:c r="R283" s="59" t="n">
        <x:v>5</x:v>
      </x:c>
      <x:c r="S283" s="60" t="n">
        <x:v>77.85</x:v>
      </x:c>
      <x:c r="T283" s="60" t="n">
        <x:v>79.35</x:v>
      </x:c>
      <x:c r="U283" s="60" t="n">
        <x:v>78.6</x:v>
      </x:c>
      <x:c r="V283" s="60" t="n">
        <x:v>78</x:v>
      </x:c>
      <x:c r="W283" s="60" t="n">
        <x:v>78</x:v>
      </x:c>
      <x:c r="X283" s="60" t="n">
        <x:v>78</x:v>
      </x:c>
      <x:c r="Y283" s="60" t="n">
        <x:v>77</x:v>
      </x:c>
      <x:c r="Z283" s="60" t="n">
        <x:v>78</x:v>
      </x:c>
      <x:c r="AA283" s="60" t="n">
        <x:v>78</x:v>
      </x:c>
      <x:c r="AB283" s="60" t="n">
        <x:v>13</x:v>
      </x:c>
      <x:c r="AC283" s="60" t="n">
        <x:f>ROUND(((0.30*V283+0.20*W283+0.25*X283+0.15*Y283+0.10*AA283)+(0.30*Z283+0.20*X283+0.20*W283+0.15*AA283+0.15*(100-AB283)))/2,2)</x:f>
        <x:v>78.6</x:v>
      </x:c>
      <x:c r="AD283" s="60" t="n">
        <x:v>78</x:v>
      </x:c>
      <x:c r="AE283" s="60" t="n">
        <x:v>78</x:v>
      </x:c>
      <x:c r="AF283" s="60" t="n">
        <x:v>78</x:v>
      </x:c>
      <x:c r="AG283" s="60" t="n">
        <x:v>77</x:v>
      </x:c>
      <x:c r="AH283" s="60" t="n">
        <x:v>78</x:v>
      </x:c>
      <x:c r="AI283" s="60" t="n">
        <x:v>78</x:v>
      </x:c>
      <x:c r="AJ283" s="60" t="n">
        <x:v>13</x:v>
      </x:c>
      <x:c r="AK283" s="60" t="n">
        <x:f>ROUND(((0.30*AD283+0.20*AE283+0.25*AF283+0.15*AG283+0.10*AI283)+(0.30*AH283+0.20*AF283+0.20*AE283+0.15*AI283+0.15*(100-AJ283)))/2,2)</x:f>
        <x:v>78.6</x:v>
      </x:c>
      <x:c r="AL283" s="60" t="n">
        <x:v>78</x:v>
      </x:c>
      <x:c r="AM283" s="60" t="n">
        <x:v>78</x:v>
      </x:c>
      <x:c r="AN283" s="60" t="n">
        <x:v>78</x:v>
      </x:c>
      <x:c r="AO283" s="60" t="n">
        <x:v>77</x:v>
      </x:c>
      <x:c r="AP283" s="60" t="n">
        <x:v>78</x:v>
      </x:c>
      <x:c r="AQ283" s="60" t="n">
        <x:v>78</x:v>
      </x:c>
      <x:c r="AR283" s="60" t="n">
        <x:v>13</x:v>
      </x:c>
      <x:c r="AS283" s="60" t="n">
        <x:f>ROUND(((0.30*AL283+0.20*AM283+0.25*AN283+0.15*AO283+0.10*AQ283)+(0.30*AP283+0.20*AN283+0.20*AM283+0.15*AQ283+0.15*(100-AR283)))/2,2)</x:f>
        <x:v>78.6</x:v>
      </x:c>
      <x:c r="AT283" s="60" t="n">
        <x:f>ROUND(AVERAGE(V283,AD283,AL283),1)</x:f>
        <x:v>78</x:v>
      </x:c>
      <x:c r="AU283" s="60" t="n">
        <x:f>ROUND(AVERAGE(W283,AE283,AM283),1)</x:f>
        <x:v>78</x:v>
      </x:c>
      <x:c r="AV283" s="60" t="n">
        <x:f>ROUND(AVERAGE(X283,AF283,AN283),1)</x:f>
        <x:v>78</x:v>
      </x:c>
      <x:c r="AW283" s="60" t="n">
        <x:f>ROUND(AVERAGE(Y283,AG283,AO283),1)</x:f>
        <x:v>77</x:v>
      </x:c>
      <x:c r="AX283" s="60" t="n">
        <x:f>ROUND(AVERAGE(Z283,AH283,AP283),1)</x:f>
        <x:v>78</x:v>
      </x:c>
      <x:c r="AY283" s="60" t="n">
        <x:f>ROUND(AVERAGE(AA283,AI283,AQ283),1)</x:f>
        <x:v>78</x:v>
      </x:c>
      <x:c r="AZ283" s="60" t="n">
        <x:f>ROUND(AVERAGE(AB283,AJ283,AR283),1)</x:f>
        <x:v>13</x:v>
      </x:c>
      <x:c r="BA283" s="59" t="n">
        <x:v>5</x:v>
      </x:c>
      <x:c r="BB283" s="60" t="n">
        <x:f>ROUND(0.30*AT283+0.20*AU283+0.25*AV283+0.15*AW283+0.10*AY283,2)</x:f>
        <x:v>77.85</x:v>
      </x:c>
      <x:c r="BC283" s="60" t="n">
        <x:f>ROUND(0.30*AX283+0.20*AV283+0.20*AU283+0.15*AY283+0.15*(100-AZ283),2)</x:f>
        <x:v>79.35</x:v>
      </x:c>
      <x:c r="BD283" s="60" t="n">
        <x:f>ROUND(AVERAGE(BB283,BC283),2)</x:f>
        <x:v>78.6</x:v>
      </x:c>
      <x:c r="BE283" s="60" t="n">
        <x:f>ROUND(BD283-U283,2)</x:f>
        <x:v>0</x:v>
      </x:c>
      <x:c r="BF283" s="60" t="n">
        <x:f>ROUND(STDEV.P(AC283,AK283,AS283),3)</x:f>
        <x:v>0</x:v>
      </x:c>
      <x:c r="BG283" s="59" t="str"/>
      <x:c r="BH283" s="59" t="str">
        <x:v>30%评分池轻量复核</x:v>
      </x:c>
      <x:c r="BI283" s="40" t="str">
        <x:v>三轮复核后与原表基本一致</x:v>
      </x:c>
    </x:row>
    <x:row r="284" ht="30" customHeight="1">
      <x:c r="A284" s="59" t="n">
        <x:v>283</x:v>
      </x:c>
      <x:c r="B284" s="59" t="n">
        <x:v>285</x:v>
      </x:c>
      <x:c r="C284" s="59" t="str">
        <x:v>2026-06</x:v>
      </x:c>
      <x:c r="D284" s="59" t="n">
        <x:v>182</x:v>
      </x:c>
      <x:c r="E284" s="59" t="str">
        <x:v>2606.07786</x:v>
      </x:c>
      <x:c r="F284" s="40" t="str">
        <x:v>Spectral structures of elastic-electromagnetic transmission eigenvalue problems</x:v>
      </x:c>
      <x:c r="G284" s="40" t="str">
        <x:v>Huaian Diao; Xinyu Ding; Yueran Geng; Hongyu Liu</x:v>
      </x:c>
      <x:c r="H284" s="40" t="str">
        <x:v>analysis/PDE</x:v>
      </x:c>
      <x:c r="I284" s="59"/>
      <x:c r="J284" s="40" t="str">
        <x:v>https://arxiv.org/abs/2606.07786</x:v>
      </x:c>
      <x:c r="K284" s="60" t="n">
        <x:v>78</x:v>
      </x:c>
      <x:c r="L284" s="60" t="n">
        <x:v>78</x:v>
      </x:c>
      <x:c r="M284" s="60" t="n">
        <x:v>78</x:v>
      </x:c>
      <x:c r="N284" s="60" t="n">
        <x:v>77</x:v>
      </x:c>
      <x:c r="O284" s="60" t="n">
        <x:v>78</x:v>
      </x:c>
      <x:c r="P284" s="60" t="n">
        <x:v>78</x:v>
      </x:c>
      <x:c r="Q284" s="60" t="n">
        <x:v>13</x:v>
      </x:c>
      <x:c r="R284" s="59" t="n">
        <x:v>5</x:v>
      </x:c>
      <x:c r="S284" s="60" t="n">
        <x:v>77.85</x:v>
      </x:c>
      <x:c r="T284" s="60" t="n">
        <x:v>79.35</x:v>
      </x:c>
      <x:c r="U284" s="60" t="n">
        <x:v>78.6</x:v>
      </x:c>
      <x:c r="V284" s="60" t="n">
        <x:v>78</x:v>
      </x:c>
      <x:c r="W284" s="60" t="n">
        <x:v>78</x:v>
      </x:c>
      <x:c r="X284" s="60" t="n">
        <x:v>78</x:v>
      </x:c>
      <x:c r="Y284" s="60" t="n">
        <x:v>77</x:v>
      </x:c>
      <x:c r="Z284" s="60" t="n">
        <x:v>78</x:v>
      </x:c>
      <x:c r="AA284" s="60" t="n">
        <x:v>78</x:v>
      </x:c>
      <x:c r="AB284" s="60" t="n">
        <x:v>13</x:v>
      </x:c>
      <x:c r="AC284" s="60" t="n">
        <x:f>ROUND(((0.30*V284+0.20*W284+0.25*X284+0.15*Y284+0.10*AA284)+(0.30*Z284+0.20*X284+0.20*W284+0.15*AA284+0.15*(100-AB284)))/2,2)</x:f>
        <x:v>78.6</x:v>
      </x:c>
      <x:c r="AD284" s="60" t="n">
        <x:v>78</x:v>
      </x:c>
      <x:c r="AE284" s="60" t="n">
        <x:v>78</x:v>
      </x:c>
      <x:c r="AF284" s="60" t="n">
        <x:v>78</x:v>
      </x:c>
      <x:c r="AG284" s="60" t="n">
        <x:v>77</x:v>
      </x:c>
      <x:c r="AH284" s="60" t="n">
        <x:v>78</x:v>
      </x:c>
      <x:c r="AI284" s="60" t="n">
        <x:v>78</x:v>
      </x:c>
      <x:c r="AJ284" s="60" t="n">
        <x:v>13</x:v>
      </x:c>
      <x:c r="AK284" s="60" t="n">
        <x:f>ROUND(((0.30*AD284+0.20*AE284+0.25*AF284+0.15*AG284+0.10*AI284)+(0.30*AH284+0.20*AF284+0.20*AE284+0.15*AI284+0.15*(100-AJ284)))/2,2)</x:f>
        <x:v>78.6</x:v>
      </x:c>
      <x:c r="AL284" s="60" t="n">
        <x:v>78</x:v>
      </x:c>
      <x:c r="AM284" s="60" t="n">
        <x:v>78</x:v>
      </x:c>
      <x:c r="AN284" s="60" t="n">
        <x:v>78</x:v>
      </x:c>
      <x:c r="AO284" s="60" t="n">
        <x:v>77</x:v>
      </x:c>
      <x:c r="AP284" s="60" t="n">
        <x:v>78</x:v>
      </x:c>
      <x:c r="AQ284" s="60" t="n">
        <x:v>78</x:v>
      </x:c>
      <x:c r="AR284" s="60" t="n">
        <x:v>13</x:v>
      </x:c>
      <x:c r="AS284" s="60" t="n">
        <x:f>ROUND(((0.30*AL284+0.20*AM284+0.25*AN284+0.15*AO284+0.10*AQ284)+(0.30*AP284+0.20*AN284+0.20*AM284+0.15*AQ284+0.15*(100-AR284)))/2,2)</x:f>
        <x:v>78.6</x:v>
      </x:c>
      <x:c r="AT284" s="60" t="n">
        <x:f>ROUND(AVERAGE(V284,AD284,AL284),1)</x:f>
        <x:v>78</x:v>
      </x:c>
      <x:c r="AU284" s="60" t="n">
        <x:f>ROUND(AVERAGE(W284,AE284,AM284),1)</x:f>
        <x:v>78</x:v>
      </x:c>
      <x:c r="AV284" s="60" t="n">
        <x:f>ROUND(AVERAGE(X284,AF284,AN284),1)</x:f>
        <x:v>78</x:v>
      </x:c>
      <x:c r="AW284" s="60" t="n">
        <x:f>ROUND(AVERAGE(Y284,AG284,AO284),1)</x:f>
        <x:v>77</x:v>
      </x:c>
      <x:c r="AX284" s="60" t="n">
        <x:f>ROUND(AVERAGE(Z284,AH284,AP284),1)</x:f>
        <x:v>78</x:v>
      </x:c>
      <x:c r="AY284" s="60" t="n">
        <x:f>ROUND(AVERAGE(AA284,AI284,AQ284),1)</x:f>
        <x:v>78</x:v>
      </x:c>
      <x:c r="AZ284" s="60" t="n">
        <x:f>ROUND(AVERAGE(AB284,AJ284,AR284),1)</x:f>
        <x:v>13</x:v>
      </x:c>
      <x:c r="BA284" s="59" t="n">
        <x:v>5</x:v>
      </x:c>
      <x:c r="BB284" s="60" t="n">
        <x:f>ROUND(0.30*AT284+0.20*AU284+0.25*AV284+0.15*AW284+0.10*AY284,2)</x:f>
        <x:v>77.85</x:v>
      </x:c>
      <x:c r="BC284" s="60" t="n">
        <x:f>ROUND(0.30*AX284+0.20*AV284+0.20*AU284+0.15*AY284+0.15*(100-AZ284),2)</x:f>
        <x:v>79.35</x:v>
      </x:c>
      <x:c r="BD284" s="60" t="n">
        <x:f>ROUND(AVERAGE(BB284,BC284),2)</x:f>
        <x:v>78.6</x:v>
      </x:c>
      <x:c r="BE284" s="60" t="n">
        <x:f>ROUND(BD284-U284,2)</x:f>
        <x:v>0</x:v>
      </x:c>
      <x:c r="BF284" s="60" t="n">
        <x:f>ROUND(STDEV.P(AC284,AK284,AS284),3)</x:f>
        <x:v>0</x:v>
      </x:c>
      <x:c r="BG284" s="59" t="str"/>
      <x:c r="BH284" s="59" t="str">
        <x:v>30%评分池轻量复核</x:v>
      </x:c>
      <x:c r="BI284" s="40" t="str">
        <x:v>三轮复核后与原表基本一致</x:v>
      </x:c>
    </x:row>
    <x:row r="285" ht="30" customHeight="1">
      <x:c r="A285" s="59" t="n">
        <x:v>284</x:v>
      </x:c>
      <x:c r="B285" s="59" t="n">
        <x:v>286</x:v>
      </x:c>
      <x:c r="C285" s="59" t="str">
        <x:v>2026-06</x:v>
      </x:c>
      <x:c r="D285" s="59" t="n">
        <x:v>182</x:v>
      </x:c>
      <x:c r="E285" s="59" t="str">
        <x:v>2606.07767</x:v>
      </x:c>
      <x:c r="F285" s="40" t="str">
        <x:v>Energy maximum principle for vectorial higher order absolute minimisers in L^infty and L^p</x:v>
      </x:c>
      <x:c r="G285" s="40" t="str">
        <x:v>Simone Carano; Nikos Katzourakis; Roger Moser</x:v>
      </x:c>
      <x:c r="H285" s="40" t="str">
        <x:v>analysis/PDE</x:v>
      </x:c>
      <x:c r="I285" s="59"/>
      <x:c r="J285" s="40" t="str">
        <x:v>https://arxiv.org/abs/2606.07767</x:v>
      </x:c>
      <x:c r="K285" s="60" t="n">
        <x:v>78</x:v>
      </x:c>
      <x:c r="L285" s="60" t="n">
        <x:v>78</x:v>
      </x:c>
      <x:c r="M285" s="60" t="n">
        <x:v>78</x:v>
      </x:c>
      <x:c r="N285" s="60" t="n">
        <x:v>77</x:v>
      </x:c>
      <x:c r="O285" s="60" t="n">
        <x:v>78</x:v>
      </x:c>
      <x:c r="P285" s="60" t="n">
        <x:v>78</x:v>
      </x:c>
      <x:c r="Q285" s="60" t="n">
        <x:v>13</x:v>
      </x:c>
      <x:c r="R285" s="59" t="n">
        <x:v>5</x:v>
      </x:c>
      <x:c r="S285" s="60" t="n">
        <x:v>77.85</x:v>
      </x:c>
      <x:c r="T285" s="60" t="n">
        <x:v>79.35</x:v>
      </x:c>
      <x:c r="U285" s="60" t="n">
        <x:v>78.6</x:v>
      </x:c>
      <x:c r="V285" s="60" t="n">
        <x:v>78</x:v>
      </x:c>
      <x:c r="W285" s="60" t="n">
        <x:v>78</x:v>
      </x:c>
      <x:c r="X285" s="60" t="n">
        <x:v>78</x:v>
      </x:c>
      <x:c r="Y285" s="60" t="n">
        <x:v>77</x:v>
      </x:c>
      <x:c r="Z285" s="60" t="n">
        <x:v>78</x:v>
      </x:c>
      <x:c r="AA285" s="60" t="n">
        <x:v>78</x:v>
      </x:c>
      <x:c r="AB285" s="60" t="n">
        <x:v>13</x:v>
      </x:c>
      <x:c r="AC285" s="60" t="n">
        <x:f>ROUND(((0.30*V285+0.20*W285+0.25*X285+0.15*Y285+0.10*AA285)+(0.30*Z285+0.20*X285+0.20*W285+0.15*AA285+0.15*(100-AB285)))/2,2)</x:f>
        <x:v>78.6</x:v>
      </x:c>
      <x:c r="AD285" s="60" t="n">
        <x:v>78</x:v>
      </x:c>
      <x:c r="AE285" s="60" t="n">
        <x:v>78</x:v>
      </x:c>
      <x:c r="AF285" s="60" t="n">
        <x:v>78</x:v>
      </x:c>
      <x:c r="AG285" s="60" t="n">
        <x:v>77</x:v>
      </x:c>
      <x:c r="AH285" s="60" t="n">
        <x:v>78</x:v>
      </x:c>
      <x:c r="AI285" s="60" t="n">
        <x:v>78</x:v>
      </x:c>
      <x:c r="AJ285" s="60" t="n">
        <x:v>13</x:v>
      </x:c>
      <x:c r="AK285" s="60" t="n">
        <x:f>ROUND(((0.30*AD285+0.20*AE285+0.25*AF285+0.15*AG285+0.10*AI285)+(0.30*AH285+0.20*AF285+0.20*AE285+0.15*AI285+0.15*(100-AJ285)))/2,2)</x:f>
        <x:v>78.6</x:v>
      </x:c>
      <x:c r="AL285" s="60" t="n">
        <x:v>78</x:v>
      </x:c>
      <x:c r="AM285" s="60" t="n">
        <x:v>78</x:v>
      </x:c>
      <x:c r="AN285" s="60" t="n">
        <x:v>78</x:v>
      </x:c>
      <x:c r="AO285" s="60" t="n">
        <x:v>77</x:v>
      </x:c>
      <x:c r="AP285" s="60" t="n">
        <x:v>78</x:v>
      </x:c>
      <x:c r="AQ285" s="60" t="n">
        <x:v>78</x:v>
      </x:c>
      <x:c r="AR285" s="60" t="n">
        <x:v>13</x:v>
      </x:c>
      <x:c r="AS285" s="60" t="n">
        <x:f>ROUND(((0.30*AL285+0.20*AM285+0.25*AN285+0.15*AO285+0.10*AQ285)+(0.30*AP285+0.20*AN285+0.20*AM285+0.15*AQ285+0.15*(100-AR285)))/2,2)</x:f>
        <x:v>78.6</x:v>
      </x:c>
      <x:c r="AT285" s="60" t="n">
        <x:f>ROUND(AVERAGE(V285,AD285,AL285),1)</x:f>
        <x:v>78</x:v>
      </x:c>
      <x:c r="AU285" s="60" t="n">
        <x:f>ROUND(AVERAGE(W285,AE285,AM285),1)</x:f>
        <x:v>78</x:v>
      </x:c>
      <x:c r="AV285" s="60" t="n">
        <x:f>ROUND(AVERAGE(X285,AF285,AN285),1)</x:f>
        <x:v>78</x:v>
      </x:c>
      <x:c r="AW285" s="60" t="n">
        <x:f>ROUND(AVERAGE(Y285,AG285,AO285),1)</x:f>
        <x:v>77</x:v>
      </x:c>
      <x:c r="AX285" s="60" t="n">
        <x:f>ROUND(AVERAGE(Z285,AH285,AP285),1)</x:f>
        <x:v>78</x:v>
      </x:c>
      <x:c r="AY285" s="60" t="n">
        <x:f>ROUND(AVERAGE(AA285,AI285,AQ285),1)</x:f>
        <x:v>78</x:v>
      </x:c>
      <x:c r="AZ285" s="60" t="n">
        <x:f>ROUND(AVERAGE(AB285,AJ285,AR285),1)</x:f>
        <x:v>13</x:v>
      </x:c>
      <x:c r="BA285" s="59" t="n">
        <x:v>5</x:v>
      </x:c>
      <x:c r="BB285" s="60" t="n">
        <x:f>ROUND(0.30*AT285+0.20*AU285+0.25*AV285+0.15*AW285+0.10*AY285,2)</x:f>
        <x:v>77.85</x:v>
      </x:c>
      <x:c r="BC285" s="60" t="n">
        <x:f>ROUND(0.30*AX285+0.20*AV285+0.20*AU285+0.15*AY285+0.15*(100-AZ285),2)</x:f>
        <x:v>79.35</x:v>
      </x:c>
      <x:c r="BD285" s="60" t="n">
        <x:f>ROUND(AVERAGE(BB285,BC285),2)</x:f>
        <x:v>78.6</x:v>
      </x:c>
      <x:c r="BE285" s="60" t="n">
        <x:f>ROUND(BD285-U285,2)</x:f>
        <x:v>0</x:v>
      </x:c>
      <x:c r="BF285" s="60" t="n">
        <x:f>ROUND(STDEV.P(AC285,AK285,AS285),3)</x:f>
        <x:v>0</x:v>
      </x:c>
      <x:c r="BG285" s="59" t="str"/>
      <x:c r="BH285" s="59" t="str">
        <x:v>30%评分池轻量复核</x:v>
      </x:c>
      <x:c r="BI285" s="40" t="str">
        <x:v>三轮复核后与原表基本一致</x:v>
      </x:c>
    </x:row>
    <x:row r="286" ht="30" customHeight="1">
      <x:c r="A286" s="59" t="n">
        <x:v>285</x:v>
      </x:c>
      <x:c r="B286" s="59" t="n">
        <x:v>289</x:v>
      </x:c>
      <x:c r="C286" s="59" t="str">
        <x:v>2026-06</x:v>
      </x:c>
      <x:c r="D286" s="59" t="n">
        <x:v>182</x:v>
      </x:c>
      <x:c r="E286" s="59" t="str">
        <x:v>2606.06427</x:v>
      </x:c>
      <x:c r="F286" s="40" t="str">
        <x:v>Recovering stable kernels from exterior measurements</x:v>
      </x:c>
      <x:c r="G286" s="40" t="str">
        <x:v>Yi-Hsuan Lin</x:v>
      </x:c>
      <x:c r="H286" s="40" t="str">
        <x:v>analysis/PDE</x:v>
      </x:c>
      <x:c r="I286" s="59" t="n">
        <x:v>22</x:v>
      </x:c>
      <x:c r="J286" s="40" t="str">
        <x:v>https://arxiv.org/abs/2606.06427</x:v>
      </x:c>
      <x:c r="K286" s="60" t="n">
        <x:v>78</x:v>
      </x:c>
      <x:c r="L286" s="60" t="n">
        <x:v>78</x:v>
      </x:c>
      <x:c r="M286" s="60" t="n">
        <x:v>78</x:v>
      </x:c>
      <x:c r="N286" s="60" t="n">
        <x:v>77</x:v>
      </x:c>
      <x:c r="O286" s="60" t="n">
        <x:v>78</x:v>
      </x:c>
      <x:c r="P286" s="60" t="n">
        <x:v>78</x:v>
      </x:c>
      <x:c r="Q286" s="60" t="n">
        <x:v>13</x:v>
      </x:c>
      <x:c r="R286" s="59" t="n">
        <x:v>5</x:v>
      </x:c>
      <x:c r="S286" s="60" t="n">
        <x:v>77.85</x:v>
      </x:c>
      <x:c r="T286" s="60" t="n">
        <x:v>79.35</x:v>
      </x:c>
      <x:c r="U286" s="60" t="n">
        <x:v>78.6</x:v>
      </x:c>
      <x:c r="V286" s="60" t="n">
        <x:v>78</x:v>
      </x:c>
      <x:c r="W286" s="60" t="n">
        <x:v>78</x:v>
      </x:c>
      <x:c r="X286" s="60" t="n">
        <x:v>78</x:v>
      </x:c>
      <x:c r="Y286" s="60" t="n">
        <x:v>77</x:v>
      </x:c>
      <x:c r="Z286" s="60" t="n">
        <x:v>78</x:v>
      </x:c>
      <x:c r="AA286" s="60" t="n">
        <x:v>78</x:v>
      </x:c>
      <x:c r="AB286" s="60" t="n">
        <x:v>13</x:v>
      </x:c>
      <x:c r="AC286" s="60" t="n">
        <x:f>ROUND(((0.30*V286+0.20*W286+0.25*X286+0.15*Y286+0.10*AA286)+(0.30*Z286+0.20*X286+0.20*W286+0.15*AA286+0.15*(100-AB286)))/2,2)</x:f>
        <x:v>78.6</x:v>
      </x:c>
      <x:c r="AD286" s="60" t="n">
        <x:v>78</x:v>
      </x:c>
      <x:c r="AE286" s="60" t="n">
        <x:v>78</x:v>
      </x:c>
      <x:c r="AF286" s="60" t="n">
        <x:v>78</x:v>
      </x:c>
      <x:c r="AG286" s="60" t="n">
        <x:v>77</x:v>
      </x:c>
      <x:c r="AH286" s="60" t="n">
        <x:v>78</x:v>
      </x:c>
      <x:c r="AI286" s="60" t="n">
        <x:v>78</x:v>
      </x:c>
      <x:c r="AJ286" s="60" t="n">
        <x:v>13.4</x:v>
      </x:c>
      <x:c r="AK286" s="60" t="n">
        <x:f>ROUND(((0.30*AD286+0.20*AE286+0.25*AF286+0.15*AG286+0.10*AI286)+(0.30*AH286+0.20*AF286+0.20*AE286+0.15*AI286+0.15*(100-AJ286)))/2,2)</x:f>
        <x:v>78.57</x:v>
      </x:c>
      <x:c r="AL286" s="60" t="n">
        <x:v>78</x:v>
      </x:c>
      <x:c r="AM286" s="60" t="n">
        <x:v>78</x:v>
      </x:c>
      <x:c r="AN286" s="60" t="n">
        <x:v>78</x:v>
      </x:c>
      <x:c r="AO286" s="60" t="n">
        <x:v>77</x:v>
      </x:c>
      <x:c r="AP286" s="60" t="n">
        <x:v>78</x:v>
      </x:c>
      <x:c r="AQ286" s="60" t="n">
        <x:v>78</x:v>
      </x:c>
      <x:c r="AR286" s="60" t="n">
        <x:v>13</x:v>
      </x:c>
      <x:c r="AS286" s="60" t="n">
        <x:f>ROUND(((0.30*AL286+0.20*AM286+0.25*AN286+0.15*AO286+0.10*AQ286)+(0.30*AP286+0.20*AN286+0.20*AM286+0.15*AQ286+0.15*(100-AR286)))/2,2)</x:f>
        <x:v>78.6</x:v>
      </x:c>
      <x:c r="AT286" s="60" t="n">
        <x:f>ROUND(AVERAGE(V286,AD286,AL286),1)</x:f>
        <x:v>78</x:v>
      </x:c>
      <x:c r="AU286" s="60" t="n">
        <x:f>ROUND(AVERAGE(W286,AE286,AM286),1)</x:f>
        <x:v>78</x:v>
      </x:c>
      <x:c r="AV286" s="60" t="n">
        <x:f>ROUND(AVERAGE(X286,AF286,AN286),1)</x:f>
        <x:v>78</x:v>
      </x:c>
      <x:c r="AW286" s="60" t="n">
        <x:f>ROUND(AVERAGE(Y286,AG286,AO286),1)</x:f>
        <x:v>77</x:v>
      </x:c>
      <x:c r="AX286" s="60" t="n">
        <x:f>ROUND(AVERAGE(Z286,AH286,AP286),1)</x:f>
        <x:v>78</x:v>
      </x:c>
      <x:c r="AY286" s="60" t="n">
        <x:f>ROUND(AVERAGE(AA286,AI286,AQ286),1)</x:f>
        <x:v>78</x:v>
      </x:c>
      <x:c r="AZ286" s="60" t="n">
        <x:f>ROUND(AVERAGE(AB286,AJ286,AR286),1)</x:f>
        <x:v>13.1</x:v>
      </x:c>
      <x:c r="BA286" s="59" t="n">
        <x:v>5</x:v>
      </x:c>
      <x:c r="BB286" s="60" t="n">
        <x:f>ROUND(0.30*AT286+0.20*AU286+0.25*AV286+0.15*AW286+0.10*AY286,2)</x:f>
        <x:v>77.85</x:v>
      </x:c>
      <x:c r="BC286" s="60" t="n">
        <x:f>ROUND(0.30*AX286+0.20*AV286+0.20*AU286+0.15*AY286+0.15*(100-AZ286),2)</x:f>
        <x:v>79.33</x:v>
      </x:c>
      <x:c r="BD286" s="60" t="n">
        <x:f>ROUND(AVERAGE(BB286,BC286),2)</x:f>
        <x:v>78.59</x:v>
      </x:c>
      <x:c r="BE286" s="60" t="n">
        <x:f>ROUND(BD286-U286,2)</x:f>
        <x:v>-0.01</x:v>
      </x:c>
      <x:c r="BF286" s="60" t="n">
        <x:f>ROUND(STDEV.P(AC286,AK286,AS286),3)</x:f>
        <x:v>0.014</x:v>
      </x:c>
      <x:c r="BG286" s="59" t="str"/>
      <x:c r="BH286" s="59" t="str">
        <x:v>30%评分池轻量复核</x:v>
      </x:c>
      <x:c r="BI286" s="40" t="str">
        <x:v>三轮复核后与原表基本一致</x:v>
      </x:c>
    </x:row>
    <x:row r="287" ht="30" customHeight="1">
      <x:c r="A287" s="59" t="n">
        <x:v>286</x:v>
      </x:c>
      <x:c r="B287" s="59" t="n">
        <x:v>290</x:v>
      </x:c>
      <x:c r="C287" s="59" t="str">
        <x:v>2026-06</x:v>
      </x:c>
      <x:c r="D287" s="59" t="n">
        <x:v>182</x:v>
      </x:c>
      <x:c r="E287" s="59" t="str">
        <x:v>2606.06264</x:v>
      </x:c>
      <x:c r="F287" s="40" t="str">
        <x:v>Addendum to Spectral bounds for the operator pencil of an elliptic system in an angle</x:v>
      </x:c>
      <x:c r="G287" s="40" t="str">
        <x:v>Michael Tsopanopoulos</x:v>
      </x:c>
      <x:c r="H287" s="40" t="str">
        <x:v>analysis/PDE</x:v>
      </x:c>
      <x:c r="I287" s="59"/>
      <x:c r="J287" s="40" t="str">
        <x:v>https://arxiv.org/abs/2606.06264</x:v>
      </x:c>
      <x:c r="K287" s="60" t="n">
        <x:v>78</x:v>
      </x:c>
      <x:c r="L287" s="60" t="n">
        <x:v>78</x:v>
      </x:c>
      <x:c r="M287" s="60" t="n">
        <x:v>78</x:v>
      </x:c>
      <x:c r="N287" s="60" t="n">
        <x:v>77</x:v>
      </x:c>
      <x:c r="O287" s="60" t="n">
        <x:v>78</x:v>
      </x:c>
      <x:c r="P287" s="60" t="n">
        <x:v>78</x:v>
      </x:c>
      <x:c r="Q287" s="60" t="n">
        <x:v>13</x:v>
      </x:c>
      <x:c r="R287" s="59" t="n">
        <x:v>5</x:v>
      </x:c>
      <x:c r="S287" s="60" t="n">
        <x:v>77.85</x:v>
      </x:c>
      <x:c r="T287" s="60" t="n">
        <x:v>79.35</x:v>
      </x:c>
      <x:c r="U287" s="60" t="n">
        <x:v>78.6</x:v>
      </x:c>
      <x:c r="V287" s="60" t="n">
        <x:v>78</x:v>
      </x:c>
      <x:c r="W287" s="60" t="n">
        <x:v>78</x:v>
      </x:c>
      <x:c r="X287" s="60" t="n">
        <x:v>78</x:v>
      </x:c>
      <x:c r="Y287" s="60" t="n">
        <x:v>77</x:v>
      </x:c>
      <x:c r="Z287" s="60" t="n">
        <x:v>78</x:v>
      </x:c>
      <x:c r="AA287" s="60" t="n">
        <x:v>78</x:v>
      </x:c>
      <x:c r="AB287" s="60" t="n">
        <x:v>13</x:v>
      </x:c>
      <x:c r="AC287" s="60" t="n">
        <x:f>ROUND(((0.30*V287+0.20*W287+0.25*X287+0.15*Y287+0.10*AA287)+(0.30*Z287+0.20*X287+0.20*W287+0.15*AA287+0.15*(100-AB287)))/2,2)</x:f>
        <x:v>78.6</x:v>
      </x:c>
      <x:c r="AD287" s="60" t="n">
        <x:v>78</x:v>
      </x:c>
      <x:c r="AE287" s="60" t="n">
        <x:v>78</x:v>
      </x:c>
      <x:c r="AF287" s="60" t="n">
        <x:v>78</x:v>
      </x:c>
      <x:c r="AG287" s="60" t="n">
        <x:v>77</x:v>
      </x:c>
      <x:c r="AH287" s="60" t="n">
        <x:v>78</x:v>
      </x:c>
      <x:c r="AI287" s="60" t="n">
        <x:v>78</x:v>
      </x:c>
      <x:c r="AJ287" s="60" t="n">
        <x:v>13</x:v>
      </x:c>
      <x:c r="AK287" s="60" t="n">
        <x:f>ROUND(((0.30*AD287+0.20*AE287+0.25*AF287+0.15*AG287+0.10*AI287)+(0.30*AH287+0.20*AF287+0.20*AE287+0.15*AI287+0.15*(100-AJ287)))/2,2)</x:f>
        <x:v>78.6</x:v>
      </x:c>
      <x:c r="AL287" s="60" t="n">
        <x:v>78</x:v>
      </x:c>
      <x:c r="AM287" s="60" t="n">
        <x:v>78</x:v>
      </x:c>
      <x:c r="AN287" s="60" t="n">
        <x:v>78</x:v>
      </x:c>
      <x:c r="AO287" s="60" t="n">
        <x:v>77</x:v>
      </x:c>
      <x:c r="AP287" s="60" t="n">
        <x:v>78</x:v>
      </x:c>
      <x:c r="AQ287" s="60" t="n">
        <x:v>78</x:v>
      </x:c>
      <x:c r="AR287" s="60" t="n">
        <x:v>13</x:v>
      </x:c>
      <x:c r="AS287" s="60" t="n">
        <x:f>ROUND(((0.30*AL287+0.20*AM287+0.25*AN287+0.15*AO287+0.10*AQ287)+(0.30*AP287+0.20*AN287+0.20*AM287+0.15*AQ287+0.15*(100-AR287)))/2,2)</x:f>
        <x:v>78.6</x:v>
      </x:c>
      <x:c r="AT287" s="60" t="n">
        <x:f>ROUND(AVERAGE(V287,AD287,AL287),1)</x:f>
        <x:v>78</x:v>
      </x:c>
      <x:c r="AU287" s="60" t="n">
        <x:f>ROUND(AVERAGE(W287,AE287,AM287),1)</x:f>
        <x:v>78</x:v>
      </x:c>
      <x:c r="AV287" s="60" t="n">
        <x:f>ROUND(AVERAGE(X287,AF287,AN287),1)</x:f>
        <x:v>78</x:v>
      </x:c>
      <x:c r="AW287" s="60" t="n">
        <x:f>ROUND(AVERAGE(Y287,AG287,AO287),1)</x:f>
        <x:v>77</x:v>
      </x:c>
      <x:c r="AX287" s="60" t="n">
        <x:f>ROUND(AVERAGE(Z287,AH287,AP287),1)</x:f>
        <x:v>78</x:v>
      </x:c>
      <x:c r="AY287" s="60" t="n">
        <x:f>ROUND(AVERAGE(AA287,AI287,AQ287),1)</x:f>
        <x:v>78</x:v>
      </x:c>
      <x:c r="AZ287" s="60" t="n">
        <x:f>ROUND(AVERAGE(AB287,AJ287,AR287),1)</x:f>
        <x:v>13</x:v>
      </x:c>
      <x:c r="BA287" s="59" t="n">
        <x:v>5</x:v>
      </x:c>
      <x:c r="BB287" s="60" t="n">
        <x:f>ROUND(0.30*AT287+0.20*AU287+0.25*AV287+0.15*AW287+0.10*AY287,2)</x:f>
        <x:v>77.85</x:v>
      </x:c>
      <x:c r="BC287" s="60" t="n">
        <x:f>ROUND(0.30*AX287+0.20*AV287+0.20*AU287+0.15*AY287+0.15*(100-AZ287),2)</x:f>
        <x:v>79.35</x:v>
      </x:c>
      <x:c r="BD287" s="60" t="n">
        <x:f>ROUND(AVERAGE(BB287,BC287),2)</x:f>
        <x:v>78.6</x:v>
      </x:c>
      <x:c r="BE287" s="60" t="n">
        <x:f>ROUND(BD287-U287,2)</x:f>
        <x:v>0</x:v>
      </x:c>
      <x:c r="BF287" s="60" t="n">
        <x:f>ROUND(STDEV.P(AC287,AK287,AS287),3)</x:f>
        <x:v>0</x:v>
      </x:c>
      <x:c r="BG287" s="59" t="str"/>
      <x:c r="BH287" s="59" t="str">
        <x:v>30%评分池轻量复核</x:v>
      </x:c>
      <x:c r="BI287" s="40" t="str">
        <x:v>三轮复核后与原表基本一致</x:v>
      </x:c>
    </x:row>
    <x:row r="288" ht="30" customHeight="1">
      <x:c r="A288" s="59" t="n">
        <x:v>287</x:v>
      </x:c>
      <x:c r="B288" s="59" t="n">
        <x:v>291</x:v>
      </x:c>
      <x:c r="C288" s="59" t="str">
        <x:v>2026-06</x:v>
      </x:c>
      <x:c r="D288" s="59" t="n">
        <x:v>182</x:v>
      </x:c>
      <x:c r="E288" s="59" t="str">
        <x:v>2606.06172</x:v>
      </x:c>
      <x:c r="F288" s="40" t="str">
        <x:v>Small deformations of a near cylindrical tube for the Canham-Helfrich Energy with applications to biological membranes</x:v>
      </x:c>
      <x:c r="G288" s="40" t="str">
        <x:v>Charles M. Elliott; Carsten Graser; Philip J. Herbert</x:v>
      </x:c>
      <x:c r="H288" s="40" t="str">
        <x:v>analysis/PDE</x:v>
      </x:c>
      <x:c r="I288" s="59"/>
      <x:c r="J288" s="40" t="str">
        <x:v>https://arxiv.org/abs/2606.06172</x:v>
      </x:c>
      <x:c r="K288" s="60" t="n">
        <x:v>78</x:v>
      </x:c>
      <x:c r="L288" s="60" t="n">
        <x:v>78</x:v>
      </x:c>
      <x:c r="M288" s="60" t="n">
        <x:v>78</x:v>
      </x:c>
      <x:c r="N288" s="60" t="n">
        <x:v>77</x:v>
      </x:c>
      <x:c r="O288" s="60" t="n">
        <x:v>78</x:v>
      </x:c>
      <x:c r="P288" s="60" t="n">
        <x:v>78</x:v>
      </x:c>
      <x:c r="Q288" s="60" t="n">
        <x:v>13</x:v>
      </x:c>
      <x:c r="R288" s="59" t="n">
        <x:v>5</x:v>
      </x:c>
      <x:c r="S288" s="60" t="n">
        <x:v>77.85</x:v>
      </x:c>
      <x:c r="T288" s="60" t="n">
        <x:v>79.35</x:v>
      </x:c>
      <x:c r="U288" s="60" t="n">
        <x:v>78.6</x:v>
      </x:c>
      <x:c r="V288" s="60" t="n">
        <x:v>78</x:v>
      </x:c>
      <x:c r="W288" s="60" t="n">
        <x:v>78</x:v>
      </x:c>
      <x:c r="X288" s="60" t="n">
        <x:v>78</x:v>
      </x:c>
      <x:c r="Y288" s="60" t="n">
        <x:v>77</x:v>
      </x:c>
      <x:c r="Z288" s="60" t="n">
        <x:v>78</x:v>
      </x:c>
      <x:c r="AA288" s="60" t="n">
        <x:v>78</x:v>
      </x:c>
      <x:c r="AB288" s="60" t="n">
        <x:v>13</x:v>
      </x:c>
      <x:c r="AC288" s="60" t="n">
        <x:f>ROUND(((0.30*V288+0.20*W288+0.25*X288+0.15*Y288+0.10*AA288)+(0.30*Z288+0.20*X288+0.20*W288+0.15*AA288+0.15*(100-AB288)))/2,2)</x:f>
        <x:v>78.6</x:v>
      </x:c>
      <x:c r="AD288" s="60" t="n">
        <x:v>78</x:v>
      </x:c>
      <x:c r="AE288" s="60" t="n">
        <x:v>78</x:v>
      </x:c>
      <x:c r="AF288" s="60" t="n">
        <x:v>78</x:v>
      </x:c>
      <x:c r="AG288" s="60" t="n">
        <x:v>77</x:v>
      </x:c>
      <x:c r="AH288" s="60" t="n">
        <x:v>78</x:v>
      </x:c>
      <x:c r="AI288" s="60" t="n">
        <x:v>78</x:v>
      </x:c>
      <x:c r="AJ288" s="60" t="n">
        <x:v>13</x:v>
      </x:c>
      <x:c r="AK288" s="60" t="n">
        <x:f>ROUND(((0.30*AD288+0.20*AE288+0.25*AF288+0.15*AG288+0.10*AI288)+(0.30*AH288+0.20*AF288+0.20*AE288+0.15*AI288+0.15*(100-AJ288)))/2,2)</x:f>
        <x:v>78.6</x:v>
      </x:c>
      <x:c r="AL288" s="60" t="n">
        <x:v>78</x:v>
      </x:c>
      <x:c r="AM288" s="60" t="n">
        <x:v>78</x:v>
      </x:c>
      <x:c r="AN288" s="60" t="n">
        <x:v>78</x:v>
      </x:c>
      <x:c r="AO288" s="60" t="n">
        <x:v>77</x:v>
      </x:c>
      <x:c r="AP288" s="60" t="n">
        <x:v>78</x:v>
      </x:c>
      <x:c r="AQ288" s="60" t="n">
        <x:v>78</x:v>
      </x:c>
      <x:c r="AR288" s="60" t="n">
        <x:v>13</x:v>
      </x:c>
      <x:c r="AS288" s="60" t="n">
        <x:f>ROUND(((0.30*AL288+0.20*AM288+0.25*AN288+0.15*AO288+0.10*AQ288)+(0.30*AP288+0.20*AN288+0.20*AM288+0.15*AQ288+0.15*(100-AR288)))/2,2)</x:f>
        <x:v>78.6</x:v>
      </x:c>
      <x:c r="AT288" s="60" t="n">
        <x:f>ROUND(AVERAGE(V288,AD288,AL288),1)</x:f>
        <x:v>78</x:v>
      </x:c>
      <x:c r="AU288" s="60" t="n">
        <x:f>ROUND(AVERAGE(W288,AE288,AM288),1)</x:f>
        <x:v>78</x:v>
      </x:c>
      <x:c r="AV288" s="60" t="n">
        <x:f>ROUND(AVERAGE(X288,AF288,AN288),1)</x:f>
        <x:v>78</x:v>
      </x:c>
      <x:c r="AW288" s="60" t="n">
        <x:f>ROUND(AVERAGE(Y288,AG288,AO288),1)</x:f>
        <x:v>77</x:v>
      </x:c>
      <x:c r="AX288" s="60" t="n">
        <x:f>ROUND(AVERAGE(Z288,AH288,AP288),1)</x:f>
        <x:v>78</x:v>
      </x:c>
      <x:c r="AY288" s="60" t="n">
        <x:f>ROUND(AVERAGE(AA288,AI288,AQ288),1)</x:f>
        <x:v>78</x:v>
      </x:c>
      <x:c r="AZ288" s="60" t="n">
        <x:f>ROUND(AVERAGE(AB288,AJ288,AR288),1)</x:f>
        <x:v>13</x:v>
      </x:c>
      <x:c r="BA288" s="59" t="n">
        <x:v>5</x:v>
      </x:c>
      <x:c r="BB288" s="60" t="n">
        <x:f>ROUND(0.30*AT288+0.20*AU288+0.25*AV288+0.15*AW288+0.10*AY288,2)</x:f>
        <x:v>77.85</x:v>
      </x:c>
      <x:c r="BC288" s="60" t="n">
        <x:f>ROUND(0.30*AX288+0.20*AV288+0.20*AU288+0.15*AY288+0.15*(100-AZ288),2)</x:f>
        <x:v>79.35</x:v>
      </x:c>
      <x:c r="BD288" s="60" t="n">
        <x:f>ROUND(AVERAGE(BB288,BC288),2)</x:f>
        <x:v>78.6</x:v>
      </x:c>
      <x:c r="BE288" s="60" t="n">
        <x:f>ROUND(BD288-U288,2)</x:f>
        <x:v>0</x:v>
      </x:c>
      <x:c r="BF288" s="60" t="n">
        <x:f>ROUND(STDEV.P(AC288,AK288,AS288),3)</x:f>
        <x:v>0</x:v>
      </x:c>
      <x:c r="BG288" s="59" t="str"/>
      <x:c r="BH288" s="59" t="str">
        <x:v>30%评分池轻量复核</x:v>
      </x:c>
      <x:c r="BI288" s="40" t="str">
        <x:v>三轮复核后与原表基本一致</x:v>
      </x:c>
    </x:row>
    <x:row r="289" ht="30" customHeight="1">
      <x:c r="A289" s="59" t="n">
        <x:v>288</x:v>
      </x:c>
      <x:c r="B289" s="59" t="n">
        <x:v>284</x:v>
      </x:c>
      <x:c r="C289" s="59" t="str">
        <x:v>2026-06</x:v>
      </x:c>
      <x:c r="D289" s="59" t="n">
        <x:v>182</x:v>
      </x:c>
      <x:c r="E289" s="59" t="str">
        <x:v>2606.07977</x:v>
      </x:c>
      <x:c r="F289" s="40" t="str">
        <x:v>Local Boundedness of Local Minimizers for a Class of Nonlinear Elliptic Systems with General Growth</x:v>
      </x:c>
      <x:c r="G289" s="40" t="str">
        <x:v>Elvira Mascolo; Antonella Nastasi; Cintia Pacchiano Camacho</x:v>
      </x:c>
      <x:c r="H289" s="40" t="str">
        <x:v>elliptic/parabolic regularity</x:v>
      </x:c>
      <x:c r="I289" s="59"/>
      <x:c r="J289" s="40" t="str">
        <x:v>https://arxiv.org/abs/2606.07977</x:v>
      </x:c>
      <x:c r="K289" s="60" t="n">
        <x:v>78</x:v>
      </x:c>
      <x:c r="L289" s="60" t="n">
        <x:v>78</x:v>
      </x:c>
      <x:c r="M289" s="60" t="n">
        <x:v>78</x:v>
      </x:c>
      <x:c r="N289" s="60" t="n">
        <x:v>77</x:v>
      </x:c>
      <x:c r="O289" s="60" t="n">
        <x:v>78</x:v>
      </x:c>
      <x:c r="P289" s="60" t="n">
        <x:v>78</x:v>
      </x:c>
      <x:c r="Q289" s="60" t="n">
        <x:v>13</x:v>
      </x:c>
      <x:c r="R289" s="59" t="n">
        <x:v>5</x:v>
      </x:c>
      <x:c r="S289" s="60" t="n">
        <x:v>77.85</x:v>
      </x:c>
      <x:c r="T289" s="60" t="n">
        <x:v>79.35</x:v>
      </x:c>
      <x:c r="U289" s="60" t="n">
        <x:v>78.6</x:v>
      </x:c>
      <x:c r="V289" s="60" t="n">
        <x:v>78</x:v>
      </x:c>
      <x:c r="W289" s="60" t="n">
        <x:v>78</x:v>
      </x:c>
      <x:c r="X289" s="60" t="n">
        <x:v>78</x:v>
      </x:c>
      <x:c r="Y289" s="60" t="n">
        <x:v>76.9</x:v>
      </x:c>
      <x:c r="Z289" s="60" t="n">
        <x:v>78</x:v>
      </x:c>
      <x:c r="AA289" s="60" t="n">
        <x:v>78</x:v>
      </x:c>
      <x:c r="AB289" s="60" t="n">
        <x:v>13</x:v>
      </x:c>
      <x:c r="AC289" s="60" t="n">
        <x:f>ROUND(((0.30*V289+0.20*W289+0.25*X289+0.15*Y289+0.10*AA289)+(0.30*Z289+0.20*X289+0.20*W289+0.15*AA289+0.15*(100-AB289)))/2,2)</x:f>
        <x:v>78.59</x:v>
      </x:c>
      <x:c r="AD289" s="60" t="n">
        <x:v>78</x:v>
      </x:c>
      <x:c r="AE289" s="60" t="n">
        <x:v>78</x:v>
      </x:c>
      <x:c r="AF289" s="60" t="n">
        <x:v>78</x:v>
      </x:c>
      <x:c r="AG289" s="60" t="n">
        <x:v>76.9</x:v>
      </x:c>
      <x:c r="AH289" s="60" t="n">
        <x:v>78</x:v>
      </x:c>
      <x:c r="AI289" s="60" t="n">
        <x:v>78</x:v>
      </x:c>
      <x:c r="AJ289" s="60" t="n">
        <x:v>13</x:v>
      </x:c>
      <x:c r="AK289" s="60" t="n">
        <x:f>ROUND(((0.30*AD289+0.20*AE289+0.25*AF289+0.15*AG289+0.10*AI289)+(0.30*AH289+0.20*AF289+0.20*AE289+0.15*AI289+0.15*(100-AJ289)))/2,2)</x:f>
        <x:v>78.59</x:v>
      </x:c>
      <x:c r="AL289" s="60" t="n">
        <x:v>78</x:v>
      </x:c>
      <x:c r="AM289" s="60" t="n">
        <x:v>78</x:v>
      </x:c>
      <x:c r="AN289" s="60" t="n">
        <x:v>78</x:v>
      </x:c>
      <x:c r="AO289" s="60" t="n">
        <x:v>76.9</x:v>
      </x:c>
      <x:c r="AP289" s="60" t="n">
        <x:v>78</x:v>
      </x:c>
      <x:c r="AQ289" s="60" t="n">
        <x:v>78</x:v>
      </x:c>
      <x:c r="AR289" s="60" t="n">
        <x:v>13</x:v>
      </x:c>
      <x:c r="AS289" s="60" t="n">
        <x:f>ROUND(((0.30*AL289+0.20*AM289+0.25*AN289+0.15*AO289+0.10*AQ289)+(0.30*AP289+0.20*AN289+0.20*AM289+0.15*AQ289+0.15*(100-AR289)))/2,2)</x:f>
        <x:v>78.59</x:v>
      </x:c>
      <x:c r="AT289" s="60" t="n">
        <x:f>ROUND(AVERAGE(V289,AD289,AL289),1)</x:f>
        <x:v>78</x:v>
      </x:c>
      <x:c r="AU289" s="60" t="n">
        <x:f>ROUND(AVERAGE(W289,AE289,AM289),1)</x:f>
        <x:v>78</x:v>
      </x:c>
      <x:c r="AV289" s="60" t="n">
        <x:f>ROUND(AVERAGE(X289,AF289,AN289),1)</x:f>
        <x:v>78</x:v>
      </x:c>
      <x:c r="AW289" s="60" t="n">
        <x:f>ROUND(AVERAGE(Y289,AG289,AO289),1)</x:f>
        <x:v>76.9</x:v>
      </x:c>
      <x:c r="AX289" s="60" t="n">
        <x:f>ROUND(AVERAGE(Z289,AH289,AP289),1)</x:f>
        <x:v>78</x:v>
      </x:c>
      <x:c r="AY289" s="60" t="n">
        <x:f>ROUND(AVERAGE(AA289,AI289,AQ289),1)</x:f>
        <x:v>78</x:v>
      </x:c>
      <x:c r="AZ289" s="60" t="n">
        <x:f>ROUND(AVERAGE(AB289,AJ289,AR289),1)</x:f>
        <x:v>13</x:v>
      </x:c>
      <x:c r="BA289" s="59" t="n">
        <x:v>5</x:v>
      </x:c>
      <x:c r="BB289" s="60" t="n">
        <x:f>ROUND(0.30*AT289+0.20*AU289+0.25*AV289+0.15*AW289+0.10*AY289,2)</x:f>
        <x:v>77.83</x:v>
      </x:c>
      <x:c r="BC289" s="60" t="n">
        <x:f>ROUND(0.30*AX289+0.20*AV289+0.20*AU289+0.15*AY289+0.15*(100-AZ289),2)</x:f>
        <x:v>79.35</x:v>
      </x:c>
      <x:c r="BD289" s="60" t="n">
        <x:f>ROUND(AVERAGE(BB289,BC289),2)</x:f>
        <x:v>78.59</x:v>
      </x:c>
      <x:c r="BE289" s="60" t="n">
        <x:f>ROUND(BD289-U289,2)</x:f>
        <x:v>-0.01</x:v>
      </x:c>
      <x:c r="BF289" s="60" t="n">
        <x:f>ROUND(STDEV.P(AC289,AK289,AS289),3)</x:f>
        <x:v>0</x:v>
      </x:c>
      <x:c r="BG289" s="59" t="str"/>
      <x:c r="BH289" s="59" t="str">
        <x:v>30%评分池轻量复核</x:v>
      </x:c>
      <x:c r="BI289" s="40" t="str">
        <x:v>范围偏专门，广度轻微回调</x:v>
      </x:c>
    </x:row>
    <x:row r="290" ht="30" customHeight="1">
      <x:c r="A290" s="59" t="n">
        <x:v>289</x:v>
      </x:c>
      <x:c r="B290" s="59" t="n">
        <x:v>288</x:v>
      </x:c>
      <x:c r="C290" s="59" t="str">
        <x:v>2026-06</x:v>
      </x:c>
      <x:c r="D290" s="59" t="n">
        <x:v>182</x:v>
      </x:c>
      <x:c r="E290" s="59" t="str">
        <x:v>2606.06677</x:v>
      </x:c>
      <x:c r="F290" s="40" t="str">
        <x:v>Self-improving properties for a class of elliptic and parabolic equations on bounded domains</x:v>
      </x:c>
      <x:c r="G290" s="40" t="str">
        <x:v>Tadele Mengesha; Abner J. Salgado</x:v>
      </x:c>
      <x:c r="H290" s="40" t="str">
        <x:v>analysis/PDE</x:v>
      </x:c>
      <x:c r="I290" s="59"/>
      <x:c r="J290" s="40" t="str">
        <x:v>https://arxiv.org/abs/2606.06677</x:v>
      </x:c>
      <x:c r="K290" s="60" t="n">
        <x:v>78</x:v>
      </x:c>
      <x:c r="L290" s="60" t="n">
        <x:v>78</x:v>
      </x:c>
      <x:c r="M290" s="60" t="n">
        <x:v>78</x:v>
      </x:c>
      <x:c r="N290" s="60" t="n">
        <x:v>77</x:v>
      </x:c>
      <x:c r="O290" s="60" t="n">
        <x:v>78</x:v>
      </x:c>
      <x:c r="P290" s="60" t="n">
        <x:v>78</x:v>
      </x:c>
      <x:c r="Q290" s="60" t="n">
        <x:v>13</x:v>
      </x:c>
      <x:c r="R290" s="59" t="n">
        <x:v>5</x:v>
      </x:c>
      <x:c r="S290" s="60" t="n">
        <x:v>77.85</x:v>
      </x:c>
      <x:c r="T290" s="60" t="n">
        <x:v>79.35</x:v>
      </x:c>
      <x:c r="U290" s="60" t="n">
        <x:v>78.6</x:v>
      </x:c>
      <x:c r="V290" s="60" t="n">
        <x:v>78</x:v>
      </x:c>
      <x:c r="W290" s="60" t="n">
        <x:v>78</x:v>
      </x:c>
      <x:c r="X290" s="60" t="n">
        <x:v>78</x:v>
      </x:c>
      <x:c r="Y290" s="60" t="n">
        <x:v>76.9</x:v>
      </x:c>
      <x:c r="Z290" s="60" t="n">
        <x:v>78</x:v>
      </x:c>
      <x:c r="AA290" s="60" t="n">
        <x:v>78</x:v>
      </x:c>
      <x:c r="AB290" s="60" t="n">
        <x:v>13</x:v>
      </x:c>
      <x:c r="AC290" s="60" t="n">
        <x:f>ROUND(((0.30*V290+0.20*W290+0.25*X290+0.15*Y290+0.10*AA290)+(0.30*Z290+0.20*X290+0.20*W290+0.15*AA290+0.15*(100-AB290)))/2,2)</x:f>
        <x:v>78.59</x:v>
      </x:c>
      <x:c r="AD290" s="60" t="n">
        <x:v>78</x:v>
      </x:c>
      <x:c r="AE290" s="60" t="n">
        <x:v>78</x:v>
      </x:c>
      <x:c r="AF290" s="60" t="n">
        <x:v>78</x:v>
      </x:c>
      <x:c r="AG290" s="60" t="n">
        <x:v>76.9</x:v>
      </x:c>
      <x:c r="AH290" s="60" t="n">
        <x:v>78</x:v>
      </x:c>
      <x:c r="AI290" s="60" t="n">
        <x:v>78</x:v>
      </x:c>
      <x:c r="AJ290" s="60" t="n">
        <x:v>13</x:v>
      </x:c>
      <x:c r="AK290" s="60" t="n">
        <x:f>ROUND(((0.30*AD290+0.20*AE290+0.25*AF290+0.15*AG290+0.10*AI290)+(0.30*AH290+0.20*AF290+0.20*AE290+0.15*AI290+0.15*(100-AJ290)))/2,2)</x:f>
        <x:v>78.59</x:v>
      </x:c>
      <x:c r="AL290" s="60" t="n">
        <x:v>78</x:v>
      </x:c>
      <x:c r="AM290" s="60" t="n">
        <x:v>78</x:v>
      </x:c>
      <x:c r="AN290" s="60" t="n">
        <x:v>78</x:v>
      </x:c>
      <x:c r="AO290" s="60" t="n">
        <x:v>76.9</x:v>
      </x:c>
      <x:c r="AP290" s="60" t="n">
        <x:v>78</x:v>
      </x:c>
      <x:c r="AQ290" s="60" t="n">
        <x:v>78</x:v>
      </x:c>
      <x:c r="AR290" s="60" t="n">
        <x:v>13</x:v>
      </x:c>
      <x:c r="AS290" s="60" t="n">
        <x:f>ROUND(((0.30*AL290+0.20*AM290+0.25*AN290+0.15*AO290+0.10*AQ290)+(0.30*AP290+0.20*AN290+0.20*AM290+0.15*AQ290+0.15*(100-AR290)))/2,2)</x:f>
        <x:v>78.59</x:v>
      </x:c>
      <x:c r="AT290" s="60" t="n">
        <x:f>ROUND(AVERAGE(V290,AD290,AL290),1)</x:f>
        <x:v>78</x:v>
      </x:c>
      <x:c r="AU290" s="60" t="n">
        <x:f>ROUND(AVERAGE(W290,AE290,AM290),1)</x:f>
        <x:v>78</x:v>
      </x:c>
      <x:c r="AV290" s="60" t="n">
        <x:f>ROUND(AVERAGE(X290,AF290,AN290),1)</x:f>
        <x:v>78</x:v>
      </x:c>
      <x:c r="AW290" s="60" t="n">
        <x:f>ROUND(AVERAGE(Y290,AG290,AO290),1)</x:f>
        <x:v>76.9</x:v>
      </x:c>
      <x:c r="AX290" s="60" t="n">
        <x:f>ROUND(AVERAGE(Z290,AH290,AP290),1)</x:f>
        <x:v>78</x:v>
      </x:c>
      <x:c r="AY290" s="60" t="n">
        <x:f>ROUND(AVERAGE(AA290,AI290,AQ290),1)</x:f>
        <x:v>78</x:v>
      </x:c>
      <x:c r="AZ290" s="60" t="n">
        <x:f>ROUND(AVERAGE(AB290,AJ290,AR290),1)</x:f>
        <x:v>13</x:v>
      </x:c>
      <x:c r="BA290" s="59" t="n">
        <x:v>5</x:v>
      </x:c>
      <x:c r="BB290" s="60" t="n">
        <x:f>ROUND(0.30*AT290+0.20*AU290+0.25*AV290+0.15*AW290+0.10*AY290,2)</x:f>
        <x:v>77.83</x:v>
      </x:c>
      <x:c r="BC290" s="60" t="n">
        <x:f>ROUND(0.30*AX290+0.20*AV290+0.20*AU290+0.15*AY290+0.15*(100-AZ290),2)</x:f>
        <x:v>79.35</x:v>
      </x:c>
      <x:c r="BD290" s="60" t="n">
        <x:f>ROUND(AVERAGE(BB290,BC290),2)</x:f>
        <x:v>78.59</x:v>
      </x:c>
      <x:c r="BE290" s="60" t="n">
        <x:f>ROUND(BD290-U290,2)</x:f>
        <x:v>-0.01</x:v>
      </x:c>
      <x:c r="BF290" s="60" t="n">
        <x:f>ROUND(STDEV.P(AC290,AK290,AS290),3)</x:f>
        <x:v>0</x:v>
      </x:c>
      <x:c r="BG290" s="59" t="str"/>
      <x:c r="BH290" s="59" t="str">
        <x:v>30%评分池轻量复核</x:v>
      </x:c>
      <x:c r="BI290" s="40" t="str">
        <x:v>范围偏专门，广度轻微回调</x:v>
      </x:c>
    </x:row>
    <x:row r="291" ht="30" customHeight="1">
      <x:c r="A291" s="59" t="n">
        <x:v>290</x:v>
      </x:c>
      <x:c r="B291" s="59" t="n">
        <x:v>282</x:v>
      </x:c>
      <x:c r="C291" s="59" t="str">
        <x:v>2026-06</x:v>
      </x:c>
      <x:c r="D291" s="59" t="n">
        <x:v>182</x:v>
      </x:c>
      <x:c r="E291" s="59" t="str">
        <x:v>2606.08330</x:v>
      </x:c>
      <x:c r="F291" s="40" t="str">
        <x:v>On chain rule and renormalization</x:v>
      </x:c>
      <x:c r="G291" s="40" t="str">
        <x:v>Roman V. Dribas; Nikolay A. Gusev</x:v>
      </x:c>
      <x:c r="H291" s="40" t="str">
        <x:v>analysis/PDE</x:v>
      </x:c>
      <x:c r="I291" s="59" t="n">
        <x:v>12</x:v>
      </x:c>
      <x:c r="J291" s="40" t="str">
        <x:v>https://arxiv.org/abs/2606.08330</x:v>
      </x:c>
      <x:c r="K291" s="60" t="n">
        <x:v>78</x:v>
      </x:c>
      <x:c r="L291" s="60" t="n">
        <x:v>78</x:v>
      </x:c>
      <x:c r="M291" s="60" t="n">
        <x:v>78</x:v>
      </x:c>
      <x:c r="N291" s="60" t="n">
        <x:v>77</x:v>
      </x:c>
      <x:c r="O291" s="60" t="n">
        <x:v>78</x:v>
      </x:c>
      <x:c r="P291" s="60" t="n">
        <x:v>78</x:v>
      </x:c>
      <x:c r="Q291" s="60" t="n">
        <x:v>13</x:v>
      </x:c>
      <x:c r="R291" s="59" t="n">
        <x:v>5</x:v>
      </x:c>
      <x:c r="S291" s="60" t="n">
        <x:v>77.85</x:v>
      </x:c>
      <x:c r="T291" s="60" t="n">
        <x:v>79.35</x:v>
      </x:c>
      <x:c r="U291" s="60" t="n">
        <x:v>78.6</x:v>
      </x:c>
      <x:c r="V291" s="60" t="n">
        <x:v>78</x:v>
      </x:c>
      <x:c r="W291" s="60" t="n">
        <x:v>78</x:v>
      </x:c>
      <x:c r="X291" s="60" t="n">
        <x:v>78</x:v>
      </x:c>
      <x:c r="Y291" s="60" t="n">
        <x:v>77</x:v>
      </x:c>
      <x:c r="Z291" s="60" t="n">
        <x:v>78</x:v>
      </x:c>
      <x:c r="AA291" s="60" t="n">
        <x:v>78</x:v>
      </x:c>
      <x:c r="AB291" s="60" t="n">
        <x:v>13</x:v>
      </x:c>
      <x:c r="AC291" s="60" t="n">
        <x:f>ROUND(((0.30*V291+0.20*W291+0.25*X291+0.15*Y291+0.10*AA291)+(0.30*Z291+0.20*X291+0.20*W291+0.15*AA291+0.15*(100-AB291)))/2,2)</x:f>
        <x:v>78.6</x:v>
      </x:c>
      <x:c r="AD291" s="60" t="n">
        <x:v>78</x:v>
      </x:c>
      <x:c r="AE291" s="60" t="n">
        <x:v>78</x:v>
      </x:c>
      <x:c r="AF291" s="60" t="n">
        <x:v>78</x:v>
      </x:c>
      <x:c r="AG291" s="60" t="n">
        <x:v>77</x:v>
      </x:c>
      <x:c r="AH291" s="60" t="n">
        <x:v>78</x:v>
      </x:c>
      <x:c r="AI291" s="60" t="n">
        <x:v>78</x:v>
      </x:c>
      <x:c r="AJ291" s="60" t="n">
        <x:v>13.4</x:v>
      </x:c>
      <x:c r="AK291" s="60" t="n">
        <x:f>ROUND(((0.30*AD291+0.20*AE291+0.25*AF291+0.15*AG291+0.10*AI291)+(0.30*AH291+0.20*AF291+0.20*AE291+0.15*AI291+0.15*(100-AJ291)))/2,2)</x:f>
        <x:v>78.57</x:v>
      </x:c>
      <x:c r="AL291" s="60" t="n">
        <x:v>78</x:v>
      </x:c>
      <x:c r="AM291" s="60" t="n">
        <x:v>78</x:v>
      </x:c>
      <x:c r="AN291" s="60" t="n">
        <x:v>78</x:v>
      </x:c>
      <x:c r="AO291" s="60" t="n">
        <x:v>77</x:v>
      </x:c>
      <x:c r="AP291" s="60" t="n">
        <x:v>78</x:v>
      </x:c>
      <x:c r="AQ291" s="60" t="n">
        <x:v>78</x:v>
      </x:c>
      <x:c r="AR291" s="60" t="n">
        <x:v>13.5</x:v>
      </x:c>
      <x:c r="AS291" s="60" t="n">
        <x:f>ROUND(((0.30*AL291+0.20*AM291+0.25*AN291+0.15*AO291+0.10*AQ291)+(0.30*AP291+0.20*AN291+0.20*AM291+0.15*AQ291+0.15*(100-AR291)))/2,2)</x:f>
        <x:v>78.56</x:v>
      </x:c>
      <x:c r="AT291" s="60" t="n">
        <x:f>ROUND(AVERAGE(V291,AD291,AL291),1)</x:f>
        <x:v>78</x:v>
      </x:c>
      <x:c r="AU291" s="60" t="n">
        <x:f>ROUND(AVERAGE(W291,AE291,AM291),1)</x:f>
        <x:v>78</x:v>
      </x:c>
      <x:c r="AV291" s="60" t="n">
        <x:f>ROUND(AVERAGE(X291,AF291,AN291),1)</x:f>
        <x:v>78</x:v>
      </x:c>
      <x:c r="AW291" s="60" t="n">
        <x:f>ROUND(AVERAGE(Y291,AG291,AO291),1)</x:f>
        <x:v>77</x:v>
      </x:c>
      <x:c r="AX291" s="60" t="n">
        <x:f>ROUND(AVERAGE(Z291,AH291,AP291),1)</x:f>
        <x:v>78</x:v>
      </x:c>
      <x:c r="AY291" s="60" t="n">
        <x:f>ROUND(AVERAGE(AA291,AI291,AQ291),1)</x:f>
        <x:v>78</x:v>
      </x:c>
      <x:c r="AZ291" s="60" t="n">
        <x:f>ROUND(AVERAGE(AB291,AJ291,AR291),1)</x:f>
        <x:v>13.3</x:v>
      </x:c>
      <x:c r="BA291" s="59" t="n">
        <x:v>5</x:v>
      </x:c>
      <x:c r="BB291" s="60" t="n">
        <x:f>ROUND(0.30*AT291+0.20*AU291+0.25*AV291+0.15*AW291+0.10*AY291,2)</x:f>
        <x:v>77.85</x:v>
      </x:c>
      <x:c r="BC291" s="60" t="n">
        <x:f>ROUND(0.30*AX291+0.20*AV291+0.20*AU291+0.15*AY291+0.15*(100-AZ291),2)</x:f>
        <x:v>79.3</x:v>
      </x:c>
      <x:c r="BD291" s="60" t="n">
        <x:f>ROUND(AVERAGE(BB291,BC291),2)</x:f>
        <x:v>78.57</x:v>
      </x:c>
      <x:c r="BE291" s="60" t="n">
        <x:f>ROUND(BD291-U291,2)</x:f>
        <x:v>-0.03</x:v>
      </x:c>
      <x:c r="BF291" s="60" t="n">
        <x:f>ROUND(STDEV.P(AC291,AK291,AS291),3)</x:f>
        <x:v>0.017</x:v>
      </x:c>
      <x:c r="BG291" s="59" t="str"/>
      <x:c r="BH291" s="59" t="str">
        <x:v>30%评分池轻量复核</x:v>
      </x:c>
      <x:c r="BI291" s="40" t="str">
        <x:v>三轮复核后与原表基本一致</x:v>
      </x:c>
    </x:row>
    <x:row r="292" ht="30" customHeight="1">
      <x:c r="A292" s="59" t="n">
        <x:v>291</x:v>
      </x:c>
      <x:c r="B292" s="59" t="n">
        <x:v>287</x:v>
      </x:c>
      <x:c r="C292" s="59" t="str">
        <x:v>2026-06</x:v>
      </x:c>
      <x:c r="D292" s="59" t="n">
        <x:v>182</x:v>
      </x:c>
      <x:c r="E292" s="59" t="str">
        <x:v>2606.07272</x:v>
      </x:c>
      <x:c r="F292" s="40" t="str">
        <x:v>Analysis of a Cahn-Hilliard-Canham-Helfrich system for the evolution of a two-phase membrane</x:v>
      </x:c>
      <x:c r="G292" s="40" t="str">
        <x:v>Harald Garcke; Mathias Wilke</x:v>
      </x:c>
      <x:c r="H292" s="40" t="str">
        <x:v>analysis/PDE</x:v>
      </x:c>
      <x:c r="I292" s="59" t="n">
        <x:v>17</x:v>
      </x:c>
      <x:c r="J292" s="40" t="str">
        <x:v>https://arxiv.org/abs/2606.07272</x:v>
      </x:c>
      <x:c r="K292" s="60" t="n">
        <x:v>78</x:v>
      </x:c>
      <x:c r="L292" s="60" t="n">
        <x:v>78</x:v>
      </x:c>
      <x:c r="M292" s="60" t="n">
        <x:v>78</x:v>
      </x:c>
      <x:c r="N292" s="60" t="n">
        <x:v>77</x:v>
      </x:c>
      <x:c r="O292" s="60" t="n">
        <x:v>78</x:v>
      </x:c>
      <x:c r="P292" s="60" t="n">
        <x:v>78</x:v>
      </x:c>
      <x:c r="Q292" s="60" t="n">
        <x:v>13</x:v>
      </x:c>
      <x:c r="R292" s="59" t="n">
        <x:v>5</x:v>
      </x:c>
      <x:c r="S292" s="60" t="n">
        <x:v>77.85</x:v>
      </x:c>
      <x:c r="T292" s="60" t="n">
        <x:v>79.35</x:v>
      </x:c>
      <x:c r="U292" s="60" t="n">
        <x:v>78.6</x:v>
      </x:c>
      <x:c r="V292" s="60" t="n">
        <x:v>78</x:v>
      </x:c>
      <x:c r="W292" s="60" t="n">
        <x:v>78</x:v>
      </x:c>
      <x:c r="X292" s="60" t="n">
        <x:v>78</x:v>
      </x:c>
      <x:c r="Y292" s="60" t="n">
        <x:v>77</x:v>
      </x:c>
      <x:c r="Z292" s="60" t="n">
        <x:v>78</x:v>
      </x:c>
      <x:c r="AA292" s="60" t="n">
        <x:v>78</x:v>
      </x:c>
      <x:c r="AB292" s="60" t="n">
        <x:v>13</x:v>
      </x:c>
      <x:c r="AC292" s="60" t="n">
        <x:f>ROUND(((0.30*V292+0.20*W292+0.25*X292+0.15*Y292+0.10*AA292)+(0.30*Z292+0.20*X292+0.20*W292+0.15*AA292+0.15*(100-AB292)))/2,2)</x:f>
        <x:v>78.6</x:v>
      </x:c>
      <x:c r="AD292" s="60" t="n">
        <x:v>78</x:v>
      </x:c>
      <x:c r="AE292" s="60" t="n">
        <x:v>78</x:v>
      </x:c>
      <x:c r="AF292" s="60" t="n">
        <x:v>78</x:v>
      </x:c>
      <x:c r="AG292" s="60" t="n">
        <x:v>77</x:v>
      </x:c>
      <x:c r="AH292" s="60" t="n">
        <x:v>78</x:v>
      </x:c>
      <x:c r="AI292" s="60" t="n">
        <x:v>78</x:v>
      </x:c>
      <x:c r="AJ292" s="60" t="n">
        <x:v>13.4</x:v>
      </x:c>
      <x:c r="AK292" s="60" t="n">
        <x:f>ROUND(((0.30*AD292+0.20*AE292+0.25*AF292+0.15*AG292+0.10*AI292)+(0.30*AH292+0.20*AF292+0.20*AE292+0.15*AI292+0.15*(100-AJ292)))/2,2)</x:f>
        <x:v>78.57</x:v>
      </x:c>
      <x:c r="AL292" s="60" t="n">
        <x:v>78</x:v>
      </x:c>
      <x:c r="AM292" s="60" t="n">
        <x:v>78</x:v>
      </x:c>
      <x:c r="AN292" s="60" t="n">
        <x:v>78</x:v>
      </x:c>
      <x:c r="AO292" s="60" t="n">
        <x:v>77</x:v>
      </x:c>
      <x:c r="AP292" s="60" t="n">
        <x:v>78</x:v>
      </x:c>
      <x:c r="AQ292" s="60" t="n">
        <x:v>78</x:v>
      </x:c>
      <x:c r="AR292" s="60" t="n">
        <x:v>13.5</x:v>
      </x:c>
      <x:c r="AS292" s="60" t="n">
        <x:f>ROUND(((0.30*AL292+0.20*AM292+0.25*AN292+0.15*AO292+0.10*AQ292)+(0.30*AP292+0.20*AN292+0.20*AM292+0.15*AQ292+0.15*(100-AR292)))/2,2)</x:f>
        <x:v>78.56</x:v>
      </x:c>
      <x:c r="AT292" s="60" t="n">
        <x:f>ROUND(AVERAGE(V292,AD292,AL292),1)</x:f>
        <x:v>78</x:v>
      </x:c>
      <x:c r="AU292" s="60" t="n">
        <x:f>ROUND(AVERAGE(W292,AE292,AM292),1)</x:f>
        <x:v>78</x:v>
      </x:c>
      <x:c r="AV292" s="60" t="n">
        <x:f>ROUND(AVERAGE(X292,AF292,AN292),1)</x:f>
        <x:v>78</x:v>
      </x:c>
      <x:c r="AW292" s="60" t="n">
        <x:f>ROUND(AVERAGE(Y292,AG292,AO292),1)</x:f>
        <x:v>77</x:v>
      </x:c>
      <x:c r="AX292" s="60" t="n">
        <x:f>ROUND(AVERAGE(Z292,AH292,AP292),1)</x:f>
        <x:v>78</x:v>
      </x:c>
      <x:c r="AY292" s="60" t="n">
        <x:f>ROUND(AVERAGE(AA292,AI292,AQ292),1)</x:f>
        <x:v>78</x:v>
      </x:c>
      <x:c r="AZ292" s="60" t="n">
        <x:f>ROUND(AVERAGE(AB292,AJ292,AR292),1)</x:f>
        <x:v>13.3</x:v>
      </x:c>
      <x:c r="BA292" s="59" t="n">
        <x:v>5</x:v>
      </x:c>
      <x:c r="BB292" s="60" t="n">
        <x:f>ROUND(0.30*AT292+0.20*AU292+0.25*AV292+0.15*AW292+0.10*AY292,2)</x:f>
        <x:v>77.85</x:v>
      </x:c>
      <x:c r="BC292" s="60" t="n">
        <x:f>ROUND(0.30*AX292+0.20*AV292+0.20*AU292+0.15*AY292+0.15*(100-AZ292),2)</x:f>
        <x:v>79.3</x:v>
      </x:c>
      <x:c r="BD292" s="60" t="n">
        <x:f>ROUND(AVERAGE(BB292,BC292),2)</x:f>
        <x:v>78.57</x:v>
      </x:c>
      <x:c r="BE292" s="60" t="n">
        <x:f>ROUND(BD292-U292,2)</x:f>
        <x:v>-0.03</x:v>
      </x:c>
      <x:c r="BF292" s="60" t="n">
        <x:f>ROUND(STDEV.P(AC292,AK292,AS292),3)</x:f>
        <x:v>0.017</x:v>
      </x:c>
      <x:c r="BG292" s="59" t="str"/>
      <x:c r="BH292" s="59" t="str">
        <x:v>30%评分池轻量复核</x:v>
      </x:c>
      <x:c r="BI292" s="40" t="str">
        <x:v>三轮复核后与原表基本一致</x:v>
      </x:c>
    </x:row>
    <x:row r="293" ht="30" customHeight="1">
      <x:c r="A293" s="59" t="n">
        <x:v>292</x:v>
      </x:c>
      <x:c r="B293" s="59" t="n">
        <x:v>292</x:v>
      </x:c>
      <x:c r="C293" s="59" t="str">
        <x:v>2026-06</x:v>
      </x:c>
      <x:c r="D293" s="59" t="n">
        <x:v>200</x:v>
      </x:c>
      <x:c r="E293" s="59" t="str">
        <x:v>2606.08650</x:v>
      </x:c>
      <x:c r="F293" s="40" t="str">
        <x:v>Restriction estimates for toral eigenfunctions and lattice points in spherical regions</x:v>
      </x:c>
      <x:c r="G293" s="40" t="str">
        <x:v>Cheng Zhang; Zhifei Zhu</x:v>
      </x:c>
      <x:c r="H293" s="40" t="str">
        <x:v>analysis/PDE</x:v>
      </x:c>
      <x:c r="I293" s="59" t="n">
        <x:v>26</x:v>
      </x:c>
      <x:c r="J293" s="40" t="str">
        <x:v>https://arxiv.org/abs/2606.08650</x:v>
      </x:c>
      <x:c r="K293" s="60" t="n">
        <x:v>78</x:v>
      </x:c>
      <x:c r="L293" s="60" t="n">
        <x:v>77</x:v>
      </x:c>
      <x:c r="M293" s="60" t="n">
        <x:v>78</x:v>
      </x:c>
      <x:c r="N293" s="60" t="n">
        <x:v>78</x:v>
      </x:c>
      <x:c r="O293" s="60" t="n">
        <x:v>78</x:v>
      </x:c>
      <x:c r="P293" s="60" t="n">
        <x:v>78</x:v>
      </x:c>
      <x:c r="Q293" s="60" t="n">
        <x:v>13</x:v>
      </x:c>
      <x:c r="R293" s="59" t="n">
        <x:v>5</x:v>
      </x:c>
      <x:c r="S293" s="60" t="n">
        <x:v>77.8</x:v>
      </x:c>
      <x:c r="T293" s="60" t="n">
        <x:v>79.14999999999999</x:v>
      </x:c>
      <x:c r="U293" s="60" t="n">
        <x:v>78.475</x:v>
      </x:c>
      <x:c r="V293" s="60" t="n">
        <x:v>78</x:v>
      </x:c>
      <x:c r="W293" s="60" t="n">
        <x:v>77</x:v>
      </x:c>
      <x:c r="X293" s="60" t="n">
        <x:v>78</x:v>
      </x:c>
      <x:c r="Y293" s="60" t="n">
        <x:v>78</x:v>
      </x:c>
      <x:c r="Z293" s="60" t="n">
        <x:v>78</x:v>
      </x:c>
      <x:c r="AA293" s="60" t="n">
        <x:v>78</x:v>
      </x:c>
      <x:c r="AB293" s="60" t="n">
        <x:v>13</x:v>
      </x:c>
      <x:c r="AC293" s="60" t="n">
        <x:f>ROUND(((0.30*V293+0.20*W293+0.25*X293+0.15*Y293+0.10*AA293)+(0.30*Z293+0.20*X293+0.20*W293+0.15*AA293+0.15*(100-AB293)))/2,2)</x:f>
        <x:v>78.47</x:v>
      </x:c>
      <x:c r="AD293" s="60" t="n">
        <x:v>78</x:v>
      </x:c>
      <x:c r="AE293" s="60" t="n">
        <x:v>77</x:v>
      </x:c>
      <x:c r="AF293" s="60" t="n">
        <x:v>78</x:v>
      </x:c>
      <x:c r="AG293" s="60" t="n">
        <x:v>78</x:v>
      </x:c>
      <x:c r="AH293" s="60" t="n">
        <x:v>78</x:v>
      </x:c>
      <x:c r="AI293" s="60" t="n">
        <x:v>78</x:v>
      </x:c>
      <x:c r="AJ293" s="60" t="n">
        <x:v>13</x:v>
      </x:c>
      <x:c r="AK293" s="60" t="n">
        <x:f>ROUND(((0.30*AD293+0.20*AE293+0.25*AF293+0.15*AG293+0.10*AI293)+(0.30*AH293+0.20*AF293+0.20*AE293+0.15*AI293+0.15*(100-AJ293)))/2,2)</x:f>
        <x:v>78.47</x:v>
      </x:c>
      <x:c r="AL293" s="60" t="n">
        <x:v>78</x:v>
      </x:c>
      <x:c r="AM293" s="60" t="n">
        <x:v>77</x:v>
      </x:c>
      <x:c r="AN293" s="60" t="n">
        <x:v>78</x:v>
      </x:c>
      <x:c r="AO293" s="60" t="n">
        <x:v>78</x:v>
      </x:c>
      <x:c r="AP293" s="60" t="n">
        <x:v>78</x:v>
      </x:c>
      <x:c r="AQ293" s="60" t="n">
        <x:v>78</x:v>
      </x:c>
      <x:c r="AR293" s="60" t="n">
        <x:v>13</x:v>
      </x:c>
      <x:c r="AS293" s="60" t="n">
        <x:f>ROUND(((0.30*AL293+0.20*AM293+0.25*AN293+0.15*AO293+0.10*AQ293)+(0.30*AP293+0.20*AN293+0.20*AM293+0.15*AQ293+0.15*(100-AR293)))/2,2)</x:f>
        <x:v>78.47</x:v>
      </x:c>
      <x:c r="AT293" s="60" t="n">
        <x:f>ROUND(AVERAGE(V293,AD293,AL293),1)</x:f>
        <x:v>78</x:v>
      </x:c>
      <x:c r="AU293" s="60" t="n">
        <x:f>ROUND(AVERAGE(W293,AE293,AM293),1)</x:f>
        <x:v>77</x:v>
      </x:c>
      <x:c r="AV293" s="60" t="n">
        <x:f>ROUND(AVERAGE(X293,AF293,AN293),1)</x:f>
        <x:v>78</x:v>
      </x:c>
      <x:c r="AW293" s="60" t="n">
        <x:f>ROUND(AVERAGE(Y293,AG293,AO293),1)</x:f>
        <x:v>78</x:v>
      </x:c>
      <x:c r="AX293" s="60" t="n">
        <x:f>ROUND(AVERAGE(Z293,AH293,AP293),1)</x:f>
        <x:v>78</x:v>
      </x:c>
      <x:c r="AY293" s="60" t="n">
        <x:f>ROUND(AVERAGE(AA293,AI293,AQ293),1)</x:f>
        <x:v>78</x:v>
      </x:c>
      <x:c r="AZ293" s="60" t="n">
        <x:f>ROUND(AVERAGE(AB293,AJ293,AR293),1)</x:f>
        <x:v>13</x:v>
      </x:c>
      <x:c r="BA293" s="59" t="n">
        <x:v>5</x:v>
      </x:c>
      <x:c r="BB293" s="60" t="n">
        <x:f>ROUND(0.30*AT293+0.20*AU293+0.25*AV293+0.15*AW293+0.10*AY293,2)</x:f>
        <x:v>77.8</x:v>
      </x:c>
      <x:c r="BC293" s="60" t="n">
        <x:f>ROUND(0.30*AX293+0.20*AV293+0.20*AU293+0.15*AY293+0.15*(100-AZ293),2)</x:f>
        <x:v>79.15</x:v>
      </x:c>
      <x:c r="BD293" s="60" t="n">
        <x:f>ROUND(AVERAGE(BB293,BC293),2)</x:f>
        <x:v>78.47</x:v>
      </x:c>
      <x:c r="BE293" s="60" t="n">
        <x:f>ROUND(BD293-U293,2)</x:f>
        <x:v>0</x:v>
      </x:c>
      <x:c r="BF293" s="60" t="n">
        <x:f>ROUND(STDEV.P(AC293,AK293,AS293),3)</x:f>
        <x:v>0</x:v>
      </x:c>
      <x:c r="BG293" s="59" t="str"/>
      <x:c r="BH293" s="59" t="str">
        <x:v>30%评分池轻量复核</x:v>
      </x:c>
      <x:c r="BI293" s="40" t="str">
        <x:v>三轮复核后与原表基本一致</x:v>
      </x:c>
    </x:row>
    <x:row r="294" ht="30" customHeight="1">
      <x:c r="A294" s="59" t="n">
        <x:v>293</x:v>
      </x:c>
      <x:c r="B294" s="59" t="n">
        <x:v>293</x:v>
      </x:c>
      <x:c r="C294" s="59" t="str">
        <x:v>2026-06</x:v>
      </x:c>
      <x:c r="D294" s="59" t="n">
        <x:v>200</x:v>
      </x:c>
      <x:c r="E294" s="59" t="str">
        <x:v>2606.08422</x:v>
      </x:c>
      <x:c r="F294" s="40" t="str">
        <x:v>On the equality case in the Brunn-Minkowski inequality for the Monge-Ampere eigenvalue</x:v>
      </x:c>
      <x:c r="G294" s="40" t="str">
        <x:v>Nam Q. Le</x:v>
      </x:c>
      <x:c r="H294" s="40" t="str">
        <x:v>inequalities/function spaces</x:v>
      </x:c>
      <x:c r="I294" s="59"/>
      <x:c r="J294" s="40" t="str">
        <x:v>https://arxiv.org/abs/2606.08422</x:v>
      </x:c>
      <x:c r="K294" s="60" t="n">
        <x:v>78</x:v>
      </x:c>
      <x:c r="L294" s="60" t="n">
        <x:v>77</x:v>
      </x:c>
      <x:c r="M294" s="60" t="n">
        <x:v>78</x:v>
      </x:c>
      <x:c r="N294" s="60" t="n">
        <x:v>78</x:v>
      </x:c>
      <x:c r="O294" s="60" t="n">
        <x:v>78</x:v>
      </x:c>
      <x:c r="P294" s="60" t="n">
        <x:v>78</x:v>
      </x:c>
      <x:c r="Q294" s="60" t="n">
        <x:v>13</x:v>
      </x:c>
      <x:c r="R294" s="59" t="n">
        <x:v>5</x:v>
      </x:c>
      <x:c r="S294" s="60" t="n">
        <x:v>77.8</x:v>
      </x:c>
      <x:c r="T294" s="60" t="n">
        <x:v>79.14999999999999</x:v>
      </x:c>
      <x:c r="U294" s="60" t="n">
        <x:v>78.475</x:v>
      </x:c>
      <x:c r="V294" s="60" t="n">
        <x:v>78</x:v>
      </x:c>
      <x:c r="W294" s="60" t="n">
        <x:v>77</x:v>
      </x:c>
      <x:c r="X294" s="60" t="n">
        <x:v>78</x:v>
      </x:c>
      <x:c r="Y294" s="60" t="n">
        <x:v>78</x:v>
      </x:c>
      <x:c r="Z294" s="60" t="n">
        <x:v>78</x:v>
      </x:c>
      <x:c r="AA294" s="60" t="n">
        <x:v>78</x:v>
      </x:c>
      <x:c r="AB294" s="60" t="n">
        <x:v>13</x:v>
      </x:c>
      <x:c r="AC294" s="60" t="n">
        <x:f>ROUND(((0.30*V294+0.20*W294+0.25*X294+0.15*Y294+0.10*AA294)+(0.30*Z294+0.20*X294+0.20*W294+0.15*AA294+0.15*(100-AB294)))/2,2)</x:f>
        <x:v>78.47</x:v>
      </x:c>
      <x:c r="AD294" s="60" t="n">
        <x:v>78</x:v>
      </x:c>
      <x:c r="AE294" s="60" t="n">
        <x:v>77</x:v>
      </x:c>
      <x:c r="AF294" s="60" t="n">
        <x:v>78</x:v>
      </x:c>
      <x:c r="AG294" s="60" t="n">
        <x:v>78</x:v>
      </x:c>
      <x:c r="AH294" s="60" t="n">
        <x:v>78</x:v>
      </x:c>
      <x:c r="AI294" s="60" t="n">
        <x:v>78</x:v>
      </x:c>
      <x:c r="AJ294" s="60" t="n">
        <x:v>13</x:v>
      </x:c>
      <x:c r="AK294" s="60" t="n">
        <x:f>ROUND(((0.30*AD294+0.20*AE294+0.25*AF294+0.15*AG294+0.10*AI294)+(0.30*AH294+0.20*AF294+0.20*AE294+0.15*AI294+0.15*(100-AJ294)))/2,2)</x:f>
        <x:v>78.47</x:v>
      </x:c>
      <x:c r="AL294" s="60" t="n">
        <x:v>78</x:v>
      </x:c>
      <x:c r="AM294" s="60" t="n">
        <x:v>77</x:v>
      </x:c>
      <x:c r="AN294" s="60" t="n">
        <x:v>78</x:v>
      </x:c>
      <x:c r="AO294" s="60" t="n">
        <x:v>78</x:v>
      </x:c>
      <x:c r="AP294" s="60" t="n">
        <x:v>78</x:v>
      </x:c>
      <x:c r="AQ294" s="60" t="n">
        <x:v>78</x:v>
      </x:c>
      <x:c r="AR294" s="60" t="n">
        <x:v>13</x:v>
      </x:c>
      <x:c r="AS294" s="60" t="n">
        <x:f>ROUND(((0.30*AL294+0.20*AM294+0.25*AN294+0.15*AO294+0.10*AQ294)+(0.30*AP294+0.20*AN294+0.20*AM294+0.15*AQ294+0.15*(100-AR294)))/2,2)</x:f>
        <x:v>78.47</x:v>
      </x:c>
      <x:c r="AT294" s="60" t="n">
        <x:f>ROUND(AVERAGE(V294,AD294,AL294),1)</x:f>
        <x:v>78</x:v>
      </x:c>
      <x:c r="AU294" s="60" t="n">
        <x:f>ROUND(AVERAGE(W294,AE294,AM294),1)</x:f>
        <x:v>77</x:v>
      </x:c>
      <x:c r="AV294" s="60" t="n">
        <x:f>ROUND(AVERAGE(X294,AF294,AN294),1)</x:f>
        <x:v>78</x:v>
      </x:c>
      <x:c r="AW294" s="60" t="n">
        <x:f>ROUND(AVERAGE(Y294,AG294,AO294),1)</x:f>
        <x:v>78</x:v>
      </x:c>
      <x:c r="AX294" s="60" t="n">
        <x:f>ROUND(AVERAGE(Z294,AH294,AP294),1)</x:f>
        <x:v>78</x:v>
      </x:c>
      <x:c r="AY294" s="60" t="n">
        <x:f>ROUND(AVERAGE(AA294,AI294,AQ294),1)</x:f>
        <x:v>78</x:v>
      </x:c>
      <x:c r="AZ294" s="60" t="n">
        <x:f>ROUND(AVERAGE(AB294,AJ294,AR294),1)</x:f>
        <x:v>13</x:v>
      </x:c>
      <x:c r="BA294" s="59" t="n">
        <x:v>5</x:v>
      </x:c>
      <x:c r="BB294" s="60" t="n">
        <x:f>ROUND(0.30*AT294+0.20*AU294+0.25*AV294+0.15*AW294+0.10*AY294,2)</x:f>
        <x:v>77.8</x:v>
      </x:c>
      <x:c r="BC294" s="60" t="n">
        <x:f>ROUND(0.30*AX294+0.20*AV294+0.20*AU294+0.15*AY294+0.15*(100-AZ294),2)</x:f>
        <x:v>79.15</x:v>
      </x:c>
      <x:c r="BD294" s="60" t="n">
        <x:f>ROUND(AVERAGE(BB294,BC294),2)</x:f>
        <x:v>78.47</x:v>
      </x:c>
      <x:c r="BE294" s="60" t="n">
        <x:f>ROUND(BD294-U294,2)</x:f>
        <x:v>0</x:v>
      </x:c>
      <x:c r="BF294" s="60" t="n">
        <x:f>ROUND(STDEV.P(AC294,AK294,AS294),3)</x:f>
        <x:v>0</x:v>
      </x:c>
      <x:c r="BG294" s="59" t="str"/>
      <x:c r="BH294" s="59" t="str">
        <x:v>30%评分池轻量复核</x:v>
      </x:c>
      <x:c r="BI294" s="40" t="str">
        <x:v>三轮复核后与原表基本一致</x:v>
      </x:c>
    </x:row>
    <x:row r="295" ht="30" customHeight="1">
      <x:c r="A295" s="59" t="n">
        <x:v>294</x:v>
      </x:c>
      <x:c r="B295" s="59" t="n">
        <x:v>294</x:v>
      </x:c>
      <x:c r="C295" s="59" t="str">
        <x:v>2026-06</x:v>
      </x:c>
      <x:c r="D295" s="59" t="n">
        <x:v>200</x:v>
      </x:c>
      <x:c r="E295" s="59" t="str">
        <x:v>2606.08389</x:v>
      </x:c>
      <x:c r="F295" s="40" t="str">
        <x:v>Pointwise arbitrarily high-order interior estimates for mixed local and nonlocal elliptic equations</x:v>
      </x:c>
      <x:c r="G295" s="40" t="str">
        <x:v>Pengyan Wang; Leyun Wu; Chilin Zhang</x:v>
      </x:c>
      <x:c r="H295" s="40" t="str">
        <x:v>analysis/PDE</x:v>
      </x:c>
      <x:c r="I295" s="59"/>
      <x:c r="J295" s="40" t="str">
        <x:v>https://arxiv.org/abs/2606.08389</x:v>
      </x:c>
      <x:c r="K295" s="60" t="n">
        <x:v>78</x:v>
      </x:c>
      <x:c r="L295" s="60" t="n">
        <x:v>77</x:v>
      </x:c>
      <x:c r="M295" s="60" t="n">
        <x:v>78</x:v>
      </x:c>
      <x:c r="N295" s="60" t="n">
        <x:v>78</x:v>
      </x:c>
      <x:c r="O295" s="60" t="n">
        <x:v>78</x:v>
      </x:c>
      <x:c r="P295" s="60" t="n">
        <x:v>78</x:v>
      </x:c>
      <x:c r="Q295" s="60" t="n">
        <x:v>13</x:v>
      </x:c>
      <x:c r="R295" s="59" t="n">
        <x:v>5</x:v>
      </x:c>
      <x:c r="S295" s="60" t="n">
        <x:v>77.8</x:v>
      </x:c>
      <x:c r="T295" s="60" t="n">
        <x:v>79.14999999999999</x:v>
      </x:c>
      <x:c r="U295" s="60" t="n">
        <x:v>78.475</x:v>
      </x:c>
      <x:c r="V295" s="60" t="n">
        <x:v>78</x:v>
      </x:c>
      <x:c r="W295" s="60" t="n">
        <x:v>77</x:v>
      </x:c>
      <x:c r="X295" s="60" t="n">
        <x:v>78</x:v>
      </x:c>
      <x:c r="Y295" s="60" t="n">
        <x:v>78</x:v>
      </x:c>
      <x:c r="Z295" s="60" t="n">
        <x:v>78</x:v>
      </x:c>
      <x:c r="AA295" s="60" t="n">
        <x:v>78</x:v>
      </x:c>
      <x:c r="AB295" s="60" t="n">
        <x:v>13</x:v>
      </x:c>
      <x:c r="AC295" s="60" t="n">
        <x:f>ROUND(((0.30*V295+0.20*W295+0.25*X295+0.15*Y295+0.10*AA295)+(0.30*Z295+0.20*X295+0.20*W295+0.15*AA295+0.15*(100-AB295)))/2,2)</x:f>
        <x:v>78.47</x:v>
      </x:c>
      <x:c r="AD295" s="60" t="n">
        <x:v>78</x:v>
      </x:c>
      <x:c r="AE295" s="60" t="n">
        <x:v>77</x:v>
      </x:c>
      <x:c r="AF295" s="60" t="n">
        <x:v>78</x:v>
      </x:c>
      <x:c r="AG295" s="60" t="n">
        <x:v>78</x:v>
      </x:c>
      <x:c r="AH295" s="60" t="n">
        <x:v>78</x:v>
      </x:c>
      <x:c r="AI295" s="60" t="n">
        <x:v>78</x:v>
      </x:c>
      <x:c r="AJ295" s="60" t="n">
        <x:v>13</x:v>
      </x:c>
      <x:c r="AK295" s="60" t="n">
        <x:f>ROUND(((0.30*AD295+0.20*AE295+0.25*AF295+0.15*AG295+0.10*AI295)+(0.30*AH295+0.20*AF295+0.20*AE295+0.15*AI295+0.15*(100-AJ295)))/2,2)</x:f>
        <x:v>78.47</x:v>
      </x:c>
      <x:c r="AL295" s="60" t="n">
        <x:v>78</x:v>
      </x:c>
      <x:c r="AM295" s="60" t="n">
        <x:v>77</x:v>
      </x:c>
      <x:c r="AN295" s="60" t="n">
        <x:v>78</x:v>
      </x:c>
      <x:c r="AO295" s="60" t="n">
        <x:v>78</x:v>
      </x:c>
      <x:c r="AP295" s="60" t="n">
        <x:v>78</x:v>
      </x:c>
      <x:c r="AQ295" s="60" t="n">
        <x:v>78</x:v>
      </x:c>
      <x:c r="AR295" s="60" t="n">
        <x:v>13</x:v>
      </x:c>
      <x:c r="AS295" s="60" t="n">
        <x:f>ROUND(((0.30*AL295+0.20*AM295+0.25*AN295+0.15*AO295+0.10*AQ295)+(0.30*AP295+0.20*AN295+0.20*AM295+0.15*AQ295+0.15*(100-AR295)))/2,2)</x:f>
        <x:v>78.47</x:v>
      </x:c>
      <x:c r="AT295" s="60" t="n">
        <x:f>ROUND(AVERAGE(V295,AD295,AL295),1)</x:f>
        <x:v>78</x:v>
      </x:c>
      <x:c r="AU295" s="60" t="n">
        <x:f>ROUND(AVERAGE(W295,AE295,AM295),1)</x:f>
        <x:v>77</x:v>
      </x:c>
      <x:c r="AV295" s="60" t="n">
        <x:f>ROUND(AVERAGE(X295,AF295,AN295),1)</x:f>
        <x:v>78</x:v>
      </x:c>
      <x:c r="AW295" s="60" t="n">
        <x:f>ROUND(AVERAGE(Y295,AG295,AO295),1)</x:f>
        <x:v>78</x:v>
      </x:c>
      <x:c r="AX295" s="60" t="n">
        <x:f>ROUND(AVERAGE(Z295,AH295,AP295),1)</x:f>
        <x:v>78</x:v>
      </x:c>
      <x:c r="AY295" s="60" t="n">
        <x:f>ROUND(AVERAGE(AA295,AI295,AQ295),1)</x:f>
        <x:v>78</x:v>
      </x:c>
      <x:c r="AZ295" s="60" t="n">
        <x:f>ROUND(AVERAGE(AB295,AJ295,AR295),1)</x:f>
        <x:v>13</x:v>
      </x:c>
      <x:c r="BA295" s="59" t="n">
        <x:v>5</x:v>
      </x:c>
      <x:c r="BB295" s="60" t="n">
        <x:f>ROUND(0.30*AT295+0.20*AU295+0.25*AV295+0.15*AW295+0.10*AY295,2)</x:f>
        <x:v>77.8</x:v>
      </x:c>
      <x:c r="BC295" s="60" t="n">
        <x:f>ROUND(0.30*AX295+0.20*AV295+0.20*AU295+0.15*AY295+0.15*(100-AZ295),2)</x:f>
        <x:v>79.15</x:v>
      </x:c>
      <x:c r="BD295" s="60" t="n">
        <x:f>ROUND(AVERAGE(BB295,BC295),2)</x:f>
        <x:v>78.47</x:v>
      </x:c>
      <x:c r="BE295" s="60" t="n">
        <x:f>ROUND(BD295-U295,2)</x:f>
        <x:v>0</x:v>
      </x:c>
      <x:c r="BF295" s="60" t="n">
        <x:f>ROUND(STDEV.P(AC295,AK295,AS295),3)</x:f>
        <x:v>0</x:v>
      </x:c>
      <x:c r="BG295" s="59" t="str"/>
      <x:c r="BH295" s="59" t="str">
        <x:v>30%评分池轻量复核</x:v>
      </x:c>
      <x:c r="BI295" s="40" t="str">
        <x:v>三轮复核后与原表基本一致</x:v>
      </x:c>
    </x:row>
    <x:row r="296" ht="30" customHeight="1">
      <x:c r="A296" s="59" t="n">
        <x:v>295</x:v>
      </x:c>
      <x:c r="B296" s="59" t="n">
        <x:v>295</x:v>
      </x:c>
      <x:c r="C296" s="59" t="str">
        <x:v>2026-06</x:v>
      </x:c>
      <x:c r="D296" s="59" t="n">
        <x:v>203</x:v>
      </x:c>
      <x:c r="E296" s="59" t="str">
        <x:v>2606.22944</x:v>
      </x:c>
      <x:c r="F296" s="40" t="str">
        <x:v>Improved convergence rates and larger initial data for 3D-2D asymptotics of rotating MHD and rotating fluids systems</x:v>
      </x:c>
      <x:c r="G296" s="40" t="str">
        <x:v>Frederic Charve</x:v>
      </x:c>
      <x:c r="H296" s="40" t="str">
        <x:v>fluid/kinetic PDE</x:v>
      </x:c>
      <x:c r="I296" s="59"/>
      <x:c r="J296" s="40" t="str">
        <x:v>https://arxiv.org/abs/2606.22944</x:v>
      </x:c>
      <x:c r="K296" s="60" t="n">
        <x:v>78</x:v>
      </x:c>
      <x:c r="L296" s="60" t="n">
        <x:v>77</x:v>
      </x:c>
      <x:c r="M296" s="60" t="n">
        <x:v>78</x:v>
      </x:c>
      <x:c r="N296" s="60" t="n">
        <x:v>77</x:v>
      </x:c>
      <x:c r="O296" s="60" t="n">
        <x:v>78</x:v>
      </x:c>
      <x:c r="P296" s="60" t="n">
        <x:v>78</x:v>
      </x:c>
      <x:c r="Q296" s="60" t="n">
        <x:v>13</x:v>
      </x:c>
      <x:c r="R296" s="59" t="n">
        <x:v>5</x:v>
      </x:c>
      <x:c r="S296" s="60" t="n">
        <x:v>77.64999999999999</x:v>
      </x:c>
      <x:c r="T296" s="60" t="n">
        <x:v>79.14999999999999</x:v>
      </x:c>
      <x:c r="U296" s="60" t="n">
        <x:v>78.39999999999999</x:v>
      </x:c>
      <x:c r="V296" s="60" t="n">
        <x:v>78</x:v>
      </x:c>
      <x:c r="W296" s="60" t="n">
        <x:v>77.1</x:v>
      </x:c>
      <x:c r="X296" s="60" t="n">
        <x:v>78</x:v>
      </x:c>
      <x:c r="Y296" s="60" t="n">
        <x:v>77.1</x:v>
      </x:c>
      <x:c r="Z296" s="60" t="n">
        <x:v>78.1</x:v>
      </x:c>
      <x:c r="AA296" s="60" t="n">
        <x:v>78</x:v>
      </x:c>
      <x:c r="AB296" s="60" t="n">
        <x:v>13</x:v>
      </x:c>
      <x:c r="AC296" s="60" t="n">
        <x:f>ROUND(((0.30*V296+0.20*W296+0.25*X296+0.15*Y296+0.10*AA296)+(0.30*Z296+0.20*X296+0.20*W296+0.15*AA296+0.15*(100-AB296)))/2,2)</x:f>
        <x:v>78.44</x:v>
      </x:c>
      <x:c r="AD296" s="60" t="n">
        <x:v>78</x:v>
      </x:c>
      <x:c r="AE296" s="60" t="n">
        <x:v>77.1</x:v>
      </x:c>
      <x:c r="AF296" s="60" t="n">
        <x:v>78</x:v>
      </x:c>
      <x:c r="AG296" s="60" t="n">
        <x:v>77.1</x:v>
      </x:c>
      <x:c r="AH296" s="60" t="n">
        <x:v>78</x:v>
      </x:c>
      <x:c r="AI296" s="60" t="n">
        <x:v>78</x:v>
      </x:c>
      <x:c r="AJ296" s="60" t="n">
        <x:v>13</x:v>
      </x:c>
      <x:c r="AK296" s="60" t="n">
        <x:f>ROUND(((0.30*AD296+0.20*AE296+0.25*AF296+0.15*AG296+0.10*AI296)+(0.30*AH296+0.20*AF296+0.20*AE296+0.15*AI296+0.15*(100-AJ296)))/2,2)</x:f>
        <x:v>78.43</x:v>
      </x:c>
      <x:c r="AL296" s="60" t="n">
        <x:v>78</x:v>
      </x:c>
      <x:c r="AM296" s="60" t="n">
        <x:v>77.1</x:v>
      </x:c>
      <x:c r="AN296" s="60" t="n">
        <x:v>78</x:v>
      </x:c>
      <x:c r="AO296" s="60" t="n">
        <x:v>77.1</x:v>
      </x:c>
      <x:c r="AP296" s="60" t="n">
        <x:v>78.1</x:v>
      </x:c>
      <x:c r="AQ296" s="60" t="n">
        <x:v>78</x:v>
      </x:c>
      <x:c r="AR296" s="60" t="n">
        <x:v>13</x:v>
      </x:c>
      <x:c r="AS296" s="60" t="n">
        <x:f>ROUND(((0.30*AL296+0.20*AM296+0.25*AN296+0.15*AO296+0.10*AQ296)+(0.30*AP296+0.20*AN296+0.20*AM296+0.15*AQ296+0.15*(100-AR296)))/2,2)</x:f>
        <x:v>78.44</x:v>
      </x:c>
      <x:c r="AT296" s="60" t="n">
        <x:f>ROUND(AVERAGE(V296,AD296,AL296),1)</x:f>
        <x:v>78</x:v>
      </x:c>
      <x:c r="AU296" s="60" t="n">
        <x:f>ROUND(AVERAGE(W296,AE296,AM296),1)</x:f>
        <x:v>77.1</x:v>
      </x:c>
      <x:c r="AV296" s="60" t="n">
        <x:f>ROUND(AVERAGE(X296,AF296,AN296),1)</x:f>
        <x:v>78</x:v>
      </x:c>
      <x:c r="AW296" s="60" t="n">
        <x:f>ROUND(AVERAGE(Y296,AG296,AO296),1)</x:f>
        <x:v>77.1</x:v>
      </x:c>
      <x:c r="AX296" s="60" t="n">
        <x:f>ROUND(AVERAGE(Z296,AH296,AP296),1)</x:f>
        <x:v>78.1</x:v>
      </x:c>
      <x:c r="AY296" s="60" t="n">
        <x:f>ROUND(AVERAGE(AA296,AI296,AQ296),1)</x:f>
        <x:v>78</x:v>
      </x:c>
      <x:c r="AZ296" s="60" t="n">
        <x:f>ROUND(AVERAGE(AB296,AJ296,AR296),1)</x:f>
        <x:v>13</x:v>
      </x:c>
      <x:c r="BA296" s="59" t="n">
        <x:v>5</x:v>
      </x:c>
      <x:c r="BB296" s="60" t="n">
        <x:f>ROUND(0.30*AT296+0.20*AU296+0.25*AV296+0.15*AW296+0.10*AY296,2)</x:f>
        <x:v>77.69</x:v>
      </x:c>
      <x:c r="BC296" s="60" t="n">
        <x:f>ROUND(0.30*AX296+0.20*AV296+0.20*AU296+0.15*AY296+0.15*(100-AZ296),2)</x:f>
        <x:v>79.2</x:v>
      </x:c>
      <x:c r="BD296" s="60" t="n">
        <x:f>ROUND(AVERAGE(BB296,BC296),2)</x:f>
        <x:v>78.44</x:v>
      </x:c>
      <x:c r="BE296" s="60" t="n">
        <x:f>ROUND(BD296-U296,2)</x:f>
        <x:v>0.04</x:v>
      </x:c>
      <x:c r="BF296" s="60" t="n">
        <x:f>ROUND(STDEV.P(AC296,AK296,AS296),3)</x:f>
        <x:v>0.005</x:v>
      </x:c>
      <x:c r="BG296" s="59" t="str"/>
      <x:c r="BH296" s="59" t="str">
        <x:v>30%评分池轻量复核</x:v>
      </x:c>
      <x:c r="BI296" s="40" t="str">
        <x:v>三轮复核后与原表基本一致</x:v>
      </x:c>
    </x:row>
    <x:row r="297" ht="30" customHeight="1">
      <x:c r="A297" s="59" t="n">
        <x:v>296</x:v>
      </x:c>
      <x:c r="B297" s="59" t="n">
        <x:v>296</x:v>
      </x:c>
      <x:c r="C297" s="59" t="str">
        <x:v>2026-06</x:v>
      </x:c>
      <x:c r="D297" s="59" t="n">
        <x:v>203</x:v>
      </x:c>
      <x:c r="E297" s="59" t="str">
        <x:v>2606.08861</x:v>
      </x:c>
      <x:c r="F297" s="40" t="str">
        <x:v>Boundedness and evolution rates for a quasilinear reaction-diffusion equation</x:v>
      </x:c>
      <x:c r="G297" s="40" t="str">
        <x:v>Razvan Gabriel Iagar; Marta Latorre; Ariel Sanchez</x:v>
      </x:c>
      <x:c r="H297" s="40" t="str">
        <x:v>elliptic/parabolic regularity</x:v>
      </x:c>
      <x:c r="I297" s="59"/>
      <x:c r="J297" s="40" t="str">
        <x:v>https://arxiv.org/abs/2606.08861</x:v>
      </x:c>
      <x:c r="K297" s="60" t="n">
        <x:v>78</x:v>
      </x:c>
      <x:c r="L297" s="60" t="n">
        <x:v>77</x:v>
      </x:c>
      <x:c r="M297" s="60" t="n">
        <x:v>78</x:v>
      </x:c>
      <x:c r="N297" s="60" t="n">
        <x:v>77</x:v>
      </x:c>
      <x:c r="O297" s="60" t="n">
        <x:v>78</x:v>
      </x:c>
      <x:c r="P297" s="60" t="n">
        <x:v>78</x:v>
      </x:c>
      <x:c r="Q297" s="60" t="n">
        <x:v>13</x:v>
      </x:c>
      <x:c r="R297" s="59" t="n">
        <x:v>5</x:v>
      </x:c>
      <x:c r="S297" s="60" t="n">
        <x:v>77.64999999999999</x:v>
      </x:c>
      <x:c r="T297" s="60" t="n">
        <x:v>79.14999999999999</x:v>
      </x:c>
      <x:c r="U297" s="60" t="n">
        <x:v>78.39999999999999</x:v>
      </x:c>
      <x:c r="V297" s="60" t="n">
        <x:v>78</x:v>
      </x:c>
      <x:c r="W297" s="60" t="n">
        <x:v>77</x:v>
      </x:c>
      <x:c r="X297" s="60" t="n">
        <x:v>78</x:v>
      </x:c>
      <x:c r="Y297" s="60" t="n">
        <x:v>77</x:v>
      </x:c>
      <x:c r="Z297" s="60" t="n">
        <x:v>78</x:v>
      </x:c>
      <x:c r="AA297" s="60" t="n">
        <x:v>78</x:v>
      </x:c>
      <x:c r="AB297" s="60" t="n">
        <x:v>13</x:v>
      </x:c>
      <x:c r="AC297" s="60" t="n">
        <x:f>ROUND(((0.30*V297+0.20*W297+0.25*X297+0.15*Y297+0.10*AA297)+(0.30*Z297+0.20*X297+0.20*W297+0.15*AA297+0.15*(100-AB297)))/2,2)</x:f>
        <x:v>78.4</x:v>
      </x:c>
      <x:c r="AD297" s="60" t="n">
        <x:v>78</x:v>
      </x:c>
      <x:c r="AE297" s="60" t="n">
        <x:v>77</x:v>
      </x:c>
      <x:c r="AF297" s="60" t="n">
        <x:v>78</x:v>
      </x:c>
      <x:c r="AG297" s="60" t="n">
        <x:v>77</x:v>
      </x:c>
      <x:c r="AH297" s="60" t="n">
        <x:v>78</x:v>
      </x:c>
      <x:c r="AI297" s="60" t="n">
        <x:v>78</x:v>
      </x:c>
      <x:c r="AJ297" s="60" t="n">
        <x:v>13</x:v>
      </x:c>
      <x:c r="AK297" s="60" t="n">
        <x:f>ROUND(((0.30*AD297+0.20*AE297+0.25*AF297+0.15*AG297+0.10*AI297)+(0.30*AH297+0.20*AF297+0.20*AE297+0.15*AI297+0.15*(100-AJ297)))/2,2)</x:f>
        <x:v>78.4</x:v>
      </x:c>
      <x:c r="AL297" s="60" t="n">
        <x:v>78</x:v>
      </x:c>
      <x:c r="AM297" s="60" t="n">
        <x:v>77</x:v>
      </x:c>
      <x:c r="AN297" s="60" t="n">
        <x:v>78</x:v>
      </x:c>
      <x:c r="AO297" s="60" t="n">
        <x:v>77</x:v>
      </x:c>
      <x:c r="AP297" s="60" t="n">
        <x:v>78</x:v>
      </x:c>
      <x:c r="AQ297" s="60" t="n">
        <x:v>78</x:v>
      </x:c>
      <x:c r="AR297" s="60" t="n">
        <x:v>13</x:v>
      </x:c>
      <x:c r="AS297" s="60" t="n">
        <x:f>ROUND(((0.30*AL297+0.20*AM297+0.25*AN297+0.15*AO297+0.10*AQ297)+(0.30*AP297+0.20*AN297+0.20*AM297+0.15*AQ297+0.15*(100-AR297)))/2,2)</x:f>
        <x:v>78.4</x:v>
      </x:c>
      <x:c r="AT297" s="60" t="n">
        <x:f>ROUND(AVERAGE(V297,AD297,AL297),1)</x:f>
        <x:v>78</x:v>
      </x:c>
      <x:c r="AU297" s="60" t="n">
        <x:f>ROUND(AVERAGE(W297,AE297,AM297),1)</x:f>
        <x:v>77</x:v>
      </x:c>
      <x:c r="AV297" s="60" t="n">
        <x:f>ROUND(AVERAGE(X297,AF297,AN297),1)</x:f>
        <x:v>78</x:v>
      </x:c>
      <x:c r="AW297" s="60" t="n">
        <x:f>ROUND(AVERAGE(Y297,AG297,AO297),1)</x:f>
        <x:v>77</x:v>
      </x:c>
      <x:c r="AX297" s="60" t="n">
        <x:f>ROUND(AVERAGE(Z297,AH297,AP297),1)</x:f>
        <x:v>78</x:v>
      </x:c>
      <x:c r="AY297" s="60" t="n">
        <x:f>ROUND(AVERAGE(AA297,AI297,AQ297),1)</x:f>
        <x:v>78</x:v>
      </x:c>
      <x:c r="AZ297" s="60" t="n">
        <x:f>ROUND(AVERAGE(AB297,AJ297,AR297),1)</x:f>
        <x:v>13</x:v>
      </x:c>
      <x:c r="BA297" s="59" t="n">
        <x:v>5</x:v>
      </x:c>
      <x:c r="BB297" s="60" t="n">
        <x:f>ROUND(0.30*AT297+0.20*AU297+0.25*AV297+0.15*AW297+0.10*AY297,2)</x:f>
        <x:v>77.65</x:v>
      </x:c>
      <x:c r="BC297" s="60" t="n">
        <x:f>ROUND(0.30*AX297+0.20*AV297+0.20*AU297+0.15*AY297+0.15*(100-AZ297),2)</x:f>
        <x:v>79.15</x:v>
      </x:c>
      <x:c r="BD297" s="60" t="n">
        <x:f>ROUND(AVERAGE(BB297,BC297),2)</x:f>
        <x:v>78.4</x:v>
      </x:c>
      <x:c r="BE297" s="60" t="n">
        <x:f>ROUND(BD297-U297,2)</x:f>
        <x:v>0</x:v>
      </x:c>
      <x:c r="BF297" s="60" t="n">
        <x:f>ROUND(STDEV.P(AC297,AK297,AS297),3)</x:f>
        <x:v>0</x:v>
      </x:c>
      <x:c r="BG297" s="59" t="str"/>
      <x:c r="BH297" s="59" t="str">
        <x:v>30%评分池轻量复核</x:v>
      </x:c>
      <x:c r="BI297" s="40" t="str">
        <x:v>三轮复核后与原表基本一致</x:v>
      </x:c>
    </x:row>
    <x:row r="298" ht="30" customHeight="1">
      <x:c r="A298" s="59" t="n">
        <x:v>297</x:v>
      </x:c>
      <x:c r="B298" s="59" t="n">
        <x:v>297</x:v>
      </x:c>
      <x:c r="C298" s="59" t="str">
        <x:v>2026-06</x:v>
      </x:c>
      <x:c r="D298" s="59" t="n">
        <x:v>203</x:v>
      </x:c>
      <x:c r="E298" s="59" t="str">
        <x:v>2606.08518</x:v>
      </x:c>
      <x:c r="F298" s="40" t="str">
        <x:v>Moisture Dynamics with Phase Changes in a Compressible Hydrostatic Atmosphere</x:v>
      </x:c>
      <x:c r="G298" s="40" t="str">
        <x:v>Lin Ma; Tarek Zochling</x:v>
      </x:c>
      <x:c r="H298" s="40" t="str">
        <x:v>fluid/kinetic PDE</x:v>
      </x:c>
      <x:c r="I298" s="59"/>
      <x:c r="J298" s="40" t="str">
        <x:v>https://arxiv.org/abs/2606.08518</x:v>
      </x:c>
      <x:c r="K298" s="60" t="n">
        <x:v>78</x:v>
      </x:c>
      <x:c r="L298" s="60" t="n">
        <x:v>77</x:v>
      </x:c>
      <x:c r="M298" s="60" t="n">
        <x:v>78</x:v>
      </x:c>
      <x:c r="N298" s="60" t="n">
        <x:v>77</x:v>
      </x:c>
      <x:c r="O298" s="60" t="n">
        <x:v>78</x:v>
      </x:c>
      <x:c r="P298" s="60" t="n">
        <x:v>78</x:v>
      </x:c>
      <x:c r="Q298" s="60" t="n">
        <x:v>13</x:v>
      </x:c>
      <x:c r="R298" s="59" t="n">
        <x:v>5</x:v>
      </x:c>
      <x:c r="S298" s="60" t="n">
        <x:v>77.64999999999999</x:v>
      </x:c>
      <x:c r="T298" s="60" t="n">
        <x:v>79.14999999999999</x:v>
      </x:c>
      <x:c r="U298" s="60" t="n">
        <x:v>78.39999999999999</x:v>
      </x:c>
      <x:c r="V298" s="60" t="n">
        <x:v>78</x:v>
      </x:c>
      <x:c r="W298" s="60" t="n">
        <x:v>77</x:v>
      </x:c>
      <x:c r="X298" s="60" t="n">
        <x:v>78</x:v>
      </x:c>
      <x:c r="Y298" s="60" t="n">
        <x:v>77</x:v>
      </x:c>
      <x:c r="Z298" s="60" t="n">
        <x:v>78</x:v>
      </x:c>
      <x:c r="AA298" s="60" t="n">
        <x:v>78</x:v>
      </x:c>
      <x:c r="AB298" s="60" t="n">
        <x:v>13</x:v>
      </x:c>
      <x:c r="AC298" s="60" t="n">
        <x:f>ROUND(((0.30*V298+0.20*W298+0.25*X298+0.15*Y298+0.10*AA298)+(0.30*Z298+0.20*X298+0.20*W298+0.15*AA298+0.15*(100-AB298)))/2,2)</x:f>
        <x:v>78.4</x:v>
      </x:c>
      <x:c r="AD298" s="60" t="n">
        <x:v>78</x:v>
      </x:c>
      <x:c r="AE298" s="60" t="n">
        <x:v>77</x:v>
      </x:c>
      <x:c r="AF298" s="60" t="n">
        <x:v>78</x:v>
      </x:c>
      <x:c r="AG298" s="60" t="n">
        <x:v>77</x:v>
      </x:c>
      <x:c r="AH298" s="60" t="n">
        <x:v>78</x:v>
      </x:c>
      <x:c r="AI298" s="60" t="n">
        <x:v>78</x:v>
      </x:c>
      <x:c r="AJ298" s="60" t="n">
        <x:v>13</x:v>
      </x:c>
      <x:c r="AK298" s="60" t="n">
        <x:f>ROUND(((0.30*AD298+0.20*AE298+0.25*AF298+0.15*AG298+0.10*AI298)+(0.30*AH298+0.20*AF298+0.20*AE298+0.15*AI298+0.15*(100-AJ298)))/2,2)</x:f>
        <x:v>78.4</x:v>
      </x:c>
      <x:c r="AL298" s="60" t="n">
        <x:v>78</x:v>
      </x:c>
      <x:c r="AM298" s="60" t="n">
        <x:v>77</x:v>
      </x:c>
      <x:c r="AN298" s="60" t="n">
        <x:v>78</x:v>
      </x:c>
      <x:c r="AO298" s="60" t="n">
        <x:v>77</x:v>
      </x:c>
      <x:c r="AP298" s="60" t="n">
        <x:v>78</x:v>
      </x:c>
      <x:c r="AQ298" s="60" t="n">
        <x:v>78</x:v>
      </x:c>
      <x:c r="AR298" s="60" t="n">
        <x:v>13</x:v>
      </x:c>
      <x:c r="AS298" s="60" t="n">
        <x:f>ROUND(((0.30*AL298+0.20*AM298+0.25*AN298+0.15*AO298+0.10*AQ298)+(0.30*AP298+0.20*AN298+0.20*AM298+0.15*AQ298+0.15*(100-AR298)))/2,2)</x:f>
        <x:v>78.4</x:v>
      </x:c>
      <x:c r="AT298" s="60" t="n">
        <x:f>ROUND(AVERAGE(V298,AD298,AL298),1)</x:f>
        <x:v>78</x:v>
      </x:c>
      <x:c r="AU298" s="60" t="n">
        <x:f>ROUND(AVERAGE(W298,AE298,AM298),1)</x:f>
        <x:v>77</x:v>
      </x:c>
      <x:c r="AV298" s="60" t="n">
        <x:f>ROUND(AVERAGE(X298,AF298,AN298),1)</x:f>
        <x:v>78</x:v>
      </x:c>
      <x:c r="AW298" s="60" t="n">
        <x:f>ROUND(AVERAGE(Y298,AG298,AO298),1)</x:f>
        <x:v>77</x:v>
      </x:c>
      <x:c r="AX298" s="60" t="n">
        <x:f>ROUND(AVERAGE(Z298,AH298,AP298),1)</x:f>
        <x:v>78</x:v>
      </x:c>
      <x:c r="AY298" s="60" t="n">
        <x:f>ROUND(AVERAGE(AA298,AI298,AQ298),1)</x:f>
        <x:v>78</x:v>
      </x:c>
      <x:c r="AZ298" s="60" t="n">
        <x:f>ROUND(AVERAGE(AB298,AJ298,AR298),1)</x:f>
        <x:v>13</x:v>
      </x:c>
      <x:c r="BA298" s="59" t="n">
        <x:v>5</x:v>
      </x:c>
      <x:c r="BB298" s="60" t="n">
        <x:f>ROUND(0.30*AT298+0.20*AU298+0.25*AV298+0.15*AW298+0.10*AY298,2)</x:f>
        <x:v>77.65</x:v>
      </x:c>
      <x:c r="BC298" s="60" t="n">
        <x:f>ROUND(0.30*AX298+0.20*AV298+0.20*AU298+0.15*AY298+0.15*(100-AZ298),2)</x:f>
        <x:v>79.15</x:v>
      </x:c>
      <x:c r="BD298" s="60" t="n">
        <x:f>ROUND(AVERAGE(BB298,BC298),2)</x:f>
        <x:v>78.4</x:v>
      </x:c>
      <x:c r="BE298" s="60" t="n">
        <x:f>ROUND(BD298-U298,2)</x:f>
        <x:v>0</x:v>
      </x:c>
      <x:c r="BF298" s="60" t="n">
        <x:f>ROUND(STDEV.P(AC298,AK298,AS298),3)</x:f>
        <x:v>0</x:v>
      </x:c>
      <x:c r="BG298" s="59" t="str"/>
      <x:c r="BH298" s="59" t="str">
        <x:v>30%评分池轻量复核</x:v>
      </x:c>
      <x:c r="BI298" s="40" t="str">
        <x:v>三轮复核后与原表基本一致</x:v>
      </x:c>
    </x:row>
    <x:row r="299" ht="30" customHeight="1">
      <x:c r="A299" s="59" t="n">
        <x:v>298</x:v>
      </x:c>
      <x:c r="B299" s="59" t="n">
        <x:v>298</x:v>
      </x:c>
      <x:c r="C299" s="59" t="str">
        <x:v>2026-06</x:v>
      </x:c>
      <x:c r="D299" s="59" t="n">
        <x:v>203</x:v>
      </x:c>
      <x:c r="E299" s="59" t="str">
        <x:v>2606.08490</x:v>
      </x:c>
      <x:c r="F299" s="40" t="str">
        <x:v>Nonexistence Results for Semilinear Parabolic and Hyperbolic Equations on Metric Graphs</x:v>
      </x:c>
      <x:c r="G299" s="40" t="str">
        <x:v>Yang Liu; Yong Lin; Haohang Zhang</x:v>
      </x:c>
      <x:c r="H299" s="40" t="str">
        <x:v>analysis/PDE</x:v>
      </x:c>
      <x:c r="I299" s="59"/>
      <x:c r="J299" s="40" t="str">
        <x:v>https://arxiv.org/abs/2606.08490</x:v>
      </x:c>
      <x:c r="K299" s="60" t="n">
        <x:v>78</x:v>
      </x:c>
      <x:c r="L299" s="60" t="n">
        <x:v>77</x:v>
      </x:c>
      <x:c r="M299" s="60" t="n">
        <x:v>78</x:v>
      </x:c>
      <x:c r="N299" s="60" t="n">
        <x:v>77</x:v>
      </x:c>
      <x:c r="O299" s="60" t="n">
        <x:v>78</x:v>
      </x:c>
      <x:c r="P299" s="60" t="n">
        <x:v>78</x:v>
      </x:c>
      <x:c r="Q299" s="60" t="n">
        <x:v>13</x:v>
      </x:c>
      <x:c r="R299" s="59" t="n">
        <x:v>5</x:v>
      </x:c>
      <x:c r="S299" s="60" t="n">
        <x:v>77.64999999999999</x:v>
      </x:c>
      <x:c r="T299" s="60" t="n">
        <x:v>79.14999999999999</x:v>
      </x:c>
      <x:c r="U299" s="60" t="n">
        <x:v>78.39999999999999</x:v>
      </x:c>
      <x:c r="V299" s="60" t="n">
        <x:v>78</x:v>
      </x:c>
      <x:c r="W299" s="60" t="n">
        <x:v>77</x:v>
      </x:c>
      <x:c r="X299" s="60" t="n">
        <x:v>78</x:v>
      </x:c>
      <x:c r="Y299" s="60" t="n">
        <x:v>77</x:v>
      </x:c>
      <x:c r="Z299" s="60" t="n">
        <x:v>78</x:v>
      </x:c>
      <x:c r="AA299" s="60" t="n">
        <x:v>78</x:v>
      </x:c>
      <x:c r="AB299" s="60" t="n">
        <x:v>13</x:v>
      </x:c>
      <x:c r="AC299" s="60" t="n">
        <x:f>ROUND(((0.30*V299+0.20*W299+0.25*X299+0.15*Y299+0.10*AA299)+(0.30*Z299+0.20*X299+0.20*W299+0.15*AA299+0.15*(100-AB299)))/2,2)</x:f>
        <x:v>78.4</x:v>
      </x:c>
      <x:c r="AD299" s="60" t="n">
        <x:v>78</x:v>
      </x:c>
      <x:c r="AE299" s="60" t="n">
        <x:v>77</x:v>
      </x:c>
      <x:c r="AF299" s="60" t="n">
        <x:v>78</x:v>
      </x:c>
      <x:c r="AG299" s="60" t="n">
        <x:v>77</x:v>
      </x:c>
      <x:c r="AH299" s="60" t="n">
        <x:v>78</x:v>
      </x:c>
      <x:c r="AI299" s="60" t="n">
        <x:v>78</x:v>
      </x:c>
      <x:c r="AJ299" s="60" t="n">
        <x:v>13</x:v>
      </x:c>
      <x:c r="AK299" s="60" t="n">
        <x:f>ROUND(((0.30*AD299+0.20*AE299+0.25*AF299+0.15*AG299+0.10*AI299)+(0.30*AH299+0.20*AF299+0.20*AE299+0.15*AI299+0.15*(100-AJ299)))/2,2)</x:f>
        <x:v>78.4</x:v>
      </x:c>
      <x:c r="AL299" s="60" t="n">
        <x:v>78</x:v>
      </x:c>
      <x:c r="AM299" s="60" t="n">
        <x:v>77</x:v>
      </x:c>
      <x:c r="AN299" s="60" t="n">
        <x:v>78</x:v>
      </x:c>
      <x:c r="AO299" s="60" t="n">
        <x:v>77</x:v>
      </x:c>
      <x:c r="AP299" s="60" t="n">
        <x:v>78</x:v>
      </x:c>
      <x:c r="AQ299" s="60" t="n">
        <x:v>78</x:v>
      </x:c>
      <x:c r="AR299" s="60" t="n">
        <x:v>13</x:v>
      </x:c>
      <x:c r="AS299" s="60" t="n">
        <x:f>ROUND(((0.30*AL299+0.20*AM299+0.25*AN299+0.15*AO299+0.10*AQ299)+(0.30*AP299+0.20*AN299+0.20*AM299+0.15*AQ299+0.15*(100-AR299)))/2,2)</x:f>
        <x:v>78.4</x:v>
      </x:c>
      <x:c r="AT299" s="60" t="n">
        <x:f>ROUND(AVERAGE(V299,AD299,AL299),1)</x:f>
        <x:v>78</x:v>
      </x:c>
      <x:c r="AU299" s="60" t="n">
        <x:f>ROUND(AVERAGE(W299,AE299,AM299),1)</x:f>
        <x:v>77</x:v>
      </x:c>
      <x:c r="AV299" s="60" t="n">
        <x:f>ROUND(AVERAGE(X299,AF299,AN299),1)</x:f>
        <x:v>78</x:v>
      </x:c>
      <x:c r="AW299" s="60" t="n">
        <x:f>ROUND(AVERAGE(Y299,AG299,AO299),1)</x:f>
        <x:v>77</x:v>
      </x:c>
      <x:c r="AX299" s="60" t="n">
        <x:f>ROUND(AVERAGE(Z299,AH299,AP299),1)</x:f>
        <x:v>78</x:v>
      </x:c>
      <x:c r="AY299" s="60" t="n">
        <x:f>ROUND(AVERAGE(AA299,AI299,AQ299),1)</x:f>
        <x:v>78</x:v>
      </x:c>
      <x:c r="AZ299" s="60" t="n">
        <x:f>ROUND(AVERAGE(AB299,AJ299,AR299),1)</x:f>
        <x:v>13</x:v>
      </x:c>
      <x:c r="BA299" s="59" t="n">
        <x:v>5</x:v>
      </x:c>
      <x:c r="BB299" s="60" t="n">
        <x:f>ROUND(0.30*AT299+0.20*AU299+0.25*AV299+0.15*AW299+0.10*AY299,2)</x:f>
        <x:v>77.65</x:v>
      </x:c>
      <x:c r="BC299" s="60" t="n">
        <x:f>ROUND(0.30*AX299+0.20*AV299+0.20*AU299+0.15*AY299+0.15*(100-AZ299),2)</x:f>
        <x:v>79.15</x:v>
      </x:c>
      <x:c r="BD299" s="60" t="n">
        <x:f>ROUND(AVERAGE(BB299,BC299),2)</x:f>
        <x:v>78.4</x:v>
      </x:c>
      <x:c r="BE299" s="60" t="n">
        <x:f>ROUND(BD299-U299,2)</x:f>
        <x:v>0</x:v>
      </x:c>
      <x:c r="BF299" s="60" t="n">
        <x:f>ROUND(STDEV.P(AC299,AK299,AS299),3)</x:f>
        <x:v>0</x:v>
      </x:c>
      <x:c r="BG299" s="59" t="str"/>
      <x:c r="BH299" s="59" t="str">
        <x:v>30%评分池轻量复核</x:v>
      </x:c>
      <x:c r="BI299" s="40" t="str">
        <x:v>三轮复核后与原表基本一致</x:v>
      </x:c>
    </x:row>
    <x:row r="300" ht="30" customHeight="1">
      <x:c r="A300" s="59" t="n">
        <x:v>299</x:v>
      </x:c>
      <x:c r="B300" s="59" t="n">
        <x:v>299</x:v>
      </x:c>
      <x:c r="C300" s="59" t="str">
        <x:v>2026-06</x:v>
      </x:c>
      <x:c r="D300" s="59" t="n">
        <x:v>207</x:v>
      </x:c>
      <x:c r="E300" s="59" t="str">
        <x:v>2606.11093</x:v>
      </x:c>
      <x:c r="F300" s="40" t="str">
        <x:v>Dispersive estimates for wave-type equations with time-dependent damping</x:v>
      </x:c>
      <x:c r="G300" s="40" t="str">
        <x:v>Halit Sevki Aslan; Marcelo Rempel Ebert</x:v>
      </x:c>
      <x:c r="H300" s="40" t="str">
        <x:v>dispersive PDE</x:v>
      </x:c>
      <x:c r="I300" s="59" t="n">
        <x:v>26</x:v>
      </x:c>
      <x:c r="J300" s="40" t="str">
        <x:v>https://arxiv.org/abs/2606.11093</x:v>
      </x:c>
      <x:c r="K300" s="60" t="n">
        <x:v>77</x:v>
      </x:c>
      <x:c r="L300" s="60" t="n">
        <x:v>77</x:v>
      </x:c>
      <x:c r="M300" s="60" t="n">
        <x:v>78</x:v>
      </x:c>
      <x:c r="N300" s="60" t="n">
        <x:v>78</x:v>
      </x:c>
      <x:c r="O300" s="60" t="n">
        <x:v>77</x:v>
      </x:c>
      <x:c r="P300" s="60" t="n">
        <x:v>78</x:v>
      </x:c>
      <x:c r="Q300" s="60" t="n">
        <x:v>13</x:v>
      </x:c>
      <x:c r="R300" s="59" t="n">
        <x:v>5</x:v>
      </x:c>
      <x:c r="S300" s="60" t="n">
        <x:v>77.5</x:v>
      </x:c>
      <x:c r="T300" s="60" t="n">
        <x:v>78.85</x:v>
      </x:c>
      <x:c r="U300" s="60" t="n">
        <x:v>78.175</x:v>
      </x:c>
      <x:c r="V300" s="60" t="n">
        <x:v>77</x:v>
      </x:c>
      <x:c r="W300" s="60" t="n">
        <x:v>77</x:v>
      </x:c>
      <x:c r="X300" s="60" t="n">
        <x:v>78</x:v>
      </x:c>
      <x:c r="Y300" s="60" t="n">
        <x:v>78</x:v>
      </x:c>
      <x:c r="Z300" s="60" t="n">
        <x:v>77</x:v>
      </x:c>
      <x:c r="AA300" s="60" t="n">
        <x:v>78</x:v>
      </x:c>
      <x:c r="AB300" s="60" t="n">
        <x:v>13</x:v>
      </x:c>
      <x:c r="AC300" s="60" t="n">
        <x:f>ROUND(((0.30*V300+0.20*W300+0.25*X300+0.15*Y300+0.10*AA300)+(0.30*Z300+0.20*X300+0.20*W300+0.15*AA300+0.15*(100-AB300)))/2,2)</x:f>
        <x:v>78.18</x:v>
      </x:c>
      <x:c r="AD300" s="60" t="n">
        <x:v>77</x:v>
      </x:c>
      <x:c r="AE300" s="60" t="n">
        <x:v>77</x:v>
      </x:c>
      <x:c r="AF300" s="60" t="n">
        <x:v>78</x:v>
      </x:c>
      <x:c r="AG300" s="60" t="n">
        <x:v>78</x:v>
      </x:c>
      <x:c r="AH300" s="60" t="n">
        <x:v>77</x:v>
      </x:c>
      <x:c r="AI300" s="60" t="n">
        <x:v>78</x:v>
      </x:c>
      <x:c r="AJ300" s="60" t="n">
        <x:v>13</x:v>
      </x:c>
      <x:c r="AK300" s="60" t="n">
        <x:f>ROUND(((0.30*AD300+0.20*AE300+0.25*AF300+0.15*AG300+0.10*AI300)+(0.30*AH300+0.20*AF300+0.20*AE300+0.15*AI300+0.15*(100-AJ300)))/2,2)</x:f>
        <x:v>78.18</x:v>
      </x:c>
      <x:c r="AL300" s="60" t="n">
        <x:v>77</x:v>
      </x:c>
      <x:c r="AM300" s="60" t="n">
        <x:v>77</x:v>
      </x:c>
      <x:c r="AN300" s="60" t="n">
        <x:v>78</x:v>
      </x:c>
      <x:c r="AO300" s="60" t="n">
        <x:v>78</x:v>
      </x:c>
      <x:c r="AP300" s="60" t="n">
        <x:v>77</x:v>
      </x:c>
      <x:c r="AQ300" s="60" t="n">
        <x:v>78</x:v>
      </x:c>
      <x:c r="AR300" s="60" t="n">
        <x:v>13</x:v>
      </x:c>
      <x:c r="AS300" s="60" t="n">
        <x:f>ROUND(((0.30*AL300+0.20*AM300+0.25*AN300+0.15*AO300+0.10*AQ300)+(0.30*AP300+0.20*AN300+0.20*AM300+0.15*AQ300+0.15*(100-AR300)))/2,2)</x:f>
        <x:v>78.18</x:v>
      </x:c>
      <x:c r="AT300" s="60" t="n">
        <x:f>ROUND(AVERAGE(V300,AD300,AL300),1)</x:f>
        <x:v>77</x:v>
      </x:c>
      <x:c r="AU300" s="60" t="n">
        <x:f>ROUND(AVERAGE(W300,AE300,AM300),1)</x:f>
        <x:v>77</x:v>
      </x:c>
      <x:c r="AV300" s="60" t="n">
        <x:f>ROUND(AVERAGE(X300,AF300,AN300),1)</x:f>
        <x:v>78</x:v>
      </x:c>
      <x:c r="AW300" s="60" t="n">
        <x:f>ROUND(AVERAGE(Y300,AG300,AO300),1)</x:f>
        <x:v>78</x:v>
      </x:c>
      <x:c r="AX300" s="60" t="n">
        <x:f>ROUND(AVERAGE(Z300,AH300,AP300),1)</x:f>
        <x:v>77</x:v>
      </x:c>
      <x:c r="AY300" s="60" t="n">
        <x:f>ROUND(AVERAGE(AA300,AI300,AQ300),1)</x:f>
        <x:v>78</x:v>
      </x:c>
      <x:c r="AZ300" s="60" t="n">
        <x:f>ROUND(AVERAGE(AB300,AJ300,AR300),1)</x:f>
        <x:v>13</x:v>
      </x:c>
      <x:c r="BA300" s="59" t="n">
        <x:v>5</x:v>
      </x:c>
      <x:c r="BB300" s="60" t="n">
        <x:f>ROUND(0.30*AT300+0.20*AU300+0.25*AV300+0.15*AW300+0.10*AY300,2)</x:f>
        <x:v>77.5</x:v>
      </x:c>
      <x:c r="BC300" s="60" t="n">
        <x:f>ROUND(0.30*AX300+0.20*AV300+0.20*AU300+0.15*AY300+0.15*(100-AZ300),2)</x:f>
        <x:v>78.85</x:v>
      </x:c>
      <x:c r="BD300" s="60" t="n">
        <x:f>ROUND(AVERAGE(BB300,BC300),2)</x:f>
        <x:v>78.18</x:v>
      </x:c>
      <x:c r="BE300" s="60" t="n">
        <x:f>ROUND(BD300-U300,2)</x:f>
        <x:v>0.01</x:v>
      </x:c>
      <x:c r="BF300" s="60" t="n">
        <x:f>ROUND(STDEV.P(AC300,AK300,AS300),3)</x:f>
        <x:v>0</x:v>
      </x:c>
      <x:c r="BG300" s="59" t="str"/>
      <x:c r="BH300" s="59" t="str">
        <x:v>30%评分池轻量复核</x:v>
      </x:c>
      <x:c r="BI300" s="40" t="str">
        <x:v>三轮复核后与原表基本一致</x:v>
      </x:c>
    </x:row>
    <x:row r="301" ht="30" customHeight="1">
      <x:c r="A301" s="59" t="n">
        <x:v>300</x:v>
      </x:c>
      <x:c r="B301" s="59" t="n">
        <x:v>300</x:v>
      </x:c>
      <x:c r="C301" s="59" t="str">
        <x:v>2026-06</x:v>
      </x:c>
      <x:c r="D301" s="59" t="n">
        <x:v>208</x:v>
      </x:c>
      <x:c r="E301" s="59" t="str">
        <x:v>2606.10131</x:v>
      </x:c>
      <x:c r="F301" s="40" t="str">
        <x:v>Principal eigenvalues, maximum principles and estimates for Lane-Emden related systems in nondivergence form</x:v>
      </x:c>
      <x:c r="G301" s="40" t="str">
        <x:v>Leandro G. Fernandes Jr.; Edir Junior Ferreira Leite</x:v>
      </x:c>
      <x:c r="H301" s="40" t="str">
        <x:v>analysis/PDE</x:v>
      </x:c>
      <x:c r="I301" s="59"/>
      <x:c r="J301" s="40" t="str">
        <x:v>https://arxiv.org/abs/2606.10131</x:v>
      </x:c>
      <x:c r="K301" s="60" t="n">
        <x:v>77</x:v>
      </x:c>
      <x:c r="L301" s="60" t="n">
        <x:v>77</x:v>
      </x:c>
      <x:c r="M301" s="60" t="n">
        <x:v>77</x:v>
      </x:c>
      <x:c r="N301" s="60" t="n">
        <x:v>78</x:v>
      </x:c>
      <x:c r="O301" s="60" t="n">
        <x:v>78</x:v>
      </x:c>
      <x:c r="P301" s="60" t="n">
        <x:v>78</x:v>
      </x:c>
      <x:c r="Q301" s="60" t="n">
        <x:v>13</x:v>
      </x:c>
      <x:c r="R301" s="59" t="n">
        <x:v>5</x:v>
      </x:c>
      <x:c r="S301" s="60" t="n">
        <x:v>77.25</x:v>
      </x:c>
      <x:c r="T301" s="60" t="n">
        <x:v>78.94999999999999</x:v>
      </x:c>
      <x:c r="U301" s="60" t="n">
        <x:v>78.1</x:v>
      </x:c>
      <x:c r="V301" s="60" t="n">
        <x:v>77</x:v>
      </x:c>
      <x:c r="W301" s="60" t="n">
        <x:v>77</x:v>
      </x:c>
      <x:c r="X301" s="60" t="n">
        <x:v>77</x:v>
      </x:c>
      <x:c r="Y301" s="60" t="n">
        <x:v>78</x:v>
      </x:c>
      <x:c r="Z301" s="60" t="n">
        <x:v>78</x:v>
      </x:c>
      <x:c r="AA301" s="60" t="n">
        <x:v>78</x:v>
      </x:c>
      <x:c r="AB301" s="60" t="n">
        <x:v>13</x:v>
      </x:c>
      <x:c r="AC301" s="60" t="n">
        <x:f>ROUND(((0.30*V301+0.20*W301+0.25*X301+0.15*Y301+0.10*AA301)+(0.30*Z301+0.20*X301+0.20*W301+0.15*AA301+0.15*(100-AB301)))/2,2)</x:f>
        <x:v>78.1</x:v>
      </x:c>
      <x:c r="AD301" s="60" t="n">
        <x:v>77</x:v>
      </x:c>
      <x:c r="AE301" s="60" t="n">
        <x:v>77</x:v>
      </x:c>
      <x:c r="AF301" s="60" t="n">
        <x:v>77</x:v>
      </x:c>
      <x:c r="AG301" s="60" t="n">
        <x:v>78</x:v>
      </x:c>
      <x:c r="AH301" s="60" t="n">
        <x:v>78</x:v>
      </x:c>
      <x:c r="AI301" s="60" t="n">
        <x:v>78</x:v>
      </x:c>
      <x:c r="AJ301" s="60" t="n">
        <x:v>13</x:v>
      </x:c>
      <x:c r="AK301" s="60" t="n">
        <x:f>ROUND(((0.30*AD301+0.20*AE301+0.25*AF301+0.15*AG301+0.10*AI301)+(0.30*AH301+0.20*AF301+0.20*AE301+0.15*AI301+0.15*(100-AJ301)))/2,2)</x:f>
        <x:v>78.1</x:v>
      </x:c>
      <x:c r="AL301" s="60" t="n">
        <x:v>77</x:v>
      </x:c>
      <x:c r="AM301" s="60" t="n">
        <x:v>77</x:v>
      </x:c>
      <x:c r="AN301" s="60" t="n">
        <x:v>77</x:v>
      </x:c>
      <x:c r="AO301" s="60" t="n">
        <x:v>78</x:v>
      </x:c>
      <x:c r="AP301" s="60" t="n">
        <x:v>78</x:v>
      </x:c>
      <x:c r="AQ301" s="60" t="n">
        <x:v>78</x:v>
      </x:c>
      <x:c r="AR301" s="60" t="n">
        <x:v>13</x:v>
      </x:c>
      <x:c r="AS301" s="60" t="n">
        <x:f>ROUND(((0.30*AL301+0.20*AM301+0.25*AN301+0.15*AO301+0.10*AQ301)+(0.30*AP301+0.20*AN301+0.20*AM301+0.15*AQ301+0.15*(100-AR301)))/2,2)</x:f>
        <x:v>78.1</x:v>
      </x:c>
      <x:c r="AT301" s="60" t="n">
        <x:f>ROUND(AVERAGE(V301,AD301,AL301),1)</x:f>
        <x:v>77</x:v>
      </x:c>
      <x:c r="AU301" s="60" t="n">
        <x:f>ROUND(AVERAGE(W301,AE301,AM301),1)</x:f>
        <x:v>77</x:v>
      </x:c>
      <x:c r="AV301" s="60" t="n">
        <x:f>ROUND(AVERAGE(X301,AF301,AN301),1)</x:f>
        <x:v>77</x:v>
      </x:c>
      <x:c r="AW301" s="60" t="n">
        <x:f>ROUND(AVERAGE(Y301,AG301,AO301),1)</x:f>
        <x:v>78</x:v>
      </x:c>
      <x:c r="AX301" s="60" t="n">
        <x:f>ROUND(AVERAGE(Z301,AH301,AP301),1)</x:f>
        <x:v>78</x:v>
      </x:c>
      <x:c r="AY301" s="60" t="n">
        <x:f>ROUND(AVERAGE(AA301,AI301,AQ301),1)</x:f>
        <x:v>78</x:v>
      </x:c>
      <x:c r="AZ301" s="60" t="n">
        <x:f>ROUND(AVERAGE(AB301,AJ301,AR301),1)</x:f>
        <x:v>13</x:v>
      </x:c>
      <x:c r="BA301" s="59" t="n">
        <x:v>5</x:v>
      </x:c>
      <x:c r="BB301" s="60" t="n">
        <x:f>ROUND(0.30*AT301+0.20*AU301+0.25*AV301+0.15*AW301+0.10*AY301,2)</x:f>
        <x:v>77.25</x:v>
      </x:c>
      <x:c r="BC301" s="60" t="n">
        <x:f>ROUND(0.30*AX301+0.20*AV301+0.20*AU301+0.15*AY301+0.15*(100-AZ301),2)</x:f>
        <x:v>78.95</x:v>
      </x:c>
      <x:c r="BD301" s="60" t="n">
        <x:f>ROUND(AVERAGE(BB301,BC301),2)</x:f>
        <x:v>78.1</x:v>
      </x:c>
      <x:c r="BE301" s="60" t="n">
        <x:f>ROUND(BD301-U301,2)</x:f>
        <x:v>0</x:v>
      </x:c>
      <x:c r="BF301" s="60" t="n">
        <x:f>ROUND(STDEV.P(AC301,AK301,AS301),3)</x:f>
        <x:v>0</x:v>
      </x:c>
      <x:c r="BG301" s="59" t="str"/>
      <x:c r="BH301" s="59" t="str">
        <x:v>30%评分池轻量复核</x:v>
      </x:c>
      <x:c r="BI301" s="40" t="str">
        <x:v>三轮复核后与原表基本一致</x:v>
      </x:c>
    </x:row>
    <x:row r="302" ht="30" customHeight="1">
      <x:c r="A302" s="59" t="n">
        <x:v>301</x:v>
      </x:c>
      <x:c r="B302" s="59" t="n">
        <x:v>301</x:v>
      </x:c>
      <x:c r="C302" s="59" t="str">
        <x:v>2026-06</x:v>
      </x:c>
      <x:c r="D302" s="59" t="n">
        <x:v>209</x:v>
      </x:c>
      <x:c r="E302" s="59" t="str">
        <x:v>2606.10687</x:v>
      </x:c>
      <x:c r="F302" s="40" t="str">
        <x:v>Long-wave KdV hierarchy approximation of the NLS hierarchy with nonzero boundary conditions</x:v>
      </x:c>
      <x:c r="G302" s="40" t="str">
        <x:v>Robert Wegner</x:v>
      </x:c>
      <x:c r="H302" s="40" t="str">
        <x:v>dispersive PDE</x:v>
      </x:c>
      <x:c r="I302" s="59"/>
      <x:c r="J302" s="40" t="str">
        <x:v>https://arxiv.org/abs/2606.10687</x:v>
      </x:c>
      <x:c r="K302" s="60" t="n">
        <x:v>77</x:v>
      </x:c>
      <x:c r="L302" s="60" t="n">
        <x:v>77</x:v>
      </x:c>
      <x:c r="M302" s="60" t="n">
        <x:v>78</x:v>
      </x:c>
      <x:c r="N302" s="60" t="n">
        <x:v>76</x:v>
      </x:c>
      <x:c r="O302" s="60" t="n">
        <x:v>78</x:v>
      </x:c>
      <x:c r="P302" s="60" t="n">
        <x:v>77</x:v>
      </x:c>
      <x:c r="Q302" s="60" t="n">
        <x:v>14</x:v>
      </x:c>
      <x:c r="R302" s="59" t="n">
        <x:v>5</x:v>
      </x:c>
      <x:c r="S302" s="60" t="n">
        <x:v>77.10000000000001</x:v>
      </x:c>
      <x:c r="T302" s="60" t="n">
        <x:v>78.85000000000001</x:v>
      </x:c>
      <x:c r="U302" s="60" t="n">
        <x:v>77.97500000000001</x:v>
      </x:c>
      <x:c r="V302" s="60" t="n">
        <x:v>77</x:v>
      </x:c>
      <x:c r="W302" s="60" t="n">
        <x:v>77</x:v>
      </x:c>
      <x:c r="X302" s="60" t="n">
        <x:v>78</x:v>
      </x:c>
      <x:c r="Y302" s="60" t="n">
        <x:v>76</x:v>
      </x:c>
      <x:c r="Z302" s="60" t="n">
        <x:v>78</x:v>
      </x:c>
      <x:c r="AA302" s="60" t="n">
        <x:v>77</x:v>
      </x:c>
      <x:c r="AB302" s="60" t="n">
        <x:v>14</x:v>
      </x:c>
      <x:c r="AC302" s="60" t="n">
        <x:f>ROUND(((0.30*V302+0.20*W302+0.25*X302+0.15*Y302+0.10*AA302)+(0.30*Z302+0.20*X302+0.20*W302+0.15*AA302+0.15*(100-AB302)))/2,2)</x:f>
        <x:v>77.98</x:v>
      </x:c>
      <x:c r="AD302" s="60" t="n">
        <x:v>77</x:v>
      </x:c>
      <x:c r="AE302" s="60" t="n">
        <x:v>77</x:v>
      </x:c>
      <x:c r="AF302" s="60" t="n">
        <x:v>78</x:v>
      </x:c>
      <x:c r="AG302" s="60" t="n">
        <x:v>76</x:v>
      </x:c>
      <x:c r="AH302" s="60" t="n">
        <x:v>78</x:v>
      </x:c>
      <x:c r="AI302" s="60" t="n">
        <x:v>77</x:v>
      </x:c>
      <x:c r="AJ302" s="60" t="n">
        <x:v>14</x:v>
      </x:c>
      <x:c r="AK302" s="60" t="n">
        <x:f>ROUND(((0.30*AD302+0.20*AE302+0.25*AF302+0.15*AG302+0.10*AI302)+(0.30*AH302+0.20*AF302+0.20*AE302+0.15*AI302+0.15*(100-AJ302)))/2,2)</x:f>
        <x:v>77.98</x:v>
      </x:c>
      <x:c r="AL302" s="60" t="n">
        <x:v>77</x:v>
      </x:c>
      <x:c r="AM302" s="60" t="n">
        <x:v>77</x:v>
      </x:c>
      <x:c r="AN302" s="60" t="n">
        <x:v>78</x:v>
      </x:c>
      <x:c r="AO302" s="60" t="n">
        <x:v>76</x:v>
      </x:c>
      <x:c r="AP302" s="60" t="n">
        <x:v>78</x:v>
      </x:c>
      <x:c r="AQ302" s="60" t="n">
        <x:v>77</x:v>
      </x:c>
      <x:c r="AR302" s="60" t="n">
        <x:v>14</x:v>
      </x:c>
      <x:c r="AS302" s="60" t="n">
        <x:f>ROUND(((0.30*AL302+0.20*AM302+0.25*AN302+0.15*AO302+0.10*AQ302)+(0.30*AP302+0.20*AN302+0.20*AM302+0.15*AQ302+0.15*(100-AR302)))/2,2)</x:f>
        <x:v>77.98</x:v>
      </x:c>
      <x:c r="AT302" s="60" t="n">
        <x:f>ROUND(AVERAGE(V302,AD302,AL302),1)</x:f>
        <x:v>77</x:v>
      </x:c>
      <x:c r="AU302" s="60" t="n">
        <x:f>ROUND(AVERAGE(W302,AE302,AM302),1)</x:f>
        <x:v>77</x:v>
      </x:c>
      <x:c r="AV302" s="60" t="n">
        <x:f>ROUND(AVERAGE(X302,AF302,AN302),1)</x:f>
        <x:v>78</x:v>
      </x:c>
      <x:c r="AW302" s="60" t="n">
        <x:f>ROUND(AVERAGE(Y302,AG302,AO302),1)</x:f>
        <x:v>76</x:v>
      </x:c>
      <x:c r="AX302" s="60" t="n">
        <x:f>ROUND(AVERAGE(Z302,AH302,AP302),1)</x:f>
        <x:v>78</x:v>
      </x:c>
      <x:c r="AY302" s="60" t="n">
        <x:f>ROUND(AVERAGE(AA302,AI302,AQ302),1)</x:f>
        <x:v>77</x:v>
      </x:c>
      <x:c r="AZ302" s="60" t="n">
        <x:f>ROUND(AVERAGE(AB302,AJ302,AR302),1)</x:f>
        <x:v>14</x:v>
      </x:c>
      <x:c r="BA302" s="59" t="n">
        <x:v>5</x:v>
      </x:c>
      <x:c r="BB302" s="60" t="n">
        <x:f>ROUND(0.30*AT302+0.20*AU302+0.25*AV302+0.15*AW302+0.10*AY302,2)</x:f>
        <x:v>77.1</x:v>
      </x:c>
      <x:c r="BC302" s="60" t="n">
        <x:f>ROUND(0.30*AX302+0.20*AV302+0.20*AU302+0.15*AY302+0.15*(100-AZ302),2)</x:f>
        <x:v>78.85</x:v>
      </x:c>
      <x:c r="BD302" s="60" t="n">
        <x:f>ROUND(AVERAGE(BB302,BC302),2)</x:f>
        <x:v>77.97</x:v>
      </x:c>
      <x:c r="BE302" s="60" t="n">
        <x:f>ROUND(BD302-U302,2)</x:f>
        <x:v>-0.01</x:v>
      </x:c>
      <x:c r="BF302" s="60" t="n">
        <x:f>ROUND(STDEV.P(AC302,AK302,AS302),3)</x:f>
        <x:v>0</x:v>
      </x:c>
      <x:c r="BG302" s="59" t="str"/>
      <x:c r="BH302" s="59" t="str">
        <x:v>30%评分池轻量复核</x:v>
      </x:c>
      <x:c r="BI302" s="40" t="str">
        <x:v>三轮复核后与原表基本一致</x:v>
      </x:c>
    </x:row>
    <x:row r="303" ht="30" customHeight="1">
      <x:c r="A303" s="59" t="n">
        <x:v>302</x:v>
      </x:c>
      <x:c r="B303" s="59" t="n">
        <x:v>302</x:v>
      </x:c>
      <x:c r="C303" s="59" t="str">
        <x:v>2026-06</x:v>
      </x:c>
      <x:c r="D303" s="59" t="n">
        <x:v>210</x:v>
      </x:c>
      <x:c r="E303" s="59" t="str">
        <x:v>2606.28375</x:v>
      </x:c>
      <x:c r="F303" s="40" t="str">
        <x:v>On classification of dynamics for dust fluid under spherical symmetry in Schwarzschild spacetime</x:v>
      </x:c>
      <x:c r="G303" s="40" t="str">
        <x:v>Yifan Liu; Shuang Miao; Changhua Wei</x:v>
      </x:c>
      <x:c r="H303" s="40" t="str">
        <x:v>fluid/kinetic PDE</x:v>
      </x:c>
      <x:c r="I303" s="59" t="n">
        <x:v>30</x:v>
      </x:c>
      <x:c r="J303" s="40" t="str">
        <x:v>https://arxiv.org/abs/2606.28375</x:v>
      </x:c>
      <x:c r="K303" s="60" t="n">
        <x:v>77</x:v>
      </x:c>
      <x:c r="L303" s="60" t="n">
        <x:v>78</x:v>
      </x:c>
      <x:c r="M303" s="60" t="n">
        <x:v>77</x:v>
      </x:c>
      <x:c r="N303" s="60" t="n">
        <x:v>76</x:v>
      </x:c>
      <x:c r="O303" s="60" t="n">
        <x:v>77</x:v>
      </x:c>
      <x:c r="P303" s="60" t="n">
        <x:v>77</x:v>
      </x:c>
      <x:c r="Q303" s="60" t="n">
        <x:v>13</x:v>
      </x:c>
      <x:c r="R303" s="59" t="n">
        <x:v>5</x:v>
      </x:c>
      <x:c r="S303" s="60" t="n">
        <x:v>77.05000000000001</x:v>
      </x:c>
      <x:c r="T303" s="60" t="n">
        <x:v>78.7</x:v>
      </x:c>
      <x:c r="U303" s="60" t="n">
        <x:v>77.875</x:v>
      </x:c>
      <x:c r="V303" s="60" t="n">
        <x:v>77</x:v>
      </x:c>
      <x:c r="W303" s="60" t="n">
        <x:v>78.1</x:v>
      </x:c>
      <x:c r="X303" s="60" t="n">
        <x:v>77</x:v>
      </x:c>
      <x:c r="Y303" s="60" t="n">
        <x:v>76</x:v>
      </x:c>
      <x:c r="Z303" s="60" t="n">
        <x:v>77.1</x:v>
      </x:c>
      <x:c r="AA303" s="60" t="n">
        <x:v>77</x:v>
      </x:c>
      <x:c r="AB303" s="60" t="n">
        <x:v>13</x:v>
      </x:c>
      <x:c r="AC303" s="60" t="n">
        <x:f>ROUND(((0.30*V303+0.20*W303+0.25*X303+0.15*Y303+0.10*AA303)+(0.30*Z303+0.20*X303+0.20*W303+0.15*AA303+0.15*(100-AB303)))/2,2)</x:f>
        <x:v>77.91</x:v>
      </x:c>
      <x:c r="AD303" s="60" t="n">
        <x:v>77</x:v>
      </x:c>
      <x:c r="AE303" s="60" t="n">
        <x:v>78.1</x:v>
      </x:c>
      <x:c r="AF303" s="60" t="n">
        <x:v>77</x:v>
      </x:c>
      <x:c r="AG303" s="60" t="n">
        <x:v>76</x:v>
      </x:c>
      <x:c r="AH303" s="60" t="n">
        <x:v>77</x:v>
      </x:c>
      <x:c r="AI303" s="60" t="n">
        <x:v>77</x:v>
      </x:c>
      <x:c r="AJ303" s="60" t="n">
        <x:v>13</x:v>
      </x:c>
      <x:c r="AK303" s="60" t="n">
        <x:f>ROUND(((0.30*AD303+0.20*AE303+0.25*AF303+0.15*AG303+0.10*AI303)+(0.30*AH303+0.20*AF303+0.20*AE303+0.15*AI303+0.15*(100-AJ303)))/2,2)</x:f>
        <x:v>77.9</x:v>
      </x:c>
      <x:c r="AL303" s="60" t="n">
        <x:v>77</x:v>
      </x:c>
      <x:c r="AM303" s="60" t="n">
        <x:v>78.1</x:v>
      </x:c>
      <x:c r="AN303" s="60" t="n">
        <x:v>77</x:v>
      </x:c>
      <x:c r="AO303" s="60" t="n">
        <x:v>76</x:v>
      </x:c>
      <x:c r="AP303" s="60" t="n">
        <x:v>77.1</x:v>
      </x:c>
      <x:c r="AQ303" s="60" t="n">
        <x:v>77</x:v>
      </x:c>
      <x:c r="AR303" s="60" t="n">
        <x:v>13</x:v>
      </x:c>
      <x:c r="AS303" s="60" t="n">
        <x:f>ROUND(((0.30*AL303+0.20*AM303+0.25*AN303+0.15*AO303+0.10*AQ303)+(0.30*AP303+0.20*AN303+0.20*AM303+0.15*AQ303+0.15*(100-AR303)))/2,2)</x:f>
        <x:v>77.91</x:v>
      </x:c>
      <x:c r="AT303" s="60" t="n">
        <x:f>ROUND(AVERAGE(V303,AD303,AL303),1)</x:f>
        <x:v>77</x:v>
      </x:c>
      <x:c r="AU303" s="60" t="n">
        <x:f>ROUND(AVERAGE(W303,AE303,AM303),1)</x:f>
        <x:v>78.1</x:v>
      </x:c>
      <x:c r="AV303" s="60" t="n">
        <x:f>ROUND(AVERAGE(X303,AF303,AN303),1)</x:f>
        <x:v>77</x:v>
      </x:c>
      <x:c r="AW303" s="60" t="n">
        <x:f>ROUND(AVERAGE(Y303,AG303,AO303),1)</x:f>
        <x:v>76</x:v>
      </x:c>
      <x:c r="AX303" s="60" t="n">
        <x:f>ROUND(AVERAGE(Z303,AH303,AP303),1)</x:f>
        <x:v>77.1</x:v>
      </x:c>
      <x:c r="AY303" s="60" t="n">
        <x:f>ROUND(AVERAGE(AA303,AI303,AQ303),1)</x:f>
        <x:v>77</x:v>
      </x:c>
      <x:c r="AZ303" s="60" t="n">
        <x:f>ROUND(AVERAGE(AB303,AJ303,AR303),1)</x:f>
        <x:v>13</x:v>
      </x:c>
      <x:c r="BA303" s="59" t="n">
        <x:v>5</x:v>
      </x:c>
      <x:c r="BB303" s="60" t="n">
        <x:f>ROUND(0.30*AT303+0.20*AU303+0.25*AV303+0.15*AW303+0.10*AY303,2)</x:f>
        <x:v>77.07</x:v>
      </x:c>
      <x:c r="BC303" s="60" t="n">
        <x:f>ROUND(0.30*AX303+0.20*AV303+0.20*AU303+0.15*AY303+0.15*(100-AZ303),2)</x:f>
        <x:v>78.75</x:v>
      </x:c>
      <x:c r="BD303" s="60" t="n">
        <x:f>ROUND(AVERAGE(BB303,BC303),2)</x:f>
        <x:v>77.91</x:v>
      </x:c>
      <x:c r="BE303" s="60" t="n">
        <x:f>ROUND(BD303-U303,2)</x:f>
        <x:v>0.03</x:v>
      </x:c>
      <x:c r="BF303" s="60" t="n">
        <x:f>ROUND(STDEV.P(AC303,AK303,AS303),3)</x:f>
        <x:v>0.005</x:v>
      </x:c>
      <x:c r="BG303" s="59" t="str"/>
      <x:c r="BH303" s="59" t="str">
        <x:v>30%评分池轻量复核</x:v>
      </x:c>
      <x:c r="BI303" s="40" t="str">
        <x:v>范围偏专门，广度轻微回调</x:v>
      </x:c>
    </x:row>
  </x:sheetData>
  <x:conditionalFormatting sqref="BD2:BD30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BE2:BE303">
    <x:cfRule type="colorScale" priority="2">
      <x:colorScale>
        <x:cfvo type="min"/>
        <x:cfvo type="percentile" val="50"/>
        <x:cfvo type="max"/>
        <x:color rgb="FFFECACA"/>
        <x:color rgb="FFFFFFFF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38181afea243c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2" hidden="0" customWidth="1"/>
    <x:col min="4" max="4" width="14" hidden="0" customWidth="1"/>
    <x:col min="5" max="5" width="12" hidden="0" customWidth="1"/>
    <x:col min="6" max="6" width="48" hidden="0" customWidth="1"/>
    <x:col min="7" max="7" width="32" hidden="0" customWidth="1"/>
    <x:col min="8" max="8" width="24" hidden="0" customWidth="1"/>
    <x:col min="9" max="9" width="8" hidden="0" customWidth="1"/>
    <x:col min="10" max="10" width="11" hidden="0" customWidth="1"/>
    <x:col min="11" max="11" width="10" hidden="0" customWidth="1"/>
    <x:col min="12" max="12" width="10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10" hidden="0" customWidth="1"/>
    <x:col min="20" max="20" width="12" hidden="0" customWidth="1"/>
    <x:col min="21" max="21" width="10" hidden="0" customWidth="1"/>
    <x:col min="22" max="22" width="16" hidden="0" customWidth="1"/>
    <x:col min="23" max="23" width="50" hidden="0" customWidth="1"/>
    <x:col min="24" max="24" width="34" hidden="0" customWidth="1"/>
  </x:cols>
  <x:sheetData>
    <x:row r="1" ht="28" customHeight="1">
      <x:c r="A1" s="58" t="str">
        <x:v>Rank</x:v>
      </x:c>
      <x:c r="B1" s="58" t="str">
        <x:v>Month</x:v>
      </x:c>
      <x:c r="C1" s="58" t="str">
        <x:v>OldMonthRank</x:v>
      </x:c>
      <x:c r="D1" s="58" t="str">
        <x:v>OldCombinedRank</x:v>
      </x:c>
      <x:c r="E1" s="58" t="str">
        <x:v>arXiv</x:v>
      </x:c>
      <x:c r="F1" s="58" t="str">
        <x:v>Title</x:v>
      </x:c>
      <x:c r="G1" s="58" t="str">
        <x:v>Authors</x:v>
      </x:c>
      <x:c r="H1" s="58" t="str">
        <x:v>Theme</x:v>
      </x:c>
      <x:c r="I1" s="58" t="str">
        <x:v>Pages</x:v>
      </x:c>
      <x:c r="J1" s="58" t="str">
        <x:v>Final_S_eq</x:v>
      </x:c>
      <x:c r="K1" s="58" t="str">
        <x:v>Final_V</x:v>
      </x:c>
      <x:c r="L1" s="58" t="str">
        <x:v>Final_S_H</x:v>
      </x:c>
      <x:c r="M1" s="58" t="str">
        <x:v>Final_I</x:v>
      </x:c>
      <x:c r="N1" s="58" t="str">
        <x:v>Final_O</x:v>
      </x:c>
      <x:c r="O1" s="58" t="str">
        <x:v>Final_T</x:v>
      </x:c>
      <x:c r="P1" s="58" t="str">
        <x:v>Final_B</x:v>
      </x:c>
      <x:c r="Q1" s="58" t="str">
        <x:v>Final_H</x:v>
      </x:c>
      <x:c r="R1" s="58" t="str">
        <x:v>Final_R</x:v>
      </x:c>
      <x:c r="S1" s="58" t="str">
        <x:v>Final_AI%</x:v>
      </x:c>
      <x:c r="T1" s="58" t="str">
        <x:v>Delta_vs_old</x:v>
      </x:c>
      <x:c r="U1" s="58" t="str">
        <x:v>Score_SD</x:v>
      </x:c>
      <x:c r="V1" s="58" t="str">
        <x:v>RecheckLevel</x:v>
      </x:c>
      <x:c r="W1" s="58" t="str">
        <x:v>RecheckNote</x:v>
      </x:c>
      <x:c r="X1" s="58" t="str">
        <x:v>SourceURL</x:v>
      </x:c>
    </x:row>
    <x:row r="2" ht="32" customHeight="1">
      <x:c r="A2" s="59" t="n">
        <x:v>1</x:v>
      </x:c>
      <x:c r="B2" s="59" t="str">
        <x:v>2026-06</x:v>
      </x:c>
      <x:c r="C2" s="59" t="n">
        <x:v>1</x:v>
      </x:c>
      <x:c r="D2" s="59" t="n">
        <x:v>1</x:v>
      </x:c>
      <x:c r="E2" s="59" t="str">
        <x:v>2606.28008</x:v>
      </x:c>
      <x:c r="F2" s="40" t="str">
        <x:v>(Non-)Linear waves on asymptotically flat spacetimes. II: trapping, bound states, nonlinear applications</x:v>
      </x:c>
      <x:c r="G2" s="40" t="str">
        <x:v>Peter Hintz</x:v>
      </x:c>
      <x:c r="H2" s="40" t="str">
        <x:v>GR/nonlinear waves</x:v>
      </x:c>
      <x:c r="I2" s="59" t="n">
        <x:v>285</x:v>
      </x:c>
      <x:c r="J2" s="60" t="n">
        <x:v>95.8</x:v>
      </x:c>
      <x:c r="K2" s="60" t="n">
        <x:v>96.17</x:v>
      </x:c>
      <x:c r="L2" s="60" t="n">
        <x:v>95.43</x:v>
      </x:c>
      <x:c r="M2" s="60" t="n">
        <x:v>99</x:v>
      </x:c>
      <x:c r="N2" s="60" t="n">
        <x:v>95.7</x:v>
      </x:c>
      <x:c r="O2" s="60" t="n">
        <x:v>99.3</x:v>
      </x:c>
      <x:c r="P2" s="60" t="n">
        <x:v>92.7</x:v>
      </x:c>
      <x:c r="Q2" s="60" t="n">
        <x:v>99.1</x:v>
      </x:c>
      <x:c r="R2" s="60" t="n">
        <x:v>86</x:v>
      </x:c>
      <x:c r="S2" s="60" t="n">
        <x:v>8</x:v>
      </x:c>
      <x:c r="T2" s="60" t="n">
        <x:v>0</x:v>
      </x:c>
      <x:c r="U2" s="60" t="n">
        <x:v>0.024</x:v>
      </x:c>
      <x:c r="V2" s="59" t="str">
        <x:v>Top50三轮复核</x:v>
      </x:c>
      <x:c r="W2" s="40" t="str">
        <x:v>系列/续篇按重叠性校准；285页大型框架，仍为六月第一；因系列论文属性轻微压低原创性/广度。</x:v>
      </x:c>
      <x:c r="X2" s="40" t="str">
        <x:v>https://arxiv.org/abs/2606.28008</x:v>
      </x:c>
    </x:row>
    <x:row r="3" ht="32" customHeight="1">
      <x:c r="A3" s="59" t="n">
        <x:v>2</x:v>
      </x:c>
      <x:c r="B3" s="59" t="str">
        <x:v>2026-05</x:v>
      </x:c>
      <x:c r="C3" s="59" t="n">
        <x:v>1</x:v>
      </x:c>
      <x:c r="D3" s="59" t="n">
        <x:v>2</x:v>
      </x:c>
      <x:c r="E3" s="59" t="str">
        <x:v>2605.00808</x:v>
      </x:c>
      <x:c r="F3" s="40" t="str">
        <x:v>Smooth and stable Euler implosions</x:v>
      </x:c>
      <x:c r="G3" s="40" t="str">
        <x:v>Jiajie Chen; Steve Shkoller; Vlad Vicol</x:v>
      </x:c>
      <x:c r="H3" s="40" t="str">
        <x:v>Fluid singularities / Euler</x:v>
      </x:c>
      <x:c r="I3" s="59" t="n">
        <x:v>153</x:v>
      </x:c>
      <x:c r="J3" s="60" t="n">
        <x:v>95.36</x:v>
      </x:c>
      <x:c r="K3" s="60" t="n">
        <x:v>95.98</x:v>
      </x:c>
      <x:c r="L3" s="60" t="n">
        <x:v>94.74</x:v>
      </x:c>
      <x:c r="M3" s="60" t="n">
        <x:v>99.2</x:v>
      </x:c>
      <x:c r="N3" s="60" t="n">
        <x:v>96.1</x:v>
      </x:c>
      <x:c r="O3" s="60" t="n">
        <x:v>98.3</x:v>
      </x:c>
      <x:c r="P3" s="60" t="n">
        <x:v>92.2</x:v>
      </x:c>
      <x:c r="Q3" s="60" t="n">
        <x:v>98.2</x:v>
      </x:c>
      <x:c r="R3" s="60" t="n">
        <x:v>86</x:v>
      </x:c>
      <x:c r="S3" s="60" t="n">
        <x:v>10</x:v>
      </x:c>
      <x:c r="T3" s="60" t="n">
        <x:v>0.16</x:v>
      </x:c>
      <x:c r="U3" s="60" t="n">
        <x:v>0.042</x:v>
      </x:c>
      <x:c r="V3" s="59" t="str">
        <x:v>Top50三轮复核</x:v>
      </x:c>
      <x:c r="W3" s="40" t="str">
        <x:v>稳定光滑Euler implosion构造在跨月比较中保持最高层级。</x:v>
      </x:c>
      <x:c r="X3" s="40" t="str">
        <x:v>https://arxiv.org/abs/2605.00808</x:v>
      </x:c>
    </x:row>
    <x:row r="4" ht="32" customHeight="1">
      <x:c r="A4" s="59" t="n">
        <x:v>3</x:v>
      </x:c>
      <x:c r="B4" s="59" t="str">
        <x:v>2026-05</x:v>
      </x:c>
      <x:c r="C4" s="59" t="n">
        <x:v>2</x:v>
      </x:c>
      <x:c r="D4" s="59" t="n">
        <x:v>3</x:v>
      </x:c>
      <x:c r="E4" s="59" t="str">
        <x:v>2605.15130</x:v>
      </x:c>
      <x:c r="F4" s="40" t="str">
        <x:v>Asymptotically Self-Similar Blowup for 3D Incompressible Euler with C^{1,1/3-} Velocity II: 3D Profiles, Blowup, and Limiting Behavior</x:v>
      </x:c>
      <x:c r="G4" s="40" t="str">
        <x:v>Jiajie Chen</x:v>
      </x:c>
      <x:c r="H4" s="40" t="str">
        <x:v>Fluid singularities / Euler</x:v>
      </x:c>
      <x:c r="I4" s="59" t="n">
        <x:v>133</x:v>
      </x:c>
      <x:c r="J4" s="60" t="n">
        <x:v>94.32</x:v>
      </x:c>
      <x:c r="K4" s="60" t="n">
        <x:v>94.82</x:v>
      </x:c>
      <x:c r="L4" s="60" t="n">
        <x:v>93.81</x:v>
      </x:c>
      <x:c r="M4" s="60" t="n">
        <x:v>98.1</x:v>
      </x:c>
      <x:c r="N4" s="60" t="n">
        <x:v>94.7</x:v>
      </x:c>
      <x:c r="O4" s="60" t="n">
        <x:v>97.3</x:v>
      </x:c>
      <x:c r="P4" s="60" t="n">
        <x:v>90.8</x:v>
      </x:c>
      <x:c r="Q4" s="60" t="n">
        <x:v>97.2</x:v>
      </x:c>
      <x:c r="R4" s="60" t="n">
        <x:v>85</x:v>
      </x:c>
      <x:c r="S4" s="60" t="n">
        <x:v>10</x:v>
      </x:c>
      <x:c r="T4" s="60" t="n">
        <x:v>0.02</x:v>
      </x:c>
      <x:c r="U4" s="60" t="n">
        <x:v>0.029</x:v>
      </x:c>
      <x:c r="V4" s="59" t="str">
        <x:v>Top50三轮复核</x:v>
      </x:c>
      <x:c r="W4" s="40" t="str">
        <x:v>系列/续篇按重叠性校准；Part II 属于大型Euler blow-up program，略按系列重叠校准。</x:v>
      </x:c>
      <x:c r="X4" s="40" t="str">
        <x:v>https://arxiv.org/abs/2605.15130</x:v>
      </x:c>
    </x:row>
    <x:row r="5" ht="32" customHeight="1">
      <x:c r="A5" s="59" t="n">
        <x:v>4</x:v>
      </x:c>
      <x:c r="B5" s="59" t="str">
        <x:v>2026-06</x:v>
      </x:c>
      <x:c r="C5" s="59" t="n">
        <x:v>2</x:v>
      </x:c>
      <x:c r="D5" s="59" t="n">
        <x:v>4</x:v>
      </x:c>
      <x:c r="E5" s="59" t="str">
        <x:v>2606.27658</x:v>
      </x:c>
      <x:c r="F5" s="40" t="str">
        <x:v>Constraint damping on subextremal Kerr spacetimes</x:v>
      </x:c>
      <x:c r="G5" s="40" t="str">
        <x:v>Peter Hintz</x:v>
      </x:c>
      <x:c r="H5" s="40" t="str">
        <x:v>Kerr/GR hyperbolic PDE</x:v>
      </x:c>
      <x:c r="I5" s="59" t="n">
        <x:v>100</x:v>
      </x:c>
      <x:c r="J5" s="60" t="n">
        <x:v>94.22</x:v>
      </x:c>
      <x:c r="K5" s="60" t="n">
        <x:v>94.48</x:v>
      </x:c>
      <x:c r="L5" s="60" t="n">
        <x:v>93.95</x:v>
      </x:c>
      <x:c r="M5" s="60" t="n">
        <x:v>97.1</x:v>
      </x:c>
      <x:c r="N5" s="60" t="n">
        <x:v>94</x:v>
      </x:c>
      <x:c r="O5" s="60" t="n">
        <x:v>97.2</x:v>
      </x:c>
      <x:c r="P5" s="60" t="n">
        <x:v>91</x:v>
      </x:c>
      <x:c r="Q5" s="60" t="n">
        <x:v>97.2</x:v>
      </x:c>
      <x:c r="R5" s="60" t="n">
        <x:v>86</x:v>
      </x:c>
      <x:c r="S5" s="60" t="n">
        <x:v>9</x:v>
      </x:c>
      <x:c r="T5" s="60" t="n">
        <x:v>0.09</x:v>
      </x:c>
      <x:c r="U5" s="60" t="n">
        <x:v>0.021</x:v>
      </x:c>
      <x:c r="V5" s="59" t="str">
        <x:v>Top50三轮复核</x:v>
      </x:c>
      <x:c r="W5" s="40" t="str">
        <x:v>三轮复核后与原表基本一致</x:v>
      </x:c>
      <x:c r="X5" s="40" t="str">
        <x:v>https://arxiv.org/abs/2606.27658</x:v>
      </x:c>
    </x:row>
    <x:row r="6" ht="32" customHeight="1">
      <x:c r="A6" s="59" t="n">
        <x:v>5</x:v>
      </x:c>
      <x:c r="B6" s="59" t="str">
        <x:v>2026-06</x:v>
      </x:c>
      <x:c r="C6" s="59" t="n">
        <x:v>3</x:v>
      </x:c>
      <x:c r="D6" s="59" t="n">
        <x:v>5</x:v>
      </x:c>
      <x:c r="E6" s="59" t="str">
        <x:v>2606.04449</x:v>
      </x:c>
      <x:c r="F6" s="40" t="str">
        <x:v>Construction of multi-bubble solutions for the energy-critical wave equation in dimension four</x:v>
      </x:c>
      <x:c r="G6" s="40" t="str">
        <x:v>Jingyuan Gu; Jacek Jendrej; Lifeng Zhao</x:v>
      </x:c>
      <x:c r="H6" s="40" t="str">
        <x:v>nonlinear wave blow-up</x:v>
      </x:c>
      <x:c r="I6" s="59" t="n">
        <x:v>90</x:v>
      </x:c>
      <x:c r="J6" s="60" t="n">
        <x:v>93.96</x:v>
      </x:c>
      <x:c r="K6" s="60" t="n">
        <x:v>94.01</x:v>
      </x:c>
      <x:c r="L6" s="60" t="n">
        <x:v>93.9</x:v>
      </x:c>
      <x:c r="M6" s="60" t="n">
        <x:v>96.1</x:v>
      </x:c>
      <x:c r="N6" s="60" t="n">
        <x:v>94</x:v>
      </x:c>
      <x:c r="O6" s="60" t="n">
        <x:v>97.1</x:v>
      </x:c>
      <x:c r="P6" s="60" t="n">
        <x:v>90</x:v>
      </x:c>
      <x:c r="Q6" s="60" t="n">
        <x:v>97.1</x:v>
      </x:c>
      <x:c r="R6" s="60" t="n">
        <x:v>86</x:v>
      </x:c>
      <x:c r="S6" s="60" t="n">
        <x:v>9</x:v>
      </x:c>
      <x:c r="T6" s="60" t="n">
        <x:v>0.06</x:v>
      </x:c>
      <x:c r="U6" s="60" t="n">
        <x:v>0.028</x:v>
      </x:c>
      <x:c r="V6" s="59" t="str">
        <x:v>Top50三轮复核</x:v>
      </x:c>
      <x:c r="W6" s="40" t="str">
        <x:v>三轮复核后与原表基本一致</x:v>
      </x:c>
      <x:c r="X6" s="40" t="str">
        <x:v>https://arxiv.org/abs/2606.04449</x:v>
      </x:c>
    </x:row>
    <x:row r="7" ht="32" customHeight="1">
      <x:c r="A7" s="59" t="n">
        <x:v>6</x:v>
      </x:c>
      <x:c r="B7" s="59" t="str">
        <x:v>2026-05</x:v>
      </x:c>
      <x:c r="C7" s="59" t="n">
        <x:v>3</x:v>
      </x:c>
      <x:c r="D7" s="59" t="n">
        <x:v>6</x:v>
      </x:c>
      <x:c r="E7" s="59" t="str">
        <x:v>2605.19143</x:v>
      </x:c>
      <x:c r="F7" s="40" t="str">
        <x:v>Weak cosmic censorship for the circularly symmetric Einstein-scalar field system in 2+1 dimensions</x:v>
      </x:c>
      <x:c r="G7" s="40" t="str">
        <x:v>Serban Cicortas</x:v>
      </x:c>
      <x:c r="H7" s="40" t="str">
        <x:v>Geometric hyperbolic PDE / GR</x:v>
      </x:c>
      <x:c r="I7" s="59" t="n">
        <x:v>65</x:v>
      </x:c>
      <x:c r="J7" s="60" t="n">
        <x:v>93.76</x:v>
      </x:c>
      <x:c r="K7" s="60" t="n">
        <x:v>94.27</x:v>
      </x:c>
      <x:c r="L7" s="60" t="n">
        <x:v>93.24</x:v>
      </x:c>
      <x:c r="M7" s="60" t="n">
        <x:v>98</x:v>
      </x:c>
      <x:c r="N7" s="60" t="n">
        <x:v>94.1</x:v>
      </x:c>
      <x:c r="O7" s="60" t="n">
        <x:v>96.1</x:v>
      </x:c>
      <x:c r="P7" s="60" t="n">
        <x:v>90.8</x:v>
      </x:c>
      <x:c r="Q7" s="60" t="n">
        <x:v>96</x:v>
      </x:c>
      <x:c r="R7" s="60" t="n">
        <x:v>84</x:v>
      </x:c>
      <x:c r="S7" s="60" t="n">
        <x:v>8</x:v>
      </x:c>
      <x:c r="T7" s="60" t="n">
        <x:v>-0.04</x:v>
      </x:c>
      <x:c r="U7" s="60" t="n">
        <x:v>0.021</x:v>
      </x:c>
      <x:c r="V7" s="59" t="str">
        <x:v>Top50三轮复核</x:v>
      </x:c>
      <x:c r="W7" s="40" t="str">
        <x:v>弱宇宙监督问题价值很高；因2+1圆对称模型范围略调低广度。</x:v>
      </x:c>
      <x:c r="X7" s="40" t="str">
        <x:v>https://arxiv.org/abs/2605.19143</x:v>
      </x:c>
    </x:row>
    <x:row r="8" ht="32" customHeight="1">
      <x:c r="A8" s="59" t="n">
        <x:v>7</x:v>
      </x:c>
      <x:c r="B8" s="59" t="str">
        <x:v>2026-05</x:v>
      </x:c>
      <x:c r="C8" s="59" t="n">
        <x:v>5</x:v>
      </x:c>
      <x:c r="D8" s="59" t="n">
        <x:v>8</x:v>
      </x:c>
      <x:c r="E8" s="59" t="str">
        <x:v>2605.05041</x:v>
      </x:c>
      <x:c r="F8" s="40" t="str">
        <x:v>An Optimal Regularity Theory for Immersed Stable Minimal Hypersurfaces with Small Singular Set</x:v>
      </x:c>
      <x:c r="G8" s="40" t="str">
        <x:v>Paul Minter; Zhengyi Xiao</x:v>
      </x:c>
      <x:c r="H8" s="40" t="str">
        <x:v>Minimal hypersurfaces / regularity</x:v>
      </x:c>
      <x:c r="I8" s="59" t="n">
        <x:v>65</x:v>
      </x:c>
      <x:c r="J8" s="60" t="n">
        <x:v>93.19</x:v>
      </x:c>
      <x:c r="K8" s="60" t="n">
        <x:v>93.43</x:v>
      </x:c>
      <x:c r="L8" s="60" t="n">
        <x:v>92.95</x:v>
      </x:c>
      <x:c r="M8" s="60" t="n">
        <x:v>96.2</x:v>
      </x:c>
      <x:c r="N8" s="60" t="n">
        <x:v>93.1</x:v>
      </x:c>
      <x:c r="O8" s="60" t="n">
        <x:v>95.2</x:v>
      </x:c>
      <x:c r="P8" s="60" t="n">
        <x:v>90.3</x:v>
      </x:c>
      <x:c r="Q8" s="60" t="n">
        <x:v>95.3</x:v>
      </x:c>
      <x:c r="R8" s="60" t="n">
        <x:v>86</x:v>
      </x:c>
      <x:c r="S8" s="60" t="n">
        <x:v>8</x:v>
      </x:c>
      <x:c r="T8" s="60" t="n">
        <x:v>0.09</x:v>
      </x:c>
      <x:c r="U8" s="60" t="n">
        <x:v>0.033</x:v>
      </x:c>
      <x:c r="V8" s="59" t="str">
        <x:v>Top50三轮复核</x:v>
      </x:c>
      <x:c r="W8" s="40" t="str">
        <x:v>小奇异集稳定极小超曲面最优正则性，跨方向影响上调。</x:v>
      </x:c>
      <x:c r="X8" s="40" t="str">
        <x:v>https://arxiv.org/abs/2605.05041</x:v>
      </x:c>
    </x:row>
    <x:row r="9" ht="32" customHeight="1">
      <x:c r="A9" s="59" t="n">
        <x:v>8</x:v>
      </x:c>
      <x:c r="B9" s="59" t="str">
        <x:v>2026-05</x:v>
      </x:c>
      <x:c r="C9" s="59" t="n">
        <x:v>4</x:v>
      </x:c>
      <x:c r="D9" s="59" t="n">
        <x:v>7</x:v>
      </x:c>
      <x:c r="E9" s="59" t="str">
        <x:v>2605.15149</x:v>
      </x:c>
      <x:c r="F9" s="40" t="str">
        <x:v>Asymptotically Self-Similar Blowup for 3D Incompressible Euler with C^{1,1/3-} Velocity I: C^infty 1D Limiting Profiles</x:v>
      </x:c>
      <x:c r="G9" s="40" t="str">
        <x:v>Jiajie Chen</x:v>
      </x:c>
      <x:c r="H9" s="40" t="str">
        <x:v>Fluid singularities / Euler</x:v>
      </x:c>
      <x:c r="I9" s="59" t="n">
        <x:v>92</x:v>
      </x:c>
      <x:c r="J9" s="60" t="n">
        <x:v>93.09</x:v>
      </x:c>
      <x:c r="K9" s="60" t="n">
        <x:v>93.18</x:v>
      </x:c>
      <x:c r="L9" s="60" t="n">
        <x:v>92.99</x:v>
      </x:c>
      <x:c r="M9" s="60" t="n">
        <x:v>96</x:v>
      </x:c>
      <x:c r="N9" s="60" t="n">
        <x:v>93.6</x:v>
      </x:c>
      <x:c r="O9" s="60" t="n">
        <x:v>96.1</x:v>
      </x:c>
      <x:c r="P9" s="60" t="n">
        <x:v>87.6</x:v>
      </x:c>
      <x:c r="Q9" s="60" t="n">
        <x:v>96</x:v>
      </x:c>
      <x:c r="R9" s="60" t="n">
        <x:v>85</x:v>
      </x:c>
      <x:c r="S9" s="60" t="n">
        <x:v>10</x:v>
      </x:c>
      <x:c r="T9" s="60" t="n">
        <x:v>-0.11</x:v>
      </x:c>
      <x:c r="U9" s="60" t="n">
        <x:v>0.005</x:v>
      </x:c>
      <x:c r="V9" s="59" t="str">
        <x:v>Top50三轮复核</x:v>
      </x:c>
      <x:c r="W9" s="40" t="str">
        <x:v>系列/续篇按重叠性校准；Part I/1D profile component按系列重叠轻微下调。</x:v>
      </x:c>
      <x:c r="X9" s="40" t="str">
        <x:v>https://arxiv.org/abs/2605.15149</x:v>
      </x:c>
    </x:row>
    <x:row r="10" ht="32" customHeight="1">
      <x:c r="A10" s="59" t="n">
        <x:v>9</x:v>
      </x:c>
      <x:c r="B10" s="59" t="str">
        <x:v>2026-06</x:v>
      </x:c>
      <x:c r="C10" s="59" t="n">
        <x:v>4</x:v>
      </x:c>
      <x:c r="D10" s="59" t="n">
        <x:v>9</x:v>
      </x:c>
      <x:c r="E10" s="59" t="str">
        <x:v>2606.00538</x:v>
      </x:c>
      <x:c r="F10" s="40" t="str">
        <x:v>Classification of blow-ups for the Alt--Phillips problem in three dimensions</x:v>
      </x:c>
      <x:c r="G10" s="40" t="str">
        <x:v>Xavier Fernandez-Real</x:v>
      </x:c>
      <x:c r="H10" s="40" t="str">
        <x:v>free boundary/regularity</x:v>
      </x:c>
      <x:c r="I10" s="59"/>
      <x:c r="J10" s="60" t="n">
        <x:v>93.05</x:v>
      </x:c>
      <x:c r="K10" s="60" t="n">
        <x:v>93.43</x:v>
      </x:c>
      <x:c r="L10" s="60" t="n">
        <x:v>92.67</x:v>
      </x:c>
      <x:c r="M10" s="60" t="n">
        <x:v>96</x:v>
      </x:c>
      <x:c r="N10" s="60" t="n">
        <x:v>93.2</x:v>
      </x:c>
      <x:c r="O10" s="60" t="n">
        <x:v>94</x:v>
      </x:c>
      <x:c r="P10" s="60" t="n">
        <x:v>91.3</x:v>
      </x:c>
      <x:c r="Q10" s="60" t="n">
        <x:v>95.1</x:v>
      </x:c>
      <x:c r="R10" s="60" t="n">
        <x:v>88</x:v>
      </x:c>
      <x:c r="S10" s="60" t="n">
        <x:v>10</x:v>
      </x:c>
      <x:c r="T10" s="60" t="n">
        <x:v>0.07</x:v>
      </x:c>
      <x:c r="U10" s="60" t="n">
        <x:v>0.024</x:v>
      </x:c>
      <x:c r="V10" s="59" t="str">
        <x:v>Top50三轮复核</x:v>
      </x:c>
      <x:c r="W10" s="40" t="str">
        <x:v>三维Alt--Phillips blow-up分类保持Top层级，广度略上调。</x:v>
      </x:c>
      <x:c r="X10" s="40" t="str">
        <x:v>https://arxiv.org/abs/2606.00538</x:v>
      </x:c>
    </x:row>
    <x:row r="11" ht="32" customHeight="1">
      <x:c r="A11" s="59" t="n">
        <x:v>10</x:v>
      </x:c>
      <x:c r="B11" s="59" t="str">
        <x:v>2026-05</x:v>
      </x:c>
      <x:c r="C11" s="59" t="n">
        <x:v>6</x:v>
      </x:c>
      <x:c r="D11" s="59" t="n">
        <x:v>10</x:v>
      </x:c>
      <x:c r="E11" s="59" t="str">
        <x:v>2605.20426</x:v>
      </x:c>
      <x:c r="F11" s="40" t="str">
        <x:v>Pointwise bounds and obstructions to blowup for the Landau and Boltzmann equations</x:v>
      </x:c>
      <x:c r="G11" s="40" t="str">
        <x:v>William Golding; Christopher Henderson; Luis Silvestre</x:v>
      </x:c>
      <x:c r="H11" s="40" t="str">
        <x:v>Kinetic PDE</x:v>
      </x:c>
      <x:c r="I11" s="59" t="n">
        <x:v>23</x:v>
      </x:c>
      <x:c r="J11" s="60" t="n">
        <x:v>92.8</x:v>
      </x:c>
      <x:c r="K11" s="60" t="n">
        <x:v>93.32</x:v>
      </x:c>
      <x:c r="L11" s="60" t="n">
        <x:v>92.28</x:v>
      </x:c>
      <x:c r="M11" s="60" t="n">
        <x:v>96.3</x:v>
      </x:c>
      <x:c r="N11" s="60" t="n">
        <x:v>93.1</x:v>
      </x:c>
      <x:c r="O11" s="60" t="n">
        <x:v>94.3</x:v>
      </x:c>
      <x:c r="P11" s="60" t="n">
        <x:v>90.2</x:v>
      </x:c>
      <x:c r="Q11" s="60" t="n">
        <x:v>94.2</x:v>
      </x:c>
      <x:c r="R11" s="60" t="n">
        <x:v>87</x:v>
      </x:c>
      <x:c r="S11" s="60" t="n">
        <x:v>10.1</x:v>
      </x:c>
      <x:c r="T11" s="60" t="n">
        <x:v>0.2</x:v>
      </x:c>
      <x:c r="U11" s="60" t="n">
        <x:v>0.052</x:v>
      </x:c>
      <x:c r="V11" s="59" t="str">
        <x:v>Top50三轮复核</x:v>
      </x:c>
      <x:c r="W11" s="40" t="str">
        <x:v>Landau/Boltzmann blow-up obstruction的可迁移估计价值上调。</x:v>
      </x:c>
      <x:c r="X11" s="40" t="str">
        <x:v>https://arxiv.org/abs/2605.20426</x:v>
      </x:c>
    </x:row>
    <x:row r="12" ht="32" customHeight="1">
      <x:c r="A12" s="59" t="n">
        <x:v>11</x:v>
      </x:c>
      <x:c r="B12" s="59" t="str">
        <x:v>2026-06</x:v>
      </x:c>
      <x:c r="C12" s="59" t="n">
        <x:v>5</x:v>
      </x:c>
      <x:c r="D12" s="59" t="n">
        <x:v>11</x:v>
      </x:c>
      <x:c r="E12" s="59" t="str">
        <x:v>2606.01331</x:v>
      </x:c>
      <x:c r="F12" s="40" t="str">
        <x:v>Sharp H_x^s Ill-posedness of the Hard-sphere Boltzmann Equation</x:v>
      </x:c>
      <x:c r="G12" s="40" t="str">
        <x:v>Xuwen Chen; Yan Guo; Shunlin Shen; Zhifei Zhang</x:v>
      </x:c>
      <x:c r="H12" s="40" t="str">
        <x:v>kinetic PDE</x:v>
      </x:c>
      <x:c r="I12" s="59"/>
      <x:c r="J12" s="60" t="n">
        <x:v>92.55</x:v>
      </x:c>
      <x:c r="K12" s="60" t="n">
        <x:v>92.7</x:v>
      </x:c>
      <x:c r="L12" s="60" t="n">
        <x:v>92.4</x:v>
      </x:c>
      <x:c r="M12" s="60" t="n">
        <x:v>95.1</x:v>
      </x:c>
      <x:c r="N12" s="60" t="n">
        <x:v>92.1</x:v>
      </x:c>
      <x:c r="O12" s="60" t="n">
        <x:v>95.1</x:v>
      </x:c>
      <x:c r="P12" s="60" t="n">
        <x:v>89.2</x:v>
      </x:c>
      <x:c r="Q12" s="60" t="n">
        <x:v>95.2</x:v>
      </x:c>
      <x:c r="R12" s="60" t="n">
        <x:v>86</x:v>
      </x:c>
      <x:c r="S12" s="60" t="n">
        <x:v>10</x:v>
      </x:c>
      <x:c r="T12" s="60" t="n">
        <x:v>0.1</x:v>
      </x:c>
      <x:c r="U12" s="60" t="n">
        <x:v>0.037</x:v>
      </x:c>
      <x:c r="V12" s="59" t="str">
        <x:v>Top50三轮复核</x:v>
      </x:c>
      <x:c r="W12" s="40" t="str">
        <x:v>三轮复核后与原表基本一致</x:v>
      </x:c>
      <x:c r="X12" s="40" t="str">
        <x:v>https://arxiv.org/abs/2606.01331</x:v>
      </x:c>
    </x:row>
    <x:row r="13" ht="32" customHeight="1">
      <x:c r="A13" s="59" t="n">
        <x:v>12</x:v>
      </x:c>
      <x:c r="B13" s="59" t="str">
        <x:v>2026-06</x:v>
      </x:c>
      <x:c r="C13" s="59" t="n">
        <x:v>6</x:v>
      </x:c>
      <x:c r="D13" s="59" t="n">
        <x:v>12</x:v>
      </x:c>
      <x:c r="E13" s="59" t="str">
        <x:v>2606.12192</x:v>
      </x:c>
      <x:c r="F13" s="40" t="str">
        <x:v>A Generalized Framework for L^r Convex Integration and its Application to Geophysical Models</x:v>
      </x:c>
      <x:c r="G13" s="40" t="str">
        <x:v>Daniel W. Boutros; Simon Markfelder; Edriss S. Titi</x:v>
      </x:c>
      <x:c r="H13" s="40" t="str">
        <x:v>convex integration/geophysical PDE</x:v>
      </x:c>
      <x:c r="I13" s="59" t="n">
        <x:v>90</x:v>
      </x:c>
      <x:c r="J13" s="60" t="n">
        <x:v>92.45</x:v>
      </x:c>
      <x:c r="K13" s="60" t="n">
        <x:v>92.58</x:v>
      </x:c>
      <x:c r="L13" s="60" t="n">
        <x:v>92.31</x:v>
      </x:c>
      <x:c r="M13" s="60" t="n">
        <x:v>94</x:v>
      </x:c>
      <x:c r="N13" s="60" t="n">
        <x:v>93.3</x:v>
      </x:c>
      <x:c r="O13" s="60" t="n">
        <x:v>95.1</x:v>
      </x:c>
      <x:c r="P13" s="60" t="n">
        <x:v>90.3</x:v>
      </x:c>
      <x:c r="Q13" s="60" t="n">
        <x:v>95.1</x:v>
      </x:c>
      <x:c r="R13" s="60" t="n">
        <x:v>84</x:v>
      </x:c>
      <x:c r="S13" s="60" t="n">
        <x:v>10</x:v>
      </x:c>
      <x:c r="T13" s="60" t="n">
        <x:v>0.13</x:v>
      </x:c>
      <x:c r="U13" s="60" t="n">
        <x:v>0.037</x:v>
      </x:c>
      <x:c r="V13" s="59" t="str">
        <x:v>Top50三轮复核</x:v>
      </x:c>
      <x:c r="W13" s="40" t="str">
        <x:v>convex integration general framework 有广度，略上调。</x:v>
      </x:c>
      <x:c r="X13" s="40" t="str">
        <x:v>https://arxiv.org/abs/2606.12192</x:v>
      </x:c>
    </x:row>
    <x:row r="14" ht="32" customHeight="1">
      <x:c r="A14" s="59" t="n">
        <x:v>13</x:v>
      </x:c>
      <x:c r="B14" s="59" t="str">
        <x:v>2026-05</x:v>
      </x:c>
      <x:c r="C14" s="59" t="n">
        <x:v>7</x:v>
      </x:c>
      <x:c r="D14" s="59" t="n">
        <x:v>14</x:v>
      </x:c>
      <x:c r="E14" s="59" t="str">
        <x:v>2605.24200</x:v>
      </x:c>
      <x:c r="F14" s="40" t="str">
        <x:v>Refined asymptotics of the steady Navier Stokes equation around small Landau solutions</x:v>
      </x:c>
      <x:c r="G14" s="40" t="str">
        <x:v>Hao Jia; Vladimir Sverak</x:v>
      </x:c>
      <x:c r="H14" s="40" t="str">
        <x:v>Navier-Stokes / asymptotics</x:v>
      </x:c>
      <x:c r="I14" s="59" t="n">
        <x:v>50</x:v>
      </x:c>
      <x:c r="J14" s="60" t="n">
        <x:v>92.13</x:v>
      </x:c>
      <x:c r="K14" s="60" t="n">
        <x:v>92.25</x:v>
      </x:c>
      <x:c r="L14" s="60" t="n">
        <x:v>92</x:v>
      </x:c>
      <x:c r="M14" s="60" t="n">
        <x:v>95</x:v>
      </x:c>
      <x:c r="N14" s="60" t="n">
        <x:v>91.1</x:v>
      </x:c>
      <x:c r="O14" s="60" t="n">
        <x:v>94.1</x:v>
      </x:c>
      <x:c r="P14" s="60" t="n">
        <x:v>88</x:v>
      </x:c>
      <x:c r="Q14" s="60" t="n">
        <x:v>94.2</x:v>
      </x:c>
      <x:c r="R14" s="60" t="n">
        <x:v>88</x:v>
      </x:c>
      <x:c r="S14" s="60" t="n">
        <x:v>10</x:v>
      </x:c>
      <x:c r="T14" s="60" t="n">
        <x:v>0.03</x:v>
      </x:c>
      <x:c r="U14" s="60" t="n">
        <x:v>0.025</x:v>
      </x:c>
      <x:c r="V14" s="59" t="str">
        <x:v>Top50三轮复核</x:v>
      </x:c>
      <x:c r="W14" s="40" t="str">
        <x:v>范围偏专门，广度轻微回调</x:v>
      </x:c>
      <x:c r="X14" s="40" t="str">
        <x:v>https://arxiv.org/abs/2605.24200</x:v>
      </x:c>
    </x:row>
    <x:row r="15" ht="32" customHeight="1">
      <x:c r="A15" s="59" t="n">
        <x:v>14</x:v>
      </x:c>
      <x:c r="B15" s="59" t="str">
        <x:v>2026-06</x:v>
      </x:c>
      <x:c r="C15" s="59" t="n">
        <x:v>7</x:v>
      </x:c>
      <x:c r="D15" s="59" t="n">
        <x:v>16</x:v>
      </x:c>
      <x:c r="E15" s="59" t="str">
        <x:v>2606.01359</x:v>
      </x:c>
      <x:c r="F15" s="40" t="str">
        <x:v>Intrinsic Schauder estimates at nearly linear growth</x:v>
      </x:c>
      <x:c r="G15" s="40" t="str">
        <x:v>Cristiana De Filippis; Filomena De Filippis; Peter Hasto</x:v>
      </x:c>
      <x:c r="H15" s="40" t="str">
        <x:v>regularity theory</x:v>
      </x:c>
      <x:c r="I15" s="59" t="n">
        <x:v>42</x:v>
      </x:c>
      <x:c r="J15" s="60" t="n">
        <x:v>92.08</x:v>
      </x:c>
      <x:c r="K15" s="60" t="n">
        <x:v>92.26</x:v>
      </x:c>
      <x:c r="L15" s="60" t="n">
        <x:v>91.89</x:v>
      </x:c>
      <x:c r="M15" s="60" t="n">
        <x:v>94.1</x:v>
      </x:c>
      <x:c r="N15" s="60" t="n">
        <x:v>91.3</x:v>
      </x:c>
      <x:c r="O15" s="60" t="n">
        <x:v>94.1</x:v>
      </x:c>
      <x:c r="P15" s="60" t="n">
        <x:v>90.3</x:v>
      </x:c>
      <x:c r="Q15" s="60" t="n">
        <x:v>94.2</x:v>
      </x:c>
      <x:c r="R15" s="60" t="n">
        <x:v>87</x:v>
      </x:c>
      <x:c r="S15" s="60" t="n">
        <x:v>10</x:v>
      </x:c>
      <x:c r="T15" s="60" t="n">
        <x:v>0.15</x:v>
      </x:c>
      <x:c r="U15" s="60" t="n">
        <x:v>0.009</x:v>
      </x:c>
      <x:c r="V15" s="59" t="str">
        <x:v>Top50三轮复核</x:v>
      </x:c>
      <x:c r="W15" s="40" t="str">
        <x:v>nearly linear growth Schauder估计可迁移性强，略上调。</x:v>
      </x:c>
      <x:c r="X15" s="40" t="str">
        <x:v>https://arxiv.org/abs/2606.01359</x:v>
      </x:c>
    </x:row>
    <x:row r="16" ht="32" customHeight="1">
      <x:c r="A16" s="59" t="n">
        <x:v>15</x:v>
      </x:c>
      <x:c r="B16" s="59" t="str">
        <x:v>2026-05</x:v>
      </x:c>
      <x:c r="C16" s="59" t="n">
        <x:v>7</x:v>
      </x:c>
      <x:c r="D16" s="59" t="n">
        <x:v>13</x:v>
      </x:c>
      <x:c r="E16" s="59" t="str">
        <x:v>2605.02561</x:v>
      </x:c>
      <x:c r="F16" s="40" t="str">
        <x:v>Quantitative homogenization of elliptic equations with infinitely many scales</x:v>
      </x:c>
      <x:c r="G16" s="40" t="str">
        <x:v>Zhongwei Shen; Yao Xu; Jinping Zhuge</x:v>
      </x:c>
      <x:c r="H16" s="40" t="str">
        <x:v>Homogenization</x:v>
      </x:c>
      <x:c r="I16" s="59" t="n">
        <x:v>57</x:v>
      </x:c>
      <x:c r="J16" s="60" t="n">
        <x:v>92.07</x:v>
      </x:c>
      <x:c r="K16" s="60" t="n">
        <x:v>92.6</x:v>
      </x:c>
      <x:c r="L16" s="60" t="n">
        <x:v>91.55</x:v>
      </x:c>
      <x:c r="M16" s="60" t="n">
        <x:v>94</x:v>
      </x:c>
      <x:c r="N16" s="60" t="n">
        <x:v>92.1</x:v>
      </x:c>
      <x:c r="O16" s="60" t="n">
        <x:v>94</x:v>
      </x:c>
      <x:c r="P16" s="60" t="n">
        <x:v>91.2</x:v>
      </x:c>
      <x:c r="Q16" s="60" t="n">
        <x:v>93.1</x:v>
      </x:c>
      <x:c r="R16" s="60" t="n">
        <x:v>88</x:v>
      </x:c>
      <x:c r="S16" s="60" t="n">
        <x:v>12</x:v>
      </x:c>
      <x:c r="T16" s="60" t="n">
        <x:v>-0.03</x:v>
      </x:c>
      <x:c r="U16" s="60" t="n">
        <x:v>0.017</x:v>
      </x:c>
      <x:c r="V16" s="59" t="str">
        <x:v>Top50三轮复核</x:v>
      </x:c>
      <x:c r="W16" s="40" t="str">
        <x:v>三轮复核后与原表基本一致</x:v>
      </x:c>
      <x:c r="X16" s="40" t="str">
        <x:v>https://arxiv.org/abs/2605.02561</x:v>
      </x:c>
    </x:row>
    <x:row r="17" ht="32" customHeight="1">
      <x:c r="A17" s="59" t="n">
        <x:v>16</x:v>
      </x:c>
      <x:c r="B17" s="59" t="str">
        <x:v>2026-05</x:v>
      </x:c>
      <x:c r="C17" s="59" t="n">
        <x:v>9</x:v>
      </x:c>
      <x:c r="D17" s="59" t="n">
        <x:v>15</x:v>
      </x:c>
      <x:c r="E17" s="59" t="str">
        <x:v>2605.28677</x:v>
      </x:c>
      <x:c r="F17" s="40" t="str">
        <x:v>Weak universality for stochastic reaction-diffusion models with long-range correlated noise</x:v>
      </x:c>
      <x:c r="G17" s="40" t="str">
        <x:v>Simon Gabriel; Markus Tempelmayr</x:v>
      </x:c>
      <x:c r="H17" s="40" t="str">
        <x:v>Singular stochastic PDE</x:v>
      </x:c>
      <x:c r="I17" s="59" t="n">
        <x:v>66</x:v>
      </x:c>
      <x:c r="J17" s="60" t="n">
        <x:v>91.98</x:v>
      </x:c>
      <x:c r="K17" s="60" t="n">
        <x:v>92.4</x:v>
      </x:c>
      <x:c r="L17" s="60" t="n">
        <x:v>91.55</x:v>
      </x:c>
      <x:c r="M17" s="60" t="n">
        <x:v>94</x:v>
      </x:c>
      <x:c r="N17" s="60" t="n">
        <x:v>92.1</x:v>
      </x:c>
      <x:c r="O17" s="60" t="n">
        <x:v>94</x:v>
      </x:c>
      <x:c r="P17" s="60" t="n">
        <x:v>91.2</x:v>
      </x:c>
      <x:c r="Q17" s="60" t="n">
        <x:v>94.1</x:v>
      </x:c>
      <x:c r="R17" s="60" t="n">
        <x:v>86</x:v>
      </x:c>
      <x:c r="S17" s="60" t="n">
        <x:v>12</x:v>
      </x:c>
      <x:c r="T17" s="60" t="n">
        <x:v>-0.02</x:v>
      </x:c>
      <x:c r="U17" s="60" t="n">
        <x:v>0.021</x:v>
      </x:c>
      <x:c r="V17" s="59" t="str">
        <x:v>Top50三轮复核</x:v>
      </x:c>
      <x:c r="W17" s="40" t="str">
        <x:v>三轮复核后与原表基本一致</x:v>
      </x:c>
      <x:c r="X17" s="40" t="str">
        <x:v>https://arxiv.org/abs/2605.28677</x:v>
      </x:c>
    </x:row>
    <x:row r="18" ht="32" customHeight="1">
      <x:c r="A18" s="59" t="n">
        <x:v>17</x:v>
      </x:c>
      <x:c r="B18" s="59" t="str">
        <x:v>2026-05</x:v>
      </x:c>
      <x:c r="C18" s="59" t="n">
        <x:v>10</x:v>
      </x:c>
      <x:c r="D18" s="59" t="n">
        <x:v>17</x:v>
      </x:c>
      <x:c r="E18" s="59" t="str">
        <x:v>2605.02058</x:v>
      </x:c>
      <x:c r="F18" s="40" t="str">
        <x:v>Quantitative Estimates for Mean-Field Limits and Correlation Functions through a Duality Framework</x:v>
      </x:c>
      <x:c r="G18" s="40" t="str">
        <x:v>Nadia Khoury; Pierre-Emmanuel Jabin</x:v>
      </x:c>
      <x:c r="H18" s="40" t="str">
        <x:v>Mean-field limits</x:v>
      </x:c>
      <x:c r="I18" s="59" t="n">
        <x:v>42</x:v>
      </x:c>
      <x:c r="J18" s="60" t="n">
        <x:v>91.9</x:v>
      </x:c>
      <x:c r="K18" s="60" t="n">
        <x:v>92.4</x:v>
      </x:c>
      <x:c r="L18" s="60" t="n">
        <x:v>91.4</x:v>
      </x:c>
      <x:c r="M18" s="60" t="n">
        <x:v>94.1</x:v>
      </x:c>
      <x:c r="N18" s="60" t="n">
        <x:v>92.1</x:v>
      </x:c>
      <x:c r="O18" s="60" t="n">
        <x:v>93.1</x:v>
      </x:c>
      <x:c r="P18" s="60" t="n">
        <x:v>91.2</x:v>
      </x:c>
      <x:c r="Q18" s="60" t="n">
        <x:v>93.2</x:v>
      </x:c>
      <x:c r="R18" s="60" t="n">
        <x:v>88</x:v>
      </x:c>
      <x:c r="S18" s="60" t="n">
        <x:v>12</x:v>
      </x:c>
      <x:c r="T18" s="60" t="n">
        <x:v>0.1</x:v>
      </x:c>
      <x:c r="U18" s="60" t="n">
        <x:v>0.014</x:v>
      </x:c>
      <x:c r="V18" s="59" t="str">
        <x:v>Top50三轮复核</x:v>
      </x:c>
      <x:c r="W18" s="40" t="str">
        <x:v>三轮复核后与原表基本一致</x:v>
      </x:c>
      <x:c r="X18" s="40" t="str">
        <x:v>https://arxiv.org/abs/2605.02058</x:v>
      </x:c>
    </x:row>
    <x:row r="19" ht="32" customHeight="1">
      <x:c r="A19" s="59" t="n">
        <x:v>18</x:v>
      </x:c>
      <x:c r="B19" s="59" t="str">
        <x:v>2026-05</x:v>
      </x:c>
      <x:c r="C19" s="59" t="n">
        <x:v>11</x:v>
      </x:c>
      <x:c r="D19" s="59" t="n">
        <x:v>18</x:v>
      </x:c>
      <x:c r="E19" s="59" t="str">
        <x:v>2605.24443</x:v>
      </x:c>
      <x:c r="F19" s="40" t="str">
        <x:v>A dimension-free interpolation of Caffarelli's contraction theorem</x:v>
      </x:c>
      <x:c r="G19" s="40" t="str">
        <x:v>Bader Ammari; Alessio Figalli</x:v>
      </x:c>
      <x:c r="H19" s="40" t="str">
        <x:v>Optimal transport / convexity</x:v>
      </x:c>
      <x:c r="I19" s="59"/>
      <x:c r="J19" s="60" t="n">
        <x:v>91.77</x:v>
      </x:c>
      <x:c r="K19" s="60" t="n">
        <x:v>92.12</x:v>
      </x:c>
      <x:c r="L19" s="60" t="n">
        <x:v>91.42</x:v>
      </x:c>
      <x:c r="M19" s="60" t="n">
        <x:v>93.2</x:v>
      </x:c>
      <x:c r="N19" s="60" t="n">
        <x:v>93.3</x:v>
      </x:c>
      <x:c r="O19" s="60" t="n">
        <x:v>92</x:v>
      </x:c>
      <x:c r="P19" s="60" t="n">
        <x:v>91.3</x:v>
      </x:c>
      <x:c r="Q19" s="60" t="n">
        <x:v>92.2</x:v>
      </x:c>
      <x:c r="R19" s="60" t="n">
        <x:v>88</x:v>
      </x:c>
      <x:c r="S19" s="60" t="n">
        <x:v>10</x:v>
      </x:c>
      <x:c r="T19" s="60" t="n">
        <x:v>0.07</x:v>
      </x:c>
      <x:c r="U19" s="60" t="n">
        <x:v>0.014</x:v>
      </x:c>
      <x:c r="V19" s="59" t="str">
        <x:v>Top50三轮复核</x:v>
      </x:c>
      <x:c r="W19" s="40" t="str">
        <x:v>dimension-free Caffarelli contraction interpolation 的概念价值上调。</x:v>
      </x:c>
      <x:c r="X19" s="40" t="str">
        <x:v>https://arxiv.org/abs/2605.24443</x:v>
      </x:c>
    </x:row>
    <x:row r="20" ht="32" customHeight="1">
      <x:c r="A20" s="59" t="n">
        <x:v>19</x:v>
      </x:c>
      <x:c r="B20" s="59" t="str">
        <x:v>2026-06</x:v>
      </x:c>
      <x:c r="C20" s="59" t="n">
        <x:v>8</x:v>
      </x:c>
      <x:c r="D20" s="59" t="n">
        <x:v>20</x:v>
      </x:c>
      <x:c r="E20" s="59" t="str">
        <x:v>2606.27691</x:v>
      </x:c>
      <x:c r="F20" s="40" t="str">
        <x:v>Singular Limits for Three-Dimensional Global Minimizers of Ginzburg-Landau-Type Functionals: Uniform Estimates and Singular Sets</x:v>
      </x:c>
      <x:c r="G20" s="40" t="str">
        <x:v>Giacomo Canevari; Haotong Fu; Wei Wang</x:v>
      </x:c>
      <x:c r="H20" s="40" t="str">
        <x:v>variational/singular limits</x:v>
      </x:c>
      <x:c r="I20" s="59" t="n">
        <x:v>72</x:v>
      </x:c>
      <x:c r="J20" s="60" t="n">
        <x:v>91.7</x:v>
      </x:c>
      <x:c r="K20" s="60" t="n">
        <x:v>91.9</x:v>
      </x:c>
      <x:c r="L20" s="60" t="n">
        <x:v>91.5</x:v>
      </x:c>
      <x:c r="M20" s="60" t="n">
        <x:v>94.1</x:v>
      </x:c>
      <x:c r="N20" s="60" t="n">
        <x:v>91</x:v>
      </x:c>
      <x:c r="O20" s="60" t="n">
        <x:v>94.1</x:v>
      </x:c>
      <x:c r="P20" s="60" t="n">
        <x:v>89</x:v>
      </x:c>
      <x:c r="Q20" s="60" t="n">
        <x:v>94.1</x:v>
      </x:c>
      <x:c r="R20" s="60" t="n">
        <x:v>86</x:v>
      </x:c>
      <x:c r="S20" s="60" t="n">
        <x:v>11</x:v>
      </x:c>
      <x:c r="T20" s="60" t="n">
        <x:v>0.05</x:v>
      </x:c>
      <x:c r="U20" s="60" t="n">
        <x:v>0.005</x:v>
      </x:c>
      <x:c r="V20" s="59" t="str">
        <x:v>Top50三轮复核</x:v>
      </x:c>
      <x:c r="W20" s="40" t="str">
        <x:v>三轮复核后与原表基本一致</x:v>
      </x:c>
      <x:c r="X20" s="40" t="str">
        <x:v>https://arxiv.org/abs/2606.27691</x:v>
      </x:c>
    </x:row>
    <x:row r="21" ht="32" customHeight="1">
      <x:c r="A21" s="59" t="n">
        <x:v>20</x:v>
      </x:c>
      <x:c r="B21" s="59" t="str">
        <x:v>2026-06</x:v>
      </x:c>
      <x:c r="C21" s="59" t="n">
        <x:v>9</x:v>
      </x:c>
      <x:c r="D21" s="59" t="n">
        <x:v>21</x:v>
      </x:c>
      <x:c r="E21" s="59" t="str">
        <x:v>2606.03680</x:v>
      </x:c>
      <x:c r="F21" s="40" t="str">
        <x:v>Global regularity of the 2D fractional Boussinesq equations with subcritical dissipation</x:v>
      </x:c>
      <x:c r="G21" s="40" t="str">
        <x:v>Atanas Stefanov; Jiahong Wu; Xiaojing Xu; Zhuan Ye</x:v>
      </x:c>
      <x:c r="H21" s="40" t="str">
        <x:v>fluid regularity</x:v>
      </x:c>
      <x:c r="I21" s="59" t="n">
        <x:v>43</x:v>
      </x:c>
      <x:c r="J21" s="60" t="n">
        <x:v>91.7</x:v>
      </x:c>
      <x:c r="K21" s="60" t="n">
        <x:v>91.74</x:v>
      </x:c>
      <x:c r="L21" s="60" t="n">
        <x:v>91.65</x:v>
      </x:c>
      <x:c r="M21" s="60" t="n">
        <x:v>94</x:v>
      </x:c>
      <x:c r="N21" s="60" t="n">
        <x:v>91.1</x:v>
      </x:c>
      <x:c r="O21" s="60" t="n">
        <x:v>93.1</x:v>
      </x:c>
      <x:c r="P21" s="60" t="n">
        <x:v>89</x:v>
      </x:c>
      <x:c r="Q21" s="60" t="n">
        <x:v>94.2</x:v>
      </x:c>
      <x:c r="R21" s="60" t="n">
        <x:v>87</x:v>
      </x:c>
      <x:c r="S21" s="60" t="n">
        <x:v>10</x:v>
      </x:c>
      <x:c r="T21" s="60" t="n">
        <x:v>0.08</x:v>
      </x:c>
      <x:c r="U21" s="60" t="n">
        <x:v>0.008</x:v>
      </x:c>
      <x:c r="V21" s="59" t="str">
        <x:v>Top50三轮复核</x:v>
      </x:c>
      <x:c r="W21" s="40" t="str">
        <x:v>范围偏专门，广度轻微回调</x:v>
      </x:c>
      <x:c r="X21" s="40" t="str">
        <x:v>https://arxiv.org/abs/2606.03680</x:v>
      </x:c>
    </x:row>
    <x:row r="22" ht="32" customHeight="1">
      <x:c r="A22" s="59" t="n">
        <x:v>21</x:v>
      </x:c>
      <x:c r="B22" s="59" t="str">
        <x:v>2026-05</x:v>
      </x:c>
      <x:c r="C22" s="59" t="n">
        <x:v>11</x:v>
      </x:c>
      <x:c r="D22" s="59" t="n">
        <x:v>19</x:v>
      </x:c>
      <x:c r="E22" s="59" t="str">
        <x:v>2605.19574</x:v>
      </x:c>
      <x:c r="F22" s="40" t="str">
        <x:v>Flowing to free boundary minimal surfaces</x:v>
      </x:c>
      <x:c r="G22" s="40" t="str">
        <x:v>Melanie Rupflin; Michael Struwe; Christopher Wright</x:v>
      </x:c>
      <x:c r="H22" s="40" t="str">
        <x:v>Geometric PDE / minimal surfaces</x:v>
      </x:c>
      <x:c r="I22" s="59"/>
      <x:c r="J22" s="60" t="n">
        <x:v>91.65</x:v>
      </x:c>
      <x:c r="K22" s="60" t="n">
        <x:v>91.7</x:v>
      </x:c>
      <x:c r="L22" s="60" t="n">
        <x:v>91.6</x:v>
      </x:c>
      <x:c r="M22" s="60" t="n">
        <x:v>94</x:v>
      </x:c>
      <x:c r="N22" s="60" t="n">
        <x:v>91</x:v>
      </x:c>
      <x:c r="O22" s="60" t="n">
        <x:v>94</x:v>
      </x:c>
      <x:c r="P22" s="60" t="n">
        <x:v>88</x:v>
      </x:c>
      <x:c r="Q22" s="60" t="n">
        <x:v>94</x:v>
      </x:c>
      <x:c r="R22" s="60" t="n">
        <x:v>86</x:v>
      </x:c>
      <x:c r="S22" s="60" t="n">
        <x:v>10</x:v>
      </x:c>
      <x:c r="T22" s="60" t="n">
        <x:v>-0.05</x:v>
      </x:c>
      <x:c r="U22" s="60" t="n">
        <x:v>0.005</x:v>
      </x:c>
      <x:c r="V22" s="59" t="str">
        <x:v>Top50三轮复核</x:v>
      </x:c>
      <x:c r="W22" s="40" t="str">
        <x:v>三轮复核后与原表基本一致</x:v>
      </x:c>
      <x:c r="X22" s="40" t="str">
        <x:v>https://arxiv.org/abs/2605.19574</x:v>
      </x:c>
    </x:row>
    <x:row r="23" ht="32" customHeight="1">
      <x:c r="A23" s="59" t="n">
        <x:v>22</x:v>
      </x:c>
      <x:c r="B23" s="59" t="str">
        <x:v>2026-05</x:v>
      </x:c>
      <x:c r="C23" s="59" t="n">
        <x:v>13</x:v>
      </x:c>
      <x:c r="D23" s="59" t="n">
        <x:v>22</x:v>
      </x:c>
      <x:c r="E23" s="59" t="str">
        <x:v>2605.19716</x:v>
      </x:c>
      <x:c r="F23" s="40" t="str">
        <x:v>Self-similar blow-up solutions of d-dimensional incompressible Euler equations with C^{1,(1-2/d)-} velocity</x:v>
      </x:c>
      <x:c r="G23" s="40" t="str">
        <x:v>Feng Shao; Dongyi Wei; Ping Zhang; Zhifei Zhang</x:v>
      </x:c>
      <x:c r="H23" s="40" t="str">
        <x:v>Fluid singularities / Euler</x:v>
      </x:c>
      <x:c r="I23" s="59" t="n">
        <x:v>103</x:v>
      </x:c>
      <x:c r="J23" s="60" t="n">
        <x:v>91.62</x:v>
      </x:c>
      <x:c r="K23" s="60" t="n">
        <x:v>92.08</x:v>
      </x:c>
      <x:c r="L23" s="60" t="n">
        <x:v>91.15</x:v>
      </x:c>
      <x:c r="M23" s="60" t="n">
        <x:v>95.1</x:v>
      </x:c>
      <x:c r="N23" s="60" t="n">
        <x:v>92</x:v>
      </x:c>
      <x:c r="O23" s="60" t="n">
        <x:v>94.2</x:v>
      </x:c>
      <x:c r="P23" s="60" t="n">
        <x:v>88</x:v>
      </x:c>
      <x:c r="Q23" s="60" t="n">
        <x:v>94.2</x:v>
      </x:c>
      <x:c r="R23" s="60" t="n">
        <x:v>84</x:v>
      </x:c>
      <x:c r="S23" s="60" t="n">
        <x:v>13</x:v>
      </x:c>
      <x:c r="T23" s="60" t="n">
        <x:v>0.02</x:v>
      </x:c>
      <x:c r="U23" s="60" t="n">
        <x:v>0.012</x:v>
      </x:c>
      <x:c r="V23" s="59" t="str">
        <x:v>Top50三轮复核</x:v>
      </x:c>
      <x:c r="W23" s="40" t="str">
        <x:v>三轮复核后与原表基本一致</x:v>
      </x:c>
      <x:c r="X23" s="40" t="str">
        <x:v>https://arxiv.org/abs/2605.19716</x:v>
      </x:c>
    </x:row>
    <x:row r="24" ht="32" customHeight="1">
      <x:c r="A24" s="59" t="n">
        <x:v>23</x:v>
      </x:c>
      <x:c r="B24" s="59" t="str">
        <x:v>2026-05</x:v>
      </x:c>
      <x:c r="C24" s="59" t="n">
        <x:v>14</x:v>
      </x:c>
      <x:c r="D24" s="59" t="n">
        <x:v>23</x:v>
      </x:c>
      <x:c r="E24" s="59" t="str">
        <x:v>2605.24392</x:v>
      </x:c>
      <x:c r="F24" s="40" t="str">
        <x:v>Hydrodynamic Limit of the Boltzmann Equation toward Generic Riemann Solutions with Shocks</x:v>
      </x:c>
      <x:c r="G24" s="40" t="str">
        <x:v>Mingi Choe; Moon-jin Kang; Chanwoo Kim</x:v>
      </x:c>
      <x:c r="H24" s="40" t="str">
        <x:v>Kinetic theory / hydrodynamic limits</x:v>
      </x:c>
      <x:c r="I24" s="59"/>
      <x:c r="J24" s="60" t="n">
        <x:v>91.56</x:v>
      </x:c>
      <x:c r="K24" s="60" t="n">
        <x:v>91.83</x:v>
      </x:c>
      <x:c r="L24" s="60" t="n">
        <x:v>91.29</x:v>
      </x:c>
      <x:c r="M24" s="60" t="n">
        <x:v>94.3</x:v>
      </x:c>
      <x:c r="N24" s="60" t="n">
        <x:v>91.1</x:v>
      </x:c>
      <x:c r="O24" s="60" t="n">
        <x:v>94.3</x:v>
      </x:c>
      <x:c r="P24" s="60" t="n">
        <x:v>88.3</x:v>
      </x:c>
      <x:c r="Q24" s="60" t="n">
        <x:v>94.2</x:v>
      </x:c>
      <x:c r="R24" s="60" t="n">
        <x:v>85</x:v>
      </x:c>
      <x:c r="S24" s="60" t="n">
        <x:v>12</x:v>
      </x:c>
      <x:c r="T24" s="60" t="n">
        <x:v>0.16</x:v>
      </x:c>
      <x:c r="U24" s="60" t="n">
        <x:v>0.014</x:v>
      </x:c>
      <x:c r="V24" s="59" t="str">
        <x:v>Top50三轮复核</x:v>
      </x:c>
      <x:c r="W24" s="40" t="str">
        <x:v>带激波Riemann解的Boltzmann流体极限，广度和技术性上调。</x:v>
      </x:c>
      <x:c r="X24" s="40" t="str">
        <x:v>https://arxiv.org/abs/2605.24392</x:v>
      </x:c>
    </x:row>
    <x:row r="25" ht="32" customHeight="1">
      <x:c r="A25" s="59" t="n">
        <x:v>24</x:v>
      </x:c>
      <x:c r="B25" s="59" t="str">
        <x:v>2026-05</x:v>
      </x:c>
      <x:c r="C25" s="59" t="n">
        <x:v>15</x:v>
      </x:c>
      <x:c r="D25" s="59" t="n">
        <x:v>25</x:v>
      </x:c>
      <x:c r="E25" s="59" t="str">
        <x:v>2605.24214</x:v>
      </x:c>
      <x:c r="F25" s="40" t="str">
        <x:v>Variational formulation of hyperbolic conservation laws</x:v>
      </x:c>
      <x:c r="G25" s="40" t="str">
        <x:v>Eitan Tadmor</x:v>
      </x:c>
      <x:c r="H25" s="40" t="str">
        <x:v>Conservation laws</x:v>
      </x:c>
      <x:c r="I25" s="59"/>
      <x:c r="J25" s="60" t="n">
        <x:v>91.41</x:v>
      </x:c>
      <x:c r="K25" s="60" t="n">
        <x:v>92.21</x:v>
      </x:c>
      <x:c r="L25" s="60" t="n">
        <x:v>90.62</x:v>
      </x:c>
      <x:c r="M25" s="60" t="n">
        <x:v>94.3</x:v>
      </x:c>
      <x:c r="N25" s="60" t="n">
        <x:v>93.4</x:v>
      </x:c>
      <x:c r="O25" s="60" t="n">
        <x:v>90.9</x:v>
      </x:c>
      <x:c r="P25" s="60" t="n">
        <x:v>91.4</x:v>
      </x:c>
      <x:c r="Q25" s="60" t="n">
        <x:v>91.2</x:v>
      </x:c>
      <x:c r="R25" s="60" t="n">
        <x:v>88</x:v>
      </x:c>
      <x:c r="S25" s="60" t="n">
        <x:v>12</x:v>
      </x:c>
      <x:c r="T25" s="60" t="n">
        <x:v>0.11</x:v>
      </x:c>
      <x:c r="U25" s="60" t="n">
        <x:v>0.024</x:v>
      </x:c>
      <x:c r="V25" s="59" t="str">
        <x:v>Top50三轮复核</x:v>
      </x:c>
      <x:c r="W25" s="40" t="str">
        <x:v>概念性变分框架广度上调，证明深度轻微回调。</x:v>
      </x:c>
      <x:c r="X25" s="40" t="str">
        <x:v>https://arxiv.org/abs/2605.24214</x:v>
      </x:c>
    </x:row>
    <x:row r="26" ht="32" customHeight="1">
      <x:c r="A26" s="59" t="n">
        <x:v>25</x:v>
      </x:c>
      <x:c r="B26" s="59" t="str">
        <x:v>2026-06</x:v>
      </x:c>
      <x:c r="C26" s="59" t="n">
        <x:v>10</x:v>
      </x:c>
      <x:c r="D26" s="59" t="n">
        <x:v>24</x:v>
      </x:c>
      <x:c r="E26" s="59" t="str">
        <x:v>2606.05098</x:v>
      </x:c>
      <x:c r="F26" s="40" t="str">
        <x:v>Quantitative Homogenization Theory for Lame-Stokes Coupled Systems</x:v>
      </x:c>
      <x:c r="G26" s="40" t="str">
        <x:v>Beichen Wang</x:v>
      </x:c>
      <x:c r="H26" s="40" t="str">
        <x:v>homogenization</x:v>
      </x:c>
      <x:c r="I26" s="59" t="n">
        <x:v>92</x:v>
      </x:c>
      <x:c r="J26" s="60" t="n">
        <x:v>91.4</x:v>
      </x:c>
      <x:c r="K26" s="60" t="n">
        <x:v>91.65</x:v>
      </x:c>
      <x:c r="L26" s="60" t="n">
        <x:v>91.15</x:v>
      </x:c>
      <x:c r="M26" s="60" t="n">
        <x:v>93</x:v>
      </x:c>
      <x:c r="N26" s="60" t="n">
        <x:v>90.1</x:v>
      </x:c>
      <x:c r="O26" s="60" t="n">
        <x:v>94</x:v>
      </x:c>
      <x:c r="P26" s="60" t="n">
        <x:v>90.2</x:v>
      </x:c>
      <x:c r="Q26" s="60" t="n">
        <x:v>93.1</x:v>
      </x:c>
      <x:c r="R26" s="60" t="n">
        <x:v>87</x:v>
      </x:c>
      <x:c r="S26" s="60" t="n">
        <x:v>11</x:v>
      </x:c>
      <x:c r="T26" s="60" t="n">
        <x:v>0.05</x:v>
      </x:c>
      <x:c r="U26" s="60" t="n">
        <x:v>0.009</x:v>
      </x:c>
      <x:c r="V26" s="59" t="str">
        <x:v>Top50三轮复核</x:v>
      </x:c>
      <x:c r="W26" s="40" t="str">
        <x:v>三轮复核后与原表基本一致</x:v>
      </x:c>
      <x:c r="X26" s="40" t="str">
        <x:v>https://arxiv.org/abs/2606.05098</x:v>
      </x:c>
    </x:row>
    <x:row r="27" ht="32" customHeight="1">
      <x:c r="A27" s="59" t="n">
        <x:v>26</x:v>
      </x:c>
      <x:c r="B27" s="59" t="str">
        <x:v>2026-06</x:v>
      </x:c>
      <x:c r="C27" s="59" t="n">
        <x:v>11</x:v>
      </x:c>
      <x:c r="D27" s="59" t="n">
        <x:v>26</x:v>
      </x:c>
      <x:c r="E27" s="59" t="str">
        <x:v>2606.09614</x:v>
      </x:c>
      <x:c r="F27" s="40" t="str">
        <x:v>The L^p Neumann problem for parabolic operators with coefficients satisfying small Carleson condition</x:v>
      </x:c>
      <x:c r="G27" s="40" t="str">
        <x:v>Martin Dindos; Linhan Li; Jill Pipher</x:v>
      </x:c>
      <x:c r="H27" s="40" t="str">
        <x:v>parabolic boundary value</x:v>
      </x:c>
      <x:c r="I27" s="59" t="n">
        <x:v>100</x:v>
      </x:c>
      <x:c r="J27" s="60" t="n">
        <x:v>91.19</x:v>
      </x:c>
      <x:c r="K27" s="60" t="n">
        <x:v>91.37</x:v>
      </x:c>
      <x:c r="L27" s="60" t="n">
        <x:v>91</x:v>
      </x:c>
      <x:c r="M27" s="60" t="n">
        <x:v>93</x:v>
      </x:c>
      <x:c r="N27" s="60" t="n">
        <x:v>90</x:v>
      </x:c>
      <x:c r="O27" s="60" t="n">
        <x:v>94.1</x:v>
      </x:c>
      <x:c r="P27" s="60" t="n">
        <x:v>89</x:v>
      </x:c>
      <x:c r="Q27" s="60" t="n">
        <x:v>93.1</x:v>
      </x:c>
      <x:c r="R27" s="60" t="n">
        <x:v>86</x:v>
      </x:c>
      <x:c r="S27" s="60" t="n">
        <x:v>11</x:v>
      </x:c>
      <x:c r="T27" s="60" t="n">
        <x:v>0.04</x:v>
      </x:c>
      <x:c r="U27" s="60" t="n">
        <x:v>0.008</x:v>
      </x:c>
      <x:c r="V27" s="59" t="str">
        <x:v>Top50三轮复核</x:v>
      </x:c>
      <x:c r="W27" s="40" t="str">
        <x:v>三轮复核后与原表基本一致</x:v>
      </x:c>
      <x:c r="X27" s="40" t="str">
        <x:v>https://arxiv.org/abs/2606.09614</x:v>
      </x:c>
    </x:row>
    <x:row r="28" ht="32" customHeight="1">
      <x:c r="A28" s="59" t="n">
        <x:v>27</x:v>
      </x:c>
      <x:c r="B28" s="59" t="str">
        <x:v>2026-06</x:v>
      </x:c>
      <x:c r="C28" s="59" t="n">
        <x:v>12</x:v>
      </x:c>
      <x:c r="D28" s="59" t="n">
        <x:v>27</x:v>
      </x:c>
      <x:c r="E28" s="59" t="str">
        <x:v>2606.28211</x:v>
      </x:c>
      <x:c r="F28" s="40" t="str">
        <x:v>A regularity theorem for stationary measures</x:v>
      </x:c>
      <x:c r="G28" s="40" t="str">
        <x:v>Luigi Ambrosio; Giovanni Siclari</x:v>
      </x:c>
      <x:c r="H28" s="40" t="str">
        <x:v>measure/PDE regularity</x:v>
      </x:c>
      <x:c r="I28" s="59"/>
      <x:c r="J28" s="60" t="n">
        <x:v>91.15</x:v>
      </x:c>
      <x:c r="K28" s="60" t="n">
        <x:v>91.29</x:v>
      </x:c>
      <x:c r="L28" s="60" t="n">
        <x:v>91</x:v>
      </x:c>
      <x:c r="M28" s="60" t="n">
        <x:v>92.9</x:v>
      </x:c>
      <x:c r="N28" s="60" t="n">
        <x:v>91.1</x:v>
      </x:c>
      <x:c r="O28" s="60" t="n">
        <x:v>93</x:v>
      </x:c>
      <x:c r="P28" s="60" t="n">
        <x:v>89</x:v>
      </x:c>
      <x:c r="Q28" s="60" t="n">
        <x:v>93.1</x:v>
      </x:c>
      <x:c r="R28" s="60" t="n">
        <x:v>86</x:v>
      </x:c>
      <x:c r="S28" s="60" t="n">
        <x:v>11</x:v>
      </x:c>
      <x:c r="T28" s="60" t="n">
        <x:v>0.03</x:v>
      </x:c>
      <x:c r="U28" s="60" t="n">
        <x:v>0.005</x:v>
      </x:c>
      <x:c r="V28" s="59" t="str">
        <x:v>Top50三轮复核</x:v>
      </x:c>
      <x:c r="W28" s="40" t="str">
        <x:v>范围偏专门，广度轻微回调</x:v>
      </x:c>
      <x:c r="X28" s="40" t="str">
        <x:v>https://arxiv.org/abs/2606.28211</x:v>
      </x:c>
    </x:row>
    <x:row r="29" ht="32" customHeight="1">
      <x:c r="A29" s="59" t="n">
        <x:v>28</x:v>
      </x:c>
      <x:c r="B29" s="59" t="str">
        <x:v>2026-06</x:v>
      </x:c>
      <x:c r="C29" s="59" t="n">
        <x:v>13</x:v>
      </x:c>
      <x:c r="D29" s="59" t="n">
        <x:v>28</x:v>
      </x:c>
      <x:c r="E29" s="59" t="str">
        <x:v>2606.07010</x:v>
      </x:c>
      <x:c r="F29" s="40" t="str">
        <x:v>Gauge transforms, random averaging operator ansatz and improved probabilistic well-posedness for the radial NLS on the 3d ball</x:v>
      </x:c>
      <x:c r="G29" s="40" t="str">
        <x:v>Nicolas Burq; Nicolas Camps; Chenmin Sun; Nikolay Tzvetkov</x:v>
      </x:c>
      <x:c r="H29" s="40" t="str">
        <x:v>probabilistic dispersive PDE</x:v>
      </x:c>
      <x:c r="I29" s="59" t="n">
        <x:v>75</x:v>
      </x:c>
      <x:c r="J29" s="60" t="n">
        <x:v>91.1</x:v>
      </x:c>
      <x:c r="K29" s="60" t="n">
        <x:v>91.19</x:v>
      </x:c>
      <x:c r="L29" s="60" t="n">
        <x:v>91</x:v>
      </x:c>
      <x:c r="M29" s="60" t="n">
        <x:v>92.9</x:v>
      </x:c>
      <x:c r="N29" s="60" t="n">
        <x:v>92</x:v>
      </x:c>
      <x:c r="O29" s="60" t="n">
        <x:v>93</x:v>
      </x:c>
      <x:c r="P29" s="60" t="n">
        <x:v>87.8</x:v>
      </x:c>
      <x:c r="Q29" s="60" t="n">
        <x:v>93</x:v>
      </x:c>
      <x:c r="R29" s="60" t="n">
        <x:v>85</x:v>
      </x:c>
      <x:c r="S29" s="60" t="n">
        <x:v>11</x:v>
      </x:c>
      <x:c r="T29" s="60" t="n">
        <x:v>-0.03</x:v>
      </x:c>
      <x:c r="U29" s="60" t="n">
        <x:v>0</x:v>
      </x:c>
      <x:c r="V29" s="59" t="str">
        <x:v>Top50三轮复核</x:v>
      </x:c>
      <x:c r="W29" s="40" t="str">
        <x:v>范围偏专门，广度轻微回调</x:v>
      </x:c>
      <x:c r="X29" s="40" t="str">
        <x:v>https://arxiv.org/abs/2606.07010</x:v>
      </x:c>
    </x:row>
    <x:row r="30" ht="32" customHeight="1">
      <x:c r="A30" s="59" t="n">
        <x:v>29</x:v>
      </x:c>
      <x:c r="B30" s="59" t="str">
        <x:v>2026-05</x:v>
      </x:c>
      <x:c r="C30" s="59" t="n">
        <x:v>16</x:v>
      </x:c>
      <x:c r="D30" s="59" t="n">
        <x:v>29</x:v>
      </x:c>
      <x:c r="E30" s="59" t="str">
        <x:v>2605.07913</x:v>
      </x:c>
      <x:c r="F30" s="40" t="str">
        <x:v>Finite index solutions to the Bernoulli problem in three dimensions are axially symmetric</x:v>
      </x:c>
      <x:c r="G30" s="40" t="str">
        <x:v>Xavier Fernandez-Real; Enric Florit-Simon; Joaquim Serra</x:v>
      </x:c>
      <x:c r="H30" s="40" t="str">
        <x:v>Free boundary regularity</x:v>
      </x:c>
      <x:c r="I30" s="59"/>
      <x:c r="J30" s="60" t="n">
        <x:v>91.03</x:v>
      </x:c>
      <x:c r="K30" s="60" t="n">
        <x:v>90.95</x:v>
      </x:c>
      <x:c r="L30" s="60" t="n">
        <x:v>91.1</x:v>
      </x:c>
      <x:c r="M30" s="60" t="n">
        <x:v>93</x:v>
      </x:c>
      <x:c r="N30" s="60" t="n">
        <x:v>90.1</x:v>
      </x:c>
      <x:c r="O30" s="60" t="n">
        <x:v>93</x:v>
      </x:c>
      <x:c r="P30" s="60" t="n">
        <x:v>87.2</x:v>
      </x:c>
      <x:c r="Q30" s="60" t="n">
        <x:v>93.1</x:v>
      </x:c>
      <x:c r="R30" s="60" t="n">
        <x:v>87</x:v>
      </x:c>
      <x:c r="S30" s="60" t="n">
        <x:v>10</x:v>
      </x:c>
      <x:c r="T30" s="60" t="n">
        <x:v>0.03</x:v>
      </x:c>
      <x:c r="U30" s="60" t="n">
        <x:v>0.009</x:v>
      </x:c>
      <x:c r="V30" s="59" t="str">
        <x:v>Top50三轮复核</x:v>
      </x:c>
      <x:c r="W30" s="40" t="str">
        <x:v>三轮复核后与原表基本一致</x:v>
      </x:c>
      <x:c r="X30" s="40" t="str">
        <x:v>https://arxiv.org/abs/2605.07913</x:v>
      </x:c>
    </x:row>
    <x:row r="31" ht="32" customHeight="1">
      <x:c r="A31" s="59" t="n">
        <x:v>30</x:v>
      </x:c>
      <x:c r="B31" s="59" t="str">
        <x:v>2026-06</x:v>
      </x:c>
      <x:c r="C31" s="59" t="n">
        <x:v>14</x:v>
      </x:c>
      <x:c r="D31" s="59" t="n">
        <x:v>30</x:v>
      </x:c>
      <x:c r="E31" s="59" t="str">
        <x:v>2606.10185</x:v>
      </x:c>
      <x:c r="F31" s="40" t="str">
        <x:v>Boundary Harnack estimates of optimal order for kinetic Fokker-Planck equations</x:v>
      </x:c>
      <x:c r="G31" s="40" t="str">
        <x:v>Kyeongbae Kim; Marvin Weidner</x:v>
      </x:c>
      <x:c r="H31" s="40" t="str">
        <x:v>kinetic regularity</x:v>
      </x:c>
      <x:c r="I31" s="59" t="n">
        <x:v>59</x:v>
      </x:c>
      <x:c r="J31" s="60" t="n">
        <x:v>91.03</x:v>
      </x:c>
      <x:c r="K31" s="60" t="n">
        <x:v>91.05</x:v>
      </x:c>
      <x:c r="L31" s="60" t="n">
        <x:v>91</x:v>
      </x:c>
      <x:c r="M31" s="60" t="n">
        <x:v>92</x:v>
      </x:c>
      <x:c r="N31" s="60" t="n">
        <x:v>91.1</x:v>
      </x:c>
      <x:c r="O31" s="60" t="n">
        <x:v>93</x:v>
      </x:c>
      <x:c r="P31" s="60" t="n">
        <x:v>89.2</x:v>
      </x:c>
      <x:c r="Q31" s="60" t="n">
        <x:v>93.1</x:v>
      </x:c>
      <x:c r="R31" s="60" t="n">
        <x:v>86</x:v>
      </x:c>
      <x:c r="S31" s="60" t="n">
        <x:v>11</x:v>
      </x:c>
      <x:c r="T31" s="60" t="n">
        <x:v>0.06</x:v>
      </x:c>
      <x:c r="U31" s="60" t="n">
        <x:v>0.005</x:v>
      </x:c>
      <x:c r="V31" s="59" t="str">
        <x:v>Top50三轮复核</x:v>
      </x:c>
      <x:c r="W31" s="40" t="str">
        <x:v>三轮复核后与原表基本一致</x:v>
      </x:c>
      <x:c r="X31" s="40" t="str">
        <x:v>https://arxiv.org/abs/2606.10185</x:v>
      </x:c>
    </x:row>
    <x:row r="32" ht="32" customHeight="1">
      <x:c r="A32" s="59" t="n">
        <x:v>31</x:v>
      </x:c>
      <x:c r="B32" s="59" t="str">
        <x:v>2026-05</x:v>
      </x:c>
      <x:c r="C32" s="59" t="n">
        <x:v>17</x:v>
      </x:c>
      <x:c r="D32" s="59" t="n">
        <x:v>31</x:v>
      </x:c>
      <x:c r="E32" s="59" t="str">
        <x:v>2605.16502</x:v>
      </x:c>
      <x:c r="F32" s="40" t="str">
        <x:v>Sharp Ill-Posedness of the Euler Equations in Lorentz Spaces</x:v>
      </x:c>
      <x:c r="G32" s="40" t="str">
        <x:v>Jeaheang Bang; Alexey Cheskidov</x:v>
      </x:c>
      <x:c r="H32" s="40" t="str">
        <x:v>Euler well/ill-posedness</x:v>
      </x:c>
      <x:c r="I32" s="59" t="n">
        <x:v>98</x:v>
      </x:c>
      <x:c r="J32" s="60" t="n">
        <x:v>90.93</x:v>
      </x:c>
      <x:c r="K32" s="60" t="n">
        <x:v>91.26</x:v>
      </x:c>
      <x:c r="L32" s="60" t="n">
        <x:v>90.6</x:v>
      </x:c>
      <x:c r="M32" s="60" t="n">
        <x:v>94.1</x:v>
      </x:c>
      <x:c r="N32" s="60" t="n">
        <x:v>90.1</x:v>
      </x:c>
      <x:c r="O32" s="60" t="n">
        <x:v>94.1</x:v>
      </x:c>
      <x:c r="P32" s="60" t="n">
        <x:v>87.2</x:v>
      </x:c>
      <x:c r="Q32" s="60" t="n">
        <x:v>94.2</x:v>
      </x:c>
      <x:c r="R32" s="60" t="n">
        <x:v>84</x:v>
      </x:c>
      <x:c r="S32" s="60" t="n">
        <x:v>14</x:v>
      </x:c>
      <x:c r="T32" s="60" t="n">
        <x:v>0.03</x:v>
      </x:c>
      <x:c r="U32" s="60" t="n">
        <x:v>0.009</x:v>
      </x:c>
      <x:c r="V32" s="59" t="str">
        <x:v>Top50三轮复核</x:v>
      </x:c>
      <x:c r="W32" s="40" t="str">
        <x:v>三轮复核后与原表基本一致</x:v>
      </x:c>
      <x:c r="X32" s="40" t="str">
        <x:v>https://arxiv.org/abs/2605.16502</x:v>
      </x:c>
    </x:row>
    <x:row r="33" ht="32" customHeight="1">
      <x:c r="A33" s="59" t="n">
        <x:v>32</x:v>
      </x:c>
      <x:c r="B33" s="59" t="str">
        <x:v>2026-06</x:v>
      </x:c>
      <x:c r="C33" s="59" t="n">
        <x:v>15</x:v>
      </x:c>
      <x:c r="D33" s="59" t="n">
        <x:v>32</x:v>
      </x:c>
      <x:c r="E33" s="59" t="str">
        <x:v>2606.15189</x:v>
      </x:c>
      <x:c r="F33" s="40" t="str">
        <x:v>Blow-up and uniqueness of Leray-Hopf solutions to forced Navier-Stokes equations</x:v>
      </x:c>
      <x:c r="G33" s="40" t="str">
        <x:v>Giovanni Paolo Galdi; Filippo Gazzola</x:v>
      </x:c>
      <x:c r="H33" s="40" t="str">
        <x:v>Navier-Stokes</x:v>
      </x:c>
      <x:c r="I33" s="59"/>
      <x:c r="J33" s="60" t="n">
        <x:v>90.82</x:v>
      </x:c>
      <x:c r="K33" s="60" t="n">
        <x:v>91.05</x:v>
      </x:c>
      <x:c r="L33" s="60" t="n">
        <x:v>90.6</x:v>
      </x:c>
      <x:c r="M33" s="60" t="n">
        <x:v>94.1</x:v>
      </x:c>
      <x:c r="N33" s="60" t="n">
        <x:v>90</x:v>
      </x:c>
      <x:c r="O33" s="60" t="n">
        <x:v>92.1</x:v>
      </x:c>
      <x:c r="P33" s="60" t="n">
        <x:v>88</x:v>
      </x:c>
      <x:c r="Q33" s="60" t="n">
        <x:v>93.1</x:v>
      </x:c>
      <x:c r="R33" s="60" t="n">
        <x:v>86</x:v>
      </x:c>
      <x:c r="S33" s="60" t="n">
        <x:v>11</x:v>
      </x:c>
      <x:c r="T33" s="60" t="n">
        <x:v>0.04</x:v>
      </x:c>
      <x:c r="U33" s="60" t="n">
        <x:v>0.009</x:v>
      </x:c>
      <x:c r="V33" s="59" t="str">
        <x:v>Top50三轮复核</x:v>
      </x:c>
      <x:c r="W33" s="40" t="str">
        <x:v>三轮复核后与原表基本一致</x:v>
      </x:c>
      <x:c r="X33" s="40" t="str">
        <x:v>https://arxiv.org/abs/2606.15189</x:v>
      </x:c>
    </x:row>
    <x:row r="34" ht="32" customHeight="1">
      <x:c r="A34" s="59" t="n">
        <x:v>33</x:v>
      </x:c>
      <x:c r="B34" s="59" t="str">
        <x:v>2026-05</x:v>
      </x:c>
      <x:c r="C34" s="59" t="n">
        <x:v>18</x:v>
      </x:c>
      <x:c r="D34" s="59" t="n">
        <x:v>35</x:v>
      </x:c>
      <x:c r="E34" s="59" t="str">
        <x:v>2605.11834</x:v>
      </x:c>
      <x:c r="F34" s="40" t="str">
        <x:v>Sharp upper bound for a branched transport problem coming from Ginzburg-Landau models</x:v>
      </x:c>
      <x:c r="G34" s="40" t="str">
        <x:v>Alessandro Cosenza; Michael Goldman; Felix Otto</x:v>
      </x:c>
      <x:c r="H34" s="40" t="str">
        <x:v>Variational PDE / Ginzburg-Landau</x:v>
      </x:c>
      <x:c r="I34" s="59" t="n">
        <x:v>27</x:v>
      </x:c>
      <x:c r="J34" s="60" t="n">
        <x:v>90.81</x:v>
      </x:c>
      <x:c r="K34" s="60" t="n">
        <x:v>90.91</x:v>
      </x:c>
      <x:c r="L34" s="60" t="n">
        <x:v>90.7</x:v>
      </x:c>
      <x:c r="M34" s="60" t="n">
        <x:v>92.1</x:v>
      </x:c>
      <x:c r="N34" s="60" t="n">
        <x:v>91.1</x:v>
      </x:c>
      <x:c r="O34" s="60" t="n">
        <x:v>92.1</x:v>
      </x:c>
      <x:c r="P34" s="60" t="n">
        <x:v>88.2</x:v>
      </x:c>
      <x:c r="Q34" s="60" t="n">
        <x:v>92.2</x:v>
      </x:c>
      <x:c r="R34" s="60" t="n">
        <x:v>88</x:v>
      </x:c>
      <x:c r="S34" s="60" t="n">
        <x:v>12</x:v>
      </x:c>
      <x:c r="T34" s="60" t="n">
        <x:v>0.11</x:v>
      </x:c>
      <x:c r="U34" s="60" t="n">
        <x:v>0.009</x:v>
      </x:c>
      <x:c r="V34" s="59" t="str">
        <x:v>Top50三轮复核</x:v>
      </x:c>
      <x:c r="W34" s="40" t="str">
        <x:v>三轮复核后与原表基本一致</x:v>
      </x:c>
      <x:c r="X34" s="40" t="str">
        <x:v>https://arxiv.org/abs/2605.11834</x:v>
      </x:c>
    </x:row>
    <x:row r="35" ht="32" customHeight="1">
      <x:c r="A35" s="59" t="n">
        <x:v>34</x:v>
      </x:c>
      <x:c r="B35" s="59" t="str">
        <x:v>2026-06</x:v>
      </x:c>
      <x:c r="C35" s="59" t="n">
        <x:v>16</x:v>
      </x:c>
      <x:c r="D35" s="59" t="n">
        <x:v>33</x:v>
      </x:c>
      <x:c r="E35" s="59" t="str">
        <x:v>2606.12101</x:v>
      </x:c>
      <x:c r="F35" s="40" t="str">
        <x:v>Sharp Convergence Rates for Parabolic Green's Functions in Time-Independent Periodic Homogenization</x:v>
      </x:c>
      <x:c r="G35" s="40" t="str">
        <x:v>Wei Wang</x:v>
      </x:c>
      <x:c r="H35" s="40" t="str">
        <x:v>homogenization/Green functions</x:v>
      </x:c>
      <x:c r="I35" s="59" t="n">
        <x:v>44</x:v>
      </x:c>
      <x:c r="J35" s="60" t="n">
        <x:v>90.8</x:v>
      </x:c>
      <x:c r="K35" s="60" t="n">
        <x:v>90.95</x:v>
      </x:c>
      <x:c r="L35" s="60" t="n">
        <x:v>90.65</x:v>
      </x:c>
      <x:c r="M35" s="60" t="n">
        <x:v>92</x:v>
      </x:c>
      <x:c r="N35" s="60" t="n">
        <x:v>90.1</x:v>
      </x:c>
      <x:c r="O35" s="60" t="n">
        <x:v>93</x:v>
      </x:c>
      <x:c r="P35" s="60" t="n">
        <x:v>89.2</x:v>
      </x:c>
      <x:c r="Q35" s="60" t="n">
        <x:v>92.1</x:v>
      </x:c>
      <x:c r="R35" s="60" t="n">
        <x:v>87</x:v>
      </x:c>
      <x:c r="S35" s="60" t="n">
        <x:v>11</x:v>
      </x:c>
      <x:c r="T35" s="60" t="n">
        <x:v>0.05</x:v>
      </x:c>
      <x:c r="U35" s="60" t="n">
        <x:v>0.009</x:v>
      </x:c>
      <x:c r="V35" s="59" t="str">
        <x:v>Top50三轮复核</x:v>
      </x:c>
      <x:c r="W35" s="40" t="str">
        <x:v>三轮复核后与原表基本一致</x:v>
      </x:c>
      <x:c r="X35" s="40" t="str">
        <x:v>https://arxiv.org/abs/2606.12101</x:v>
      </x:c>
    </x:row>
    <x:row r="36" ht="32" customHeight="1">
      <x:c r="A36" s="59" t="n">
        <x:v>35</x:v>
      </x:c>
      <x:c r="B36" s="59" t="str">
        <x:v>2026-06</x:v>
      </x:c>
      <x:c r="C36" s="59" t="n">
        <x:v>17</x:v>
      </x:c>
      <x:c r="D36" s="59" t="n">
        <x:v>34</x:v>
      </x:c>
      <x:c r="E36" s="59" t="str">
        <x:v>2606.04377</x:v>
      </x:c>
      <x:c r="F36" s="40" t="str">
        <x:v>A comparison principle for Wasserstein PDEs with state- and law-dependent common noise</x:v>
      </x:c>
      <x:c r="G36" s="40" t="str">
        <x:v>Erhan Bayraktar; Ibrahim Ekren; Xihao He; Xin Zhang</x:v>
      </x:c>
      <x:c r="H36" s="40" t="str">
        <x:v>Wasserstein PDE/control</x:v>
      </x:c>
      <x:c r="I36" s="59"/>
      <x:c r="J36" s="60" t="n">
        <x:v>90.73</x:v>
      </x:c>
      <x:c r="K36" s="60" t="n">
        <x:v>90.85</x:v>
      </x:c>
      <x:c r="L36" s="60" t="n">
        <x:v>90.6</x:v>
      </x:c>
      <x:c r="M36" s="60" t="n">
        <x:v>92</x:v>
      </x:c>
      <x:c r="N36" s="60" t="n">
        <x:v>91</x:v>
      </x:c>
      <x:c r="O36" s="60" t="n">
        <x:v>92</x:v>
      </x:c>
      <x:c r="P36" s="60" t="n">
        <x:v>89</x:v>
      </x:c>
      <x:c r="Q36" s="60" t="n">
        <x:v>92</x:v>
      </x:c>
      <x:c r="R36" s="60" t="n">
        <x:v>87</x:v>
      </x:c>
      <x:c r="S36" s="60" t="n">
        <x:v>11</x:v>
      </x:c>
      <x:c r="T36" s="60" t="n">
        <x:v>0.01</x:v>
      </x:c>
      <x:c r="U36" s="60" t="n">
        <x:v>0.005</x:v>
      </x:c>
      <x:c r="V36" s="59" t="str">
        <x:v>Top50三轮复核</x:v>
      </x:c>
      <x:c r="W36" s="40" t="str">
        <x:v>三轮复核后与原表基本一致</x:v>
      </x:c>
      <x:c r="X36" s="40" t="str">
        <x:v>https://arxiv.org/abs/2606.04377</x:v>
      </x:c>
    </x:row>
    <x:row r="37" ht="32" customHeight="1">
      <x:c r="A37" s="59" t="n">
        <x:v>36</x:v>
      </x:c>
      <x:c r="B37" s="59" t="str">
        <x:v>2026-06</x:v>
      </x:c>
      <x:c r="C37" s="59" t="n">
        <x:v>18</x:v>
      </x:c>
      <x:c r="D37" s="59" t="n">
        <x:v>36</x:v>
      </x:c>
      <x:c r="E37" s="59" t="str">
        <x:v>2606.10247</x:v>
      </x:c>
      <x:c r="F37" s="40" t="str">
        <x:v>The partial data Calderon problem in dimension three</x:v>
      </x:c>
      <x:c r="G37" s="40" t="str">
        <x:v>Gunther Uhlmann; Yiran Wang</x:v>
      </x:c>
      <x:c r="H37" s="40" t="str">
        <x:v>inverse problems</x:v>
      </x:c>
      <x:c r="I37" s="59"/>
      <x:c r="J37" s="60" t="n">
        <x:v>90.73</x:v>
      </x:c>
      <x:c r="K37" s="60" t="n">
        <x:v>91</x:v>
      </x:c>
      <x:c r="L37" s="60" t="n">
        <x:v>90.45</x:v>
      </x:c>
      <x:c r="M37" s="60" t="n">
        <x:v>93.1</x:v>
      </x:c>
      <x:c r="N37" s="60" t="n">
        <x:v>90</x:v>
      </x:c>
      <x:c r="O37" s="60" t="n">
        <x:v>92.1</x:v>
      </x:c>
      <x:c r="P37" s="60" t="n">
        <x:v>89</x:v>
      </x:c>
      <x:c r="Q37" s="60" t="n">
        <x:v>92.1</x:v>
      </x:c>
      <x:c r="R37" s="60" t="n">
        <x:v>87</x:v>
      </x:c>
      <x:c r="S37" s="60" t="n">
        <x:v>11</x:v>
      </x:c>
      <x:c r="T37" s="60" t="n">
        <x:v>0.06</x:v>
      </x:c>
      <x:c r="U37" s="60" t="n">
        <x:v>0.005</x:v>
      </x:c>
      <x:c r="V37" s="59" t="str">
        <x:v>Top50三轮复核</x:v>
      </x:c>
      <x:c r="W37" s="40" t="str">
        <x:v>三轮复核后与原表基本一致</x:v>
      </x:c>
      <x:c r="X37" s="40" t="str">
        <x:v>https://arxiv.org/abs/2606.10247</x:v>
      </x:c>
    </x:row>
    <x:row r="38" ht="32" customHeight="1">
      <x:c r="A38" s="59" t="n">
        <x:v>37</x:v>
      </x:c>
      <x:c r="B38" s="59" t="str">
        <x:v>2026-05</x:v>
      </x:c>
      <x:c r="C38" s="59" t="n">
        <x:v>19</x:v>
      </x:c>
      <x:c r="D38" s="59" t="n">
        <x:v>39</x:v>
      </x:c>
      <x:c r="E38" s="59" t="str">
        <x:v>2605.10138</x:v>
      </x:c>
      <x:c r="F38" s="40" t="str">
        <x:v>Global Well-posedness for the Multi-species Boltzmann Equation with Large Amplitude Initial Data</x:v>
      </x:c>
      <x:c r="G38" s="40" t="str">
        <x:v>Gyounghun Ko; Myeong-Su Lee; Sung-Jun Son</x:v>
      </x:c>
      <x:c r="H38" s="40" t="str">
        <x:v>Boltzmann equation</x:v>
      </x:c>
      <x:c r="I38" s="59" t="n">
        <x:v>54</x:v>
      </x:c>
      <x:c r="J38" s="60" t="n">
        <x:v>90.45</x:v>
      </x:c>
      <x:c r="K38" s="60" t="n">
        <x:v>90.4</x:v>
      </x:c>
      <x:c r="L38" s="60" t="n">
        <x:v>90.5</x:v>
      </x:c>
      <x:c r="M38" s="60" t="n">
        <x:v>92.1</x:v>
      </x:c>
      <x:c r="N38" s="60" t="n">
        <x:v>89.1</x:v>
      </x:c>
      <x:c r="O38" s="60" t="n">
        <x:v>93.1</x:v>
      </x:c>
      <x:c r="P38" s="60" t="n">
        <x:v>87.2</x:v>
      </x:c>
      <x:c r="Q38" s="60" t="n">
        <x:v>93.2</x:v>
      </x:c>
      <x:c r="R38" s="60" t="n">
        <x:v>86</x:v>
      </x:c>
      <x:c r="S38" s="60" t="n">
        <x:v>12</x:v>
      </x:c>
      <x:c r="T38" s="60" t="n">
        <x:v>0.05</x:v>
      </x:c>
      <x:c r="U38" s="60" t="n">
        <x:v>0.014</x:v>
      </x:c>
      <x:c r="V38" s="59" t="str">
        <x:v>Top50三轮复核</x:v>
      </x:c>
      <x:c r="W38" s="40" t="str">
        <x:v>三轮复核后与原表基本一致</x:v>
      </x:c>
      <x:c r="X38" s="40" t="str">
        <x:v>https://arxiv.org/abs/2605.10138</x:v>
      </x:c>
    </x:row>
    <x:row r="39" ht="32" customHeight="1">
      <x:c r="A39" s="59" t="n">
        <x:v>38</x:v>
      </x:c>
      <x:c r="B39" s="59" t="str">
        <x:v>2026-06</x:v>
      </x:c>
      <x:c r="C39" s="59" t="n">
        <x:v>19</x:v>
      </x:c>
      <x:c r="D39" s="59" t="n">
        <x:v>37</x:v>
      </x:c>
      <x:c r="E39" s="59" t="str">
        <x:v>2606.08648</x:v>
      </x:c>
      <x:c r="F39" s="40" t="str">
        <x:v>On Brezis Open Problem 3.1</x:v>
      </x:c>
      <x:c r="G39" s="40" t="str">
        <x:v>Qi Guo; Xueping Huang; Yi C. Huang; Fanghua Lin; Juncheng Wei</x:v>
      </x:c>
      <x:c r="H39" s="40" t="str">
        <x:v>elliptic/geometric analysis</x:v>
      </x:c>
      <x:c r="I39" s="59" t="n">
        <x:v>20</x:v>
      </x:c>
      <x:c r="J39" s="60" t="n">
        <x:v>90.42</x:v>
      </x:c>
      <x:c r="K39" s="60" t="n">
        <x:v>90.4</x:v>
      </x:c>
      <x:c r="L39" s="60" t="n">
        <x:v>90.44</x:v>
      </x:c>
      <x:c r="M39" s="60" t="n">
        <x:v>92</x:v>
      </x:c>
      <x:c r="N39" s="60" t="n">
        <x:v>91</x:v>
      </x:c>
      <x:c r="O39" s="60" t="n">
        <x:v>90.8</x:v>
      </x:c>
      <x:c r="P39" s="60" t="n">
        <x:v>88</x:v>
      </x:c>
      <x:c r="Q39" s="60" t="n">
        <x:v>91.9</x:v>
      </x:c>
      <x:c r="R39" s="60" t="n">
        <x:v>87</x:v>
      </x:c>
      <x:c r="S39" s="60" t="n">
        <x:v>10.3</x:v>
      </x:c>
      <x:c r="T39" s="60" t="n">
        <x:v>-0.08</x:v>
      </x:c>
      <x:c r="U39" s="60" t="n">
        <x:v>0.014</x:v>
      </x:c>
      <x:c r="V39" s="59" t="str">
        <x:v>Top50三轮复核</x:v>
      </x:c>
      <x:c r="W39" s="40" t="str">
        <x:v>短文且非框架性题材，技术残差轻微回调；Brezis公开问题稿件保持原先高分附近，未做正确性认证。</x:v>
      </x:c>
      <x:c r="X39" s="40" t="str">
        <x:v>https://arxiv.org/abs/2606.08648</x:v>
      </x:c>
    </x:row>
    <x:row r="40" ht="32" customHeight="1">
      <x:c r="A40" s="59" t="n">
        <x:v>39</x:v>
      </x:c>
      <x:c r="B40" s="59" t="str">
        <x:v>2026-06</x:v>
      </x:c>
      <x:c r="C40" s="59" t="n">
        <x:v>20</x:v>
      </x:c>
      <x:c r="D40" s="59" t="n">
        <x:v>40</x:v>
      </x:c>
      <x:c r="E40" s="59" t="str">
        <x:v>2606.29993</x:v>
      </x:c>
      <x:c r="F40" s="40" t="str">
        <x:v>Strichartz Estimates for the Liouville Equation on Euclidean Tori and Applications to Kakeya</x:v>
      </x:c>
      <x:c r="G40" s="40" t="str">
        <x:v>Pierre Germain; Mickael Latocca</x:v>
      </x:c>
      <x:c r="H40" s="40" t="str">
        <x:v>harmonic/dispersive analysis</x:v>
      </x:c>
      <x:c r="I40" s="59"/>
      <x:c r="J40" s="60" t="n">
        <x:v>90.4</x:v>
      </x:c>
      <x:c r="K40" s="60" t="n">
        <x:v>90.55</x:v>
      </x:c>
      <x:c r="L40" s="60" t="n">
        <x:v>90.25</x:v>
      </x:c>
      <x:c r="M40" s="60" t="n">
        <x:v>92</x:v>
      </x:c>
      <x:c r="N40" s="60" t="n">
        <x:v>90</x:v>
      </x:c>
      <x:c r="O40" s="60" t="n">
        <x:v>92</x:v>
      </x:c>
      <x:c r="P40" s="60" t="n">
        <x:v>89</x:v>
      </x:c>
      <x:c r="Q40" s="60" t="n">
        <x:v>92</x:v>
      </x:c>
      <x:c r="R40" s="60" t="n">
        <x:v>86</x:v>
      </x:c>
      <x:c r="S40" s="60" t="n">
        <x:v>11</x:v>
      </x:c>
      <x:c r="T40" s="60" t="n">
        <x:v>0</x:v>
      </x:c>
      <x:c r="U40" s="60" t="n">
        <x:v>0.005</x:v>
      </x:c>
      <x:c r="V40" s="59" t="str">
        <x:v>Top50三轮复核</x:v>
      </x:c>
      <x:c r="W40" s="40" t="str">
        <x:v>三轮复核后与原表基本一致</x:v>
      </x:c>
      <x:c r="X40" s="40" t="str">
        <x:v>https://arxiv.org/abs/2606.29993</x:v>
      </x:c>
    </x:row>
    <x:row r="41" ht="32" customHeight="1">
      <x:c r="A41" s="59" t="n">
        <x:v>40</x:v>
      </x:c>
      <x:c r="B41" s="59" t="str">
        <x:v>2026-06</x:v>
      </x:c>
      <x:c r="C41" s="59" t="n">
        <x:v>21</x:v>
      </x:c>
      <x:c r="D41" s="59" t="n">
        <x:v>41</x:v>
      </x:c>
      <x:c r="E41" s="59" t="str">
        <x:v>2606.03749</x:v>
      </x:c>
      <x:c r="F41" s="40" t="str">
        <x:v>A Density-Distance Version of the Carlen--Frank--Lieb Stability Theorem</x:v>
      </x:c>
      <x:c r="G41" s="40" t="str">
        <x:v>Gangsong Leng</x:v>
      </x:c>
      <x:c r="H41" s="40" t="str">
        <x:v>sharp inequalities/stability</x:v>
      </x:c>
      <x:c r="I41" s="59"/>
      <x:c r="J41" s="60" t="n">
        <x:v>90.4</x:v>
      </x:c>
      <x:c r="K41" s="60" t="n">
        <x:v>90.65</x:v>
      </x:c>
      <x:c r="L41" s="60" t="n">
        <x:v>90.15</x:v>
      </x:c>
      <x:c r="M41" s="60" t="n">
        <x:v>92</x:v>
      </x:c>
      <x:c r="N41" s="60" t="n">
        <x:v>91.1</x:v>
      </x:c>
      <x:c r="O41" s="60" t="n">
        <x:v>91</x:v>
      </x:c>
      <x:c r="P41" s="60" t="n">
        <x:v>89.2</x:v>
      </x:c>
      <x:c r="Q41" s="60" t="n">
        <x:v>91.1</x:v>
      </x:c>
      <x:c r="R41" s="60" t="n">
        <x:v>87</x:v>
      </x:c>
      <x:c r="S41" s="60" t="n">
        <x:v>11</x:v>
      </x:c>
      <x:c r="T41" s="60" t="n">
        <x:v>0.05</x:v>
      </x:c>
      <x:c r="U41" s="60" t="n">
        <x:v>0.009</x:v>
      </x:c>
      <x:c r="V41" s="59" t="str">
        <x:v>Top50三轮复核</x:v>
      </x:c>
      <x:c r="W41" s="40" t="str">
        <x:v>三轮复核后与原表基本一致</x:v>
      </x:c>
      <x:c r="X41" s="40" t="str">
        <x:v>https://arxiv.org/abs/2606.03749</x:v>
      </x:c>
    </x:row>
    <x:row r="42" ht="32" customHeight="1">
      <x:c r="A42" s="59" t="n">
        <x:v>41</x:v>
      </x:c>
      <x:c r="B42" s="59" t="str">
        <x:v>2026-05</x:v>
      </x:c>
      <x:c r="C42" s="59" t="n">
        <x:v>19</x:v>
      </x:c>
      <x:c r="D42" s="59" t="n">
        <x:v>38</x:v>
      </x:c>
      <x:c r="E42" s="59" t="str">
        <x:v>2605.00189</x:v>
      </x:c>
      <x:c r="F42" s="40" t="str">
        <x:v>Local Asymptotic Patterns for Viscous Approximations of Conservation Laws</x:v>
      </x:c>
      <x:c r="G42" s="40" t="str">
        <x:v>Alberto Bressan; Laura Caravenna; Wen Shen</x:v>
      </x:c>
      <x:c r="H42" s="40" t="str">
        <x:v>Conservation laws</x:v>
      </x:c>
      <x:c r="I42" s="59"/>
      <x:c r="J42" s="60" t="n">
        <x:v>90.35</x:v>
      </x:c>
      <x:c r="K42" s="60" t="n">
        <x:v>90.41</x:v>
      </x:c>
      <x:c r="L42" s="60" t="n">
        <x:v>90.3</x:v>
      </x:c>
      <x:c r="M42" s="60" t="n">
        <x:v>92.1</x:v>
      </x:c>
      <x:c r="N42" s="60" t="n">
        <x:v>90</x:v>
      </x:c>
      <x:c r="O42" s="60" t="n">
        <x:v>92.1</x:v>
      </x:c>
      <x:c r="P42" s="60" t="n">
        <x:v>87</x:v>
      </x:c>
      <x:c r="Q42" s="60" t="n">
        <x:v>92.1</x:v>
      </x:c>
      <x:c r="R42" s="60" t="n">
        <x:v>87</x:v>
      </x:c>
      <x:c r="S42" s="60" t="n">
        <x:v>12</x:v>
      </x:c>
      <x:c r="T42" s="60" t="n">
        <x:v>-0.05</x:v>
      </x:c>
      <x:c r="U42" s="60" t="n">
        <x:v>0.005</x:v>
      </x:c>
      <x:c r="V42" s="59" t="str">
        <x:v>Top50三轮复核</x:v>
      </x:c>
      <x:c r="W42" s="40" t="str">
        <x:v>三轮复核后与原表基本一致</x:v>
      </x:c>
      <x:c r="X42" s="40" t="str">
        <x:v>https://arxiv.org/abs/2605.00189</x:v>
      </x:c>
    </x:row>
    <x:row r="43" ht="32" customHeight="1">
      <x:c r="A43" s="59" t="n">
        <x:v>42</x:v>
      </x:c>
      <x:c r="B43" s="59" t="str">
        <x:v>2026-05</x:v>
      </x:c>
      <x:c r="C43" s="59" t="n">
        <x:v>21</x:v>
      </x:c>
      <x:c r="D43" s="59" t="n">
        <x:v>42</x:v>
      </x:c>
      <x:c r="E43" s="59" t="str">
        <x:v>2605.10788</x:v>
      </x:c>
      <x:c r="F43" s="40" t="str">
        <x:v>Entropy Structures and Long-Time Relaxation for 3-Wave Kinetic Equations</x:v>
      </x:c>
      <x:c r="G43" s="40" t="str">
        <x:v>Gigliola Staffilani; Minh-Binh Tran</x:v>
      </x:c>
      <x:c r="H43" s="40" t="str">
        <x:v>Wave kinetic equations</x:v>
      </x:c>
      <x:c r="I43" s="59"/>
      <x:c r="J43" s="60" t="n">
        <x:v>90.3</x:v>
      </x:c>
      <x:c r="K43" s="60" t="n">
        <x:v>90.45</x:v>
      </x:c>
      <x:c r="L43" s="60" t="n">
        <x:v>90.15</x:v>
      </x:c>
      <x:c r="M43" s="60" t="n">
        <x:v>92</x:v>
      </x:c>
      <x:c r="N43" s="60" t="n">
        <x:v>90.1</x:v>
      </x:c>
      <x:c r="O43" s="60" t="n">
        <x:v>92</x:v>
      </x:c>
      <x:c r="P43" s="60" t="n">
        <x:v>88.2</x:v>
      </x:c>
      <x:c r="Q43" s="60" t="n">
        <x:v>92.1</x:v>
      </x:c>
      <x:c r="R43" s="60" t="n">
        <x:v>86</x:v>
      </x:c>
      <x:c r="S43" s="60" t="n">
        <x:v>12</x:v>
      </x:c>
      <x:c r="T43" s="60" t="n">
        <x:v>0</x:v>
      </x:c>
      <x:c r="U43" s="60" t="n">
        <x:v>0.009</x:v>
      </x:c>
      <x:c r="V43" s="59" t="str">
        <x:v>Top50三轮复核</x:v>
      </x:c>
      <x:c r="W43" s="40" t="str">
        <x:v>三轮复核后与原表基本一致</x:v>
      </x:c>
      <x:c r="X43" s="40" t="str">
        <x:v>https://arxiv.org/abs/2605.10788</x:v>
      </x:c>
    </x:row>
    <x:row r="44" ht="32" customHeight="1">
      <x:c r="A44" s="59" t="n">
        <x:v>43</x:v>
      </x:c>
      <x:c r="B44" s="59" t="str">
        <x:v>2026-06</x:v>
      </x:c>
      <x:c r="C44" s="59" t="n">
        <x:v>22</x:v>
      </x:c>
      <x:c r="D44" s="59" t="n">
        <x:v>44</x:v>
      </x:c>
      <x:c r="E44" s="59" t="str">
        <x:v>2606.14308</x:v>
      </x:c>
      <x:c r="F44" s="40" t="str">
        <x:v>Non-uniqueness of global-in-time admissible weak solutions to the isentropic compressible Euler equations for a dense set of initial data</x:v>
      </x:c>
      <x:c r="G44" s="40" t="str">
        <x:v>Daniel W. Boutros; Simon Markfelder</x:v>
      </x:c>
      <x:c r="H44" s="40" t="str">
        <x:v>Euler/convex integration</x:v>
      </x:c>
      <x:c r="I44" s="59"/>
      <x:c r="J44" s="60" t="n">
        <x:v>90.28</x:v>
      </x:c>
      <x:c r="K44" s="60" t="n">
        <x:v>90.55</x:v>
      </x:c>
      <x:c r="L44" s="60" t="n">
        <x:v>90</x:v>
      </x:c>
      <x:c r="M44" s="60" t="n">
        <x:v>93.1</x:v>
      </x:c>
      <x:c r="N44" s="60" t="n">
        <x:v>90</x:v>
      </x:c>
      <x:c r="O44" s="60" t="n">
        <x:v>92.1</x:v>
      </x:c>
      <x:c r="P44" s="60" t="n">
        <x:v>88</x:v>
      </x:c>
      <x:c r="Q44" s="60" t="n">
        <x:v>92.1</x:v>
      </x:c>
      <x:c r="R44" s="60" t="n">
        <x:v>84</x:v>
      </x:c>
      <x:c r="S44" s="60" t="n">
        <x:v>11</x:v>
      </x:c>
      <x:c r="T44" s="60" t="n">
        <x:v>0.06</x:v>
      </x:c>
      <x:c r="U44" s="60" t="n">
        <x:v>0.005</x:v>
      </x:c>
      <x:c r="V44" s="59" t="str">
        <x:v>Top50三轮复核</x:v>
      </x:c>
      <x:c r="W44" s="40" t="str">
        <x:v>三轮复核后与原表基本一致</x:v>
      </x:c>
      <x:c r="X44" s="40" t="str">
        <x:v>https://arxiv.org/abs/2606.14308</x:v>
      </x:c>
    </x:row>
    <x:row r="45" ht="32" customHeight="1">
      <x:c r="A45" s="59" t="n">
        <x:v>44</x:v>
      </x:c>
      <x:c r="B45" s="59" t="str">
        <x:v>2026-06</x:v>
      </x:c>
      <x:c r="C45" s="59" t="n">
        <x:v>22</x:v>
      </x:c>
      <x:c r="D45" s="59" t="n">
        <x:v>43</x:v>
      </x:c>
      <x:c r="E45" s="59" t="str">
        <x:v>2606.29454</x:v>
      </x:c>
      <x:c r="F45" s="40" t="str">
        <x:v>Formation of quasi-singularities of shock and implosion type for compressible Euler flows</x:v>
      </x:c>
      <x:c r="G45" s="40" t="str">
        <x:v>Xieling Fan; Hongyu Liu</x:v>
      </x:c>
      <x:c r="H45" s="40" t="str">
        <x:v>compressible Euler singularity</x:v>
      </x:c>
      <x:c r="I45" s="59"/>
      <x:c r="J45" s="60" t="n">
        <x:v>90.25</x:v>
      </x:c>
      <x:c r="K45" s="60" t="n">
        <x:v>90.5</x:v>
      </x:c>
      <x:c r="L45" s="60" t="n">
        <x:v>90</x:v>
      </x:c>
      <x:c r="M45" s="60" t="n">
        <x:v>93</x:v>
      </x:c>
      <x:c r="N45" s="60" t="n">
        <x:v>90</x:v>
      </x:c>
      <x:c r="O45" s="60" t="n">
        <x:v>92.1</x:v>
      </x:c>
      <x:c r="P45" s="60" t="n">
        <x:v>87.8</x:v>
      </x:c>
      <x:c r="Q45" s="60" t="n">
        <x:v>92.1</x:v>
      </x:c>
      <x:c r="R45" s="60" t="n">
        <x:v>84</x:v>
      </x:c>
      <x:c r="S45" s="60" t="n">
        <x:v>11</x:v>
      </x:c>
      <x:c r="T45" s="60" t="n">
        <x:v>0.03</x:v>
      </x:c>
      <x:c r="U45" s="60" t="n">
        <x:v>0.005</x:v>
      </x:c>
      <x:c r="V45" s="59" t="str">
        <x:v>Top50三轮复核</x:v>
      </x:c>
      <x:c r="W45" s="40" t="str">
        <x:v>范围偏专门，广度轻微回调</x:v>
      </x:c>
      <x:c r="X45" s="40" t="str">
        <x:v>https://arxiv.org/abs/2606.29454</x:v>
      </x:c>
    </x:row>
    <x:row r="46" ht="32" customHeight="1">
      <x:c r="A46" s="59" t="n">
        <x:v>45</x:v>
      </x:c>
      <x:c r="B46" s="59" t="str">
        <x:v>2026-06</x:v>
      </x:c>
      <x:c r="C46" s="59" t="n">
        <x:v>24</x:v>
      </x:c>
      <x:c r="D46" s="59" t="n">
        <x:v>46</x:v>
      </x:c>
      <x:c r="E46" s="59" t="str">
        <x:v>2606.02070</x:v>
      </x:c>
      <x:c r="F46" s="40" t="str">
        <x:v>Critical mass threshold for the 2D Patlak-Keller-Segel-Navier-Stokes system</x:v>
      </x:c>
      <x:c r="G46" s="40" t="str">
        <x:v>Wendong Wang; Dongyi Wei; Zhifei Zhang</x:v>
      </x:c>
      <x:c r="H46" s="40" t="str">
        <x:v>chemotaxis-fluid threshold</x:v>
      </x:c>
      <x:c r="I46" s="59"/>
      <x:c r="J46" s="60" t="n">
        <x:v>90.18</x:v>
      </x:c>
      <x:c r="K46" s="60" t="n">
        <x:v>90.26</x:v>
      </x:c>
      <x:c r="L46" s="60" t="n">
        <x:v>90.1</x:v>
      </x:c>
      <x:c r="M46" s="60" t="n">
        <x:v>92.1</x:v>
      </x:c>
      <x:c r="N46" s="60" t="n">
        <x:v>89</x:v>
      </x:c>
      <x:c r="O46" s="60" t="n">
        <x:v>92.1</x:v>
      </x:c>
      <x:c r="P46" s="60" t="n">
        <x:v>88</x:v>
      </x:c>
      <x:c r="Q46" s="60" t="n">
        <x:v>92.1</x:v>
      </x:c>
      <x:c r="R46" s="60" t="n">
        <x:v>86</x:v>
      </x:c>
      <x:c r="S46" s="60" t="n">
        <x:v>11</x:v>
      </x:c>
      <x:c r="T46" s="60" t="n">
        <x:v>0.06</x:v>
      </x:c>
      <x:c r="U46" s="60" t="n">
        <x:v>0.005</x:v>
      </x:c>
      <x:c r="V46" s="59" t="str">
        <x:v>Top50三轮复核</x:v>
      </x:c>
      <x:c r="W46" s="40" t="str">
        <x:v>三轮复核后与原表基本一致</x:v>
      </x:c>
      <x:c r="X46" s="40" t="str">
        <x:v>https://arxiv.org/abs/2606.02070</x:v>
      </x:c>
    </x:row>
    <x:row r="47" ht="32" customHeight="1">
      <x:c r="A47" s="59" t="n">
        <x:v>46</x:v>
      </x:c>
      <x:c r="B47" s="59" t="str">
        <x:v>2026-06</x:v>
      </x:c>
      <x:c r="C47" s="59" t="n">
        <x:v>25</x:v>
      </x:c>
      <x:c r="D47" s="59" t="n">
        <x:v>47</x:v>
      </x:c>
      <x:c r="E47" s="59" t="str">
        <x:v>2606.12061</x:v>
      </x:c>
      <x:c r="F47" s="40" t="str">
        <x:v>Complex-ellipticity, dimensional estimates and plane wave rigidity in BV^A</x:v>
      </x:c>
      <x:c r="G47" s="40" t="str">
        <x:v>Adolfo Arroyo-Rabasa</x:v>
      </x:c>
      <x:c r="H47" s="40" t="str">
        <x:v>calculus of variations/BV</x:v>
      </x:c>
      <x:c r="I47" s="59" t="n">
        <x:v>23</x:v>
      </x:c>
      <x:c r="J47" s="60" t="n">
        <x:v>90.16</x:v>
      </x:c>
      <x:c r="K47" s="60" t="n">
        <x:v>90.2</x:v>
      </x:c>
      <x:c r="L47" s="60" t="n">
        <x:v>90.13</x:v>
      </x:c>
      <x:c r="M47" s="60" t="n">
        <x:v>91</x:v>
      </x:c>
      <x:c r="N47" s="60" t="n">
        <x:v>91.1</x:v>
      </x:c>
      <x:c r="O47" s="60" t="n">
        <x:v>91</x:v>
      </x:c>
      <x:c r="P47" s="60" t="n">
        <x:v>88.2</x:v>
      </x:c>
      <x:c r="Q47" s="60" t="n">
        <x:v>91.1</x:v>
      </x:c>
      <x:c r="R47" s="60" t="n">
        <x:v>87</x:v>
      </x:c>
      <x:c r="S47" s="60" t="n">
        <x:v>11.1</x:v>
      </x:c>
      <x:c r="T47" s="60" t="n">
        <x:v>0.03</x:v>
      </x:c>
      <x:c r="U47" s="60" t="n">
        <x:v>0.021</x:v>
      </x:c>
      <x:c r="V47" s="59" t="str">
        <x:v>Top50三轮复核</x:v>
      </x:c>
      <x:c r="W47" s="40" t="str">
        <x:v>三轮复核后与原表基本一致</x:v>
      </x:c>
      <x:c r="X47" s="40" t="str">
        <x:v>https://arxiv.org/abs/2606.12061</x:v>
      </x:c>
    </x:row>
    <x:row r="48" ht="32" customHeight="1">
      <x:c r="A48" s="59" t="n">
        <x:v>47</x:v>
      </x:c>
      <x:c r="B48" s="59" t="str">
        <x:v>2026-06</x:v>
      </x:c>
      <x:c r="C48" s="59" t="n">
        <x:v>25</x:v>
      </x:c>
      <x:c r="D48" s="59" t="n">
        <x:v>48</x:v>
      </x:c>
      <x:c r="E48" s="59" t="str">
        <x:v>2606.02989</x:v>
      </x:c>
      <x:c r="F48" s="40" t="str">
        <x:v>The Benjamin-Ono Equation in the Long-Time Limit: Linearized Self-Similar Universality</x:v>
      </x:c>
      <x:c r="G48" s="40" t="str">
        <x:v>Louise Gassot; Patrick Gerard; Peter D. Miller</x:v>
      </x:c>
      <x:c r="H48" s="40" t="str">
        <x:v>integrable/dispersive asymptotics</x:v>
      </x:c>
      <x:c r="I48" s="59" t="n">
        <x:v>33</x:v>
      </x:c>
      <x:c r="J48" s="60" t="n">
        <x:v>90.15</x:v>
      </x:c>
      <x:c r="K48" s="60" t="n">
        <x:v>90.14</x:v>
      </x:c>
      <x:c r="L48" s="60" t="n">
        <x:v>90.15</x:v>
      </x:c>
      <x:c r="M48" s="60" t="n">
        <x:v>90.9</x:v>
      </x:c>
      <x:c r="N48" s="60" t="n">
        <x:v>91.1</x:v>
      </x:c>
      <x:c r="O48" s="60" t="n">
        <x:v>91</x:v>
      </x:c>
      <x:c r="P48" s="60" t="n">
        <x:v>88</x:v>
      </x:c>
      <x:c r="Q48" s="60" t="n">
        <x:v>91.1</x:v>
      </x:c>
      <x:c r="R48" s="60" t="n">
        <x:v>87</x:v>
      </x:c>
      <x:c r="S48" s="60" t="n">
        <x:v>11</x:v>
      </x:c>
      <x:c r="T48" s="60" t="n">
        <x:v>0.03</x:v>
      </x:c>
      <x:c r="U48" s="60" t="n">
        <x:v>0.005</x:v>
      </x:c>
      <x:c r="V48" s="59" t="str">
        <x:v>Top50三轮复核</x:v>
      </x:c>
      <x:c r="W48" s="40" t="str">
        <x:v>范围偏专门，广度轻微回调</x:v>
      </x:c>
      <x:c r="X48" s="40" t="str">
        <x:v>https://arxiv.org/abs/2606.02989</x:v>
      </x:c>
    </x:row>
    <x:row r="49" ht="32" customHeight="1">
      <x:c r="A49" s="59" t="n">
        <x:v>48</x:v>
      </x:c>
      <x:c r="B49" s="59" t="str">
        <x:v>2026-05</x:v>
      </x:c>
      <x:c r="C49" s="59" t="n">
        <x:v>22</x:v>
      </x:c>
      <x:c r="D49" s="59" t="n">
        <x:v>45</x:v>
      </x:c>
      <x:c r="E49" s="59" t="str">
        <x:v>2605.02540</x:v>
      </x:c>
      <x:c r="F49" s="40" t="str">
        <x:v>On the onset of correlations in Wave Turbulence close to singularities</x:v>
      </x:c>
      <x:c r="G49" s="40" t="str">
        <x:v>M. Escobedo; J. J. L. Velazquez</x:v>
      </x:c>
      <x:c r="H49" s="40" t="str">
        <x:v>Wave turbulence</x:v>
      </x:c>
      <x:c r="I49" s="59"/>
      <x:c r="J49" s="60" t="n">
        <x:v>90.13</x:v>
      </x:c>
      <x:c r="K49" s="60" t="n">
        <x:v>90.25</x:v>
      </x:c>
      <x:c r="L49" s="60" t="n">
        <x:v>90</x:v>
      </x:c>
      <x:c r="M49" s="60" t="n">
        <x:v>92</x:v>
      </x:c>
      <x:c r="N49" s="60" t="n">
        <x:v>91</x:v>
      </x:c>
      <x:c r="O49" s="60" t="n">
        <x:v>92</x:v>
      </x:c>
      <x:c r="P49" s="60" t="n">
        <x:v>87</x:v>
      </x:c>
      <x:c r="Q49" s="60" t="n">
        <x:v>92</x:v>
      </x:c>
      <x:c r="R49" s="60" t="n">
        <x:v>84</x:v>
      </x:c>
      <x:c r="S49" s="60" t="n">
        <x:v>12</x:v>
      </x:c>
      <x:c r="T49" s="60" t="n">
        <x:v>-0.07</x:v>
      </x:c>
      <x:c r="U49" s="60" t="n">
        <x:v>0</x:v>
      </x:c>
      <x:c r="V49" s="59" t="str">
        <x:v>Top50三轮复核</x:v>
      </x:c>
      <x:c r="W49" s="40" t="str">
        <x:v>三轮复核后与原表基本一致</x:v>
      </x:c>
      <x:c r="X49" s="40" t="str">
        <x:v>https://arxiv.org/abs/2605.02540</x:v>
      </x:c>
    </x:row>
    <x:row r="50" ht="32" customHeight="1">
      <x:c r="A50" s="59" t="n">
        <x:v>49</x:v>
      </x:c>
      <x:c r="B50" s="59" t="str">
        <x:v>2026-05</x:v>
      </x:c>
      <x:c r="C50" s="59" t="n">
        <x:v>23</x:v>
      </x:c>
      <x:c r="D50" s="59" t="n">
        <x:v>49</x:v>
      </x:c>
      <x:c r="E50" s="59" t="str">
        <x:v>2605.02034</x:v>
      </x:c>
      <x:c r="F50" s="40" t="str">
        <x:v>Serrin's overdetermined theorem and weak Bernoulli laws without Alt-Caffarelli regularity</x:v>
      </x:c>
      <x:c r="G50" s="40" t="str">
        <x:v>Yi Ru-Ya Zhang</x:v>
      </x:c>
      <x:c r="H50" s="40" t="str">
        <x:v>Free boundary / overdetermined problems</x:v>
      </x:c>
      <x:c r="I50" s="59" t="n">
        <x:v>55</x:v>
      </x:c>
      <x:c r="J50" s="60" t="n">
        <x:v>89.95</x:v>
      </x:c>
      <x:c r="K50" s="60" t="n">
        <x:v>90.3</x:v>
      </x:c>
      <x:c r="L50" s="60" t="n">
        <x:v>89.6</x:v>
      </x:c>
      <x:c r="M50" s="60" t="n">
        <x:v>92.1</x:v>
      </x:c>
      <x:c r="N50" s="60" t="n">
        <x:v>91.1</x:v>
      </x:c>
      <x:c r="O50" s="60" t="n">
        <x:v>91.1</x:v>
      </x:c>
      <x:c r="P50" s="60" t="n">
        <x:v>87.2</x:v>
      </x:c>
      <x:c r="Q50" s="60" t="n">
        <x:v>91.2</x:v>
      </x:c>
      <x:c r="R50" s="60" t="n">
        <x:v>86</x:v>
      </x:c>
      <x:c r="S50" s="60" t="n">
        <x:v>14</x:v>
      </x:c>
      <x:c r="T50" s="60" t="n">
        <x:v>0.05</x:v>
      </x:c>
      <x:c r="U50" s="60" t="n">
        <x:v>0.014</x:v>
      </x:c>
      <x:c r="V50" s="59" t="str">
        <x:v>Top50三轮复核</x:v>
      </x:c>
      <x:c r="W50" s="40" t="str">
        <x:v>三轮复核后与原表基本一致</x:v>
      </x:c>
      <x:c r="X50" s="40" t="str">
        <x:v>https://arxiv.org/abs/2605.02034</x:v>
      </x:c>
    </x:row>
    <x:row r="51" ht="32" customHeight="1">
      <x:c r="A51" s="59" t="n">
        <x:v>50</x:v>
      </x:c>
      <x:c r="B51" s="59" t="str">
        <x:v>2026-06</x:v>
      </x:c>
      <x:c r="C51" s="59" t="n">
        <x:v>28</x:v>
      </x:c>
      <x:c r="D51" s="59" t="n">
        <x:v>51</x:v>
      </x:c>
      <x:c r="E51" s="59" t="str">
        <x:v>2606.04960</x:v>
      </x:c>
      <x:c r="F51" s="40" t="str">
        <x:v>Stationary Vlasov-Poisson-Boltzmann system in a convex domain</x:v>
      </x:c>
      <x:c r="G51" s="40" t="str">
        <x:v>Hongxu Chen; Jiaxin Jin</x:v>
      </x:c>
      <x:c r="H51" s="40" t="str">
        <x:v>kinetic boundary PDE</x:v>
      </x:c>
      <x:c r="I51" s="59" t="n">
        <x:v>88</x:v>
      </x:c>
      <x:c r="J51" s="60" t="n">
        <x:v>89.85</x:v>
      </x:c>
      <x:c r="K51" s="60" t="n">
        <x:v>89.74</x:v>
      </x:c>
      <x:c r="L51" s="60" t="n">
        <x:v>89.95</x:v>
      </x:c>
      <x:c r="M51" s="60" t="n">
        <x:v>91</x:v>
      </x:c>
      <x:c r="N51" s="60" t="n">
        <x:v>89</x:v>
      </x:c>
      <x:c r="O51" s="60" t="n">
        <x:v>92.1</x:v>
      </x:c>
      <x:c r="P51" s="60" t="n">
        <x:v>86.8</x:v>
      </x:c>
      <x:c r="Q51" s="60" t="n">
        <x:v>92.1</x:v>
      </x:c>
      <x:c r="R51" s="60" t="n">
        <x:v>86</x:v>
      </x:c>
      <x:c r="S51" s="60" t="n">
        <x:v>12</x:v>
      </x:c>
      <x:c r="T51" s="60" t="n">
        <x:v>0.03</x:v>
      </x:c>
      <x:c r="U51" s="60" t="n">
        <x:v>0.005</x:v>
      </x:c>
      <x:c r="V51" s="59" t="str">
        <x:v>Top50三轮复核</x:v>
      </x:c>
      <x:c r="W51" s="40" t="str">
        <x:v>范围偏专门，广度轻微回调</x:v>
      </x:c>
      <x:c r="X51" s="40" t="str">
        <x:v>https://arxiv.org/abs/2606.04960</x:v>
      </x:c>
    </x:row>
    <x:row r="52" ht="32" customHeight="1">
      <x:c r="A52" s="59" t="n">
        <x:v>51</x:v>
      </x:c>
      <x:c r="B52" s="59" t="str">
        <x:v>2026-05</x:v>
      </x:c>
      <x:c r="C52" s="59" t="n">
        <x:v>24</x:v>
      </x:c>
      <x:c r="D52" s="59" t="n">
        <x:v>52</x:v>
      </x:c>
      <x:c r="E52" s="59" t="str">
        <x:v>2605.01933</x:v>
      </x:c>
      <x:c r="F52" s="40" t="str">
        <x:v>A sharp hypocoercive entropy decay estimate for underdamped Langevin dynamics</x:v>
      </x:c>
      <x:c r="G52" s="40" t="str">
        <x:v>Jianfeng Lu</x:v>
      </x:c>
      <x:c r="H52" s="40" t="str">
        <x:v>Hypocoercivity / Langevin</x:v>
      </x:c>
      <x:c r="I52" s="59" t="n">
        <x:v>25</x:v>
      </x:c>
      <x:c r="J52" s="60" t="n">
        <x:v>89.85</x:v>
      </x:c>
      <x:c r="K52" s="60" t="n">
        <x:v>90.16</x:v>
      </x:c>
      <x:c r="L52" s="60" t="n">
        <x:v>89.54</x:v>
      </x:c>
      <x:c r="M52" s="60" t="n">
        <x:v>91.1</x:v>
      </x:c>
      <x:c r="N52" s="60" t="n">
        <x:v>90.1</x:v>
      </x:c>
      <x:c r="O52" s="60" t="n">
        <x:v>91.1</x:v>
      </x:c>
      <x:c r="P52" s="60" t="n">
        <x:v>88.2</x:v>
      </x:c>
      <x:c r="Q52" s="60" t="n">
        <x:v>90.2</x:v>
      </x:c>
      <x:c r="R52" s="60" t="n">
        <x:v>88</x:v>
      </x:c>
      <x:c r="S52" s="60" t="n">
        <x:v>13.1</x:v>
      </x:c>
      <x:c r="T52" s="60" t="n">
        <x:v>0.05</x:v>
      </x:c>
      <x:c r="U52" s="60" t="n">
        <x:v>0.024</x:v>
      </x:c>
      <x:c r="V52" s="59" t="str">
        <x:v>Top50三轮复核</x:v>
      </x:c>
      <x:c r="W52" s="40" t="str">
        <x:v>三轮复核后与原表基本一致</x:v>
      </x:c>
      <x:c r="X52" s="40" t="str">
        <x:v>https://arxiv.org/abs/2605.01933</x:v>
      </x:c>
    </x:row>
    <x:row r="53" ht="32" customHeight="1">
      <x:c r="A53" s="59" t="n">
        <x:v>52</x:v>
      </x:c>
      <x:c r="B53" s="59" t="str">
        <x:v>2026-06</x:v>
      </x:c>
      <x:c r="C53" s="59" t="n">
        <x:v>27</x:v>
      </x:c>
      <x:c r="D53" s="59" t="n">
        <x:v>50</x:v>
      </x:c>
      <x:c r="E53" s="59" t="str">
        <x:v>2606.29468</x:v>
      </x:c>
      <x:c r="F53" s="40" t="str">
        <x:v>On potential Type II blowups for the Navier-Stokes equations</x:v>
      </x:c>
      <x:c r="G53" s="40" t="str">
        <x:v>Gregory Seregin</x:v>
      </x:c>
      <x:c r="H53" s="40" t="str">
        <x:v>Navier-Stokes blow-up</x:v>
      </x:c>
      <x:c r="I53" s="59" t="n">
        <x:v>14</x:v>
      </x:c>
      <x:c r="J53" s="60" t="n">
        <x:v>89.82</x:v>
      </x:c>
      <x:c r="K53" s="60" t="n">
        <x:v>90.22</x:v>
      </x:c>
      <x:c r="L53" s="60" t="n">
        <x:v>89.41</x:v>
      </x:c>
      <x:c r="M53" s="60" t="n">
        <x:v>94.1</x:v>
      </x:c>
      <x:c r="N53" s="60" t="n">
        <x:v>87.9</x:v>
      </x:c>
      <x:c r="O53" s="60" t="n">
        <x:v>90.9</x:v>
      </x:c>
      <x:c r="P53" s="60" t="n">
        <x:v>87.9</x:v>
      </x:c>
      <x:c r="Q53" s="60" t="n">
        <x:v>92</x:v>
      </x:c>
      <x:c r="R53" s="60" t="n">
        <x:v>85</x:v>
      </x:c>
      <x:c r="S53" s="60" t="n">
        <x:v>11.3</x:v>
      </x:c>
      <x:c r="T53" s="60" t="n">
        <x:v>-0.06</x:v>
      </x:c>
      <x:c r="U53" s="60" t="n">
        <x:v>0.012</x:v>
      </x:c>
      <x:c r="V53" s="59" t="str">
        <x:v>Top50三轮复核</x:v>
      </x:c>
      <x:c r="W53" s="40" t="str">
        <x:v>系列/续篇按重叠性校准；短文且非框架性题材，技术残差轻微回调</x:v>
      </x:c>
      <x:c r="X53" s="40" t="str">
        <x:v>https://arxiv.org/abs/2606.29468</x:v>
      </x:c>
    </x:row>
    <x:row r="54" ht="32" customHeight="1">
      <x:c r="A54" s="59" t="n">
        <x:v>53</x:v>
      </x:c>
      <x:c r="B54" s="59" t="str">
        <x:v>2026-05</x:v>
      </x:c>
      <x:c r="C54" s="59" t="n">
        <x:v>25</x:v>
      </x:c>
      <x:c r="D54" s="59" t="n">
        <x:v>53</x:v>
      </x:c>
      <x:c r="E54" s="59" t="str">
        <x:v>2605.03732</x:v>
      </x:c>
      <x:c r="F54" s="40" t="str">
        <x:v>Sharp Stability for the Affine Fractional Sobolev Inequality</x:v>
      </x:c>
      <x:c r="G54" s="40" t="str">
        <x:v>Song Fan; Gui-Dong Li; Jianjun Zhang</x:v>
      </x:c>
      <x:c r="H54" s="40" t="str">
        <x:v>Functional inequalities</x:v>
      </x:c>
      <x:c r="I54" s="59"/>
      <x:c r="J54" s="60" t="n">
        <x:v>89.75</x:v>
      </x:c>
      <x:c r="K54" s="60" t="n">
        <x:v>89.85</x:v>
      </x:c>
      <x:c r="L54" s="60" t="n">
        <x:v>89.65</x:v>
      </x:c>
      <x:c r="M54" s="60" t="n">
        <x:v>91</x:v>
      </x:c>
      <x:c r="N54" s="60" t="n">
        <x:v>90.1</x:v>
      </x:c>
      <x:c r="O54" s="60" t="n">
        <x:v>91</x:v>
      </x:c>
      <x:c r="P54" s="60" t="n">
        <x:v>87.2</x:v>
      </x:c>
      <x:c r="Q54" s="60" t="n">
        <x:v>91.1</x:v>
      </x:c>
      <x:c r="R54" s="60" t="n">
        <x:v>87</x:v>
      </x:c>
      <x:c r="S54" s="60" t="n">
        <x:v>13</x:v>
      </x:c>
      <x:c r="T54" s="60" t="n">
        <x:v>0.05</x:v>
      </x:c>
      <x:c r="U54" s="60" t="n">
        <x:v>0.009</x:v>
      </x:c>
      <x:c r="V54" s="59" t="str">
        <x:v>Top50三轮复核</x:v>
      </x:c>
      <x:c r="W54" s="40" t="str">
        <x:v>三轮复核后与原表基本一致</x:v>
      </x:c>
      <x:c r="X54" s="40" t="str">
        <x:v>https://arxiv.org/abs/2605.03732</x:v>
      </x:c>
    </x:row>
    <x:row r="55" ht="32" customHeight="1">
      <x:c r="A55" s="59" t="n">
        <x:v>54</x:v>
      </x:c>
      <x:c r="B55" s="59" t="str">
        <x:v>2026-06</x:v>
      </x:c>
      <x:c r="C55" s="59" t="n">
        <x:v>29</x:v>
      </x:c>
      <x:c r="D55" s="59" t="n">
        <x:v>54</x:v>
      </x:c>
      <x:c r="E55" s="59" t="str">
        <x:v>2606.22355</x:v>
      </x:c>
      <x:c r="F55" s="40" t="str">
        <x:v>Uncountably many non-rotationally symmetric type II ancient Yamabe flows on the sphere</x:v>
      </x:c>
      <x:c r="G55" s="40" t="str">
        <x:v>Haixia Chen; Seunghyeok Kim; Monica Musso</x:v>
      </x:c>
      <x:c r="H55" s="40" t="str">
        <x:v>Yamabe flow/geometric PDE</x:v>
      </x:c>
      <x:c r="I55" s="59"/>
      <x:c r="J55" s="60" t="n">
        <x:v>89.58</x:v>
      </x:c>
      <x:c r="K55" s="60" t="n">
        <x:v>89.67</x:v>
      </x:c>
      <x:c r="L55" s="60" t="n">
        <x:v>89.48</x:v>
      </x:c>
      <x:c r="M55" s="60" t="n">
        <x:v>91</x:v>
      </x:c>
      <x:c r="N55" s="60" t="n">
        <x:v>90.9</x:v>
      </x:c>
      <x:c r="O55" s="60" t="n">
        <x:v>91</x:v>
      </x:c>
      <x:c r="P55" s="60" t="n">
        <x:v>86.9</x:v>
      </x:c>
      <x:c r="Q55" s="60" t="n">
        <x:v>91</x:v>
      </x:c>
      <x:c r="R55" s="60" t="n">
        <x:v>84</x:v>
      </x:c>
      <x:c r="S55" s="60" t="n">
        <x:v>12</x:v>
      </x:c>
      <x:c r="T55" s="60" t="n">
        <x:v>-0.02</x:v>
      </x:c>
      <x:c r="U55" s="60" t="n">
        <x:v>0</x:v>
      </x:c>
      <x:c r="V55" s="59" t="str">
        <x:v>Top50三轮复核</x:v>
      </x:c>
      <x:c r="W55" s="40" t="str">
        <x:v>系列/续篇按重叠性校准</x:v>
      </x:c>
      <x:c r="X55" s="40" t="str">
        <x:v>https://arxiv.org/abs/2606.22355</x:v>
      </x:c>
    </x:row>
    <x:row r="56" ht="32" customHeight="1">
      <x:c r="A56" s="59" t="n">
        <x:v>55</x:v>
      </x:c>
      <x:c r="B56" s="59" t="str">
        <x:v>2026-06</x:v>
      </x:c>
      <x:c r="C56" s="59" t="n">
        <x:v>31</x:v>
      </x:c>
      <x:c r="D56" s="59" t="n">
        <x:v>56</x:v>
      </x:c>
      <x:c r="E56" s="59" t="str">
        <x:v>2606.02811</x:v>
      </x:c>
      <x:c r="F56" s="40" t="str">
        <x:v>Navier-Stokes Equations in Complex Space</x:v>
      </x:c>
      <x:c r="G56" s="40" t="str">
        <x:v>Nikolai Nadirashvili</x:v>
      </x:c>
      <x:c r="H56" s="40" t="str">
        <x:v>Navier-Stokes/complex variables</x:v>
      </x:c>
      <x:c r="I56" s="59"/>
      <x:c r="J56" s="60" t="n">
        <x:v>89.56</x:v>
      </x:c>
      <x:c r="K56" s="60" t="n">
        <x:v>89.61</x:v>
      </x:c>
      <x:c r="L56" s="60" t="n">
        <x:v>89.5</x:v>
      </x:c>
      <x:c r="M56" s="60" t="n">
        <x:v>91.1</x:v>
      </x:c>
      <x:c r="N56" s="60" t="n">
        <x:v>91</x:v>
      </x:c>
      <x:c r="O56" s="60" t="n">
        <x:v>90.1</x:v>
      </x:c>
      <x:c r="P56" s="60" t="n">
        <x:v>87</x:v>
      </x:c>
      <x:c r="Q56" s="60" t="n">
        <x:v>91.1</x:v>
      </x:c>
      <x:c r="R56" s="60" t="n">
        <x:v>85</x:v>
      </x:c>
      <x:c r="S56" s="60" t="n">
        <x:v>12</x:v>
      </x:c>
      <x:c r="T56" s="60" t="n">
        <x:v>0.06</x:v>
      </x:c>
      <x:c r="U56" s="60" t="n">
        <x:v>0</x:v>
      </x:c>
      <x:c r="V56" s="59" t="str">
        <x:v>Top50三轮复核</x:v>
      </x:c>
      <x:c r="W56" s="40" t="str">
        <x:v>三轮复核后与原表基本一致</x:v>
      </x:c>
      <x:c r="X56" s="40" t="str">
        <x:v>https://arxiv.org/abs/2606.02811</x:v>
      </x:c>
    </x:row>
    <x:row r="57" ht="32" customHeight="1">
      <x:c r="A57" s="59" t="n">
        <x:v>56</x:v>
      </x:c>
      <x:c r="B57" s="59" t="str">
        <x:v>2026-06</x:v>
      </x:c>
      <x:c r="C57" s="59" t="n">
        <x:v>30</x:v>
      </x:c>
      <x:c r="D57" s="59" t="n">
        <x:v>55</x:v>
      </x:c>
      <x:c r="E57" s="59" t="str">
        <x:v>2606.11055</x:v>
      </x:c>
      <x:c r="F57" s="40" t="str">
        <x:v>Exponential mixing and enhanced dissipation on the unit sphere with Rossby-Haurwitz flows</x:v>
      </x:c>
      <x:c r="G57" s="40" t="str">
        <x:v>Augusto Del Zotto; Marc Nualart</x:v>
      </x:c>
      <x:c r="H57" s="40" t="str">
        <x:v>mixing/enhanced dissipation</x:v>
      </x:c>
      <x:c r="I57" s="59" t="n">
        <x:v>84</x:v>
      </x:c>
      <x:c r="J57" s="60" t="n">
        <x:v>89.55</x:v>
      </x:c>
      <x:c r="K57" s="60" t="n">
        <x:v>89.44</x:v>
      </x:c>
      <x:c r="L57" s="60" t="n">
        <x:v>89.65</x:v>
      </x:c>
      <x:c r="M57" s="60" t="n">
        <x:v>89.9</x:v>
      </x:c>
      <x:c r="N57" s="60" t="n">
        <x:v>91</x:v>
      </x:c>
      <x:c r="O57" s="60" t="n">
        <x:v>91</x:v>
      </x:c>
      <x:c r="P57" s="60" t="n">
        <x:v>86.8</x:v>
      </x:c>
      <x:c r="Q57" s="60" t="n">
        <x:v>91</x:v>
      </x:c>
      <x:c r="R57" s="60" t="n">
        <x:v>85</x:v>
      </x:c>
      <x:c r="S57" s="60" t="n">
        <x:v>12</x:v>
      </x:c>
      <x:c r="T57" s="60" t="n">
        <x:v>-0.03</x:v>
      </x:c>
      <x:c r="U57" s="60" t="n">
        <x:v>0.005</x:v>
      </x:c>
      <x:c r="V57" s="59" t="str">
        <x:v>Top50三轮复核</x:v>
      </x:c>
      <x:c r="W57" s="40" t="str">
        <x:v>范围偏专门，广度轻微回调</x:v>
      </x:c>
      <x:c r="X57" s="40" t="str">
        <x:v>https://arxiv.org/abs/2606.11055</x:v>
      </x:c>
    </x:row>
    <x:row r="58" ht="32" customHeight="1">
      <x:c r="A58" s="59" t="n">
        <x:v>57</x:v>
      </x:c>
      <x:c r="B58" s="59" t="str">
        <x:v>2026-06</x:v>
      </x:c>
      <x:c r="C58" s="59" t="n">
        <x:v>33</x:v>
      </x:c>
      <x:c r="D58" s="59" t="n">
        <x:v>58</x:v>
      </x:c>
      <x:c r="E58" s="59" t="str">
        <x:v>2606.15168</x:v>
      </x:c>
      <x:c r="F58" s="40" t="str">
        <x:v>Long-time asymptotics and invariant manifold for fractional 2D Navier-Stokes equation</x:v>
      </x:c>
      <x:c r="G58" s="40" t="str">
        <x:v>Jingchi Huang; Dandan Li; Shuai Zhang</x:v>
      </x:c>
      <x:c r="H58" s="40" t="str">
        <x:v>fractional Navier-Stokes</x:v>
      </x:c>
      <x:c r="I58" s="59" t="n">
        <x:v>44</x:v>
      </x:c>
      <x:c r="J58" s="60" t="n">
        <x:v>89.55</x:v>
      </x:c>
      <x:c r="K58" s="60" t="n">
        <x:v>89.6</x:v>
      </x:c>
      <x:c r="L58" s="60" t="n">
        <x:v>89.5</x:v>
      </x:c>
      <x:c r="M58" s="60" t="n">
        <x:v>91.1</x:v>
      </x:c>
      <x:c r="N58" s="60" t="n">
        <x:v>89.1</x:v>
      </x:c>
      <x:c r="O58" s="60" t="n">
        <x:v>91.1</x:v>
      </x:c>
      <x:c r="P58" s="60" t="n">
        <x:v>87.2</x:v>
      </x:c>
      <x:c r="Q58" s="60" t="n">
        <x:v>91.2</x:v>
      </x:c>
      <x:c r="R58" s="60" t="n">
        <x:v>86</x:v>
      </x:c>
      <x:c r="S58" s="60" t="n">
        <x:v>12</x:v>
      </x:c>
      <x:c r="T58" s="60" t="n">
        <x:v>0.1</x:v>
      </x:c>
      <x:c r="U58" s="60" t="n">
        <x:v>0.009</x:v>
      </x:c>
      <x:c r="V58" s="59" t="str">
        <x:v>Top50三轮复核</x:v>
      </x:c>
      <x:c r="W58" s="40" t="str">
        <x:v>三轮复核后与原表基本一致</x:v>
      </x:c>
      <x:c r="X58" s="40" t="str">
        <x:v>https://arxiv.org/abs/2606.15168</x:v>
      </x:c>
    </x:row>
    <x:row r="59" ht="32" customHeight="1">
      <x:c r="A59" s="59" t="n">
        <x:v>58</x:v>
      </x:c>
      <x:c r="B59" s="59" t="str">
        <x:v>2026-06</x:v>
      </x:c>
      <x:c r="C59" s="59" t="n">
        <x:v>34</x:v>
      </x:c>
      <x:c r="D59" s="59" t="n">
        <x:v>59</x:v>
      </x:c>
      <x:c r="E59" s="59" t="str">
        <x:v>2606.09657</x:v>
      </x:c>
      <x:c r="F59" s="40" t="str">
        <x:v>Benjamin-Feir spectrum of hydroelastic Stokes waves</x:v>
      </x:c>
      <x:c r="G59" s="40" t="str">
        <x:v>Ting-Yang Hsiao; Zirui Li; Ye Zhang; Chengbin Zhu</x:v>
      </x:c>
      <x:c r="H59" s="40" t="str">
        <x:v>water waves/spectral</x:v>
      </x:c>
      <x:c r="I59" s="59" t="n">
        <x:v>55</x:v>
      </x:c>
      <x:c r="J59" s="60" t="n">
        <x:v>89.38</x:v>
      </x:c>
      <x:c r="K59" s="60" t="n">
        <x:v>89.3</x:v>
      </x:c>
      <x:c r="L59" s="60" t="n">
        <x:v>89.45</x:v>
      </x:c>
      <x:c r="M59" s="60" t="n">
        <x:v>90</x:v>
      </x:c>
      <x:c r="N59" s="60" t="n">
        <x:v>90</x:v>
      </x:c>
      <x:c r="O59" s="60" t="n">
        <x:v>91</x:v>
      </x:c>
      <x:c r="P59" s="60" t="n">
        <x:v>87</x:v>
      </x:c>
      <x:c r="Q59" s="60" t="n">
        <x:v>91</x:v>
      </x:c>
      <x:c r="R59" s="60" t="n">
        <x:v>85</x:v>
      </x:c>
      <x:c r="S59" s="60" t="n">
        <x:v>12</x:v>
      </x:c>
      <x:c r="T59" s="60" t="n">
        <x:v>0</x:v>
      </x:c>
      <x:c r="U59" s="60" t="n">
        <x:v>0</x:v>
      </x:c>
      <x:c r="V59" s="59" t="str">
        <x:v>Top50三轮复核</x:v>
      </x:c>
      <x:c r="W59" s="40" t="str">
        <x:v>三轮复核后与原表基本一致</x:v>
      </x:c>
      <x:c r="X59" s="40" t="str">
        <x:v>https://arxiv.org/abs/2606.09657</x:v>
      </x:c>
    </x:row>
    <x:row r="60" ht="32" customHeight="1">
      <x:c r="A60" s="59" t="n">
        <x:v>59</x:v>
      </x:c>
      <x:c r="B60" s="59" t="str">
        <x:v>2026-06</x:v>
      </x:c>
      <x:c r="C60" s="59" t="n">
        <x:v>32</x:v>
      </x:c>
      <x:c r="D60" s="59" t="n">
        <x:v>57</x:v>
      </x:c>
      <x:c r="E60" s="59" t="str">
        <x:v>2606.06729</x:v>
      </x:c>
      <x:c r="F60" s="40" t="str">
        <x:v>Determination of radial nonlocal nonlinearities from the scattering map</x:v>
      </x:c>
      <x:c r="G60" s="40" t="str">
        <x:v>Luccas Campos; Rowan Killip; Jason Murphy; Monica Visan</x:v>
      </x:c>
      <x:c r="H60" s="40" t="str">
        <x:v>inverse scattering/dispersive</x:v>
      </x:c>
      <x:c r="I60" s="59" t="n">
        <x:v>12</x:v>
      </x:c>
      <x:c r="J60" s="60" t="n">
        <x:v>89.37</x:v>
      </x:c>
      <x:c r="K60" s="60" t="n">
        <x:v>89.39</x:v>
      </x:c>
      <x:c r="L60" s="60" t="n">
        <x:v>89.34</x:v>
      </x:c>
      <x:c r="M60" s="60" t="n">
        <x:v>89.9</x:v>
      </x:c>
      <x:c r="N60" s="60" t="n">
        <x:v>91</x:v>
      </x:c>
      <x:c r="O60" s="60" t="n">
        <x:v>89.8</x:v>
      </x:c>
      <x:c r="P60" s="60" t="n">
        <x:v>87.8</x:v>
      </x:c>
      <x:c r="Q60" s="60" t="n">
        <x:v>89.9</x:v>
      </x:c>
      <x:c r="R60" s="60" t="n">
        <x:v>86</x:v>
      </x:c>
      <x:c r="S60" s="60" t="n">
        <x:v>11.3</x:v>
      </x:c>
      <x:c r="T60" s="60" t="n">
        <x:v>-0.1</x:v>
      </x:c>
      <x:c r="U60" s="60" t="n">
        <x:v>0.017</x:v>
      </x:c>
      <x:c r="V60" s="59" t="str">
        <x:v>Top50三轮复核</x:v>
      </x:c>
      <x:c r="W60" s="40" t="str">
        <x:v>范围偏专门，广度轻微回调；短文且非框架性题材，技术残差轻微回调</x:v>
      </x:c>
      <x:c r="X60" s="40" t="str">
        <x:v>https://arxiv.org/abs/2606.06729</x:v>
      </x:c>
    </x:row>
    <x:row r="61" ht="32" customHeight="1">
      <x:c r="A61" s="59" t="n">
        <x:v>60</x:v>
      </x:c>
      <x:c r="B61" s="59" t="str">
        <x:v>2026-06</x:v>
      </x:c>
      <x:c r="C61" s="59" t="n">
        <x:v>36</x:v>
      </x:c>
      <x:c r="D61" s="59" t="n">
        <x:v>61</x:v>
      </x:c>
      <x:c r="E61" s="59" t="str">
        <x:v>2606.08939</x:v>
      </x:c>
      <x:c r="F61" s="40" t="str">
        <x:v>Caffarelli-Kohn-Nirenberg and Weighted Gaussian Poincare Inequalities: a complete characterization of sharp L^2 stability and L^p extensions</x:v>
      </x:c>
      <x:c r="G61" s="40" t="str">
        <x:v>Anh Xuan Do; Nguyen Lam; Guozhen Lu; Van Hoang Nguyen</x:v>
      </x:c>
      <x:c r="H61" s="40" t="str">
        <x:v>inequalities/stability</x:v>
      </x:c>
      <x:c r="I61" s="59"/>
      <x:c r="J61" s="60" t="n">
        <x:v>89.33</x:v>
      </x:c>
      <x:c r="K61" s="60" t="n">
        <x:v>89.46</x:v>
      </x:c>
      <x:c r="L61" s="60" t="n">
        <x:v>89.2</x:v>
      </x:c>
      <x:c r="M61" s="60" t="n">
        <x:v>90.1</x:v>
      </x:c>
      <x:c r="N61" s="60" t="n">
        <x:v>89.1</x:v>
      </x:c>
      <x:c r="O61" s="60" t="n">
        <x:v>91.1</x:v>
      </x:c>
      <x:c r="P61" s="60" t="n">
        <x:v>88.2</x:v>
      </x:c>
      <x:c r="Q61" s="60" t="n">
        <x:v>90.2</x:v>
      </x:c>
      <x:c r="R61" s="60" t="n">
        <x:v>86</x:v>
      </x:c>
      <x:c r="S61" s="60" t="n">
        <x:v>12</x:v>
      </x:c>
      <x:c r="T61" s="60" t="n">
        <x:v>0.11</x:v>
      </x:c>
      <x:c r="U61" s="60" t="n">
        <x:v>0.009</x:v>
      </x:c>
      <x:c r="V61" s="59" t="str">
        <x:v>Top50三轮复核</x:v>
      </x:c>
      <x:c r="W61" s="40" t="str">
        <x:v>三轮复核后与原表基本一致</x:v>
      </x:c>
      <x:c r="X61" s="40" t="str">
        <x:v>https://arxiv.org/abs/2606.08939</x:v>
      </x:c>
    </x:row>
    <x:row r="62" ht="32" customHeight="1">
      <x:c r="A62" s="59" t="n">
        <x:v>61</x:v>
      </x:c>
      <x:c r="B62" s="59" t="str">
        <x:v>2026-06</x:v>
      </x:c>
      <x:c r="C62" s="59" t="n">
        <x:v>35</x:v>
      </x:c>
      <x:c r="D62" s="59" t="n">
        <x:v>60</x:v>
      </x:c>
      <x:c r="E62" s="59" t="str">
        <x:v>2606.15585</x:v>
      </x:c>
      <x:c r="F62" s="40" t="str">
        <x:v>Weakly inhomogeneous solutions to a nonlinear Vlasov-Fokker-Planck equation in a domain</x:v>
      </x:c>
      <x:c r="G62" s="40" t="str">
        <x:v>Sihyun Song</x:v>
      </x:c>
      <x:c r="H62" s="40" t="str">
        <x:v>kinetic PDE</x:v>
      </x:c>
      <x:c r="I62" s="59" t="n">
        <x:v>71</x:v>
      </x:c>
      <x:c r="J62" s="60" t="n">
        <x:v>89.27</x:v>
      </x:c>
      <x:c r="K62" s="60" t="n">
        <x:v>89.14</x:v>
      </x:c>
      <x:c r="L62" s="60" t="n">
        <x:v>89.4</x:v>
      </x:c>
      <x:c r="M62" s="60" t="n">
        <x:v>89.9</x:v>
      </x:c>
      <x:c r="N62" s="60" t="n">
        <x:v>89</x:v>
      </x:c>
      <x:c r="O62" s="60" t="n">
        <x:v>91</x:v>
      </x:c>
      <x:c r="P62" s="60" t="n">
        <x:v>86.8</x:v>
      </x:c>
      <x:c r="Q62" s="60" t="n">
        <x:v>91</x:v>
      </x:c>
      <x:c r="R62" s="60" t="n">
        <x:v>86</x:v>
      </x:c>
      <x:c r="S62" s="60" t="n">
        <x:v>12</x:v>
      </x:c>
      <x:c r="T62" s="60" t="n">
        <x:v>-0.03</x:v>
      </x:c>
      <x:c r="U62" s="60" t="n">
        <x:v>0.005</x:v>
      </x:c>
      <x:c r="V62" s="59" t="str">
        <x:v>Top50三轮复核</x:v>
      </x:c>
      <x:c r="W62" s="40" t="str">
        <x:v>范围偏专门，广度轻微回调</x:v>
      </x:c>
      <x:c r="X62" s="40" t="str">
        <x:v>https://arxiv.org/abs/2606.15585</x:v>
      </x:c>
    </x:row>
    <x:row r="63" ht="32" customHeight="1">
      <x:c r="A63" s="59" t="n">
        <x:v>62</x:v>
      </x:c>
      <x:c r="B63" s="59" t="str">
        <x:v>2026-05</x:v>
      </x:c>
      <x:c r="C63" s="59" t="n">
        <x:v>26</x:v>
      </x:c>
      <x:c r="D63" s="59" t="n">
        <x:v>63</x:v>
      </x:c>
      <x:c r="E63" s="59" t="str">
        <x:v>2605.27695</x:v>
      </x:c>
      <x:c r="F63" s="40" t="str">
        <x:v>Non Maxwellian long-time asymptotics for Homoenergetic Boltzmann flows under strong shear</x:v>
      </x:c>
      <x:c r="G63" s="40" t="str">
        <x:v>Alessia Nota; Juan J. L. Velazquez</x:v>
      </x:c>
      <x:c r="H63" s="40" t="str">
        <x:v>Boltzmann asymptotics</x:v>
      </x:c>
      <x:c r="I63" s="59" t="n">
        <x:v>57</x:v>
      </x:c>
      <x:c r="J63" s="60" t="n">
        <x:v>89.25</x:v>
      </x:c>
      <x:c r="K63" s="60" t="n">
        <x:v>89.1</x:v>
      </x:c>
      <x:c r="L63" s="60" t="n">
        <x:v>89.4</x:v>
      </x:c>
      <x:c r="M63" s="60" t="n">
        <x:v>90.1</x:v>
      </x:c>
      <x:c r="N63" s="60" t="n">
        <x:v>90.1</x:v>
      </x:c>
      <x:c r="O63" s="60" t="n">
        <x:v>91.1</x:v>
      </x:c>
      <x:c r="P63" s="60" t="n">
        <x:v>85.2</x:v>
      </x:c>
      <x:c r="Q63" s="60" t="n">
        <x:v>91.2</x:v>
      </x:c>
      <x:c r="R63" s="60" t="n">
        <x:v>85</x:v>
      </x:c>
      <x:c r="S63" s="60" t="n">
        <x:v>13</x:v>
      </x:c>
      <x:c r="T63" s="60" t="n">
        <x:v>0.05</x:v>
      </x:c>
      <x:c r="U63" s="60" t="n">
        <x:v>0.014</x:v>
      </x:c>
      <x:c r="V63" s="59" t="str">
        <x:v>Top50三轮复核</x:v>
      </x:c>
      <x:c r="W63" s="40" t="str">
        <x:v>三轮复核后与原表基本一致</x:v>
      </x:c>
      <x:c r="X63" s="40" t="str">
        <x:v>https://arxiv.org/abs/2605.27695</x:v>
      </x:c>
    </x:row>
    <x:row r="64" ht="32" customHeight="1">
      <x:c r="A64" s="59" t="n">
        <x:v>63</x:v>
      </x:c>
      <x:c r="B64" s="59" t="str">
        <x:v>2026-05</x:v>
      </x:c>
      <x:c r="C64" s="59" t="n">
        <x:v>26</x:v>
      </x:c>
      <x:c r="D64" s="59" t="n">
        <x:v>62</x:v>
      </x:c>
      <x:c r="E64" s="59" t="str">
        <x:v>2605.07538</x:v>
      </x:c>
      <x:c r="F64" s="40" t="str">
        <x:v>Nonlinear stability threshold for 3D compressible Couette flow</x:v>
      </x:c>
      <x:c r="G64" s="40" t="str">
        <x:v>Rui Li; Fei Wang; Lingda Xu; Zeren Zhang</x:v>
      </x:c>
      <x:c r="H64" s="40" t="str">
        <x:v>Hydrodynamic stability</x:v>
      </x:c>
      <x:c r="I64" s="59"/>
      <x:c r="J64" s="60" t="n">
        <x:v>89.15</x:v>
      </x:c>
      <x:c r="K64" s="60" t="n">
        <x:v>89.2</x:v>
      </x:c>
      <x:c r="L64" s="60" t="n">
        <x:v>89.1</x:v>
      </x:c>
      <x:c r="M64" s="60" t="n">
        <x:v>91</x:v>
      </x:c>
      <x:c r="N64" s="60" t="n">
        <x:v>88</x:v>
      </x:c>
      <x:c r="O64" s="60" t="n">
        <x:v>92</x:v>
      </x:c>
      <x:c r="P64" s="60" t="n">
        <x:v>86</x:v>
      </x:c>
      <x:c r="Q64" s="60" t="n">
        <x:v>92</x:v>
      </x:c>
      <x:c r="R64" s="60" t="n">
        <x:v>84</x:v>
      </x:c>
      <x:c r="S64" s="60" t="n">
        <x:v>14</x:v>
      </x:c>
      <x:c r="T64" s="60" t="n">
        <x:v>-0.05</x:v>
      </x:c>
      <x:c r="U64" s="60" t="n">
        <x:v>0.005</x:v>
      </x:c>
      <x:c r="V64" s="59" t="str">
        <x:v>Top50三轮复核</x:v>
      </x:c>
      <x:c r="W64" s="40" t="str">
        <x:v>三轮复核后与原表基本一致</x:v>
      </x:c>
      <x:c r="X64" s="40" t="str">
        <x:v>https://arxiv.org/abs/2605.07538</x:v>
      </x:c>
    </x:row>
    <x:row r="65" ht="32" customHeight="1">
      <x:c r="A65" s="59" t="n">
        <x:v>64</x:v>
      </x:c>
      <x:c r="B65" s="59" t="str">
        <x:v>2026-06</x:v>
      </x:c>
      <x:c r="C65" s="59" t="n">
        <x:v>37</x:v>
      </x:c>
      <x:c r="D65" s="59" t="n">
        <x:v>64</x:v>
      </x:c>
      <x:c r="E65" s="59" t="str">
        <x:v>2606.01448</x:v>
      </x:c>
      <x:c r="F65" s="40" t="str">
        <x:v>Convergence to global equilibrium for the semiconductor Boltzmann equation</x:v>
      </x:c>
      <x:c r="G65" s="40" t="str">
        <x:v>Gayrat Toshpulatov</x:v>
      </x:c>
      <x:c r="H65" s="40" t="str">
        <x:v>kinetic relaxation</x:v>
      </x:c>
      <x:c r="I65" s="59"/>
      <x:c r="J65" s="60" t="n">
        <x:v>89.15</x:v>
      </x:c>
      <x:c r="K65" s="60" t="n">
        <x:v>89.05</x:v>
      </x:c>
      <x:c r="L65" s="60" t="n">
        <x:v>89.25</x:v>
      </x:c>
      <x:c r="M65" s="60" t="n">
        <x:v>90.1</x:v>
      </x:c>
      <x:c r="N65" s="60" t="n">
        <x:v>88</x:v>
      </x:c>
      <x:c r="O65" s="60" t="n">
        <x:v>91.1</x:v>
      </x:c>
      <x:c r="P65" s="60" t="n">
        <x:v>87</x:v>
      </x:c>
      <x:c r="Q65" s="60" t="n">
        <x:v>91.1</x:v>
      </x:c>
      <x:c r="R65" s="60" t="n">
        <x:v>86</x:v>
      </x:c>
      <x:c r="S65" s="60" t="n">
        <x:v>12</x:v>
      </x:c>
      <x:c r="T65" s="60" t="n">
        <x:v>0.05</x:v>
      </x:c>
      <x:c r="U65" s="60" t="n">
        <x:v>0.005</x:v>
      </x:c>
      <x:c r="V65" s="59" t="str">
        <x:v>Top50三轮复核</x:v>
      </x:c>
      <x:c r="W65" s="40" t="str">
        <x:v>三轮复核后与原表基本一致</x:v>
      </x:c>
      <x:c r="X65" s="40" t="str">
        <x:v>https://arxiv.org/abs/2606.01448</x:v>
      </x:c>
    </x:row>
    <x:row r="66" ht="32" customHeight="1">
      <x:c r="A66" s="59" t="n">
        <x:v>65</x:v>
      </x:c>
      <x:c r="B66" s="59" t="str">
        <x:v>2026-06</x:v>
      </x:c>
      <x:c r="C66" s="59" t="n">
        <x:v>38</x:v>
      </x:c>
      <x:c r="D66" s="59" t="n">
        <x:v>65</x:v>
      </x:c>
      <x:c r="E66" s="59" t="str">
        <x:v>2606.02517</x:v>
      </x:c>
      <x:c r="F66" s="40" t="str">
        <x:v>Weak-strong uniqueness and low Mach number limit for a viscous compressible fluid around a rotating body</x:v>
      </x:c>
      <x:c r="G66" s="40" t="str">
        <x:v>Thomas Eiter; Sarka Necasova; Florian Oschmann</x:v>
      </x:c>
      <x:c r="H66" s="40" t="str">
        <x:v>fluid limits</x:v>
      </x:c>
      <x:c r="I66" s="59"/>
      <x:c r="J66" s="60" t="n">
        <x:v>89.07</x:v>
      </x:c>
      <x:c r="K66" s="60" t="n">
        <x:v>89.1</x:v>
      </x:c>
      <x:c r="L66" s="60" t="n">
        <x:v>89.05</x:v>
      </x:c>
      <x:c r="M66" s="60" t="n">
        <x:v>90</x:v>
      </x:c>
      <x:c r="N66" s="60" t="n">
        <x:v>88</x:v>
      </x:c>
      <x:c r="O66" s="60" t="n">
        <x:v>91</x:v>
      </x:c>
      <x:c r="P66" s="60" t="n">
        <x:v>87</x:v>
      </x:c>
      <x:c r="Q66" s="60" t="n">
        <x:v>90</x:v>
      </x:c>
      <x:c r="R66" s="60" t="n">
        <x:v>87</x:v>
      </x:c>
      <x:c r="S66" s="60" t="n">
        <x:v>12</x:v>
      </x:c>
      <x:c r="T66" s="60" t="n">
        <x:v>-0.01</x:v>
      </x:c>
      <x:c r="U66" s="60" t="n">
        <x:v>0.009</x:v>
      </x:c>
      <x:c r="V66" s="59" t="str">
        <x:v>Top50三轮复核</x:v>
      </x:c>
      <x:c r="W66" s="40" t="str">
        <x:v>三轮复核后与原表基本一致</x:v>
      </x:c>
      <x:c r="X66" s="40" t="str">
        <x:v>https://arxiv.org/abs/2606.02517</x:v>
      </x:c>
    </x:row>
    <x:row r="67" ht="32" customHeight="1">
      <x:c r="A67" s="59" t="n">
        <x:v>66</x:v>
      </x:c>
      <x:c r="B67" s="59" t="str">
        <x:v>2026-05</x:v>
      </x:c>
      <x:c r="C67" s="59" t="n">
        <x:v>28</x:v>
      </x:c>
      <x:c r="D67" s="59" t="n">
        <x:v>66</x:v>
      </x:c>
      <x:c r="E67" s="59" t="str">
        <x:v>2605.19598</x:v>
      </x:c>
      <x:c r="F67" s="40" t="str">
        <x:v>Wrinkling in the Lame problem: a Gamma-convergence approach</x:v>
      </x:c>
      <x:c r="G67" s="40" t="str">
        <x:v>Roberta Marziani</x:v>
      </x:c>
      <x:c r="H67" s="40" t="str">
        <x:v>Calculus of variations / elasticity</x:v>
      </x:c>
      <x:c r="I67" s="59" t="n">
        <x:v>56</x:v>
      </x:c>
      <x:c r="J67" s="60" t="n">
        <x:v>88.98</x:v>
      </x:c>
      <x:c r="K67" s="60" t="n">
        <x:v>89</x:v>
      </x:c>
      <x:c r="L67" s="60" t="n">
        <x:v>88.95</x:v>
      </x:c>
      <x:c r="M67" s="60" t="n">
        <x:v>90</x:v>
      </x:c>
      <x:c r="N67" s="60" t="n">
        <x:v>90</x:v>
      </x:c>
      <x:c r="O67" s="60" t="n">
        <x:v>90</x:v>
      </x:c>
      <x:c r="P67" s="60" t="n">
        <x:v>86</x:v>
      </x:c>
      <x:c r="Q67" s="60" t="n">
        <x:v>90</x:v>
      </x:c>
      <x:c r="R67" s="60" t="n">
        <x:v>86</x:v>
      </x:c>
      <x:c r="S67" s="60" t="n">
        <x:v>13</x:v>
      </x:c>
      <x:c r="T67" s="60" t="n">
        <x:v>-0.02</x:v>
      </x:c>
      <x:c r="U67" s="60" t="n">
        <x:v>0</x:v>
      </x:c>
      <x:c r="V67" s="59" t="str">
        <x:v>Top50三轮复核</x:v>
      </x:c>
      <x:c r="W67" s="40" t="str">
        <x:v>三轮复核后与原表基本一致</x:v>
      </x:c>
      <x:c r="X67" s="40" t="str">
        <x:v>https://arxiv.org/abs/2605.19598</x:v>
      </x:c>
    </x:row>
    <x:row r="68" ht="32" customHeight="1">
      <x:c r="A68" s="59" t="n">
        <x:v>67</x:v>
      </x:c>
      <x:c r="B68" s="59" t="str">
        <x:v>2026-06</x:v>
      </x:c>
      <x:c r="C68" s="59" t="n">
        <x:v>39</x:v>
      </x:c>
      <x:c r="D68" s="59" t="n">
        <x:v>68</x:v>
      </x:c>
      <x:c r="E68" s="59" t="str">
        <x:v>2606.07417</x:v>
      </x:c>
      <x:c r="F68" s="40" t="str">
        <x:v>An optimal local theory for reaction-diffusion equations driven by non-trace-class noise</x:v>
      </x:c>
      <x:c r="G68" s="40" t="str">
        <x:v>Antonio Agresti; Fabian Germ; Mark Veraar</x:v>
      </x:c>
      <x:c r="H68" s="40" t="str">
        <x:v>stochastic PDE</x:v>
      </x:c>
      <x:c r="I68" s="59" t="n">
        <x:v>46</x:v>
      </x:c>
      <x:c r="J68" s="60" t="n">
        <x:v>88.93</x:v>
      </x:c>
      <x:c r="K68" s="60" t="n">
        <x:v>88.9</x:v>
      </x:c>
      <x:c r="L68" s="60" t="n">
        <x:v>88.95</x:v>
      </x:c>
      <x:c r="M68" s="60" t="n">
        <x:v>89</x:v>
      </x:c>
      <x:c r="N68" s="60" t="n">
        <x:v>89</x:v>
      </x:c>
      <x:c r="O68" s="60" t="n">
        <x:v>91</x:v>
      </x:c>
      <x:c r="P68" s="60" t="n">
        <x:v>87</x:v>
      </x:c>
      <x:c r="Q68" s="60" t="n">
        <x:v>90</x:v>
      </x:c>
      <x:c r="R68" s="60" t="n">
        <x:v>86</x:v>
      </x:c>
      <x:c r="S68" s="60" t="n">
        <x:v>13</x:v>
      </x:c>
      <x:c r="T68" s="60" t="n">
        <x:v>0.01</x:v>
      </x:c>
      <x:c r="U68" s="60" t="n">
        <x:v>0</x:v>
      </x:c>
      <x:c r="V68" s="59" t="str">
        <x:v>Top50三轮复核</x:v>
      </x:c>
      <x:c r="W68" s="40" t="str">
        <x:v>三轮复核后与原表基本一致</x:v>
      </x:c>
      <x:c r="X68" s="40" t="str">
        <x:v>https://arxiv.org/abs/2606.07417</x:v>
      </x:c>
    </x:row>
    <x:row r="69" ht="32" customHeight="1">
      <x:c r="A69" s="59" t="n">
        <x:v>68</x:v>
      </x:c>
      <x:c r="B69" s="59" t="str">
        <x:v>2026-06</x:v>
      </x:c>
      <x:c r="C69" s="59" t="n">
        <x:v>39</x:v>
      </x:c>
      <x:c r="D69" s="59" t="n">
        <x:v>67</x:v>
      </x:c>
      <x:c r="E69" s="59" t="str">
        <x:v>2606.15556</x:v>
      </x:c>
      <x:c r="F69" s="40" t="str">
        <x:v>Borderline gradient continuity for degenerate/singular fully nonlinear elliptic equations with Hamiltonian terms</x:v>
      </x:c>
      <x:c r="G69" s="40" t="str">
        <x:v>Wentao Huo; Lingwei Ma; Zhenqiu Zhang</x:v>
      </x:c>
      <x:c r="H69" s="40" t="str">
        <x:v>elliptic regularity</x:v>
      </x:c>
      <x:c r="I69" s="59" t="n">
        <x:v>27</x:v>
      </x:c>
      <x:c r="J69" s="60" t="n">
        <x:v>88.9</x:v>
      </x:c>
      <x:c r="K69" s="60" t="n">
        <x:v>88.84</x:v>
      </x:c>
      <x:c r="L69" s="60" t="n">
        <x:v>88.95</x:v>
      </x:c>
      <x:c r="M69" s="60" t="n">
        <x:v>88.9</x:v>
      </x:c>
      <x:c r="N69" s="60" t="n">
        <x:v>89</x:v>
      </x:c>
      <x:c r="O69" s="60" t="n">
        <x:v>91</x:v>
      </x:c>
      <x:c r="P69" s="60" t="n">
        <x:v>86.8</x:v>
      </x:c>
      <x:c r="Q69" s="60" t="n">
        <x:v>90</x:v>
      </x:c>
      <x:c r="R69" s="60" t="n">
        <x:v>86</x:v>
      </x:c>
      <x:c r="S69" s="60" t="n">
        <x:v>13</x:v>
      </x:c>
      <x:c r="T69" s="60" t="n">
        <x:v>-0.02</x:v>
      </x:c>
      <x:c r="U69" s="60" t="n">
        <x:v>0</x:v>
      </x:c>
      <x:c r="V69" s="59" t="str">
        <x:v>Top50三轮复核</x:v>
      </x:c>
      <x:c r="W69" s="40" t="str">
        <x:v>范围偏专门，广度轻微回调</x:v>
      </x:c>
      <x:c r="X69" s="40" t="str">
        <x:v>https://arxiv.org/abs/2606.15556</x:v>
      </x:c>
    </x:row>
    <x:row r="70" ht="32" customHeight="1">
      <x:c r="A70" s="59" t="n">
        <x:v>69</x:v>
      </x:c>
      <x:c r="B70" s="59" t="str">
        <x:v>2026-05</x:v>
      </x:c>
      <x:c r="C70" s="59" t="n">
        <x:v>29</x:v>
      </x:c>
      <x:c r="D70" s="59" t="n">
        <x:v>69</x:v>
      </x:c>
      <x:c r="E70" s="59" t="str">
        <x:v>2605.10589</x:v>
      </x:c>
      <x:c r="F70" s="40" t="str">
        <x:v>Distance between minimal surfaces and flows</x:v>
      </x:c>
      <x:c r="G70" s="40" t="str">
        <x:v>Tobias Holck Colding; William P. Minicozzi II</x:v>
      </x:c>
      <x:c r="H70" s="40" t="str">
        <x:v>Minimal surfaces / flows</x:v>
      </x:c>
      <x:c r="I70" s="59" t="n">
        <x:v>18</x:v>
      </x:c>
      <x:c r="J70" s="60" t="n">
        <x:v>88.87</x:v>
      </x:c>
      <x:c r="K70" s="60" t="n">
        <x:v>89.2</x:v>
      </x:c>
      <x:c r="L70" s="60" t="n">
        <x:v>88.54</x:v>
      </x:c>
      <x:c r="M70" s="60" t="n">
        <x:v>91</x:v>
      </x:c>
      <x:c r="N70" s="60" t="n">
        <x:v>90.1</x:v>
      </x:c>
      <x:c r="O70" s="60" t="n">
        <x:v>88.8</x:v>
      </x:c>
      <x:c r="P70" s="60" t="n">
        <x:v>87.2</x:v>
      </x:c>
      <x:c r="Q70" s="60" t="n">
        <x:v>89</x:v>
      </x:c>
      <x:c r="R70" s="60" t="n">
        <x:v>86</x:v>
      </x:c>
      <x:c r="S70" s="60" t="n">
        <x:v>12.3</x:v>
      </x:c>
      <x:c r="T70" s="60" t="n">
        <x:v>-0.03</x:v>
      </x:c>
      <x:c r="U70" s="60" t="n">
        <x:v>0.021</x:v>
      </x:c>
      <x:c r="V70" s="59" t="str">
        <x:v>Top50三轮复核</x:v>
      </x:c>
      <x:c r="W70" s="40" t="str">
        <x:v>短文且非框架性题材，技术残差轻微回调</x:v>
      </x:c>
      <x:c r="X70" s="40" t="str">
        <x:v>https://arxiv.org/abs/2605.10589</x:v>
      </x:c>
    </x:row>
    <x:row r="71" ht="32" customHeight="1">
      <x:c r="A71" s="59" t="n">
        <x:v>70</x:v>
      </x:c>
      <x:c r="B71" s="59" t="str">
        <x:v>2026-05</x:v>
      </x:c>
      <x:c r="C71" s="59" t="n">
        <x:v>30</x:v>
      </x:c>
      <x:c r="D71" s="59" t="n">
        <x:v>71</x:v>
      </x:c>
      <x:c r="E71" s="59" t="str">
        <x:v>2605.28789</x:v>
      </x:c>
      <x:c r="F71" s="40" t="str">
        <x:v>Finite-time blow-up solutions for the Calogero-Sutherland derivative NLS</x:v>
      </x:c>
      <x:c r="G71" s="40" t="str">
        <x:v>Xi Chen; Enno Lenzmann</x:v>
      </x:c>
      <x:c r="H71" s="40" t="str">
        <x:v>Dispersive PDE / blow-up</x:v>
      </x:c>
      <x:c r="I71" s="59"/>
      <x:c r="J71" s="60" t="n">
        <x:v>88.75</x:v>
      </x:c>
      <x:c r="K71" s="60" t="n">
        <x:v>88.8</x:v>
      </x:c>
      <x:c r="L71" s="60" t="n">
        <x:v>88.7</x:v>
      </x:c>
      <x:c r="M71" s="60" t="n">
        <x:v>90</x:v>
      </x:c>
      <x:c r="N71" s="60" t="n">
        <x:v>90.1</x:v>
      </x:c>
      <x:c r="O71" s="60" t="n">
        <x:v>90</x:v>
      </x:c>
      <x:c r="P71" s="60" t="n">
        <x:v>85.2</x:v>
      </x:c>
      <x:c r="Q71" s="60" t="n">
        <x:v>90.1</x:v>
      </x:c>
      <x:c r="R71" s="60" t="n">
        <x:v>85</x:v>
      </x:c>
      <x:c r="S71" s="60" t="n">
        <x:v>14</x:v>
      </x:c>
      <x:c r="T71" s="60" t="n">
        <x:v>-0.05</x:v>
      </x:c>
      <x:c r="U71" s="60" t="n">
        <x:v>0.009</x:v>
      </x:c>
      <x:c r="V71" s="59" t="str">
        <x:v>Top50三轮复核</x:v>
      </x:c>
      <x:c r="W71" s="40" t="str">
        <x:v>三轮复核后与原表基本一致</x:v>
      </x:c>
      <x:c r="X71" s="40" t="str">
        <x:v>https://arxiv.org/abs/2605.28789</x:v>
      </x:c>
    </x:row>
    <x:row r="72" ht="32" customHeight="1">
      <x:c r="A72" s="59" t="n">
        <x:v>71</x:v>
      </x:c>
      <x:c r="B72" s="59" t="str">
        <x:v>2026-06</x:v>
      </x:c>
      <x:c r="C72" s="59" t="n">
        <x:v>43</x:v>
      </x:c>
      <x:c r="D72" s="59" t="n">
        <x:v>75</x:v>
      </x:c>
      <x:c r="E72" s="59" t="str">
        <x:v>2606.04615</x:v>
      </x:c>
      <x:c r="F72" s="40" t="str">
        <x:v>The Ginzburg-Landau system with general potential: maximum principle and gradient estimates</x:v>
      </x:c>
      <x:c r="G72" s="40" t="str">
        <x:v>Radu Ignat; Luc Nguyen; Valeriy Slastikov; Arghir Zarnescu</x:v>
      </x:c>
      <x:c r="H72" s="40" t="str">
        <x:v>Ginzburg-Landau estimates</x:v>
      </x:c>
      <x:c r="I72" s="59"/>
      <x:c r="J72" s="60" t="n">
        <x:v>88.75</x:v>
      </x:c>
      <x:c r="K72" s="60" t="n">
        <x:v>88.6</x:v>
      </x:c>
      <x:c r="L72" s="60" t="n">
        <x:v>88.9</x:v>
      </x:c>
      <x:c r="M72" s="60" t="n">
        <x:v>89.1</x:v>
      </x:c>
      <x:c r="N72" s="60" t="n">
        <x:v>88</x:v>
      </x:c>
      <x:c r="O72" s="60" t="n">
        <x:v>90.1</x:v>
      </x:c>
      <x:c r="P72" s="60" t="n">
        <x:v>87</x:v>
      </x:c>
      <x:c r="Q72" s="60" t="n">
        <x:v>90.1</x:v>
      </x:c>
      <x:c r="R72" s="60" t="n">
        <x:v>87</x:v>
      </x:c>
      <x:c r="S72" s="60" t="n">
        <x:v>12</x:v>
      </x:c>
      <x:c r="T72" s="60" t="n">
        <x:v>0.05</x:v>
      </x:c>
      <x:c r="U72" s="60" t="n">
        <x:v>0.005</x:v>
      </x:c>
      <x:c r="V72" s="59" t="str">
        <x:v>Top50三轮复核</x:v>
      </x:c>
      <x:c r="W72" s="40" t="str">
        <x:v>三轮复核后与原表基本一致</x:v>
      </x:c>
      <x:c r="X72" s="40" t="str">
        <x:v>https://arxiv.org/abs/2606.04615</x:v>
      </x:c>
    </x:row>
    <x:row r="73" ht="32" customHeight="1">
      <x:c r="A73" s="59" t="n">
        <x:v>72</x:v>
      </x:c>
      <x:c r="B73" s="59" t="str">
        <x:v>2026-05</x:v>
      </x:c>
      <x:c r="C73" s="59" t="n">
        <x:v>30</x:v>
      </x:c>
      <x:c r="D73" s="59" t="n">
        <x:v>70</x:v>
      </x:c>
      <x:c r="E73" s="59" t="str">
        <x:v>2605.05414</x:v>
      </x:c>
      <x:c r="F73" s="40" t="str">
        <x:v>The sigma_k-Yamabe problem revisited</x:v>
      </x:c>
      <x:c r="G73" s="40" t="str">
        <x:v>Yuxin Ge; Guofang Wang; Wei Wei</x:v>
      </x:c>
      <x:c r="H73" s="40" t="str">
        <x:v>Geometric PDE / conformal geometry</x:v>
      </x:c>
      <x:c r="I73" s="59"/>
      <x:c r="J73" s="60" t="n">
        <x:v>88.74</x:v>
      </x:c>
      <x:c r="K73" s="60" t="n">
        <x:v>88.9</x:v>
      </x:c>
      <x:c r="L73" s="60" t="n">
        <x:v>88.58</x:v>
      </x:c>
      <x:c r="M73" s="60" t="n">
        <x:v>90.9</x:v>
      </x:c>
      <x:c r="N73" s="60" t="n">
        <x:v>87.9</x:v>
      </x:c>
      <x:c r="O73" s="60" t="n">
        <x:v>91</x:v>
      </x:c>
      <x:c r="P73" s="60" t="n">
        <x:v>86</x:v>
      </x:c>
      <x:c r="Q73" s="60" t="n">
        <x:v>91</x:v>
      </x:c>
      <x:c r="R73" s="60" t="n">
        <x:v>84</x:v>
      </x:c>
      <x:c r="S73" s="60" t="n">
        <x:v>14</x:v>
      </x:c>
      <x:c r="T73" s="60" t="n">
        <x:v>-0.06</x:v>
      </x:c>
      <x:c r="U73" s="60" t="n">
        <x:v>0.005</x:v>
      </x:c>
      <x:c r="V73" s="59" t="str">
        <x:v>Top50三轮复核</x:v>
      </x:c>
      <x:c r="W73" s="40" t="str">
        <x:v>三轮复核后与原表基本一致</x:v>
      </x:c>
      <x:c r="X73" s="40" t="str">
        <x:v>https://arxiv.org/abs/2605.05414</x:v>
      </x:c>
    </x:row>
    <x:row r="74" ht="32" customHeight="1">
      <x:c r="A74" s="59" t="n">
        <x:v>73</x:v>
      </x:c>
      <x:c r="B74" s="59" t="str">
        <x:v>2026-06</x:v>
      </x:c>
      <x:c r="C74" s="59" t="n">
        <x:v>41</x:v>
      </x:c>
      <x:c r="D74" s="59" t="n">
        <x:v>72</x:v>
      </x:c>
      <x:c r="E74" s="59" t="str">
        <x:v>2606.10897</x:v>
      </x:c>
      <x:c r="F74" s="40" t="str">
        <x:v>A characterisation of infinity-harmonic maps in terms of 1-currents</x:v>
      </x:c>
      <x:c r="G74" s="40" t="str">
        <x:v>Roger Moser</x:v>
      </x:c>
      <x:c r="H74" s="40" t="str">
        <x:v>infinity-harmonic maps</x:v>
      </x:c>
      <x:c r="I74" s="59"/>
      <x:c r="J74" s="60" t="n">
        <x:v>88.73</x:v>
      </x:c>
      <x:c r="K74" s="60" t="n">
        <x:v>88.7</x:v>
      </x:c>
      <x:c r="L74" s="60" t="n">
        <x:v>88.75</x:v>
      </x:c>
      <x:c r="M74" s="60" t="n">
        <x:v>89</x:v>
      </x:c>
      <x:c r="N74" s="60" t="n">
        <x:v>90</x:v>
      </x:c>
      <x:c r="O74" s="60" t="n">
        <x:v>89</x:v>
      </x:c>
      <x:c r="P74" s="60" t="n">
        <x:v>87</x:v>
      </x:c>
      <x:c r="Q74" s="60" t="n">
        <x:v>89</x:v>
      </x:c>
      <x:c r="R74" s="60" t="n">
        <x:v>87</x:v>
      </x:c>
      <x:c r="S74" s="60" t="n">
        <x:v>12</x:v>
      </x:c>
      <x:c r="T74" s="60" t="n">
        <x:v>0.01</x:v>
      </x:c>
      <x:c r="U74" s="60" t="n">
        <x:v>0</x:v>
      </x:c>
      <x:c r="V74" s="59" t="str">
        <x:v>Top50三轮复核</x:v>
      </x:c>
      <x:c r="W74" s="40" t="str">
        <x:v>三轮复核后与原表基本一致</x:v>
      </x:c>
      <x:c r="X74" s="40" t="str">
        <x:v>https://arxiv.org/abs/2606.10897</x:v>
      </x:c>
    </x:row>
    <x:row r="75" ht="32" customHeight="1">
      <x:c r="A75" s="59" t="n">
        <x:v>74</x:v>
      </x:c>
      <x:c r="B75" s="59" t="str">
        <x:v>2026-06</x:v>
      </x:c>
      <x:c r="C75" s="59" t="n">
        <x:v>44</x:v>
      </x:c>
      <x:c r="D75" s="59" t="n">
        <x:v>76</x:v>
      </x:c>
      <x:c r="E75" s="59" t="str">
        <x:v>2606.15612</x:v>
      </x:c>
      <x:c r="F75" s="40" t="str">
        <x:v>Trichotomy dynamics of a free boundary model for biological invasion</x:v>
      </x:c>
      <x:c r="G75" s="40" t="str">
        <x:v>Hongkai Cao; Yihong Du; Wenjie Ni; Xiaoyan Zhang</x:v>
      </x:c>
      <x:c r="H75" s="40" t="str">
        <x:v>free boundary dynamics</x:v>
      </x:c>
      <x:c r="I75" s="59"/>
      <x:c r="J75" s="60" t="n">
        <x:v>88.7</x:v>
      </x:c>
      <x:c r="K75" s="60" t="n">
        <x:v>88.65</x:v>
      </x:c>
      <x:c r="L75" s="60" t="n">
        <x:v>88.75</x:v>
      </x:c>
      <x:c r="M75" s="60" t="n">
        <x:v>89</x:v>
      </x:c>
      <x:c r="N75" s="60" t="n">
        <x:v>89</x:v>
      </x:c>
      <x:c r="O75" s="60" t="n">
        <x:v>90</x:v>
      </x:c>
      <x:c r="P75" s="60" t="n">
        <x:v>87</x:v>
      </x:c>
      <x:c r="Q75" s="60" t="n">
        <x:v>90</x:v>
      </x:c>
      <x:c r="R75" s="60" t="n">
        <x:v>86</x:v>
      </x:c>
      <x:c r="S75" s="60" t="n">
        <x:v>13</x:v>
      </x:c>
      <x:c r="T75" s="60" t="n">
        <x:v>0</x:v>
      </x:c>
      <x:c r="U75" s="60" t="n">
        <x:v>0.005</x:v>
      </x:c>
      <x:c r="V75" s="59" t="str">
        <x:v>Top50三轮复核</x:v>
      </x:c>
      <x:c r="W75" s="40" t="str">
        <x:v>三轮复核后与原表基本一致</x:v>
      </x:c>
      <x:c r="X75" s="40" t="str">
        <x:v>https://arxiv.org/abs/2606.15612</x:v>
      </x:c>
    </x:row>
    <x:row r="76" ht="32" customHeight="1">
      <x:c r="A76" s="59" t="n">
        <x:v>75</x:v>
      </x:c>
      <x:c r="B76" s="59" t="str">
        <x:v>2026-06</x:v>
      </x:c>
      <x:c r="C76" s="59" t="n">
        <x:v>44</x:v>
      </x:c>
      <x:c r="D76" s="59" t="n">
        <x:v>77</x:v>
      </x:c>
      <x:c r="E76" s="59" t="str">
        <x:v>2606.07468</x:v>
      </x:c>
      <x:c r="F76" s="40" t="str">
        <x:v>Minimizing clusters with prescribed asymptotic geometry</x:v>
      </x:c>
      <x:c r="G76" s="40" t="str">
        <x:v>Robin Neumayer; Michael Novack; Anna Skorobogatova</x:v>
      </x:c>
      <x:c r="H76" s="40" t="str">
        <x:v>geometric variational</x:v>
      </x:c>
      <x:c r="I76" s="59" t="n">
        <x:v>30</x:v>
      </x:c>
      <x:c r="J76" s="60" t="n">
        <x:v>88.7</x:v>
      </x:c>
      <x:c r="K76" s="60" t="n">
        <x:v>88.65</x:v>
      </x:c>
      <x:c r="L76" s="60" t="n">
        <x:v>88.75</x:v>
      </x:c>
      <x:c r="M76" s="60" t="n">
        <x:v>89</x:v>
      </x:c>
      <x:c r="N76" s="60" t="n">
        <x:v>89</x:v>
      </x:c>
      <x:c r="O76" s="60" t="n">
        <x:v>90</x:v>
      </x:c>
      <x:c r="P76" s="60" t="n">
        <x:v>87</x:v>
      </x:c>
      <x:c r="Q76" s="60" t="n">
        <x:v>90</x:v>
      </x:c>
      <x:c r="R76" s="60" t="n">
        <x:v>86</x:v>
      </x:c>
      <x:c r="S76" s="60" t="n">
        <x:v>13</x:v>
      </x:c>
      <x:c r="T76" s="60" t="n">
        <x:v>0</x:v>
      </x:c>
      <x:c r="U76" s="60" t="n">
        <x:v>0.005</x:v>
      </x:c>
      <x:c r="V76" s="59" t="str">
        <x:v>Top50三轮复核</x:v>
      </x:c>
      <x:c r="W76" s="40" t="str">
        <x:v>三轮复核后与原表基本一致</x:v>
      </x:c>
      <x:c r="X76" s="40" t="str">
        <x:v>https://arxiv.org/abs/2606.07468</x:v>
      </x:c>
    </x:row>
    <x:row r="77" ht="32" customHeight="1">
      <x:c r="A77" s="59" t="n">
        <x:v>76</x:v>
      </x:c>
      <x:c r="B77" s="59" t="str">
        <x:v>2026-06</x:v>
      </x:c>
      <x:c r="C77" s="59" t="n">
        <x:v>42</x:v>
      </x:c>
      <x:c r="D77" s="59" t="n">
        <x:v>73</x:v>
      </x:c>
      <x:c r="E77" s="59" t="str">
        <x:v>2606.15561</x:v>
      </x:c>
      <x:c r="F77" s="40" t="str">
        <x:v>Higher Holder regularity for degenerate fully nonlinear elliptic equations with Hamiltonian terms</x:v>
      </x:c>
      <x:c r="G77" s="40" t="str">
        <x:v>Wentao Huo; Xiaofeng Jin; Lingwei Ma; Zhenqiu Zhang</x:v>
      </x:c>
      <x:c r="H77" s="40" t="str">
        <x:v>elliptic regularity</x:v>
      </x:c>
      <x:c r="I77" s="59" t="n">
        <x:v>17</x:v>
      </x:c>
      <x:c r="J77" s="60" t="n">
        <x:v>88.65</x:v>
      </x:c>
      <x:c r="K77" s="60" t="n">
        <x:v>88.65</x:v>
      </x:c>
      <x:c r="L77" s="60" t="n">
        <x:v>88.64</x:v>
      </x:c>
      <x:c r="M77" s="60" t="n">
        <x:v>89</x:v>
      </x:c>
      <x:c r="N77" s="60" t="n">
        <x:v>88</x:v>
      </x:c>
      <x:c r="O77" s="60" t="n">
        <x:v>90.8</x:v>
      </x:c>
      <x:c r="P77" s="60" t="n">
        <x:v>87</x:v>
      </x:c>
      <x:c r="Q77" s="60" t="n">
        <x:v>89.9</x:v>
      </x:c>
      <x:c r="R77" s="60" t="n">
        <x:v>86</x:v>
      </x:c>
      <x:c r="S77" s="60" t="n">
        <x:v>13.3</x:v>
      </x:c>
      <x:c r="T77" s="60" t="n">
        <x:v>-0.07</x:v>
      </x:c>
      <x:c r="U77" s="60" t="n">
        <x:v>0.017</x:v>
      </x:c>
      <x:c r="V77" s="59" t="str">
        <x:v>Top50三轮复核</x:v>
      </x:c>
      <x:c r="W77" s="40" t="str">
        <x:v>短文且非框架性题材，技术残差轻微回调</x:v>
      </x:c>
      <x:c r="X77" s="40" t="str">
        <x:v>https://arxiv.org/abs/2606.15561</x:v>
      </x:c>
    </x:row>
    <x:row r="78" ht="32" customHeight="1">
      <x:c r="A78" s="59" t="n">
        <x:v>77</x:v>
      </x:c>
      <x:c r="B78" s="59" t="str">
        <x:v>2026-05</x:v>
      </x:c>
      <x:c r="C78" s="59" t="n">
        <x:v>32</x:v>
      </x:c>
      <x:c r="D78" s="59" t="n">
        <x:v>74</x:v>
      </x:c>
      <x:c r="E78" s="59" t="str">
        <x:v>2605.10814</x:v>
      </x:c>
      <x:c r="F78" s="40" t="str">
        <x:v>Convergence of the Yang-Mills flow on ALE gravitational instantons</x:v>
      </x:c>
      <x:c r="G78" s="40" t="str">
        <x:v>Anuk Dayaprema; Alex Waldron</x:v>
      </x:c>
      <x:c r="H78" s="40" t="str">
        <x:v>Gauge theory / geometric flows</x:v>
      </x:c>
      <x:c r="I78" s="59" t="n">
        <x:v>24</x:v>
      </x:c>
      <x:c r="J78" s="60" t="n">
        <x:v>88.65</x:v>
      </x:c>
      <x:c r="K78" s="60" t="n">
        <x:v>88.7</x:v>
      </x:c>
      <x:c r="L78" s="60" t="n">
        <x:v>88.59</x:v>
      </x:c>
      <x:c r="M78" s="60" t="n">
        <x:v>90</x:v>
      </x:c>
      <x:c r="N78" s="60" t="n">
        <x:v>89</x:v>
      </x:c>
      <x:c r="O78" s="60" t="n">
        <x:v>90</x:v>
      </x:c>
      <x:c r="P78" s="60" t="n">
        <x:v>86</x:v>
      </x:c>
      <x:c r="Q78" s="60" t="n">
        <x:v>90</x:v>
      </x:c>
      <x:c r="R78" s="60" t="n">
        <x:v>85</x:v>
      </x:c>
      <x:c r="S78" s="60" t="n">
        <x:v>13.1</x:v>
      </x:c>
      <x:c r="T78" s="60" t="n">
        <x:v>-0.05</x:v>
      </x:c>
      <x:c r="U78" s="60" t="n">
        <x:v>0.009</x:v>
      </x:c>
      <x:c r="V78" s="59" t="str">
        <x:v>Top50三轮复核</x:v>
      </x:c>
      <x:c r="W78" s="40" t="str">
        <x:v>三轮复核后与原表基本一致</x:v>
      </x:c>
      <x:c r="X78" s="40" t="str">
        <x:v>https://arxiv.org/abs/2605.10814</x:v>
      </x:c>
    </x:row>
    <x:row r="79" ht="32" customHeight="1">
      <x:c r="A79" s="59" t="n">
        <x:v>78</x:v>
      </x:c>
      <x:c r="B79" s="59" t="str">
        <x:v>2026-06</x:v>
      </x:c>
      <x:c r="C79" s="59" t="n">
        <x:v>46</x:v>
      </x:c>
      <x:c r="D79" s="59" t="n">
        <x:v>79</x:v>
      </x:c>
      <x:c r="E79" s="59" t="str">
        <x:v>2606.15644</x:v>
      </x:c>
      <x:c r="F79" s="40" t="str">
        <x:v>Minimizing and non-minimizing degree one W^{s,1/s}-harmonic maps between spheres</x:v>
      </x:c>
      <x:c r="G79" s="40" t="str">
        <x:v>Dorian Martino; Katarzyna Mazowiecka; Armin Schikorra</x:v>
      </x:c>
      <x:c r="H79" s="40" t="str">
        <x:v>fractional harmonic maps</x:v>
      </x:c>
      <x:c r="I79" s="59"/>
      <x:c r="J79" s="60" t="n">
        <x:v>88.6</x:v>
      </x:c>
      <x:c r="K79" s="60" t="n">
        <x:v>88.45</x:v>
      </x:c>
      <x:c r="L79" s="60" t="n">
        <x:v>88.75</x:v>
      </x:c>
      <x:c r="M79" s="60" t="n">
        <x:v>88</x:v>
      </x:c>
      <x:c r="N79" s="60" t="n">
        <x:v>89</x:v>
      </x:c>
      <x:c r="O79" s="60" t="n">
        <x:v>90</x:v>
      </x:c>
      <x:c r="P79" s="60" t="n">
        <x:v>87</x:v>
      </x:c>
      <x:c r="Q79" s="60" t="n">
        <x:v>89</x:v>
      </x:c>
      <x:c r="R79" s="60" t="n">
        <x:v>87</x:v>
      </x:c>
      <x:c r="S79" s="60" t="n">
        <x:v>12</x:v>
      </x:c>
      <x:c r="T79" s="60" t="n">
        <x:v>0</x:v>
      </x:c>
      <x:c r="U79" s="60" t="n">
        <x:v>0</x:v>
      </x:c>
      <x:c r="V79" s="59" t="str">
        <x:v>Top50三轮复核</x:v>
      </x:c>
      <x:c r="W79" s="40" t="str">
        <x:v>三轮复核后与原表基本一致</x:v>
      </x:c>
      <x:c r="X79" s="40" t="str">
        <x:v>https://arxiv.org/abs/2606.15644</x:v>
      </x:c>
    </x:row>
    <x:row r="80" ht="32" customHeight="1">
      <x:c r="A80" s="59" t="n">
        <x:v>79</x:v>
      </x:c>
      <x:c r="B80" s="59" t="str">
        <x:v>2026-05</x:v>
      </x:c>
      <x:c r="C80" s="59" t="n">
        <x:v>34</x:v>
      </x:c>
      <x:c r="D80" s="59" t="n">
        <x:v>81</x:v>
      </x:c>
      <x:c r="E80" s="59" t="str">
        <x:v>2605.08700</x:v>
      </x:c>
      <x:c r="F80" s="40" t="str">
        <x:v>The Ekeland-Nirenberg Variational Problem: A Sharp Positivity Threshold and Extensions</x:v>
      </x:c>
      <x:c r="G80" s="40" t="str">
        <x:v>Qi Guo; Xueping Huang; Yi Huang</x:v>
      </x:c>
      <x:c r="H80" s="40" t="str">
        <x:v>Geometric variational PDE</x:v>
      </x:c>
      <x:c r="I80" s="59"/>
      <x:c r="J80" s="60" t="n">
        <x:v>88.6</x:v>
      </x:c>
      <x:c r="K80" s="60" t="n">
        <x:v>88.69</x:v>
      </x:c>
      <x:c r="L80" s="60" t="n">
        <x:v>88.52</x:v>
      </x:c>
      <x:c r="M80" s="60" t="n">
        <x:v>90</x:v>
      </x:c>
      <x:c r="N80" s="60" t="n">
        <x:v>89.2</x:v>
      </x:c>
      <x:c r="O80" s="60" t="n">
        <x:v>90</x:v>
      </x:c>
      <x:c r="P80" s="60" t="n">
        <x:v>86.3</x:v>
      </x:c>
      <x:c r="Q80" s="60" t="n">
        <x:v>90.1</x:v>
      </x:c>
      <x:c r="R80" s="60" t="n">
        <x:v>84</x:v>
      </x:c>
      <x:c r="S80" s="60" t="n">
        <x:v>13</x:v>
      </x:c>
      <x:c r="T80" s="60" t="n">
        <x:v>0.1</x:v>
      </x:c>
      <x:c r="U80" s="60" t="n">
        <x:v>0.014</x:v>
      </x:c>
      <x:c r="V80" s="59" t="str">
        <x:v>Top50三轮复核</x:v>
      </x:c>
      <x:c r="W80" s="40" t="str">
        <x:v>Ekeland--Nirenberg sharp threshold 稳定保留在May Top50。</x:v>
      </x:c>
      <x:c r="X80" s="40" t="str">
        <x:v>https://arxiv.org/abs/2605.08700</x:v>
      </x:c>
    </x:row>
    <x:row r="81" ht="32" customHeight="1">
      <x:c r="A81" s="59" t="n">
        <x:v>80</x:v>
      </x:c>
      <x:c r="B81" s="59" t="str">
        <x:v>2026-06</x:v>
      </x:c>
      <x:c r="C81" s="59" t="n">
        <x:v>48</x:v>
      </x:c>
      <x:c r="D81" s="59" t="n">
        <x:v>84</x:v>
      </x:c>
      <x:c r="E81" s="59" t="str">
        <x:v>2606.03716</x:v>
      </x:c>
      <x:c r="F81" s="40" t="str">
        <x:v>Homogenization of compressible Navier-Stokes equations under a hard sphere pressure law</x:v>
      </x:c>
      <x:c r="G81" s="40" t="str">
        <x:v>Nilasis Chaudhuri; Florian Oschmann</x:v>
      </x:c>
      <x:c r="H81" s="40" t="str">
        <x:v>fluid homogenization</x:v>
      </x:c>
      <x:c r="I81" s="59"/>
      <x:c r="J81" s="60" t="n">
        <x:v>88.6</x:v>
      </x:c>
      <x:c r="K81" s="60" t="n">
        <x:v>88.55</x:v>
      </x:c>
      <x:c r="L81" s="60" t="n">
        <x:v>88.65</x:v>
      </x:c>
      <x:c r="M81" s="60" t="n">
        <x:v>89.1</x:v>
      </x:c>
      <x:c r="N81" s="60" t="n">
        <x:v>88.1</x:v>
      </x:c>
      <x:c r="O81" s="60" t="n">
        <x:v>90.1</x:v>
      </x:c>
      <x:c r="P81" s="60" t="n">
        <x:v>87.2</x:v>
      </x:c>
      <x:c r="Q81" s="60" t="n">
        <x:v>90.2</x:v>
      </x:c>
      <x:c r="R81" s="60" t="n">
        <x:v>86</x:v>
      </x:c>
      <x:c r="S81" s="60" t="n">
        <x:v>13</x:v>
      </x:c>
      <x:c r="T81" s="60" t="n">
        <x:v>0.1</x:v>
      </x:c>
      <x:c r="U81" s="60" t="n">
        <x:v>0.009</x:v>
      </x:c>
      <x:c r="V81" s="59" t="str">
        <x:v>Top50三轮复核</x:v>
      </x:c>
      <x:c r="W81" s="40" t="str">
        <x:v>三轮复核后与原表基本一致</x:v>
      </x:c>
      <x:c r="X81" s="40" t="str">
        <x:v>https://arxiv.org/abs/2606.03716</x:v>
      </x:c>
    </x:row>
    <x:row r="82" ht="32" customHeight="1">
      <x:c r="A82" s="59" t="n">
        <x:v>81</x:v>
      </x:c>
      <x:c r="B82" s="59" t="str">
        <x:v>2026-05</x:v>
      </x:c>
      <x:c r="C82" s="59" t="n">
        <x:v>33</x:v>
      </x:c>
      <x:c r="D82" s="59" t="n">
        <x:v>78</x:v>
      </x:c>
      <x:c r="E82" s="59" t="str">
        <x:v>2605.25327</x:v>
      </x:c>
      <x:c r="F82" s="40" t="str">
        <x:v>Soliton resolution conjecture for the Benjamin-Ono equation: Explicit L-infinity asymptotic error formula</x:v>
      </x:c>
      <x:c r="G82" s="40" t="str">
        <x:v>Hong-Yu Pan; Shou-Fu Tian</x:v>
      </x:c>
      <x:c r="H82" s="40" t="str">
        <x:v>Dispersive PDE / soliton resolution</x:v>
      </x:c>
      <x:c r="I82" s="59" t="n">
        <x:v>26</x:v>
      </x:c>
      <x:c r="J82" s="60" t="n">
        <x:v>88.57</x:v>
      </x:c>
      <x:c r="K82" s="60" t="n">
        <x:v>88.84</x:v>
      </x:c>
      <x:c r="L82" s="60" t="n">
        <x:v>88.3</x:v>
      </x:c>
      <x:c r="M82" s="60" t="n">
        <x:v>90.9</x:v>
      </x:c>
      <x:c r="N82" s="60" t="n">
        <x:v>89</x:v>
      </x:c>
      <x:c r="O82" s="60" t="n">
        <x:v>90</x:v>
      </x:c>
      <x:c r="P82" s="60" t="n">
        <x:v>85.8</x:v>
      </x:c>
      <x:c r="Q82" s="60" t="n">
        <x:v>90</x:v>
      </x:c>
      <x:c r="R82" s="60" t="n">
        <x:v>84</x:v>
      </x:c>
      <x:c r="S82" s="60" t="n">
        <x:v>14</x:v>
      </x:c>
      <x:c r="T82" s="60" t="n">
        <x:v>-0.03</x:v>
      </x:c>
      <x:c r="U82" s="60" t="n">
        <x:v>0.005</x:v>
      </x:c>
      <x:c r="V82" s="59" t="str">
        <x:v>Top50三轮复核</x:v>
      </x:c>
      <x:c r="W82" s="40" t="str">
        <x:v>范围偏专门，广度轻微回调</x:v>
      </x:c>
      <x:c r="X82" s="40" t="str">
        <x:v>https://arxiv.org/abs/2605.25327</x:v>
      </x:c>
    </x:row>
    <x:row r="83" ht="32" customHeight="1">
      <x:c r="A83" s="59" t="n">
        <x:v>82</x:v>
      </x:c>
      <x:c r="B83" s="59" t="str">
        <x:v>2026-06</x:v>
      </x:c>
      <x:c r="C83" s="59" t="n">
        <x:v>50</x:v>
      </x:c>
      <x:c r="D83" s="59" t="n">
        <x:v>85</x:v>
      </x:c>
      <x:c r="E83" s="59" t="str">
        <x:v>2606.09280</x:v>
      </x:c>
      <x:c r="F83" s="40" t="str">
        <x:v>The effect of geometric focusing on dispersive estimates for Schrodinger and wave equations</x:v>
      </x:c>
      <x:c r="G83" s="40" t="str">
        <x:v>Qiuye Jia; Junyong Zhang</x:v>
      </x:c>
      <x:c r="H83" s="40" t="str">
        <x:v>geometric dispersive estimates</x:v>
      </x:c>
      <x:c r="I83" s="59"/>
      <x:c r="J83" s="60" t="n">
        <x:v>88.56</x:v>
      </x:c>
      <x:c r="K83" s="60" t="n">
        <x:v>88.46</x:v>
      </x:c>
      <x:c r="L83" s="60" t="n">
        <x:v>88.65</x:v>
      </x:c>
      <x:c r="M83" s="60" t="n">
        <x:v>89.1</x:v>
      </x:c>
      <x:c r="N83" s="60" t="n">
        <x:v>89</x:v>
      </x:c>
      <x:c r="O83" s="60" t="n">
        <x:v>90.1</x:v>
      </x:c>
      <x:c r="P83" s="60" t="n">
        <x:v>86</x:v>
      </x:c>
      <x:c r="Q83" s="60" t="n">
        <x:v>90.1</x:v>
      </x:c>
      <x:c r="R83" s="60" t="n">
        <x:v>85</x:v>
      </x:c>
      <x:c r="S83" s="60" t="n">
        <x:v>13</x:v>
      </x:c>
      <x:c r="T83" s="60" t="n">
        <x:v>0.06</x:v>
      </x:c>
      <x:c r="U83" s="60" t="n">
        <x:v>0</x:v>
      </x:c>
      <x:c r="V83" s="59" t="str">
        <x:v>Top50三轮复核</x:v>
      </x:c>
      <x:c r="W83" s="40" t="str">
        <x:v>三轮复核后与原表基本一致</x:v>
      </x:c>
      <x:c r="X83" s="40" t="str">
        <x:v>https://arxiv.org/abs/2606.09280</x:v>
      </x:c>
    </x:row>
    <x:row r="84" ht="32" customHeight="1">
      <x:c r="A84" s="59" t="n">
        <x:v>83</x:v>
      </x:c>
      <x:c r="B84" s="59" t="str">
        <x:v>2026-05</x:v>
      </x:c>
      <x:c r="C84" s="59" t="n">
        <x:v>34</x:v>
      </x:c>
      <x:c r="D84" s="59" t="n">
        <x:v>82</x:v>
      </x:c>
      <x:c r="E84" s="59" t="str">
        <x:v>2605.03734</x:v>
      </x:c>
      <x:c r="F84" s="40" t="str">
        <x:v>The stochastic tamed 3D Navier-Stokes equations in R^3</x:v>
      </x:c>
      <x:c r="G84" s="40" t="str">
        <x:v>Govind Chandra Podder; Gautam Kumar</x:v>
      </x:c>
      <x:c r="H84" s="40" t="str">
        <x:v>Stochastic Navier-Stokes</x:v>
      </x:c>
      <x:c r="I84" s="59" t="n">
        <x:v>109</x:v>
      </x:c>
      <x:c r="J84" s="60" t="n">
        <x:v>88.54</x:v>
      </x:c>
      <x:c r="K84" s="60" t="n">
        <x:v>88.53</x:v>
      </x:c>
      <x:c r="L84" s="60" t="n">
        <x:v>88.55</x:v>
      </x:c>
      <x:c r="M84" s="60" t="n">
        <x:v>90.1</x:v>
      </x:c>
      <x:c r="N84" s="60" t="n">
        <x:v>87</x:v>
      </x:c>
      <x:c r="O84" s="60" t="n">
        <x:v>92.2</x:v>
      </x:c>
      <x:c r="P84" s="60" t="n">
        <x:v>85</x:v>
      </x:c>
      <x:c r="Q84" s="60" t="n">
        <x:v>92.2</x:v>
      </x:c>
      <x:c r="R84" s="60" t="n">
        <x:v>83</x:v>
      </x:c>
      <x:c r="S84" s="60" t="n">
        <x:v>16</x:v>
      </x:c>
      <x:c r="T84" s="60" t="n">
        <x:v>0.04</x:v>
      </x:c>
      <x:c r="U84" s="60" t="n">
        <x:v>0.009</x:v>
      </x:c>
      <x:c r="V84" s="59" t="str">
        <x:v>Top50三轮复核</x:v>
      </x:c>
      <x:c r="W84" s="40" t="str">
        <x:v>三轮复核后与原表基本一致</x:v>
      </x:c>
      <x:c r="X84" s="40" t="str">
        <x:v>https://arxiv.org/abs/2605.03734</x:v>
      </x:c>
    </x:row>
    <x:row r="85" ht="32" customHeight="1">
      <x:c r="A85" s="59" t="n">
        <x:v>84</x:v>
      </x:c>
      <x:c r="B85" s="59" t="str">
        <x:v>2026-06</x:v>
      </x:c>
      <x:c r="C85" s="59" t="n">
        <x:v>47</x:v>
      </x:c>
      <x:c r="D85" s="59" t="n">
        <x:v>80</x:v>
      </x:c>
      <x:c r="E85" s="59" t="str">
        <x:v>2606.29382</x:v>
      </x:c>
      <x:c r="F85" s="40" t="str">
        <x:v>The distance between homotopy classes of Sobolev maps on spheres</x:v>
      </x:c>
      <x:c r="G85" s="40" t="str">
        <x:v>Rupert L. Frank; Paata Ivanisvili</x:v>
      </x:c>
      <x:c r="H85" s="40" t="str">
        <x:v>Sobolev maps</x:v>
      </x:c>
      <x:c r="I85" s="59"/>
      <x:c r="J85" s="60" t="n">
        <x:v>88.53</x:v>
      </x:c>
      <x:c r="K85" s="60" t="n">
        <x:v>88.5</x:v>
      </x:c>
      <x:c r="L85" s="60" t="n">
        <x:v>88.55</x:v>
      </x:c>
      <x:c r="M85" s="60" t="n">
        <x:v>89</x:v>
      </x:c>
      <x:c r="N85" s="60" t="n">
        <x:v>89</x:v>
      </x:c>
      <x:c r="O85" s="60" t="n">
        <x:v>89</x:v>
      </x:c>
      <x:c r="P85" s="60" t="n">
        <x:v>87</x:v>
      </x:c>
      <x:c r="Q85" s="60" t="n">
        <x:v>89</x:v>
      </x:c>
      <x:c r="R85" s="60" t="n">
        <x:v>87</x:v>
      </x:c>
      <x:c r="S85" s="60" t="n">
        <x:v>12</x:v>
      </x:c>
      <x:c r="T85" s="60" t="n">
        <x:v>0</x:v>
      </x:c>
      <x:c r="U85" s="60" t="n">
        <x:v>0</x:v>
      </x:c>
      <x:c r="V85" s="59" t="str">
        <x:v>Top50三轮复核</x:v>
      </x:c>
      <x:c r="W85" s="40" t="str">
        <x:v>三轮复核后与原表基本一致</x:v>
      </x:c>
      <x:c r="X85" s="40" t="str">
        <x:v>https://arxiv.org/abs/2606.29382</x:v>
      </x:c>
    </x:row>
    <x:row r="86" ht="32" customHeight="1">
      <x:c r="A86" s="59" t="n">
        <x:v>85</x:v>
      </x:c>
      <x:c r="B86" s="59" t="str">
        <x:v>2026-06</x:v>
      </x:c>
      <x:c r="C86" s="59" t="n">
        <x:v>48</x:v>
      </x:c>
      <x:c r="D86" s="59" t="n">
        <x:v>83</x:v>
      </x:c>
      <x:c r="E86" s="59" t="str">
        <x:v>2606.12825</x:v>
      </x:c>
      <x:c r="F86" s="40" t="str">
        <x:v>Optimal minimax formula for bounds on ensemble averages of statistically stationary three-dimensional Navier-Stokes flows</x:v>
      </x:c>
      <x:c r="G86" s="40" t="str">
        <x:v>Anne Bronzi; Cecilia F. Mondaini; Ricardo M. S. Rosa</x:v>
      </x:c>
      <x:c r="H86" s="40" t="str">
        <x:v>Navier-Stokes/statistical solutions</x:v>
      </x:c>
      <x:c r="I86" s="59"/>
      <x:c r="J86" s="60" t="n">
        <x:v>88.52</x:v>
      </x:c>
      <x:c r="K86" s="60" t="n">
        <x:v>88.44</x:v>
      </x:c>
      <x:c r="L86" s="60" t="n">
        <x:v>88.6</x:v>
      </x:c>
      <x:c r="M86" s="60" t="n">
        <x:v>89</x:v>
      </x:c>
      <x:c r="N86" s="60" t="n">
        <x:v>88</x:v>
      </x:c>
      <x:c r="O86" s="60" t="n">
        <x:v>90.1</x:v>
      </x:c>
      <x:c r="P86" s="60" t="n">
        <x:v>86.8</x:v>
      </x:c>
      <x:c r="Q86" s="60" t="n">
        <x:v>90.1</x:v>
      </x:c>
      <x:c r="R86" s="60" t="n">
        <x:v>86</x:v>
      </x:c>
      <x:c r="S86" s="60" t="n">
        <x:v>13</x:v>
      </x:c>
      <x:c r="T86" s="60" t="n">
        <x:v>0.02</x:v>
      </x:c>
      <x:c r="U86" s="60" t="n">
        <x:v>0.005</x:v>
      </x:c>
      <x:c r="V86" s="59" t="str">
        <x:v>Top50三轮复核</x:v>
      </x:c>
      <x:c r="W86" s="40" t="str">
        <x:v>范围偏专门，广度轻微回调</x:v>
      </x:c>
      <x:c r="X86" s="40" t="str">
        <x:v>https://arxiv.org/abs/2606.12825</x:v>
      </x:c>
    </x:row>
    <x:row r="87" ht="32" customHeight="1">
      <x:c r="A87" s="59" t="n">
        <x:v>86</x:v>
      </x:c>
      <x:c r="B87" s="59" t="str">
        <x:v>2026-05</x:v>
      </x:c>
      <x:c r="C87" s="59" t="n">
        <x:v>36</x:v>
      </x:c>
      <x:c r="D87" s="59" t="n">
        <x:v>86</x:v>
      </x:c>
      <x:c r="E87" s="59" t="str">
        <x:v>2605.00407</x:v>
      </x:c>
      <x:c r="F87" s="40" t="str">
        <x:v>Gradient blowup of smooth vacuum solutions to 1D compressible Euler equations</x:v>
      </x:c>
      <x:c r="G87" s="40" t="str">
        <x:v>Juhi Jang; Jiaqi Liu; Nader Masmoudi</x:v>
      </x:c>
      <x:c r="H87" s="40" t="str">
        <x:v>Compressible Euler / blow-up</x:v>
      </x:c>
      <x:c r="I87" s="59"/>
      <x:c r="J87" s="60" t="n">
        <x:v>88.35</x:v>
      </x:c>
      <x:c r="K87" s="60" t="n">
        <x:v>88.41</x:v>
      </x:c>
      <x:c r="L87" s="60" t="n">
        <x:v>88.3</x:v>
      </x:c>
      <x:c r="M87" s="60" t="n">
        <x:v>90.1</x:v>
      </x:c>
      <x:c r="N87" s="60" t="n">
        <x:v>88</x:v>
      </x:c>
      <x:c r="O87" s="60" t="n">
        <x:v>90.1</x:v>
      </x:c>
      <x:c r="P87" s="60" t="n">
        <x:v>85</x:v>
      </x:c>
      <x:c r="Q87" s="60" t="n">
        <x:v>90.1</x:v>
      </x:c>
      <x:c r="R87" s="60" t="n">
        <x:v>85</x:v>
      </x:c>
      <x:c r="S87" s="60" t="n">
        <x:v>14</x:v>
      </x:c>
      <x:c r="T87" s="60" t="n">
        <x:v>-0.05</x:v>
      </x:c>
      <x:c r="U87" s="60" t="n">
        <x:v>0.005</x:v>
      </x:c>
      <x:c r="V87" s="59" t="str">
        <x:v>Top50三轮复核</x:v>
      </x:c>
      <x:c r="W87" s="40" t="str">
        <x:v>三轮复核后与原表基本一致</x:v>
      </x:c>
      <x:c r="X87" s="40" t="str">
        <x:v>https://arxiv.org/abs/2605.00407</x:v>
      </x:c>
    </x:row>
    <x:row r="88" ht="32" customHeight="1">
      <x:c r="A88" s="59" t="n">
        <x:v>87</x:v>
      </x:c>
      <x:c r="B88" s="59" t="str">
        <x:v>2026-05</x:v>
      </x:c>
      <x:c r="C88" s="59" t="n">
        <x:v>37</x:v>
      </x:c>
      <x:c r="D88" s="59" t="n">
        <x:v>87</x:v>
      </x:c>
      <x:c r="E88" s="59" t="str">
        <x:v>2605.21193</x:v>
      </x:c>
      <x:c r="F88" s="40" t="str">
        <x:v>Sharp Gaussian Isoperimetry along a Ricci Flow</x:v>
      </x:c>
      <x:c r="G88" s="40" t="str">
        <x:v>Robert Koirala</x:v>
      </x:c>
      <x:c r="H88" s="40" t="str">
        <x:v>Ricci flow / functional inequalities</x:v>
      </x:c>
      <x:c r="I88" s="59" t="n">
        <x:v>25</x:v>
      </x:c>
      <x:c r="J88" s="60" t="n">
        <x:v>88.12</x:v>
      </x:c>
      <x:c r="K88" s="60" t="n">
        <x:v>88.1</x:v>
      </x:c>
      <x:c r="L88" s="60" t="n">
        <x:v>88.14</x:v>
      </x:c>
      <x:c r="M88" s="60" t="n">
        <x:v>89</x:v>
      </x:c>
      <x:c r="N88" s="60" t="n">
        <x:v>89.1</x:v>
      </x:c>
      <x:c r="O88" s="60" t="n">
        <x:v>89</x:v>
      </x:c>
      <x:c r="P88" s="60" t="n">
        <x:v>86.2</x:v>
      </x:c>
      <x:c r="Q88" s="60" t="n">
        <x:v>89.1</x:v>
      </x:c>
      <x:c r="R88" s="60" t="n">
        <x:v>84</x:v>
      </x:c>
      <x:c r="S88" s="60" t="n">
        <x:v>12.1</x:v>
      </x:c>
      <x:c r="T88" s="60" t="n">
        <x:v>0.02</x:v>
      </x:c>
      <x:c r="U88" s="60" t="n">
        <x:v>0.021</x:v>
      </x:c>
      <x:c r="V88" s="59" t="str">
        <x:v>Top50三轮复核</x:v>
      </x:c>
      <x:c r="W88" s="40" t="str">
        <x:v>三轮复核后与原表基本一致</x:v>
      </x:c>
      <x:c r="X88" s="40" t="str">
        <x:v>https://arxiv.org/abs/2605.21193</x:v>
      </x:c>
    </x:row>
    <x:row r="89" ht="32" customHeight="1">
      <x:c r="A89" s="59" t="n">
        <x:v>88</x:v>
      </x:c>
      <x:c r="B89" s="59" t="str">
        <x:v>2026-05</x:v>
      </x:c>
      <x:c r="C89" s="59" t="n">
        <x:v>38</x:v>
      </x:c>
      <x:c r="D89" s="59" t="n">
        <x:v>90</x:v>
      </x:c>
      <x:c r="E89" s="59" t="str">
        <x:v>2605.01547</x:v>
      </x:c>
      <x:c r="F89" s="40" t="str">
        <x:v>Rigidity for the Polya-Szego inequality under circular rearrangement</x:v>
      </x:c>
      <x:c r="G89" s="40" t="str">
        <x:v>F. Cagnetti; G. Domazakis; M. Perugini; F. Seuffert</x:v>
      </x:c>
      <x:c r="H89" s="40" t="str">
        <x:v>Rearrangement / rigidity</x:v>
      </x:c>
      <x:c r="I89" s="59"/>
      <x:c r="J89" s="60" t="n">
        <x:v>87.95</x:v>
      </x:c>
      <x:c r="K89" s="60" t="n">
        <x:v>87.95</x:v>
      </x:c>
      <x:c r="L89" s="60" t="n">
        <x:v>87.95</x:v>
      </x:c>
      <x:c r="M89" s="60" t="n">
        <x:v>89</x:v>
      </x:c>
      <x:c r="N89" s="60" t="n">
        <x:v>88.1</x:v>
      </x:c>
      <x:c r="O89" s="60" t="n">
        <x:v>89</x:v>
      </x:c>
      <x:c r="P89" s="60" t="n">
        <x:v>85.2</x:v>
      </x:c>
      <x:c r="Q89" s="60" t="n">
        <x:v>89.1</x:v>
      </x:c>
      <x:c r="R89" s="60" t="n">
        <x:v>86</x:v>
      </x:c>
      <x:c r="S89" s="60" t="n">
        <x:v>14</x:v>
      </x:c>
      <x:c r="T89" s="60" t="n">
        <x:v>0.05</x:v>
      </x:c>
      <x:c r="U89" s="60" t="n">
        <x:v>0.009</x:v>
      </x:c>
      <x:c r="V89" s="59" t="str">
        <x:v>Top50三轮复核</x:v>
      </x:c>
      <x:c r="W89" s="40" t="str">
        <x:v>三轮复核后与原表基本一致</x:v>
      </x:c>
      <x:c r="X89" s="40" t="str">
        <x:v>https://arxiv.org/abs/2605.01547</x:v>
      </x:c>
    </x:row>
    <x:row r="90" ht="32" customHeight="1">
      <x:c r="A90" s="59" t="n">
        <x:v>89</x:v>
      </x:c>
      <x:c r="B90" s="59" t="str">
        <x:v>2026-05</x:v>
      </x:c>
      <x:c r="C90" s="59" t="n">
        <x:v>38</x:v>
      </x:c>
      <x:c r="D90" s="59" t="n">
        <x:v>88</x:v>
      </x:c>
      <x:c r="E90" s="59" t="str">
        <x:v>2605.28979</x:v>
      </x:c>
      <x:c r="F90" s="40" t="str">
        <x:v>Singular mean-field limits for fluctuations around equilibrium</x:v>
      </x:c>
      <x:c r="G90" s="40" t="str">
        <x:v>Mitia Duerinckx; Pierre-Emmanuel Jabin</x:v>
      </x:c>
      <x:c r="H90" s="40" t="str">
        <x:v>Mean-field fluctuations</x:v>
      </x:c>
      <x:c r="I90" s="59" t="n">
        <x:v>14</x:v>
      </x:c>
      <x:c r="J90" s="60" t="n">
        <x:v>87.88</x:v>
      </x:c>
      <x:c r="K90" s="60" t="n">
        <x:v>87.96</x:v>
      </x:c>
      <x:c r="L90" s="60" t="n">
        <x:v>87.8</x:v>
      </x:c>
      <x:c r="M90" s="60" t="n">
        <x:v>88.1</x:v>
      </x:c>
      <x:c r="N90" s="60" t="n">
        <x:v>89.1</x:v>
      </x:c>
      <x:c r="O90" s="60" t="n">
        <x:v>88.1</x:v>
      </x:c>
      <x:c r="P90" s="60" t="n">
        <x:v>87.2</x:v>
      </x:c>
      <x:c r="Q90" s="60" t="n">
        <x:v>88.2</x:v>
      </x:c>
      <x:c r="R90" s="60" t="n">
        <x:v>86</x:v>
      </x:c>
      <x:c r="S90" s="60" t="n">
        <x:v>13.3</x:v>
      </x:c>
      <x:c r="T90" s="60" t="n">
        <x:v>-0.02</x:v>
      </x:c>
      <x:c r="U90" s="60" t="n">
        <x:v>0.024</x:v>
      </x:c>
      <x:c r="V90" s="59" t="str">
        <x:v>Top50三轮复核</x:v>
      </x:c>
      <x:c r="W90" s="40" t="str">
        <x:v>三轮复核后与原表基本一致</x:v>
      </x:c>
      <x:c r="X90" s="40" t="str">
        <x:v>https://arxiv.org/abs/2605.28979</x:v>
      </x:c>
    </x:row>
    <x:row r="91" ht="32" customHeight="1">
      <x:c r="A91" s="59" t="n">
        <x:v>90</x:v>
      </x:c>
      <x:c r="B91" s="59" t="str">
        <x:v>2026-05</x:v>
      </x:c>
      <x:c r="C91" s="59" t="n">
        <x:v>41</x:v>
      </x:c>
      <x:c r="D91" s="59" t="n">
        <x:v>91</x:v>
      </x:c>
      <x:c r="E91" s="59" t="str">
        <x:v>2605.04442</x:v>
      </x:c>
      <x:c r="F91" s="40" t="str">
        <x:v>Asymptotics of Minimizers for Ginzburg-Landau-type Functionals in High Dimensions</x:v>
      </x:c>
      <x:c r="G91" s="40" t="str">
        <x:v>Giacomo Canevari; Haotong Fu; Wei Wang</x:v>
      </x:c>
      <x:c r="H91" s="40" t="str">
        <x:v>Ginzburg-Landau asymptotics</x:v>
      </x:c>
      <x:c r="I91" s="59" t="n">
        <x:v>42</x:v>
      </x:c>
      <x:c r="J91" s="60" t="n">
        <x:v>87.88</x:v>
      </x:c>
      <x:c r="K91" s="60" t="n">
        <x:v>87.91</x:v>
      </x:c>
      <x:c r="L91" s="60" t="n">
        <x:v>87.85</x:v>
      </x:c>
      <x:c r="M91" s="60" t="n">
        <x:v>89.1</x:v>
      </x:c>
      <x:c r="N91" s="60" t="n">
        <x:v>88.1</x:v>
      </x:c>
      <x:c r="O91" s="60" t="n">
        <x:v>89.1</x:v>
      </x:c>
      <x:c r="P91" s="60" t="n">
        <x:v>85.2</x:v>
      </x:c>
      <x:c r="Q91" s="60" t="n">
        <x:v>89.2</x:v>
      </x:c>
      <x:c r="R91" s="60" t="n">
        <x:v>85</x:v>
      </x:c>
      <x:c r="S91" s="60" t="n">
        <x:v>14</x:v>
      </x:c>
      <x:c r="T91" s="60" t="n">
        <x:v>0.08</x:v>
      </x:c>
      <x:c r="U91" s="60" t="n">
        <x:v>0.009</x:v>
      </x:c>
      <x:c r="V91" s="59" t="str">
        <x:v>Top50三轮复核</x:v>
      </x:c>
      <x:c r="W91" s="40" t="str">
        <x:v>三轮复核后与原表基本一致</x:v>
      </x:c>
      <x:c r="X91" s="40" t="str">
        <x:v>https://arxiv.org/abs/2605.04442</x:v>
      </x:c>
    </x:row>
    <x:row r="92" ht="32" customHeight="1">
      <x:c r="A92" s="59" t="n">
        <x:v>91</x:v>
      </x:c>
      <x:c r="B92" s="59" t="str">
        <x:v>2026-05</x:v>
      </x:c>
      <x:c r="C92" s="59" t="n">
        <x:v>38</x:v>
      </x:c>
      <x:c r="D92" s="59" t="n">
        <x:v>89</x:v>
      </x:c>
      <x:c r="E92" s="59" t="str">
        <x:v>2605.22347</x:v>
      </x:c>
      <x:c r="F92" s="40" t="str">
        <x:v>Convergence of the Chern-Ricci flow on complex minimal surfaces of general type</x:v>
      </x:c>
      <x:c r="G92" s="40" t="str">
        <x:v>Haoyuan Sun</x:v>
      </x:c>
      <x:c r="H92" s="40" t="str">
        <x:v>Complex geometric flows</x:v>
      </x:c>
      <x:c r="I92" s="59" t="n">
        <x:v>28</x:v>
      </x:c>
      <x:c r="J92" s="60" t="n">
        <x:v>87.8</x:v>
      </x:c>
      <x:c r="K92" s="60" t="n">
        <x:v>87.85</x:v>
      </x:c>
      <x:c r="L92" s="60" t="n">
        <x:v>87.75</x:v>
      </x:c>
      <x:c r="M92" s="60" t="n">
        <x:v>89</x:v>
      </x:c>
      <x:c r="N92" s="60" t="n">
        <x:v>88</x:v>
      </x:c>
      <x:c r="O92" s="60" t="n">
        <x:v>89</x:v>
      </x:c>
      <x:c r="P92" s="60" t="n">
        <x:v>86</x:v>
      </x:c>
      <x:c r="Q92" s="60" t="n">
        <x:v>89</x:v>
      </x:c>
      <x:c r="R92" s="60" t="n">
        <x:v>84</x:v>
      </x:c>
      <x:c r="S92" s="60" t="n">
        <x:v>13</x:v>
      </x:c>
      <x:c r="T92" s="60" t="n">
        <x:v>-0.1</x:v>
      </x:c>
      <x:c r="U92" s="60" t="n">
        <x:v>0.005</x:v>
      </x:c>
      <x:c r="V92" s="59" t="str">
        <x:v>Top50三轮复核</x:v>
      </x:c>
      <x:c r="W92" s="40" t="str">
        <x:v>三轮复核后与原表基本一致</x:v>
      </x:c>
      <x:c r="X92" s="40" t="str">
        <x:v>https://arxiv.org/abs/2605.22347</x:v>
      </x:c>
    </x:row>
    <x:row r="93" ht="32" customHeight="1">
      <x:c r="A93" s="59" t="n">
        <x:v>92</x:v>
      </x:c>
      <x:c r="B93" s="59" t="str">
        <x:v>2026-05</x:v>
      </x:c>
      <x:c r="C93" s="59" t="n">
        <x:v>41</x:v>
      </x:c>
      <x:c r="D93" s="59" t="n">
        <x:v>92</x:v>
      </x:c>
      <x:c r="E93" s="59" t="str">
        <x:v>2605.03481</x:v>
      </x:c>
      <x:c r="F93" s="40" t="str">
        <x:v>Stability of de Sitter Space and Expansion at the Conformal Boundary</x:v>
      </x:c>
      <x:c r="G93" s="40" t="str">
        <x:v>Maurus Leimbacher</x:v>
      </x:c>
      <x:c r="H93" s="40" t="str">
        <x:v>Hyperbolic PDE / GR</x:v>
      </x:c>
      <x:c r="I93" s="59" t="n">
        <x:v>55</x:v>
      </x:c>
      <x:c r="J93" s="60" t="n">
        <x:v>87.73</x:v>
      </x:c>
      <x:c r="K93" s="60" t="n">
        <x:v>87.7</x:v>
      </x:c>
      <x:c r="L93" s="60" t="n">
        <x:v>87.75</x:v>
      </x:c>
      <x:c r="M93" s="60" t="n">
        <x:v>89</x:v>
      </x:c>
      <x:c r="N93" s="60" t="n">
        <x:v>88</x:v>
      </x:c>
      <x:c r="O93" s="60" t="n">
        <x:v>89</x:v>
      </x:c>
      <x:c r="P93" s="60" t="n">
        <x:v>85</x:v>
      </x:c>
      <x:c r="Q93" s="60" t="n">
        <x:v>89</x:v>
      </x:c>
      <x:c r="R93" s="60" t="n">
        <x:v>84</x:v>
      </x:c>
      <x:c r="S93" s="60" t="n">
        <x:v>13</x:v>
      </x:c>
      <x:c r="T93" s="60" t="n">
        <x:v>-0.07</x:v>
      </x:c>
      <x:c r="U93" s="60" t="n">
        <x:v>0.005</x:v>
      </x:c>
      <x:c r="V93" s="59" t="str">
        <x:v>Top50三轮复核</x:v>
      </x:c>
      <x:c r="W93" s="40" t="str">
        <x:v>三轮复核后与原表基本一致</x:v>
      </x:c>
      <x:c r="X93" s="40" t="str">
        <x:v>https://arxiv.org/abs/2605.03481</x:v>
      </x:c>
    </x:row>
    <x:row r="94" ht="32" customHeight="1">
      <x:c r="A94" s="59" t="n">
        <x:v>93</x:v>
      </x:c>
      <x:c r="B94" s="59" t="str">
        <x:v>2026-05</x:v>
      </x:c>
      <x:c r="C94" s="59" t="n">
        <x:v>43</x:v>
      </x:c>
      <x:c r="D94" s="59" t="n">
        <x:v>94</x:v>
      </x:c>
      <x:c r="E94" s="59" t="str">
        <x:v>2605.02176</x:v>
      </x:c>
      <x:c r="F94" s="40" t="str">
        <x:v>Volumetric density estimates for nonlocal minimal surfaces</x:v>
      </x:c>
      <x:c r="G94" s="40" t="str">
        <x:v>Mateusz Kwasnicki; Jack Thompson</x:v>
      </x:c>
      <x:c r="H94" s="40" t="str">
        <x:v>Nonlocal minimal surfaces</x:v>
      </x:c>
      <x:c r="I94" s="59"/>
      <x:c r="J94" s="60" t="n">
        <x:v>87.68</x:v>
      </x:c>
      <x:c r="K94" s="60" t="n">
        <x:v>87.45</x:v>
      </x:c>
      <x:c r="L94" s="60" t="n">
        <x:v>87.9</x:v>
      </x:c>
      <x:c r="M94" s="60" t="n">
        <x:v>88</x:v>
      </x:c>
      <x:c r="N94" s="60" t="n">
        <x:v>88</x:v>
      </x:c>
      <x:c r="O94" s="60" t="n">
        <x:v>89</x:v>
      </x:c>
      <x:c r="P94" s="60" t="n">
        <x:v>84</x:v>
      </x:c>
      <x:c r="Q94" s="60" t="n">
        <x:v>89</x:v>
      </x:c>
      <x:c r="R94" s="60" t="n">
        <x:v>86</x:v>
      </x:c>
      <x:c r="S94" s="60" t="n">
        <x:v>14</x:v>
      </x:c>
      <x:c r="T94" s="60" t="n">
        <x:v>-0.02</x:v>
      </x:c>
      <x:c r="U94" s="60" t="n">
        <x:v>0</x:v>
      </x:c>
      <x:c r="V94" s="59" t="str">
        <x:v>Top50三轮复核</x:v>
      </x:c>
      <x:c r="W94" s="40" t="str">
        <x:v>三轮复核后与原表基本一致</x:v>
      </x:c>
      <x:c r="X94" s="40" t="str">
        <x:v>https://arxiv.org/abs/2605.02176</x:v>
      </x:c>
    </x:row>
    <x:row r="95" ht="32" customHeight="1">
      <x:c r="A95" s="59" t="n">
        <x:v>94</x:v>
      </x:c>
      <x:c r="B95" s="59" t="str">
        <x:v>2026-05</x:v>
      </x:c>
      <x:c r="C95" s="59" t="n">
        <x:v>43</x:v>
      </x:c>
      <x:c r="D95" s="59" t="n">
        <x:v>93</x:v>
      </x:c>
      <x:c r="E95" s="59" t="str">
        <x:v>2605.05422</x:v>
      </x:c>
      <x:c r="F95" s="40" t="str">
        <x:v>An optimal trace estimate for microlocal square functions on quadratic surfaces</x:v>
      </x:c>
      <x:c r="G95" s="40" t="str">
        <x:v>Vicente Vergara</x:v>
      </x:c>
      <x:c r="H95" s="40" t="str">
        <x:v>Microlocal harmonic analysis</x:v>
      </x:c>
      <x:c r="I95" s="59" t="n">
        <x:v>41</x:v>
      </x:c>
      <x:c r="J95" s="60" t="n">
        <x:v>87.63</x:v>
      </x:c>
      <x:c r="K95" s="60" t="n">
        <x:v>87.5</x:v>
      </x:c>
      <x:c r="L95" s="60" t="n">
        <x:v>87.75</x:v>
      </x:c>
      <x:c r="M95" s="60" t="n">
        <x:v>88</x:v>
      </x:c>
      <x:c r="N95" s="60" t="n">
        <x:v>88</x:v>
      </x:c>
      <x:c r="O95" s="60" t="n">
        <x:v>89</x:v>
      </x:c>
      <x:c r="P95" s="60" t="n">
        <x:v>85</x:v>
      </x:c>
      <x:c r="Q95" s="60" t="n">
        <x:v>89</x:v>
      </x:c>
      <x:c r="R95" s="60" t="n">
        <x:v>85</x:v>
      </x:c>
      <x:c r="S95" s="60" t="n">
        <x:v>14</x:v>
      </x:c>
      <x:c r="T95" s="60" t="n">
        <x:v>-0.07</x:v>
      </x:c>
      <x:c r="U95" s="60" t="n">
        <x:v>0</x:v>
      </x:c>
      <x:c r="V95" s="59" t="str">
        <x:v>Top50三轮复核</x:v>
      </x:c>
      <x:c r="W95" s="40" t="str">
        <x:v>三轮复核后与原表基本一致</x:v>
      </x:c>
      <x:c r="X95" s="40" t="str">
        <x:v>https://arxiv.org/abs/2605.05422</x:v>
      </x:c>
    </x:row>
    <x:row r="96" ht="32" customHeight="1">
      <x:c r="A96" s="59" t="n">
        <x:v>95</x:v>
      </x:c>
      <x:c r="B96" s="59" t="str">
        <x:v>2026-05</x:v>
      </x:c>
      <x:c r="C96" s="59" t="n">
        <x:v>45</x:v>
      </x:c>
      <x:c r="D96" s="59" t="n">
        <x:v>96</x:v>
      </x:c>
      <x:c r="E96" s="59" t="str">
        <x:v>2605.05869</x:v>
      </x:c>
      <x:c r="F96" s="40" t="str">
        <x:v>Consistency analysis for combined homogenization and shallow water limit of water waves</x:v>
      </x:c>
      <x:c r="G96" s="40" t="str">
        <x:v>Antoine Gloria; David Lee</x:v>
      </x:c>
      <x:c r="H96" s="40" t="str">
        <x:v>Water waves / homogenization</x:v>
      </x:c>
      <x:c r="I96" s="59"/>
      <x:c r="J96" s="60" t="n">
        <x:v>87.6</x:v>
      </x:c>
      <x:c r="K96" s="60" t="n">
        <x:v>87.4</x:v>
      </x:c>
      <x:c r="L96" s="60" t="n">
        <x:v>87.8</x:v>
      </x:c>
      <x:c r="M96" s="60" t="n">
        <x:v>88</x:v>
      </x:c>
      <x:c r="N96" s="60" t="n">
        <x:v>88.1</x:v>
      </x:c>
      <x:c r="O96" s="60" t="n">
        <x:v>89</x:v>
      </x:c>
      <x:c r="P96" s="60" t="n">
        <x:v>84.2</x:v>
      </x:c>
      <x:c r="Q96" s="60" t="n">
        <x:v>89.1</x:v>
      </x:c>
      <x:c r="R96" s="60" t="n">
        <x:v>85</x:v>
      </x:c>
      <x:c r="S96" s="60" t="n">
        <x:v>14</x:v>
      </x:c>
      <x:c r="T96" s="60" t="n">
        <x:v>0</x:v>
      </x:c>
      <x:c r="U96" s="60" t="n">
        <x:v>0.009</x:v>
      </x:c>
      <x:c r="V96" s="59" t="str">
        <x:v>Top50三轮复核</x:v>
      </x:c>
      <x:c r="W96" s="40" t="str">
        <x:v>三轮复核后与原表基本一致</x:v>
      </x:c>
      <x:c r="X96" s="40" t="str">
        <x:v>https://arxiv.org/abs/2605.05869</x:v>
      </x:c>
    </x:row>
    <x:row r="97" ht="32" customHeight="1">
      <x:c r="A97" s="59" t="n">
        <x:v>96</x:v>
      </x:c>
      <x:c r="B97" s="59" t="str">
        <x:v>2026-05</x:v>
      </x:c>
      <x:c r="C97" s="59" t="n">
        <x:v>45</x:v>
      </x:c>
      <x:c r="D97" s="59" t="n">
        <x:v>95</x:v>
      </x:c>
      <x:c r="E97" s="59" t="str">
        <x:v>2605.06128</x:v>
      </x:c>
      <x:c r="F97" s="40" t="str">
        <x:v>Uniform small energy regularity for fractional geometric problems</x:v>
      </x:c>
      <x:c r="G97" s="40" t="str">
        <x:v>Marco Badran; Giacomo Cozzi</x:v>
      </x:c>
      <x:c r="H97" s="40" t="str">
        <x:v>Fractional geometric PDE</x:v>
      </x:c>
      <x:c r="I97" s="59" t="n">
        <x:v>21</x:v>
      </x:c>
      <x:c r="J97" s="60" t="n">
        <x:v>87.54</x:v>
      </x:c>
      <x:c r="K97" s="60" t="n">
        <x:v>87.35</x:v>
      </x:c>
      <x:c r="L97" s="60" t="n">
        <x:v>87.74</x:v>
      </x:c>
      <x:c r="M97" s="60" t="n">
        <x:v>88</x:v>
      </x:c>
      <x:c r="N97" s="60" t="n">
        <x:v>88</x:v>
      </x:c>
      <x:c r="O97" s="60" t="n">
        <x:v>89</x:v>
      </x:c>
      <x:c r="P97" s="60" t="n">
        <x:v>84</x:v>
      </x:c>
      <x:c r="Q97" s="60" t="n">
        <x:v>89</x:v>
      </x:c>
      <x:c r="R97" s="60" t="n">
        <x:v>85</x:v>
      </x:c>
      <x:c r="S97" s="60" t="n">
        <x:v>14.1</x:v>
      </x:c>
      <x:c r="T97" s="60" t="n">
        <x:v>-0.06</x:v>
      </x:c>
      <x:c r="U97" s="60" t="n">
        <x:v>0.009</x:v>
      </x:c>
      <x:c r="V97" s="59" t="str">
        <x:v>Top50三轮复核</x:v>
      </x:c>
      <x:c r="W97" s="40" t="str">
        <x:v>三轮复核后与原表基本一致</x:v>
      </x:c>
      <x:c r="X97" s="40" t="str">
        <x:v>https://arxiv.org/abs/2605.06128</x:v>
      </x:c>
    </x:row>
    <x:row r="98" ht="32" customHeight="1">
      <x:c r="A98" s="59" t="n">
        <x:v>97</x:v>
      </x:c>
      <x:c r="B98" s="59" t="str">
        <x:v>2026-05</x:v>
      </x:c>
      <x:c r="C98" s="59" t="n">
        <x:v>47</x:v>
      </x:c>
      <x:c r="D98" s="59" t="n">
        <x:v>97</x:v>
      </x:c>
      <x:c r="E98" s="59" t="str">
        <x:v>2605.00694</x:v>
      </x:c>
      <x:c r="F98" s="40" t="str">
        <x:v>Unstable free boundary problems in optimal control theory: existence and regularity</x:v>
      </x:c>
      <x:c r="G98" s="40" t="str">
        <x:v>Lorenzo Ferreri; Idriss Mazari-Fouquer; Raphael Prunier</x:v>
      </x:c>
      <x:c r="H98" s="40" t="str">
        <x:v>Free boundary / control</x:v>
      </x:c>
      <x:c r="I98" s="59" t="n">
        <x:v>61</x:v>
      </x:c>
      <x:c r="J98" s="60" t="n">
        <x:v>87.48</x:v>
      </x:c>
      <x:c r="K98" s="60" t="n">
        <x:v>87.35</x:v>
      </x:c>
      <x:c r="L98" s="60" t="n">
        <x:v>87.6</x:v>
      </x:c>
      <x:c r="M98" s="60" t="n">
        <x:v>88</x:v>
      </x:c>
      <x:c r="N98" s="60" t="n">
        <x:v>88</x:v>
      </x:c>
      <x:c r="O98" s="60" t="n">
        <x:v>89</x:v>
      </x:c>
      <x:c r="P98" s="60" t="n">
        <x:v>84</x:v>
      </x:c>
      <x:c r="Q98" s="60" t="n">
        <x:v>89</x:v>
      </x:c>
      <x:c r="R98" s="60" t="n">
        <x:v>85</x:v>
      </x:c>
      <x:c r="S98" s="60" t="n">
        <x:v>15</x:v>
      </x:c>
      <x:c r="T98" s="60" t="n">
        <x:v>-0.02</x:v>
      </x:c>
      <x:c r="U98" s="60" t="n">
        <x:v>0.005</x:v>
      </x:c>
      <x:c r="V98" s="59" t="str">
        <x:v>Top50三轮复核</x:v>
      </x:c>
      <x:c r="W98" s="40" t="str">
        <x:v>三轮复核后与原表基本一致</x:v>
      </x:c>
      <x:c r="X98" s="40" t="str">
        <x:v>https://arxiv.org/abs/2605.00694</x:v>
      </x:c>
    </x:row>
    <x:row r="99" ht="32" customHeight="1">
      <x:c r="A99" s="59" t="n">
        <x:v>98</x:v>
      </x:c>
      <x:c r="B99" s="59" t="str">
        <x:v>2026-05</x:v>
      </x:c>
      <x:c r="C99" s="59" t="n">
        <x:v>48</x:v>
      </x:c>
      <x:c r="D99" s="59" t="n">
        <x:v>98</x:v>
      </x:c>
      <x:c r="E99" s="59" t="str">
        <x:v>2605.28504</x:v>
      </x:c>
      <x:c r="F99" s="40" t="str">
        <x:v>Minimal surfaces with rapid area growth</x:v>
      </x:c>
      <x:c r="G99" s="40" t="str">
        <x:v>Tobias Holck Colding; Francisco Martin; William P. Minicozzi II</x:v>
      </x:c>
      <x:c r="H99" s="40" t="str">
        <x:v>Minimal surfaces</x:v>
      </x:c>
      <x:c r="I99" s="59"/>
      <x:c r="J99" s="60" t="n">
        <x:v>87.43</x:v>
      </x:c>
      <x:c r="K99" s="60" t="n">
        <x:v>87.6</x:v>
      </x:c>
      <x:c r="L99" s="60" t="n">
        <x:v>87.25</x:v>
      </x:c>
      <x:c r="M99" s="60" t="n">
        <x:v>88</x:v>
      </x:c>
      <x:c r="N99" s="60" t="n">
        <x:v>89</x:v>
      </x:c>
      <x:c r="O99" s="60" t="n">
        <x:v>87</x:v>
      </x:c>
      <x:c r="P99" s="60" t="n">
        <x:v>87</x:v>
      </x:c>
      <x:c r="Q99" s="60" t="n">
        <x:v>87</x:v>
      </x:c>
      <x:c r="R99" s="60" t="n">
        <x:v>86</x:v>
      </x:c>
      <x:c r="S99" s="60" t="n">
        <x:v>13</x:v>
      </x:c>
      <x:c r="T99" s="60" t="n">
        <x:v>0.03</x:v>
      </x:c>
      <x:c r="U99" s="60" t="n">
        <x:v>0</x:v>
      </x:c>
      <x:c r="V99" s="59" t="str">
        <x:v>Top50三轮复核</x:v>
      </x:c>
      <x:c r="W99" s="40" t="str">
        <x:v>三轮复核后与原表基本一致</x:v>
      </x:c>
      <x:c r="X99" s="40" t="str">
        <x:v>https://arxiv.org/abs/2605.28504</x:v>
      </x:c>
    </x:row>
    <x:row r="100" ht="32" customHeight="1">
      <x:c r="A100" s="59" t="n">
        <x:v>99</x:v>
      </x:c>
      <x:c r="B100" s="59" t="str">
        <x:v>2026-05</x:v>
      </x:c>
      <x:c r="C100" s="59" t="n">
        <x:v>48</x:v>
      </x:c>
      <x:c r="D100" s="59" t="n">
        <x:v>101</x:v>
      </x:c>
      <x:c r="E100" s="59" t="str">
        <x:v>2605.02345</x:v>
      </x:c>
      <x:c r="F100" s="40" t="str">
        <x:v>Sharp regularity for a class of degenerate/singular fully nonlinear elliptic equations with Hamiltonian terms</x:v>
      </x:c>
      <x:c r="G100" s="40" t="str">
        <x:v>Wentao Huo; Xiaofeng Jin; Lingwei Ma; Zhenqiu Zhang</x:v>
      </x:c>
      <x:c r="H100" s="40" t="str">
        <x:v>Fully nonlinear elliptic regularity</x:v>
      </x:c>
      <x:c r="I100" s="59" t="n">
        <x:v>28</x:v>
      </x:c>
      <x:c r="J100" s="60" t="n">
        <x:v>87.42</x:v>
      </x:c>
      <x:c r="K100" s="60" t="n">
        <x:v>87.24</x:v>
      </x:c>
      <x:c r="L100" s="60" t="n">
        <x:v>87.6</x:v>
      </x:c>
      <x:c r="M100" s="60" t="n">
        <x:v>87.9</x:v>
      </x:c>
      <x:c r="N100" s="60" t="n">
        <x:v>87.1</x:v>
      </x:c>
      <x:c r="O100" s="60" t="n">
        <x:v>89</x:v>
      </x:c>
      <x:c r="P100" s="60" t="n">
        <x:v>84</x:v>
      </x:c>
      <x:c r="Q100" s="60" t="n">
        <x:v>89.1</x:v>
      </x:c>
      <x:c r="R100" s="60" t="n">
        <x:v>86</x:v>
      </x:c>
      <x:c r="S100" s="60" t="n">
        <x:v>15</x:v>
      </x:c>
      <x:c r="T100" s="60" t="n">
        <x:v>0.02</x:v>
      </x:c>
      <x:c r="U100" s="60" t="n">
        <x:v>0.008</x:v>
      </x:c>
      <x:c r="V100" s="59" t="str">
        <x:v>Top50三轮复核</x:v>
      </x:c>
      <x:c r="W100" s="40" t="str">
        <x:v>范围偏专门，广度轻微回调</x:v>
      </x:c>
      <x:c r="X100" s="40" t="str">
        <x:v>https://arxiv.org/abs/2605.02345</x:v>
      </x:c>
    </x:row>
    <x:row r="101" ht="32" customHeight="1">
      <x:c r="A101" s="59" t="n">
        <x:v>100</x:v>
      </x:c>
      <x:c r="B101" s="59" t="str">
        <x:v>2026-05</x:v>
      </x:c>
      <x:c r="C101" s="59" t="n">
        <x:v>48</x:v>
      </x:c>
      <x:c r="D101" s="59" t="n">
        <x:v>100</x:v>
      </x:c>
      <x:c r="E101" s="59" t="str">
        <x:v>2605.03220</x:v>
      </x:c>
      <x:c r="F101" s="40" t="str">
        <x:v>Late-time tails for linear waves on radially symmetric stationary spacetimes of two space dimensions</x:v>
      </x:c>
      <x:c r="G101" s="40" t="str">
        <x:v>Onyx Gautam</x:v>
      </x:c>
      <x:c r="H101" s="40" t="str">
        <x:v>Wave equations / relativity</x:v>
      </x:c>
      <x:c r="I101" s="59" t="n">
        <x:v>59</x:v>
      </x:c>
      <x:c r="J101" s="60" t="n">
        <x:v>87.38</x:v>
      </x:c>
      <x:c r="K101" s="60" t="n">
        <x:v>87.25</x:v>
      </x:c>
      <x:c r="L101" s="60" t="n">
        <x:v>87.5</x:v>
      </x:c>
      <x:c r="M101" s="60" t="n">
        <x:v>88</x:v>
      </x:c>
      <x:c r="N101" s="60" t="n">
        <x:v>88</x:v>
      </x:c>
      <x:c r="O101" s="60" t="n">
        <x:v>89.1</x:v>
      </x:c>
      <x:c r="P101" s="60" t="n">
        <x:v>83.8</x:v>
      </x:c>
      <x:c r="Q101" s="60" t="n">
        <x:v>89.1</x:v>
      </x:c>
      <x:c r="R101" s="60" t="n">
        <x:v>84</x:v>
      </x:c>
      <x:c r="S101" s="60" t="n">
        <x:v>15</x:v>
      </x:c>
      <x:c r="T101" s="60" t="n">
        <x:v>-0.02</x:v>
      </x:c>
      <x:c r="U101" s="60" t="n">
        <x:v>0</x:v>
      </x:c>
      <x:c r="V101" s="59" t="str">
        <x:v>Top50三轮复核</x:v>
      </x:c>
      <x:c r="W101" s="40" t="str">
        <x:v>范围偏专门，广度轻微回调</x:v>
      </x:c>
      <x:c r="X101" s="40" t="str">
        <x:v>https://arxiv.org/abs/2605.03220</x:v>
      </x:c>
    </x:row>
  </x:sheetData>
  <x:conditionalFormatting sqref="J2:J101">
    <x:cfRule type="colorScale" priority="1">
      <x:colorScale>
        <x:cfvo type="min"/>
        <x:cfvo type="percentile" val="50"/>
        <x:cfvo type="max"/>
        <x:color rgb="FFFEF3C7"/>
        <x:color rgb="FFDBEAFE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f9cc7843758456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5" hidden="0" customWidth="1"/>
    <x:col min="4" max="4" width="10" hidden="0" customWidth="1"/>
    <x:col min="5" max="5" width="11" hidden="0" customWidth="1"/>
    <x:col min="6" max="6" width="12" hidden="0" customWidth="1"/>
    <x:col min="7" max="7" width="48" hidden="0" customWidth="1"/>
    <x:col min="8" max="8" width="32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12" hidden="0" customWidth="1"/>
    <x:col min="15" max="15" width="10" hidden="0" customWidth="1"/>
    <x:col min="16" max="16" width="12" hidden="0" customWidth="1"/>
    <x:col min="17" max="17" width="52" hidden="0" customWidth="1"/>
    <x:col min="18" max="18" width="34" hidden="0" customWidth="1"/>
  </x:cols>
  <x:sheetData>
    <x:row r="1" ht="28" customHeight="1">
      <x:c r="A1" s="58" t="str">
        <x:v>Month</x:v>
      </x:c>
      <x:c r="B1" s="58" t="str">
        <x:v>OldMonthRank</x:v>
      </x:c>
      <x:c r="C1" s="58" t="str">
        <x:v>OldCombinedRank</x:v>
      </x:c>
      <x:c r="D1" s="58" t="str">
        <x:v>FinalRank</x:v>
      </x:c>
      <x:c r="E1" s="58" t="str">
        <x:v>RankChange</x:v>
      </x:c>
      <x:c r="F1" s="58" t="str">
        <x:v>arXiv</x:v>
      </x:c>
      <x:c r="G1" s="58" t="str">
        <x:v>Title</x:v>
      </x:c>
      <x:c r="H1" s="58" t="str">
        <x:v>Authors</x:v>
      </x:c>
      <x:c r="I1" s="58" t="str">
        <x:v>Old_S_eq</x:v>
      </x:c>
      <x:c r="J1" s="58" t="str">
        <x:v>R1_S_eq</x:v>
      </x:c>
      <x:c r="K1" s="58" t="str">
        <x:v>R2_S_eq</x:v>
      </x:c>
      <x:c r="L1" s="58" t="str">
        <x:v>R3_S_eq</x:v>
      </x:c>
      <x:c r="M1" s="58" t="str">
        <x:v>Final_S_eq</x:v>
      </x:c>
      <x:c r="N1" s="58" t="str">
        <x:v>Delta_vs_old</x:v>
      </x:c>
      <x:c r="O1" s="58" t="str">
        <x:v>Score_SD</x:v>
      </x:c>
      <x:c r="P1" s="58" t="str">
        <x:v>Decision</x:v>
      </x:c>
      <x:c r="Q1" s="58" t="str">
        <x:v>RecheckNote</x:v>
      </x:c>
      <x:c r="R1" s="58" t="str">
        <x:v>SourceURL</x:v>
      </x:c>
    </x:row>
    <x:row r="2" ht="32" customHeight="1">
      <x:c r="A2" s="59" t="str">
        <x:v>2026-05</x:v>
      </x:c>
      <x:c r="B2" s="59" t="n">
        <x:v>1</x:v>
      </x:c>
      <x:c r="C2" s="59" t="n">
        <x:v>2</x:v>
      </x:c>
      <x:c r="D2" s="59" t="n">
        <x:v>2</x:v>
      </x:c>
      <x:c r="E2" s="59" t="n">
        <x:v>0</x:v>
      </x:c>
      <x:c r="F2" s="59" t="str">
        <x:v>2605.00808</x:v>
      </x:c>
      <x:c r="G2" s="40" t="str">
        <x:v>Smooth and stable Euler implosions</x:v>
      </x:c>
      <x:c r="H2" s="40" t="str">
        <x:v>Jiajie Chen; Steve Shkoller; Vlad Vicol</x:v>
      </x:c>
      <x:c r="I2" s="60" t="n">
        <x:v>95.2</x:v>
      </x:c>
      <x:c r="J2" s="60" t="n">
        <x:v>95.39</x:v>
      </x:c>
      <x:c r="K2" s="60" t="n">
        <x:v>95.29</x:v>
      </x:c>
      <x:c r="L2" s="60" t="n">
        <x:v>95.36</x:v>
      </x:c>
      <x:c r="M2" s="60" t="n">
        <x:v>95.36</x:v>
      </x:c>
      <x:c r="N2" s="60" t="n">
        <x:v>0.16</x:v>
      </x:c>
      <x:c r="O2" s="60" t="n">
        <x:v>0.042</x:v>
      </x:c>
      <x:c r="P2" s="59" t="str">
        <x:v>slight_up</x:v>
      </x:c>
      <x:c r="Q2" s="40" t="str">
        <x:v>稳定光滑Euler implosion构造在跨月比较中保持最高层级。</x:v>
      </x:c>
      <x:c r="R2" s="40" t="str">
        <x:v>https://arxiv.org/abs/2605.00808</x:v>
      </x:c>
    </x:row>
    <x:row r="3" ht="32" customHeight="1">
      <x:c r="A3" s="59" t="str">
        <x:v>2026-05</x:v>
      </x:c>
      <x:c r="B3" s="59" t="n">
        <x:v>2</x:v>
      </x:c>
      <x:c r="C3" s="59" t="n">
        <x:v>3</x:v>
      </x:c>
      <x:c r="D3" s="59" t="n">
        <x:v>3</x:v>
      </x:c>
      <x:c r="E3" s="59" t="n">
        <x:v>0</x:v>
      </x:c>
      <x:c r="F3" s="59" t="str">
        <x:v>2605.15130</x:v>
      </x:c>
      <x:c r="G3" s="40" t="str">
        <x:v>Asymptotically Self-Similar Blowup for 3D Incompressible Euler with C^{1,1/3-} Velocity II: 3D Profiles, Blowup, and Limiting Behavior</x:v>
      </x:c>
      <x:c r="H3" s="40" t="str">
        <x:v>Jiajie Chen</x:v>
      </x:c>
      <x:c r="I3" s="60" t="n">
        <x:v>94.3</x:v>
      </x:c>
      <x:c r="J3" s="60" t="n">
        <x:v>94.34</x:v>
      </x:c>
      <x:c r="K3" s="60" t="n">
        <x:v>94.27</x:v>
      </x:c>
      <x:c r="L3" s="60" t="n">
        <x:v>94.32</x:v>
      </x:c>
      <x:c r="M3" s="60" t="n">
        <x:v>94.32</x:v>
      </x:c>
      <x:c r="N3" s="60" t="n">
        <x:v>0.02</x:v>
      </x:c>
      <x:c r="O3" s="60" t="n">
        <x:v>0.029</x:v>
      </x:c>
      <x:c r="P3" s="59" t="str">
        <x:v>stable</x:v>
      </x:c>
      <x:c r="Q3" s="40" t="str">
        <x:v>系列/续篇按重叠性校准；Part II 属于大型Euler blow-up program，略按系列重叠校准。</x:v>
      </x:c>
      <x:c r="R3" s="40" t="str">
        <x:v>https://arxiv.org/abs/2605.15130</x:v>
      </x:c>
    </x:row>
    <x:row r="4" ht="32" customHeight="1">
      <x:c r="A4" s="59" t="str">
        <x:v>2026-05</x:v>
      </x:c>
      <x:c r="B4" s="59" t="n">
        <x:v>3</x:v>
      </x:c>
      <x:c r="C4" s="59" t="n">
        <x:v>6</x:v>
      </x:c>
      <x:c r="D4" s="59" t="n">
        <x:v>6</x:v>
      </x:c>
      <x:c r="E4" s="59" t="n">
        <x:v>0</x:v>
      </x:c>
      <x:c r="F4" s="59" t="str">
        <x:v>2605.19143</x:v>
      </x:c>
      <x:c r="G4" s="40" t="str">
        <x:v>Weak cosmic censorship for the circularly symmetric Einstein-scalar field system in 2+1 dimensions</x:v>
      </x:c>
      <x:c r="H4" s="40" t="str">
        <x:v>Serban Cicortas</x:v>
      </x:c>
      <x:c r="I4" s="60" t="n">
        <x:v>93.8</x:v>
      </x:c>
      <x:c r="J4" s="60" t="n">
        <x:v>93.78</x:v>
      </x:c>
      <x:c r="K4" s="60" t="n">
        <x:v>93.73</x:v>
      </x:c>
      <x:c r="L4" s="60" t="n">
        <x:v>93.76</x:v>
      </x:c>
      <x:c r="M4" s="60" t="n">
        <x:v>93.76</x:v>
      </x:c>
      <x:c r="N4" s="60" t="n">
        <x:v>-0.04</x:v>
      </x:c>
      <x:c r="O4" s="60" t="n">
        <x:v>0.021</x:v>
      </x:c>
      <x:c r="P4" s="59" t="str">
        <x:v>stable</x:v>
      </x:c>
      <x:c r="Q4" s="40" t="str">
        <x:v>弱宇宙监督问题价值很高；因2+1圆对称模型范围略调低广度。</x:v>
      </x:c>
      <x:c r="R4" s="40" t="str">
        <x:v>https://arxiv.org/abs/2605.19143</x:v>
      </x:c>
    </x:row>
    <x:row r="5" ht="32" customHeight="1">
      <x:c r="A5" s="59" t="str">
        <x:v>2026-05</x:v>
      </x:c>
      <x:c r="B5" s="59" t="n">
        <x:v>4</x:v>
      </x:c>
      <x:c r="C5" s="59" t="n">
        <x:v>7</x:v>
      </x:c>
      <x:c r="D5" s="59" t="n">
        <x:v>8</x:v>
      </x:c>
      <x:c r="E5" s="59" t="n">
        <x:v>-1</x:v>
      </x:c>
      <x:c r="F5" s="59" t="str">
        <x:v>2605.15149</x:v>
      </x:c>
      <x:c r="G5" s="40" t="str">
        <x:v>Asymptotically Self-Similar Blowup for 3D Incompressible Euler with C^{1,1/3-} Velocity I: C^infty 1D Limiting Profiles</x:v>
      </x:c>
      <x:c r="H5" s="40" t="str">
        <x:v>Jiajie Chen</x:v>
      </x:c>
      <x:c r="I5" s="60" t="n">
        <x:v>93.2</x:v>
      </x:c>
      <x:c r="J5" s="60" t="n">
        <x:v>93.09</x:v>
      </x:c>
      <x:c r="K5" s="60" t="n">
        <x:v>93.08</x:v>
      </x:c>
      <x:c r="L5" s="60" t="n">
        <x:v>93.09</x:v>
      </x:c>
      <x:c r="M5" s="60" t="n">
        <x:v>93.09</x:v>
      </x:c>
      <x:c r="N5" s="60" t="n">
        <x:v>-0.11</x:v>
      </x:c>
      <x:c r="O5" s="60" t="n">
        <x:v>0.005</x:v>
      </x:c>
      <x:c r="P5" s="59" t="str">
        <x:v>slight_down</x:v>
      </x:c>
      <x:c r="Q5" s="40" t="str">
        <x:v>系列/续篇按重叠性校准；Part I/1D profile component按系列重叠轻微下调。</x:v>
      </x:c>
      <x:c r="R5" s="40" t="str">
        <x:v>https://arxiv.org/abs/2605.15149</x:v>
      </x:c>
    </x:row>
    <x:row r="6" ht="32" customHeight="1">
      <x:c r="A6" s="59" t="str">
        <x:v>2026-05</x:v>
      </x:c>
      <x:c r="B6" s="59" t="n">
        <x:v>5</x:v>
      </x:c>
      <x:c r="C6" s="59" t="n">
        <x:v>8</x:v>
      </x:c>
      <x:c r="D6" s="59" t="n">
        <x:v>7</x:v>
      </x:c>
      <x:c r="E6" s="59" t="n">
        <x:v>1</x:v>
      </x:c>
      <x:c r="F6" s="59" t="str">
        <x:v>2605.05041</x:v>
      </x:c>
      <x:c r="G6" s="40" t="str">
        <x:v>An Optimal Regularity Theory for Immersed Stable Minimal Hypersurfaces with Small Singular Set</x:v>
      </x:c>
      <x:c r="H6" s="40" t="str">
        <x:v>Paul Minter; Zhengyi Xiao</x:v>
      </x:c>
      <x:c r="I6" s="60" t="n">
        <x:v>93.1</x:v>
      </x:c>
      <x:c r="J6" s="60" t="n">
        <x:v>93.22</x:v>
      </x:c>
      <x:c r="K6" s="60" t="n">
        <x:v>93.14</x:v>
      </x:c>
      <x:c r="L6" s="60" t="n">
        <x:v>93.19</x:v>
      </x:c>
      <x:c r="M6" s="60" t="n">
        <x:v>93.19</x:v>
      </x:c>
      <x:c r="N6" s="60" t="n">
        <x:v>0.09</x:v>
      </x:c>
      <x:c r="O6" s="60" t="n">
        <x:v>0.033</x:v>
      </x:c>
      <x:c r="P6" s="59" t="str">
        <x:v>slight_up</x:v>
      </x:c>
      <x:c r="Q6" s="40" t="str">
        <x:v>小奇异集稳定极小超曲面最优正则性，跨方向影响上调。</x:v>
      </x:c>
      <x:c r="R6" s="40" t="str">
        <x:v>https://arxiv.org/abs/2605.05041</x:v>
      </x:c>
    </x:row>
    <x:row r="7" ht="32" customHeight="1">
      <x:c r="A7" s="59" t="str">
        <x:v>2026-05</x:v>
      </x:c>
      <x:c r="B7" s="59" t="n">
        <x:v>6</x:v>
      </x:c>
      <x:c r="C7" s="59" t="n">
        <x:v>10</x:v>
      </x:c>
      <x:c r="D7" s="59" t="n">
        <x:v>10</x:v>
      </x:c>
      <x:c r="E7" s="59" t="n">
        <x:v>0</x:v>
      </x:c>
      <x:c r="F7" s="59" t="str">
        <x:v>2605.20426</x:v>
      </x:c>
      <x:c r="G7" s="40" t="str">
        <x:v>Pointwise bounds and obstructions to blowup for the Landau and Boltzmann equations</x:v>
      </x:c>
      <x:c r="H7" s="40" t="str">
        <x:v>William Golding; Christopher Henderson; Luis Silvestre</x:v>
      </x:c>
      <x:c r="I7" s="60" t="n">
        <x:v>92.6</x:v>
      </x:c>
      <x:c r="J7" s="60" t="n">
        <x:v>92.81</x:v>
      </x:c>
      <x:c r="K7" s="60" t="n">
        <x:v>92.7</x:v>
      </x:c>
      <x:c r="L7" s="60" t="n">
        <x:v>92.81</x:v>
      </x:c>
      <x:c r="M7" s="60" t="n">
        <x:v>92.8</x:v>
      </x:c>
      <x:c r="N7" s="60" t="n">
        <x:v>0.2</x:v>
      </x:c>
      <x:c r="O7" s="60" t="n">
        <x:v>0.052</x:v>
      </x:c>
      <x:c r="P7" s="59" t="str">
        <x:v>slight_up</x:v>
      </x:c>
      <x:c r="Q7" s="40" t="str">
        <x:v>Landau/Boltzmann blow-up obstruction的可迁移估计价值上调。</x:v>
      </x:c>
      <x:c r="R7" s="40" t="str">
        <x:v>https://arxiv.org/abs/2605.20426</x:v>
      </x:c>
    </x:row>
    <x:row r="8" ht="32" customHeight="1">
      <x:c r="A8" s="59" t="str">
        <x:v>2026-05</x:v>
      </x:c>
      <x:c r="B8" s="59" t="n">
        <x:v>7</x:v>
      </x:c>
      <x:c r="C8" s="59" t="n">
        <x:v>14</x:v>
      </x:c>
      <x:c r="D8" s="59" t="n">
        <x:v>13</x:v>
      </x:c>
      <x:c r="E8" s="59" t="n">
        <x:v>1</x:v>
      </x:c>
      <x:c r="F8" s="59" t="str">
        <x:v>2605.24200</x:v>
      </x:c>
      <x:c r="G8" s="40" t="str">
        <x:v>Refined asymptotics of the steady Navier Stokes equation around small Landau solutions</x:v>
      </x:c>
      <x:c r="H8" s="40" t="str">
        <x:v>Hao Jia; Vladimir Sverak</x:v>
      </x:c>
      <x:c r="I8" s="60" t="n">
        <x:v>92.1</x:v>
      </x:c>
      <x:c r="J8" s="60" t="n">
        <x:v>92.15</x:v>
      </x:c>
      <x:c r="K8" s="60" t="n">
        <x:v>92.09</x:v>
      </x:c>
      <x:c r="L8" s="60" t="n">
        <x:v>92.13</x:v>
      </x:c>
      <x:c r="M8" s="60" t="n">
        <x:v>92.13</x:v>
      </x:c>
      <x:c r="N8" s="60" t="n">
        <x:v>0.03</x:v>
      </x:c>
      <x:c r="O8" s="60" t="n">
        <x:v>0.025</x:v>
      </x:c>
      <x:c r="P8" s="59" t="str">
        <x:v>stable</x:v>
      </x:c>
      <x:c r="Q8" s="40" t="str">
        <x:v>范围偏专门，广度轻微回调</x:v>
      </x:c>
      <x:c r="R8" s="40" t="str">
        <x:v>https://arxiv.org/abs/2605.24200</x:v>
      </x:c>
    </x:row>
    <x:row r="9" ht="32" customHeight="1">
      <x:c r="A9" s="59" t="str">
        <x:v>2026-05</x:v>
      </x:c>
      <x:c r="B9" s="59" t="n">
        <x:v>7</x:v>
      </x:c>
      <x:c r="C9" s="59" t="n">
        <x:v>13</x:v>
      </x:c>
      <x:c r="D9" s="59" t="n">
        <x:v>15</x:v>
      </x:c>
      <x:c r="E9" s="59" t="n">
        <x:v>-2</x:v>
      </x:c>
      <x:c r="F9" s="59" t="str">
        <x:v>2605.02561</x:v>
      </x:c>
      <x:c r="G9" s="40" t="str">
        <x:v>Quantitative homogenization of elliptic equations with infinitely many scales</x:v>
      </x:c>
      <x:c r="H9" s="40" t="str">
        <x:v>Zhongwei Shen; Yao Xu; Jinping Zhuge</x:v>
      </x:c>
      <x:c r="I9" s="60" t="n">
        <x:v>92.1</x:v>
      </x:c>
      <x:c r="J9" s="60" t="n">
        <x:v>92.1</x:v>
      </x:c>
      <x:c r="K9" s="60" t="n">
        <x:v>92.06</x:v>
      </x:c>
      <x:c r="L9" s="60" t="n">
        <x:v>92.07</x:v>
      </x:c>
      <x:c r="M9" s="60" t="n">
        <x:v>92.07</x:v>
      </x:c>
      <x:c r="N9" s="60" t="n">
        <x:v>-0.03</x:v>
      </x:c>
      <x:c r="O9" s="60" t="n">
        <x:v>0.017</x:v>
      </x:c>
      <x:c r="P9" s="59" t="str">
        <x:v>stable</x:v>
      </x:c>
      <x:c r="Q9" s="40" t="str">
        <x:v>三轮复核后与原表基本一致</x:v>
      </x:c>
      <x:c r="R9" s="40" t="str">
        <x:v>https://arxiv.org/abs/2605.02561</x:v>
      </x:c>
    </x:row>
    <x:row r="10" ht="32" customHeight="1">
      <x:c r="A10" s="59" t="str">
        <x:v>2026-05</x:v>
      </x:c>
      <x:c r="B10" s="59" t="n">
        <x:v>9</x:v>
      </x:c>
      <x:c r="C10" s="59" t="n">
        <x:v>15</x:v>
      </x:c>
      <x:c r="D10" s="59" t="n">
        <x:v>16</x:v>
      </x:c>
      <x:c r="E10" s="59" t="n">
        <x:v>-1</x:v>
      </x:c>
      <x:c r="F10" s="59" t="str">
        <x:v>2605.28677</x:v>
      </x:c>
      <x:c r="G10" s="40" t="str">
        <x:v>Weak universality for stochastic reaction-diffusion models with long-range correlated noise</x:v>
      </x:c>
      <x:c r="H10" s="40" t="str">
        <x:v>Simon Gabriel; Markus Tempelmayr</x:v>
      </x:c>
      <x:c r="I10" s="60" t="n">
        <x:v>92</x:v>
      </x:c>
      <x:c r="J10" s="60" t="n">
        <x:v>92</x:v>
      </x:c>
      <x:c r="K10" s="60" t="n">
        <x:v>91.95</x:v>
      </x:c>
      <x:c r="L10" s="60" t="n">
        <x:v>91.98</x:v>
      </x:c>
      <x:c r="M10" s="60" t="n">
        <x:v>91.98</x:v>
      </x:c>
      <x:c r="N10" s="60" t="n">
        <x:v>-0.02</x:v>
      </x:c>
      <x:c r="O10" s="60" t="n">
        <x:v>0.021</x:v>
      </x:c>
      <x:c r="P10" s="59" t="str">
        <x:v>stable</x:v>
      </x:c>
      <x:c r="Q10" s="40" t="str">
        <x:v>三轮复核后与原表基本一致</x:v>
      </x:c>
      <x:c r="R10" s="40" t="str">
        <x:v>https://arxiv.org/abs/2605.28677</x:v>
      </x:c>
    </x:row>
    <x:row r="11" ht="32" customHeight="1">
      <x:c r="A11" s="59" t="str">
        <x:v>2026-05</x:v>
      </x:c>
      <x:c r="B11" s="59" t="n">
        <x:v>10</x:v>
      </x:c>
      <x:c r="C11" s="59" t="n">
        <x:v>17</x:v>
      </x:c>
      <x:c r="D11" s="59" t="n">
        <x:v>17</x:v>
      </x:c>
      <x:c r="E11" s="59" t="n">
        <x:v>0</x:v>
      </x:c>
      <x:c r="F11" s="59" t="str">
        <x:v>2605.02058</x:v>
      </x:c>
      <x:c r="G11" s="40" t="str">
        <x:v>Quantitative Estimates for Mean-Field Limits and Correlation Functions through a Duality Framework</x:v>
      </x:c>
      <x:c r="H11" s="40" t="str">
        <x:v>Nadia Khoury; Pierre-Emmanuel Jabin</x:v>
      </x:c>
      <x:c r="I11" s="60" t="n">
        <x:v>91.8</x:v>
      </x:c>
      <x:c r="J11" s="60" t="n">
        <x:v>91.93</x:v>
      </x:c>
      <x:c r="K11" s="60" t="n">
        <x:v>91.9</x:v>
      </x:c>
      <x:c r="L11" s="60" t="n">
        <x:v>91.9</x:v>
      </x:c>
      <x:c r="M11" s="60" t="n">
        <x:v>91.9</x:v>
      </x:c>
      <x:c r="N11" s="60" t="n">
        <x:v>0.1</x:v>
      </x:c>
      <x:c r="O11" s="60" t="n">
        <x:v>0.014</x:v>
      </x:c>
      <x:c r="P11" s="59" t="str">
        <x:v>slight_up</x:v>
      </x:c>
      <x:c r="Q11" s="40" t="str">
        <x:v>三轮复核后与原表基本一致</x:v>
      </x:c>
      <x:c r="R11" s="40" t="str">
        <x:v>https://arxiv.org/abs/2605.02058</x:v>
      </x:c>
    </x:row>
    <x:row r="12" ht="32" customHeight="1">
      <x:c r="A12" s="59" t="str">
        <x:v>2026-05</x:v>
      </x:c>
      <x:c r="B12" s="59" t="n">
        <x:v>11</x:v>
      </x:c>
      <x:c r="C12" s="59" t="n">
        <x:v>18</x:v>
      </x:c>
      <x:c r="D12" s="59" t="n">
        <x:v>18</x:v>
      </x:c>
      <x:c r="E12" s="59" t="n">
        <x:v>0</x:v>
      </x:c>
      <x:c r="F12" s="59" t="str">
        <x:v>2605.24443</x:v>
      </x:c>
      <x:c r="G12" s="40" t="str">
        <x:v>A dimension-free interpolation of Caffarelli's contraction theorem</x:v>
      </x:c>
      <x:c r="H12" s="40" t="str">
        <x:v>Bader Ammari; Alessio Figalli</x:v>
      </x:c>
      <x:c r="I12" s="60" t="n">
        <x:v>91.7</x:v>
      </x:c>
      <x:c r="J12" s="60" t="n">
        <x:v>91.8</x:v>
      </x:c>
      <x:c r="K12" s="60" t="n">
        <x:v>91.77</x:v>
      </x:c>
      <x:c r="L12" s="60" t="n">
        <x:v>91.77</x:v>
      </x:c>
      <x:c r="M12" s="60" t="n">
        <x:v>91.77</x:v>
      </x:c>
      <x:c r="N12" s="60" t="n">
        <x:v>0.07</x:v>
      </x:c>
      <x:c r="O12" s="60" t="n">
        <x:v>0.014</x:v>
      </x:c>
      <x:c r="P12" s="59" t="str">
        <x:v>slight_up</x:v>
      </x:c>
      <x:c r="Q12" s="40" t="str">
        <x:v>dimension-free Caffarelli contraction interpolation 的概念价值上调。</x:v>
      </x:c>
      <x:c r="R12" s="40" t="str">
        <x:v>https://arxiv.org/abs/2605.24443</x:v>
      </x:c>
    </x:row>
    <x:row r="13" ht="32" customHeight="1">
      <x:c r="A13" s="59" t="str">
        <x:v>2026-05</x:v>
      </x:c>
      <x:c r="B13" s="59" t="n">
        <x:v>11</x:v>
      </x:c>
      <x:c r="C13" s="59" t="n">
        <x:v>19</x:v>
      </x:c>
      <x:c r="D13" s="59" t="n">
        <x:v>21</x:v>
      </x:c>
      <x:c r="E13" s="59" t="n">
        <x:v>-2</x:v>
      </x:c>
      <x:c r="F13" s="59" t="str">
        <x:v>2605.19574</x:v>
      </x:c>
      <x:c r="G13" s="40" t="str">
        <x:v>Flowing to free boundary minimal surfaces</x:v>
      </x:c>
      <x:c r="H13" s="40" t="str">
        <x:v>Melanie Rupflin; Michael Struwe; Christopher Wright</x:v>
      </x:c>
      <x:c r="I13" s="60" t="n">
        <x:v>91.7</x:v>
      </x:c>
      <x:c r="J13" s="60" t="n">
        <x:v>91.65</x:v>
      </x:c>
      <x:c r="K13" s="60" t="n">
        <x:v>91.66</x:v>
      </x:c>
      <x:c r="L13" s="60" t="n">
        <x:v>91.65</x:v>
      </x:c>
      <x:c r="M13" s="60" t="n">
        <x:v>91.65</x:v>
      </x:c>
      <x:c r="N13" s="60" t="n">
        <x:v>-0.05</x:v>
      </x:c>
      <x:c r="O13" s="60" t="n">
        <x:v>0.005</x:v>
      </x:c>
      <x:c r="P13" s="59" t="str">
        <x:v>stable</x:v>
      </x:c>
      <x:c r="Q13" s="40" t="str">
        <x:v>三轮复核后与原表基本一致</x:v>
      </x:c>
      <x:c r="R13" s="40" t="str">
        <x:v>https://arxiv.org/abs/2605.19574</x:v>
      </x:c>
    </x:row>
    <x:row r="14" ht="32" customHeight="1">
      <x:c r="A14" s="59" t="str">
        <x:v>2026-05</x:v>
      </x:c>
      <x:c r="B14" s="59" t="n">
        <x:v>13</x:v>
      </x:c>
      <x:c r="C14" s="59" t="n">
        <x:v>22</x:v>
      </x:c>
      <x:c r="D14" s="59" t="n">
        <x:v>22</x:v>
      </x:c>
      <x:c r="E14" s="59" t="n">
        <x:v>0</x:v>
      </x:c>
      <x:c r="F14" s="59" t="str">
        <x:v>2605.19716</x:v>
      </x:c>
      <x:c r="G14" s="40" t="str">
        <x:v>Self-similar blow-up solutions of d-dimensional incompressible Euler equations with C^{1,(1-2/d)-} velocity</x:v>
      </x:c>
      <x:c r="H14" s="40" t="str">
        <x:v>Feng Shao; Dongyi Wei; Ping Zhang; Zhifei Zhang</x:v>
      </x:c>
      <x:c r="I14" s="60" t="n">
        <x:v>91.6</x:v>
      </x:c>
      <x:c r="J14" s="60" t="n">
        <x:v>91.64</x:v>
      </x:c>
      <x:c r="K14" s="60" t="n">
        <x:v>91.61</x:v>
      </x:c>
      <x:c r="L14" s="60" t="n">
        <x:v>91.62</x:v>
      </x:c>
      <x:c r="M14" s="60" t="n">
        <x:v>91.62</x:v>
      </x:c>
      <x:c r="N14" s="60" t="n">
        <x:v>0.02</x:v>
      </x:c>
      <x:c r="O14" s="60" t="n">
        <x:v>0.012</x:v>
      </x:c>
      <x:c r="P14" s="59" t="str">
        <x:v>stable</x:v>
      </x:c>
      <x:c r="Q14" s="40" t="str">
        <x:v>三轮复核后与原表基本一致</x:v>
      </x:c>
      <x:c r="R14" s="40" t="str">
        <x:v>https://arxiv.org/abs/2605.19716</x:v>
      </x:c>
    </x:row>
    <x:row r="15" ht="32" customHeight="1">
      <x:c r="A15" s="59" t="str">
        <x:v>2026-05</x:v>
      </x:c>
      <x:c r="B15" s="59" t="n">
        <x:v>14</x:v>
      </x:c>
      <x:c r="C15" s="59" t="n">
        <x:v>23</x:v>
      </x:c>
      <x:c r="D15" s="59" t="n">
        <x:v>23</x:v>
      </x:c>
      <x:c r="E15" s="59" t="n">
        <x:v>0</x:v>
      </x:c>
      <x:c r="F15" s="59" t="str">
        <x:v>2605.24392</x:v>
      </x:c>
      <x:c r="G15" s="40" t="str">
        <x:v>Hydrodynamic Limit of the Boltzmann Equation toward Generic Riemann Solutions with Shocks</x:v>
      </x:c>
      <x:c r="H15" s="40" t="str">
        <x:v>Mingi Choe; Moon-jin Kang; Chanwoo Kim</x:v>
      </x:c>
      <x:c r="I15" s="60" t="n">
        <x:v>91.4</x:v>
      </x:c>
      <x:c r="J15" s="60" t="n">
        <x:v>91.56</x:v>
      </x:c>
      <x:c r="K15" s="60" t="n">
        <x:v>91.53</x:v>
      </x:c>
      <x:c r="L15" s="60" t="n">
        <x:v>91.56</x:v>
      </x:c>
      <x:c r="M15" s="60" t="n">
        <x:v>91.56</x:v>
      </x:c>
      <x:c r="N15" s="60" t="n">
        <x:v>0.16</x:v>
      </x:c>
      <x:c r="O15" s="60" t="n">
        <x:v>0.014</x:v>
      </x:c>
      <x:c r="P15" s="59" t="str">
        <x:v>slight_up</x:v>
      </x:c>
      <x:c r="Q15" s="40" t="str">
        <x:v>带激波Riemann解的Boltzmann流体极限，广度和技术性上调。</x:v>
      </x:c>
      <x:c r="R15" s="40" t="str">
        <x:v>https://arxiv.org/abs/2605.24392</x:v>
      </x:c>
    </x:row>
    <x:row r="16" ht="32" customHeight="1">
      <x:c r="A16" s="59" t="str">
        <x:v>2026-05</x:v>
      </x:c>
      <x:c r="B16" s="59" t="n">
        <x:v>15</x:v>
      </x:c>
      <x:c r="C16" s="59" t="n">
        <x:v>25</x:v>
      </x:c>
      <x:c r="D16" s="59" t="n">
        <x:v>24</x:v>
      </x:c>
      <x:c r="E16" s="59" t="n">
        <x:v>1</x:v>
      </x:c>
      <x:c r="F16" s="59" t="str">
        <x:v>2605.24214</x:v>
      </x:c>
      <x:c r="G16" s="40" t="str">
        <x:v>Variational formulation of hyperbolic conservation laws</x:v>
      </x:c>
      <x:c r="H16" s="40" t="str">
        <x:v>Eitan Tadmor</x:v>
      </x:c>
      <x:c r="I16" s="60" t="n">
        <x:v>91.3</x:v>
      </x:c>
      <x:c r="J16" s="60" t="n">
        <x:v>91.44</x:v>
      </x:c>
      <x:c r="K16" s="60" t="n">
        <x:v>91.38</x:v>
      </x:c>
      <x:c r="L16" s="60" t="n">
        <x:v>91.41</x:v>
      </x:c>
      <x:c r="M16" s="60" t="n">
        <x:v>91.41</x:v>
      </x:c>
      <x:c r="N16" s="60" t="n">
        <x:v>0.11</x:v>
      </x:c>
      <x:c r="O16" s="60" t="n">
        <x:v>0.024</x:v>
      </x:c>
      <x:c r="P16" s="59" t="str">
        <x:v>slight_up</x:v>
      </x:c>
      <x:c r="Q16" s="40" t="str">
        <x:v>概念性变分框架广度上调，证明深度轻微回调。</x:v>
      </x:c>
      <x:c r="R16" s="40" t="str">
        <x:v>https://arxiv.org/abs/2605.24214</x:v>
      </x:c>
    </x:row>
    <x:row r="17" ht="32" customHeight="1">
      <x:c r="A17" s="59" t="str">
        <x:v>2026-05</x:v>
      </x:c>
      <x:c r="B17" s="59" t="n">
        <x:v>16</x:v>
      </x:c>
      <x:c r="C17" s="59" t="n">
        <x:v>29</x:v>
      </x:c>
      <x:c r="D17" s="59" t="n">
        <x:v>29</x:v>
      </x:c>
      <x:c r="E17" s="59" t="n">
        <x:v>0</x:v>
      </x:c>
      <x:c r="F17" s="59" t="str">
        <x:v>2605.07913</x:v>
      </x:c>
      <x:c r="G17" s="40" t="str">
        <x:v>Finite index solutions to the Bernoulli problem in three dimensions are axially symmetric</x:v>
      </x:c>
      <x:c r="H17" s="40" t="str">
        <x:v>Xavier Fernandez-Real; Enric Florit-Simon; Joaquim Serra</x:v>
      </x:c>
      <x:c r="I17" s="60" t="n">
        <x:v>91</x:v>
      </x:c>
      <x:c r="J17" s="60" t="n">
        <x:v>91.05</x:v>
      </x:c>
      <x:c r="K17" s="60" t="n">
        <x:v>91.03</x:v>
      </x:c>
      <x:c r="L17" s="60" t="n">
        <x:v>91.03</x:v>
      </x:c>
      <x:c r="M17" s="60" t="n">
        <x:v>91.03</x:v>
      </x:c>
      <x:c r="N17" s="60" t="n">
        <x:v>0.03</x:v>
      </x:c>
      <x:c r="O17" s="60" t="n">
        <x:v>0.009</x:v>
      </x:c>
      <x:c r="P17" s="59" t="str">
        <x:v>stable</x:v>
      </x:c>
      <x:c r="Q17" s="40" t="str">
        <x:v>三轮复核后与原表基本一致</x:v>
      </x:c>
      <x:c r="R17" s="40" t="str">
        <x:v>https://arxiv.org/abs/2605.07913</x:v>
      </x:c>
    </x:row>
    <x:row r="18" ht="32" customHeight="1">
      <x:c r="A18" s="59" t="str">
        <x:v>2026-05</x:v>
      </x:c>
      <x:c r="B18" s="59" t="n">
        <x:v>17</x:v>
      </x:c>
      <x:c r="C18" s="59" t="n">
        <x:v>31</x:v>
      </x:c>
      <x:c r="D18" s="59" t="n">
        <x:v>31</x:v>
      </x:c>
      <x:c r="E18" s="59" t="n">
        <x:v>0</x:v>
      </x:c>
      <x:c r="F18" s="59" t="str">
        <x:v>2605.16502</x:v>
      </x:c>
      <x:c r="G18" s="40" t="str">
        <x:v>Sharp Ill-Posedness of the Euler Equations in Lorentz Spaces</x:v>
      </x:c>
      <x:c r="H18" s="40" t="str">
        <x:v>Jeaheang Bang; Alexey Cheskidov</x:v>
      </x:c>
      <x:c r="I18" s="60" t="n">
        <x:v>90.9</x:v>
      </x:c>
      <x:c r="J18" s="60" t="n">
        <x:v>90.95</x:v>
      </x:c>
      <x:c r="K18" s="60" t="n">
        <x:v>90.93</x:v>
      </x:c>
      <x:c r="L18" s="60" t="n">
        <x:v>90.93</x:v>
      </x:c>
      <x:c r="M18" s="60" t="n">
        <x:v>90.93</x:v>
      </x:c>
      <x:c r="N18" s="60" t="n">
        <x:v>0.03</x:v>
      </x:c>
      <x:c r="O18" s="60" t="n">
        <x:v>0.009</x:v>
      </x:c>
      <x:c r="P18" s="59" t="str">
        <x:v>stable</x:v>
      </x:c>
      <x:c r="Q18" s="40" t="str">
        <x:v>三轮复核后与原表基本一致</x:v>
      </x:c>
      <x:c r="R18" s="40" t="str">
        <x:v>https://arxiv.org/abs/2605.16502</x:v>
      </x:c>
    </x:row>
    <x:row r="19" ht="32" customHeight="1">
      <x:c r="A19" s="59" t="str">
        <x:v>2026-05</x:v>
      </x:c>
      <x:c r="B19" s="59" t="n">
        <x:v>18</x:v>
      </x:c>
      <x:c r="C19" s="59" t="n">
        <x:v>35</x:v>
      </x:c>
      <x:c r="D19" s="59" t="n">
        <x:v>33</x:v>
      </x:c>
      <x:c r="E19" s="59" t="n">
        <x:v>2</x:v>
      </x:c>
      <x:c r="F19" s="59" t="str">
        <x:v>2605.11834</x:v>
      </x:c>
      <x:c r="G19" s="40" t="str">
        <x:v>Sharp upper bound for a branched transport problem coming from Ginzburg-Landau models</x:v>
      </x:c>
      <x:c r="H19" s="40" t="str">
        <x:v>Alessandro Cosenza; Michael Goldman; Felix Otto</x:v>
      </x:c>
      <x:c r="I19" s="60" t="n">
        <x:v>90.7</x:v>
      </x:c>
      <x:c r="J19" s="60" t="n">
        <x:v>90.83</x:v>
      </x:c>
      <x:c r="K19" s="60" t="n">
        <x:v>90.81</x:v>
      </x:c>
      <x:c r="L19" s="60" t="n">
        <x:v>90.81</x:v>
      </x:c>
      <x:c r="M19" s="60" t="n">
        <x:v>90.81</x:v>
      </x:c>
      <x:c r="N19" s="60" t="n">
        <x:v>0.11</x:v>
      </x:c>
      <x:c r="O19" s="60" t="n">
        <x:v>0.009</x:v>
      </x:c>
      <x:c r="P19" s="59" t="str">
        <x:v>slight_up</x:v>
      </x:c>
      <x:c r="Q19" s="40" t="str">
        <x:v>三轮复核后与原表基本一致</x:v>
      </x:c>
      <x:c r="R19" s="40" t="str">
        <x:v>https://arxiv.org/abs/2605.11834</x:v>
      </x:c>
    </x:row>
    <x:row r="20" ht="32" customHeight="1">
      <x:c r="A20" s="59" t="str">
        <x:v>2026-05</x:v>
      </x:c>
      <x:c r="B20" s="59" t="n">
        <x:v>19</x:v>
      </x:c>
      <x:c r="C20" s="59" t="n">
        <x:v>39</x:v>
      </x:c>
      <x:c r="D20" s="59" t="n">
        <x:v>37</x:v>
      </x:c>
      <x:c r="E20" s="59" t="n">
        <x:v>2</x:v>
      </x:c>
      <x:c r="F20" s="59" t="str">
        <x:v>2605.10138</x:v>
      </x:c>
      <x:c r="G20" s="40" t="str">
        <x:v>Global Well-posedness for the Multi-species Boltzmann Equation with Large Amplitude Initial Data</x:v>
      </x:c>
      <x:c r="H20" s="40" t="str">
        <x:v>Gyounghun Ko; Myeong-Su Lee; Sung-Jun Son</x:v>
      </x:c>
      <x:c r="I20" s="60" t="n">
        <x:v>90.4</x:v>
      </x:c>
      <x:c r="J20" s="60" t="n">
        <x:v>90.48</x:v>
      </x:c>
      <x:c r="K20" s="60" t="n">
        <x:v>90.45</x:v>
      </x:c>
      <x:c r="L20" s="60" t="n">
        <x:v>90.45</x:v>
      </x:c>
      <x:c r="M20" s="60" t="n">
        <x:v>90.45</x:v>
      </x:c>
      <x:c r="N20" s="60" t="n">
        <x:v>0.05</x:v>
      </x:c>
      <x:c r="O20" s="60" t="n">
        <x:v>0.014</x:v>
      </x:c>
      <x:c r="P20" s="59" t="str">
        <x:v>stable</x:v>
      </x:c>
      <x:c r="Q20" s="40" t="str">
        <x:v>三轮复核后与原表基本一致</x:v>
      </x:c>
      <x:c r="R20" s="40" t="str">
        <x:v>https://arxiv.org/abs/2605.10138</x:v>
      </x:c>
    </x:row>
    <x:row r="21" ht="32" customHeight="1">
      <x:c r="A21" s="59" t="str">
        <x:v>2026-05</x:v>
      </x:c>
      <x:c r="B21" s="59" t="n">
        <x:v>19</x:v>
      </x:c>
      <x:c r="C21" s="59" t="n">
        <x:v>38</x:v>
      </x:c>
      <x:c r="D21" s="59" t="n">
        <x:v>41</x:v>
      </x:c>
      <x:c r="E21" s="59" t="n">
        <x:v>-3</x:v>
      </x:c>
      <x:c r="F21" s="59" t="str">
        <x:v>2605.00189</x:v>
      </x:c>
      <x:c r="G21" s="40" t="str">
        <x:v>Local Asymptotic Patterns for Viscous Approximations of Conservation Laws</x:v>
      </x:c>
      <x:c r="H21" s="40" t="str">
        <x:v>Alberto Bressan; Laura Caravenna; Wen Shen</x:v>
      </x:c>
      <x:c r="I21" s="60" t="n">
        <x:v>90.4</x:v>
      </x:c>
      <x:c r="J21" s="60" t="n">
        <x:v>90.35</x:v>
      </x:c>
      <x:c r="K21" s="60" t="n">
        <x:v>90.36</x:v>
      </x:c>
      <x:c r="L21" s="60" t="n">
        <x:v>90.35</x:v>
      </x:c>
      <x:c r="M21" s="60" t="n">
        <x:v>90.35</x:v>
      </x:c>
      <x:c r="N21" s="60" t="n">
        <x:v>-0.05</x:v>
      </x:c>
      <x:c r="O21" s="60" t="n">
        <x:v>0.005</x:v>
      </x:c>
      <x:c r="P21" s="59" t="str">
        <x:v>stable</x:v>
      </x:c>
      <x:c r="Q21" s="40" t="str">
        <x:v>三轮复核后与原表基本一致</x:v>
      </x:c>
      <x:c r="R21" s="40" t="str">
        <x:v>https://arxiv.org/abs/2605.00189</x:v>
      </x:c>
    </x:row>
    <x:row r="22" ht="32" customHeight="1">
      <x:c r="A22" s="59" t="str">
        <x:v>2026-05</x:v>
      </x:c>
      <x:c r="B22" s="59" t="n">
        <x:v>21</x:v>
      </x:c>
      <x:c r="C22" s="59" t="n">
        <x:v>42</x:v>
      </x:c>
      <x:c r="D22" s="59" t="n">
        <x:v>42</x:v>
      </x:c>
      <x:c r="E22" s="59" t="n">
        <x:v>0</x:v>
      </x:c>
      <x:c r="F22" s="59" t="str">
        <x:v>2605.10788</x:v>
      </x:c>
      <x:c r="G22" s="40" t="str">
        <x:v>Entropy Structures and Long-Time Relaxation for 3-Wave Kinetic Equations</x:v>
      </x:c>
      <x:c r="H22" s="40" t="str">
        <x:v>Gigliola Staffilani; Minh-Binh Tran</x:v>
      </x:c>
      <x:c r="I22" s="60" t="n">
        <x:v>90.3</x:v>
      </x:c>
      <x:c r="J22" s="60" t="n">
        <x:v>90.32</x:v>
      </x:c>
      <x:c r="K22" s="60" t="n">
        <x:v>90.3</x:v>
      </x:c>
      <x:c r="L22" s="60" t="n">
        <x:v>90.3</x:v>
      </x:c>
      <x:c r="M22" s="60" t="n">
        <x:v>90.3</x:v>
      </x:c>
      <x:c r="N22" s="60" t="n">
        <x:v>0</x:v>
      </x:c>
      <x:c r="O22" s="60" t="n">
        <x:v>0.009</x:v>
      </x:c>
      <x:c r="P22" s="59" t="str">
        <x:v>stable</x:v>
      </x:c>
      <x:c r="Q22" s="40" t="str">
        <x:v>三轮复核后与原表基本一致</x:v>
      </x:c>
      <x:c r="R22" s="40" t="str">
        <x:v>https://arxiv.org/abs/2605.10788</x:v>
      </x:c>
    </x:row>
    <x:row r="23" ht="32" customHeight="1">
      <x:c r="A23" s="59" t="str">
        <x:v>2026-05</x:v>
      </x:c>
      <x:c r="B23" s="59" t="n">
        <x:v>22</x:v>
      </x:c>
      <x:c r="C23" s="59" t="n">
        <x:v>45</x:v>
      </x:c>
      <x:c r="D23" s="59" t="n">
        <x:v>48</x:v>
      </x:c>
      <x:c r="E23" s="59" t="n">
        <x:v>-3</x:v>
      </x:c>
      <x:c r="F23" s="59" t="str">
        <x:v>2605.02540</x:v>
      </x:c>
      <x:c r="G23" s="40" t="str">
        <x:v>On the onset of correlations in Wave Turbulence close to singularities</x:v>
      </x:c>
      <x:c r="H23" s="40" t="str">
        <x:v>M. Escobedo; J. J. L. Velazquez</x:v>
      </x:c>
      <x:c r="I23" s="60" t="n">
        <x:v>90.2</x:v>
      </x:c>
      <x:c r="J23" s="60" t="n">
        <x:v>90.13</x:v>
      </x:c>
      <x:c r="K23" s="60" t="n">
        <x:v>90.13</x:v>
      </x:c>
      <x:c r="L23" s="60" t="n">
        <x:v>90.13</x:v>
      </x:c>
      <x:c r="M23" s="60" t="n">
        <x:v>90.13</x:v>
      </x:c>
      <x:c r="N23" s="60" t="n">
        <x:v>-0.07</x:v>
      </x:c>
      <x:c r="O23" s="60" t="n">
        <x:v>0</x:v>
      </x:c>
      <x:c r="P23" s="59" t="str">
        <x:v>slight_down</x:v>
      </x:c>
      <x:c r="Q23" s="40" t="str">
        <x:v>三轮复核后与原表基本一致</x:v>
      </x:c>
      <x:c r="R23" s="40" t="str">
        <x:v>https://arxiv.org/abs/2605.02540</x:v>
      </x:c>
    </x:row>
    <x:row r="24" ht="32" customHeight="1">
      <x:c r="A24" s="59" t="str">
        <x:v>2026-05</x:v>
      </x:c>
      <x:c r="B24" s="59" t="n">
        <x:v>23</x:v>
      </x:c>
      <x:c r="C24" s="59" t="n">
        <x:v>49</x:v>
      </x:c>
      <x:c r="D24" s="59" t="n">
        <x:v>49</x:v>
      </x:c>
      <x:c r="E24" s="59" t="n">
        <x:v>0</x:v>
      </x:c>
      <x:c r="F24" s="59" t="str">
        <x:v>2605.02034</x:v>
      </x:c>
      <x:c r="G24" s="40" t="str">
        <x:v>Serrin's overdetermined theorem and weak Bernoulli laws without Alt-Caffarelli regularity</x:v>
      </x:c>
      <x:c r="H24" s="40" t="str">
        <x:v>Yi Ru-Ya Zhang</x:v>
      </x:c>
      <x:c r="I24" s="60" t="n">
        <x:v>89.9</x:v>
      </x:c>
      <x:c r="J24" s="60" t="n">
        <x:v>89.98</x:v>
      </x:c>
      <x:c r="K24" s="60" t="n">
        <x:v>89.95</x:v>
      </x:c>
      <x:c r="L24" s="60" t="n">
        <x:v>89.95</x:v>
      </x:c>
      <x:c r="M24" s="60" t="n">
        <x:v>89.95</x:v>
      </x:c>
      <x:c r="N24" s="60" t="n">
        <x:v>0.05</x:v>
      </x:c>
      <x:c r="O24" s="60" t="n">
        <x:v>0.014</x:v>
      </x:c>
      <x:c r="P24" s="59" t="str">
        <x:v>stable</x:v>
      </x:c>
      <x:c r="Q24" s="40" t="str">
        <x:v>三轮复核后与原表基本一致</x:v>
      </x:c>
      <x:c r="R24" s="40" t="str">
        <x:v>https://arxiv.org/abs/2605.02034</x:v>
      </x:c>
    </x:row>
    <x:row r="25" ht="32" customHeight="1">
      <x:c r="A25" s="59" t="str">
        <x:v>2026-05</x:v>
      </x:c>
      <x:c r="B25" s="59" t="n">
        <x:v>24</x:v>
      </x:c>
      <x:c r="C25" s="59" t="n">
        <x:v>52</x:v>
      </x:c>
      <x:c r="D25" s="59" t="n">
        <x:v>51</x:v>
      </x:c>
      <x:c r="E25" s="59" t="n">
        <x:v>1</x:v>
      </x:c>
      <x:c r="F25" s="59" t="str">
        <x:v>2605.01933</x:v>
      </x:c>
      <x:c r="G25" s="40" t="str">
        <x:v>A sharp hypocoercive entropy decay estimate for underdamped Langevin dynamics</x:v>
      </x:c>
      <x:c r="H25" s="40" t="str">
        <x:v>Jianfeng Lu</x:v>
      </x:c>
      <x:c r="I25" s="60" t="n">
        <x:v>89.8</x:v>
      </x:c>
      <x:c r="J25" s="60" t="n">
        <x:v>89.88</x:v>
      </x:c>
      <x:c r="K25" s="60" t="n">
        <x:v>89.82</x:v>
      </x:c>
      <x:c r="L25" s="60" t="n">
        <x:v>89.85</x:v>
      </x:c>
      <x:c r="M25" s="60" t="n">
        <x:v>89.85</x:v>
      </x:c>
      <x:c r="N25" s="60" t="n">
        <x:v>0.05</x:v>
      </x:c>
      <x:c r="O25" s="60" t="n">
        <x:v>0.024</x:v>
      </x:c>
      <x:c r="P25" s="59" t="str">
        <x:v>stable</x:v>
      </x:c>
      <x:c r="Q25" s="40" t="str">
        <x:v>三轮复核后与原表基本一致</x:v>
      </x:c>
      <x:c r="R25" s="40" t="str">
        <x:v>https://arxiv.org/abs/2605.01933</x:v>
      </x:c>
    </x:row>
    <x:row r="26" ht="32" customHeight="1">
      <x:c r="A26" s="59" t="str">
        <x:v>2026-05</x:v>
      </x:c>
      <x:c r="B26" s="59" t="n">
        <x:v>25</x:v>
      </x:c>
      <x:c r="C26" s="59" t="n">
        <x:v>53</x:v>
      </x:c>
      <x:c r="D26" s="59" t="n">
        <x:v>53</x:v>
      </x:c>
      <x:c r="E26" s="59" t="n">
        <x:v>0</x:v>
      </x:c>
      <x:c r="F26" s="59" t="str">
        <x:v>2605.03732</x:v>
      </x:c>
      <x:c r="G26" s="40" t="str">
        <x:v>Sharp Stability for the Affine Fractional Sobolev Inequality</x:v>
      </x:c>
      <x:c r="H26" s="40" t="str">
        <x:v>Song Fan; Gui-Dong Li; Jianjun Zhang</x:v>
      </x:c>
      <x:c r="I26" s="60" t="n">
        <x:v>89.7</x:v>
      </x:c>
      <x:c r="J26" s="60" t="n">
        <x:v>89.77</x:v>
      </x:c>
      <x:c r="K26" s="60" t="n">
        <x:v>89.75</x:v>
      </x:c>
      <x:c r="L26" s="60" t="n">
        <x:v>89.75</x:v>
      </x:c>
      <x:c r="M26" s="60" t="n">
        <x:v>89.75</x:v>
      </x:c>
      <x:c r="N26" s="60" t="n">
        <x:v>0.05</x:v>
      </x:c>
      <x:c r="O26" s="60" t="n">
        <x:v>0.009</x:v>
      </x:c>
      <x:c r="P26" s="59" t="str">
        <x:v>stable</x:v>
      </x:c>
      <x:c r="Q26" s="40" t="str">
        <x:v>三轮复核后与原表基本一致</x:v>
      </x:c>
      <x:c r="R26" s="40" t="str">
        <x:v>https://arxiv.org/abs/2605.03732</x:v>
      </x:c>
    </x:row>
    <x:row r="27" ht="32" customHeight="1">
      <x:c r="A27" s="59" t="str">
        <x:v>2026-05</x:v>
      </x:c>
      <x:c r="B27" s="59" t="n">
        <x:v>26</x:v>
      </x:c>
      <x:c r="C27" s="59" t="n">
        <x:v>63</x:v>
      </x:c>
      <x:c r="D27" s="59" t="n">
        <x:v>62</x:v>
      </x:c>
      <x:c r="E27" s="59" t="n">
        <x:v>1</x:v>
      </x:c>
      <x:c r="F27" s="59" t="str">
        <x:v>2605.27695</x:v>
      </x:c>
      <x:c r="G27" s="40" t="str">
        <x:v>Non Maxwellian long-time asymptotics for Homoenergetic Boltzmann flows under strong shear</x:v>
      </x:c>
      <x:c r="H27" s="40" t="str">
        <x:v>Alessia Nota; Juan J. L. Velazquez</x:v>
      </x:c>
      <x:c r="I27" s="60" t="n">
        <x:v>89.2</x:v>
      </x:c>
      <x:c r="J27" s="60" t="n">
        <x:v>89.28</x:v>
      </x:c>
      <x:c r="K27" s="60" t="n">
        <x:v>89.25</x:v>
      </x:c>
      <x:c r="L27" s="60" t="n">
        <x:v>89.25</x:v>
      </x:c>
      <x:c r="M27" s="60" t="n">
        <x:v>89.25</x:v>
      </x:c>
      <x:c r="N27" s="60" t="n">
        <x:v>0.05</x:v>
      </x:c>
      <x:c r="O27" s="60" t="n">
        <x:v>0.014</x:v>
      </x:c>
      <x:c r="P27" s="59" t="str">
        <x:v>stable</x:v>
      </x:c>
      <x:c r="Q27" s="40" t="str">
        <x:v>三轮复核后与原表基本一致</x:v>
      </x:c>
      <x:c r="R27" s="40" t="str">
        <x:v>https://arxiv.org/abs/2605.27695</x:v>
      </x:c>
    </x:row>
    <x:row r="28" ht="32" customHeight="1">
      <x:c r="A28" s="59" t="str">
        <x:v>2026-05</x:v>
      </x:c>
      <x:c r="B28" s="59" t="n">
        <x:v>26</x:v>
      </x:c>
      <x:c r="C28" s="59" t="n">
        <x:v>62</x:v>
      </x:c>
      <x:c r="D28" s="59" t="n">
        <x:v>63</x:v>
      </x:c>
      <x:c r="E28" s="59" t="n">
        <x:v>-1</x:v>
      </x:c>
      <x:c r="F28" s="59" t="str">
        <x:v>2605.07538</x:v>
      </x:c>
      <x:c r="G28" s="40" t="str">
        <x:v>Nonlinear stability threshold for 3D compressible Couette flow</x:v>
      </x:c>
      <x:c r="H28" s="40" t="str">
        <x:v>Rui Li; Fei Wang; Lingda Xu; Zeren Zhang</x:v>
      </x:c>
      <x:c r="I28" s="60" t="n">
        <x:v>89.2</x:v>
      </x:c>
      <x:c r="J28" s="60" t="n">
        <x:v>89.15</x:v>
      </x:c>
      <x:c r="K28" s="60" t="n">
        <x:v>89.16</x:v>
      </x:c>
      <x:c r="L28" s="60" t="n">
        <x:v>89.15</x:v>
      </x:c>
      <x:c r="M28" s="60" t="n">
        <x:v>89.15</x:v>
      </x:c>
      <x:c r="N28" s="60" t="n">
        <x:v>-0.05</x:v>
      </x:c>
      <x:c r="O28" s="60" t="n">
        <x:v>0.005</x:v>
      </x:c>
      <x:c r="P28" s="59" t="str">
        <x:v>stable</x:v>
      </x:c>
      <x:c r="Q28" s="40" t="str">
        <x:v>三轮复核后与原表基本一致</x:v>
      </x:c>
      <x:c r="R28" s="40" t="str">
        <x:v>https://arxiv.org/abs/2605.07538</x:v>
      </x:c>
    </x:row>
    <x:row r="29" ht="32" customHeight="1">
      <x:c r="A29" s="59" t="str">
        <x:v>2026-05</x:v>
      </x:c>
      <x:c r="B29" s="59" t="n">
        <x:v>28</x:v>
      </x:c>
      <x:c r="C29" s="59" t="n">
        <x:v>66</x:v>
      </x:c>
      <x:c r="D29" s="59" t="n">
        <x:v>66</x:v>
      </x:c>
      <x:c r="E29" s="59" t="n">
        <x:v>0</x:v>
      </x:c>
      <x:c r="F29" s="59" t="str">
        <x:v>2605.19598</x:v>
      </x:c>
      <x:c r="G29" s="40" t="str">
        <x:v>Wrinkling in the Lame problem: a Gamma-convergence approach</x:v>
      </x:c>
      <x:c r="H29" s="40" t="str">
        <x:v>Roberta Marziani</x:v>
      </x:c>
      <x:c r="I29" s="60" t="n">
        <x:v>89</x:v>
      </x:c>
      <x:c r="J29" s="60" t="n">
        <x:v>88.98</x:v>
      </x:c>
      <x:c r="K29" s="60" t="n">
        <x:v>88.98</x:v>
      </x:c>
      <x:c r="L29" s="60" t="n">
        <x:v>88.98</x:v>
      </x:c>
      <x:c r="M29" s="60" t="n">
        <x:v>88.98</x:v>
      </x:c>
      <x:c r="N29" s="60" t="n">
        <x:v>-0.02</x:v>
      </x:c>
      <x:c r="O29" s="60" t="n">
        <x:v>0</x:v>
      </x:c>
      <x:c r="P29" s="59" t="str">
        <x:v>stable</x:v>
      </x:c>
      <x:c r="Q29" s="40" t="str">
        <x:v>三轮复核后与原表基本一致</x:v>
      </x:c>
      <x:c r="R29" s="40" t="str">
        <x:v>https://arxiv.org/abs/2605.19598</x:v>
      </x:c>
    </x:row>
    <x:row r="30" ht="32" customHeight="1">
      <x:c r="A30" s="59" t="str">
        <x:v>2026-05</x:v>
      </x:c>
      <x:c r="B30" s="59" t="n">
        <x:v>29</x:v>
      </x:c>
      <x:c r="C30" s="59" t="n">
        <x:v>69</x:v>
      </x:c>
      <x:c r="D30" s="59" t="n">
        <x:v>69</x:v>
      </x:c>
      <x:c r="E30" s="59" t="n">
        <x:v>0</x:v>
      </x:c>
      <x:c r="F30" s="59" t="str">
        <x:v>2605.10589</x:v>
      </x:c>
      <x:c r="G30" s="40" t="str">
        <x:v>Distance between minimal surfaces and flows</x:v>
      </x:c>
      <x:c r="H30" s="40" t="str">
        <x:v>Tobias Holck Colding; William P. Minicozzi II</x:v>
      </x:c>
      <x:c r="I30" s="60" t="n">
        <x:v>88.9</x:v>
      </x:c>
      <x:c r="J30" s="60" t="n">
        <x:v>88.91</x:v>
      </x:c>
      <x:c r="K30" s="60" t="n">
        <x:v>88.89</x:v>
      </x:c>
      <x:c r="L30" s="60" t="n">
        <x:v>88.86</x:v>
      </x:c>
      <x:c r="M30" s="60" t="n">
        <x:v>88.87</x:v>
      </x:c>
      <x:c r="N30" s="60" t="n">
        <x:v>-0.03</x:v>
      </x:c>
      <x:c r="O30" s="60" t="n">
        <x:v>0.021</x:v>
      </x:c>
      <x:c r="P30" s="59" t="str">
        <x:v>stable</x:v>
      </x:c>
      <x:c r="Q30" s="40" t="str">
        <x:v>短文且非框架性题材，技术残差轻微回调</x:v>
      </x:c>
      <x:c r="R30" s="40" t="str">
        <x:v>https://arxiv.org/abs/2605.10589</x:v>
      </x:c>
    </x:row>
    <x:row r="31" ht="32" customHeight="1">
      <x:c r="A31" s="59" t="str">
        <x:v>2026-05</x:v>
      </x:c>
      <x:c r="B31" s="59" t="n">
        <x:v>30</x:v>
      </x:c>
      <x:c r="C31" s="59" t="n">
        <x:v>71</x:v>
      </x:c>
      <x:c r="D31" s="59" t="n">
        <x:v>70</x:v>
      </x:c>
      <x:c r="E31" s="59" t="n">
        <x:v>1</x:v>
      </x:c>
      <x:c r="F31" s="59" t="str">
        <x:v>2605.28789</x:v>
      </x:c>
      <x:c r="G31" s="40" t="str">
        <x:v>Finite-time blow-up solutions for the Calogero-Sutherland derivative NLS</x:v>
      </x:c>
      <x:c r="H31" s="40" t="str">
        <x:v>Xi Chen; Enno Lenzmann</x:v>
      </x:c>
      <x:c r="I31" s="60" t="n">
        <x:v>88.8</x:v>
      </x:c>
      <x:c r="J31" s="60" t="n">
        <x:v>88.77</x:v>
      </x:c>
      <x:c r="K31" s="60" t="n">
        <x:v>88.75</x:v>
      </x:c>
      <x:c r="L31" s="60" t="n">
        <x:v>88.75</x:v>
      </x:c>
      <x:c r="M31" s="60" t="n">
        <x:v>88.75</x:v>
      </x:c>
      <x:c r="N31" s="60" t="n">
        <x:v>-0.05</x:v>
      </x:c>
      <x:c r="O31" s="60" t="n">
        <x:v>0.009</x:v>
      </x:c>
      <x:c r="P31" s="59" t="str">
        <x:v>stable</x:v>
      </x:c>
      <x:c r="Q31" s="40" t="str">
        <x:v>三轮复核后与原表基本一致</x:v>
      </x:c>
      <x:c r="R31" s="40" t="str">
        <x:v>https://arxiv.org/abs/2605.28789</x:v>
      </x:c>
    </x:row>
    <x:row r="32" ht="32" customHeight="1">
      <x:c r="A32" s="59" t="str">
        <x:v>2026-05</x:v>
      </x:c>
      <x:c r="B32" s="59" t="n">
        <x:v>30</x:v>
      </x:c>
      <x:c r="C32" s="59" t="n">
        <x:v>70</x:v>
      </x:c>
      <x:c r="D32" s="59" t="n">
        <x:v>72</x:v>
      </x:c>
      <x:c r="E32" s="59" t="n">
        <x:v>-2</x:v>
      </x:c>
      <x:c r="F32" s="59" t="str">
        <x:v>2605.05414</x:v>
      </x:c>
      <x:c r="G32" s="40" t="str">
        <x:v>The sigma_k-Yamabe problem revisited</x:v>
      </x:c>
      <x:c r="H32" s="40" t="str">
        <x:v>Yuxin Ge; Guofang Wang; Wei Wei</x:v>
      </x:c>
      <x:c r="I32" s="60" t="n">
        <x:v>88.8</x:v>
      </x:c>
      <x:c r="J32" s="60" t="n">
        <x:v>88.74</x:v>
      </x:c>
      <x:c r="K32" s="60" t="n">
        <x:v>88.75</x:v>
      </x:c>
      <x:c r="L32" s="60" t="n">
        <x:v>88.74</x:v>
      </x:c>
      <x:c r="M32" s="60" t="n">
        <x:v>88.74</x:v>
      </x:c>
      <x:c r="N32" s="60" t="n">
        <x:v>-0.06</x:v>
      </x:c>
      <x:c r="O32" s="60" t="n">
        <x:v>0.005</x:v>
      </x:c>
      <x:c r="P32" s="59" t="str">
        <x:v>slight_down</x:v>
      </x:c>
      <x:c r="Q32" s="40" t="str">
        <x:v>三轮复核后与原表基本一致</x:v>
      </x:c>
      <x:c r="R32" s="40" t="str">
        <x:v>https://arxiv.org/abs/2605.05414</x:v>
      </x:c>
    </x:row>
    <x:row r="33" ht="32" customHeight="1">
      <x:c r="A33" s="59" t="str">
        <x:v>2026-05</x:v>
      </x:c>
      <x:c r="B33" s="59" t="n">
        <x:v>32</x:v>
      </x:c>
      <x:c r="C33" s="59" t="n">
        <x:v>74</x:v>
      </x:c>
      <x:c r="D33" s="59" t="n">
        <x:v>77</x:v>
      </x:c>
      <x:c r="E33" s="59" t="n">
        <x:v>-3</x:v>
      </x:c>
      <x:c r="F33" s="59" t="str">
        <x:v>2605.10814</x:v>
      </x:c>
      <x:c r="G33" s="40" t="str">
        <x:v>Convergence of the Yang-Mills flow on ALE gravitational instantons</x:v>
      </x:c>
      <x:c r="H33" s="40" t="str">
        <x:v>Anuk Dayaprema; Alex Waldron</x:v>
      </x:c>
      <x:c r="I33" s="60" t="n">
        <x:v>88.7</x:v>
      </x:c>
      <x:c r="J33" s="60" t="n">
        <x:v>88.65</x:v>
      </x:c>
      <x:c r="K33" s="60" t="n">
        <x:v>88.63</x:v>
      </x:c>
      <x:c r="L33" s="60" t="n">
        <x:v>88.65</x:v>
      </x:c>
      <x:c r="M33" s="60" t="n">
        <x:v>88.65</x:v>
      </x:c>
      <x:c r="N33" s="60" t="n">
        <x:v>-0.05</x:v>
      </x:c>
      <x:c r="O33" s="60" t="n">
        <x:v>0.009</x:v>
      </x:c>
      <x:c r="P33" s="59" t="str">
        <x:v>stable</x:v>
      </x:c>
      <x:c r="Q33" s="40" t="str">
        <x:v>三轮复核后与原表基本一致</x:v>
      </x:c>
      <x:c r="R33" s="40" t="str">
        <x:v>https://arxiv.org/abs/2605.10814</x:v>
      </x:c>
    </x:row>
    <x:row r="34" ht="32" customHeight="1">
      <x:c r="A34" s="59" t="str">
        <x:v>2026-05</x:v>
      </x:c>
      <x:c r="B34" s="59" t="n">
        <x:v>33</x:v>
      </x:c>
      <x:c r="C34" s="59" t="n">
        <x:v>78</x:v>
      </x:c>
      <x:c r="D34" s="59" t="n">
        <x:v>81</x:v>
      </x:c>
      <x:c r="E34" s="59" t="n">
        <x:v>-3</x:v>
      </x:c>
      <x:c r="F34" s="59" t="str">
        <x:v>2605.25327</x:v>
      </x:c>
      <x:c r="G34" s="40" t="str">
        <x:v>Soliton resolution conjecture for the Benjamin-Ono equation: Explicit L-infinity asymptotic error formula</x:v>
      </x:c>
      <x:c r="H34" s="40" t="str">
        <x:v>Hong-Yu Pan; Shou-Fu Tian</x:v>
      </x:c>
      <x:c r="I34" s="60" t="n">
        <x:v>88.6</x:v>
      </x:c>
      <x:c r="J34" s="60" t="n">
        <x:v>88.57</x:v>
      </x:c>
      <x:c r="K34" s="60" t="n">
        <x:v>88.58</x:v>
      </x:c>
      <x:c r="L34" s="60" t="n">
        <x:v>88.57</x:v>
      </x:c>
      <x:c r="M34" s="60" t="n">
        <x:v>88.57</x:v>
      </x:c>
      <x:c r="N34" s="60" t="n">
        <x:v>-0.03</x:v>
      </x:c>
      <x:c r="O34" s="60" t="n">
        <x:v>0.005</x:v>
      </x:c>
      <x:c r="P34" s="59" t="str">
        <x:v>stable</x:v>
      </x:c>
      <x:c r="Q34" s="40" t="str">
        <x:v>范围偏专门，广度轻微回调</x:v>
      </x:c>
      <x:c r="R34" s="40" t="str">
        <x:v>https://arxiv.org/abs/2605.25327</x:v>
      </x:c>
    </x:row>
    <x:row r="35" ht="32" customHeight="1">
      <x:c r="A35" s="59" t="str">
        <x:v>2026-05</x:v>
      </x:c>
      <x:c r="B35" s="59" t="n">
        <x:v>34</x:v>
      </x:c>
      <x:c r="C35" s="59" t="n">
        <x:v>81</x:v>
      </x:c>
      <x:c r="D35" s="59" t="n">
        <x:v>79</x:v>
      </x:c>
      <x:c r="E35" s="59" t="n">
        <x:v>2</x:v>
      </x:c>
      <x:c r="F35" s="59" t="str">
        <x:v>2605.08700</x:v>
      </x:c>
      <x:c r="G35" s="40" t="str">
        <x:v>The Ekeland-Nirenberg Variational Problem: A Sharp Positivity Threshold and Extensions</x:v>
      </x:c>
      <x:c r="H35" s="40" t="str">
        <x:v>Qi Guo; Xueping Huang; Yi Huang</x:v>
      </x:c>
      <x:c r="I35" s="60" t="n">
        <x:v>88.5</x:v>
      </x:c>
      <x:c r="J35" s="60" t="n">
        <x:v>88.63</x:v>
      </x:c>
      <x:c r="K35" s="60" t="n">
        <x:v>88.6</x:v>
      </x:c>
      <x:c r="L35" s="60" t="n">
        <x:v>88.6</x:v>
      </x:c>
      <x:c r="M35" s="60" t="n">
        <x:v>88.6</x:v>
      </x:c>
      <x:c r="N35" s="60" t="n">
        <x:v>0.1</x:v>
      </x:c>
      <x:c r="O35" s="60" t="n">
        <x:v>0.014</x:v>
      </x:c>
      <x:c r="P35" s="59" t="str">
        <x:v>slight_up</x:v>
      </x:c>
      <x:c r="Q35" s="40" t="str">
        <x:v>Ekeland--Nirenberg sharp threshold 稳定保留在May Top50。</x:v>
      </x:c>
      <x:c r="R35" s="40" t="str">
        <x:v>https://arxiv.org/abs/2605.08700</x:v>
      </x:c>
    </x:row>
    <x:row r="36" ht="32" customHeight="1">
      <x:c r="A36" s="59" t="str">
        <x:v>2026-05</x:v>
      </x:c>
      <x:c r="B36" s="59" t="n">
        <x:v>34</x:v>
      </x:c>
      <x:c r="C36" s="59" t="n">
        <x:v>82</x:v>
      </x:c>
      <x:c r="D36" s="59" t="n">
        <x:v>83</x:v>
      </x:c>
      <x:c r="E36" s="59" t="n">
        <x:v>-1</x:v>
      </x:c>
      <x:c r="F36" s="59" t="str">
        <x:v>2605.03734</x:v>
      </x:c>
      <x:c r="G36" s="40" t="str">
        <x:v>The stochastic tamed 3D Navier-Stokes equations in R^3</x:v>
      </x:c>
      <x:c r="H36" s="40" t="str">
        <x:v>Govind Chandra Podder; Gautam Kumar</x:v>
      </x:c>
      <x:c r="I36" s="60" t="n">
        <x:v>88.5</x:v>
      </x:c>
      <x:c r="J36" s="60" t="n">
        <x:v>88.56</x:v>
      </x:c>
      <x:c r="K36" s="60" t="n">
        <x:v>88.54</x:v>
      </x:c>
      <x:c r="L36" s="60" t="n">
        <x:v>88.54</x:v>
      </x:c>
      <x:c r="M36" s="60" t="n">
        <x:v>88.54</x:v>
      </x:c>
      <x:c r="N36" s="60" t="n">
        <x:v>0.04</x:v>
      </x:c>
      <x:c r="O36" s="60" t="n">
        <x:v>0.009</x:v>
      </x:c>
      <x:c r="P36" s="59" t="str">
        <x:v>stable</x:v>
      </x:c>
      <x:c r="Q36" s="40" t="str">
        <x:v>三轮复核后与原表基本一致</x:v>
      </x:c>
      <x:c r="R36" s="40" t="str">
        <x:v>https://arxiv.org/abs/2605.03734</x:v>
      </x:c>
    </x:row>
    <x:row r="37" ht="32" customHeight="1">
      <x:c r="A37" s="59" t="str">
        <x:v>2026-05</x:v>
      </x:c>
      <x:c r="B37" s="59" t="n">
        <x:v>36</x:v>
      </x:c>
      <x:c r="C37" s="59" t="n">
        <x:v>86</x:v>
      </x:c>
      <x:c r="D37" s="59" t="n">
        <x:v>86</x:v>
      </x:c>
      <x:c r="E37" s="59" t="n">
        <x:v>0</x:v>
      </x:c>
      <x:c r="F37" s="59" t="str">
        <x:v>2605.00407</x:v>
      </x:c>
      <x:c r="G37" s="40" t="str">
        <x:v>Gradient blowup of smooth vacuum solutions to 1D compressible Euler equations</x:v>
      </x:c>
      <x:c r="H37" s="40" t="str">
        <x:v>Juhi Jang; Jiaqi Liu; Nader Masmoudi</x:v>
      </x:c>
      <x:c r="I37" s="60" t="n">
        <x:v>88.4</x:v>
      </x:c>
      <x:c r="J37" s="60" t="n">
        <x:v>88.35</x:v>
      </x:c>
      <x:c r="K37" s="60" t="n">
        <x:v>88.36</x:v>
      </x:c>
      <x:c r="L37" s="60" t="n">
        <x:v>88.35</x:v>
      </x:c>
      <x:c r="M37" s="60" t="n">
        <x:v>88.35</x:v>
      </x:c>
      <x:c r="N37" s="60" t="n">
        <x:v>-0.05</x:v>
      </x:c>
      <x:c r="O37" s="60" t="n">
        <x:v>0.005</x:v>
      </x:c>
      <x:c r="P37" s="59" t="str">
        <x:v>stable</x:v>
      </x:c>
      <x:c r="Q37" s="40" t="str">
        <x:v>三轮复核后与原表基本一致</x:v>
      </x:c>
      <x:c r="R37" s="40" t="str">
        <x:v>https://arxiv.org/abs/2605.00407</x:v>
      </x:c>
    </x:row>
    <x:row r="38" ht="32" customHeight="1">
      <x:c r="A38" s="59" t="str">
        <x:v>2026-05</x:v>
      </x:c>
      <x:c r="B38" s="59" t="n">
        <x:v>37</x:v>
      </x:c>
      <x:c r="C38" s="59" t="n">
        <x:v>87</x:v>
      </x:c>
      <x:c r="D38" s="59" t="n">
        <x:v>87</x:v>
      </x:c>
      <x:c r="E38" s="59" t="n">
        <x:v>0</x:v>
      </x:c>
      <x:c r="F38" s="59" t="str">
        <x:v>2605.21193</x:v>
      </x:c>
      <x:c r="G38" s="40" t="str">
        <x:v>Sharp Gaussian Isoperimetry along a Ricci Flow</x:v>
      </x:c>
      <x:c r="H38" s="40" t="str">
        <x:v>Robert Koirala</x:v>
      </x:c>
      <x:c r="I38" s="60" t="n">
        <x:v>88.1</x:v>
      </x:c>
      <x:c r="J38" s="60" t="n">
        <x:v>88.15</x:v>
      </x:c>
      <x:c r="K38" s="60" t="n">
        <x:v>88.1</x:v>
      </x:c>
      <x:c r="L38" s="60" t="n">
        <x:v>88.13</x:v>
      </x:c>
      <x:c r="M38" s="60" t="n">
        <x:v>88.12</x:v>
      </x:c>
      <x:c r="N38" s="60" t="n">
        <x:v>0.02</x:v>
      </x:c>
      <x:c r="O38" s="60" t="n">
        <x:v>0.021</x:v>
      </x:c>
      <x:c r="P38" s="59" t="str">
        <x:v>stable</x:v>
      </x:c>
      <x:c r="Q38" s="40" t="str">
        <x:v>三轮复核后与原表基本一致</x:v>
      </x:c>
      <x:c r="R38" s="40" t="str">
        <x:v>https://arxiv.org/abs/2605.21193</x:v>
      </x:c>
    </x:row>
    <x:row r="39" ht="32" customHeight="1">
      <x:c r="A39" s="59" t="str">
        <x:v>2026-05</x:v>
      </x:c>
      <x:c r="B39" s="59" t="n">
        <x:v>38</x:v>
      </x:c>
      <x:c r="C39" s="59" t="n">
        <x:v>90</x:v>
      </x:c>
      <x:c r="D39" s="59" t="n">
        <x:v>88</x:v>
      </x:c>
      <x:c r="E39" s="59" t="n">
        <x:v>2</x:v>
      </x:c>
      <x:c r="F39" s="59" t="str">
        <x:v>2605.01547</x:v>
      </x:c>
      <x:c r="G39" s="40" t="str">
        <x:v>Rigidity for the Polya-Szego inequality under circular rearrangement</x:v>
      </x:c>
      <x:c r="H39" s="40" t="str">
        <x:v>F. Cagnetti; G. Domazakis; M. Perugini; F. Seuffert</x:v>
      </x:c>
      <x:c r="I39" s="60" t="n">
        <x:v>87.9</x:v>
      </x:c>
      <x:c r="J39" s="60" t="n">
        <x:v>87.97</x:v>
      </x:c>
      <x:c r="K39" s="60" t="n">
        <x:v>87.95</x:v>
      </x:c>
      <x:c r="L39" s="60" t="n">
        <x:v>87.95</x:v>
      </x:c>
      <x:c r="M39" s="60" t="n">
        <x:v>87.95</x:v>
      </x:c>
      <x:c r="N39" s="60" t="n">
        <x:v>0.05</x:v>
      </x:c>
      <x:c r="O39" s="60" t="n">
        <x:v>0.009</x:v>
      </x:c>
      <x:c r="P39" s="59" t="str">
        <x:v>stable</x:v>
      </x:c>
      <x:c r="Q39" s="40" t="str">
        <x:v>三轮复核后与原表基本一致</x:v>
      </x:c>
      <x:c r="R39" s="40" t="str">
        <x:v>https://arxiv.org/abs/2605.01547</x:v>
      </x:c>
    </x:row>
    <x:row r="40" ht="32" customHeight="1">
      <x:c r="A40" s="59" t="str">
        <x:v>2026-05</x:v>
      </x:c>
      <x:c r="B40" s="59" t="n">
        <x:v>38</x:v>
      </x:c>
      <x:c r="C40" s="59" t="n">
        <x:v>88</x:v>
      </x:c>
      <x:c r="D40" s="59" t="n">
        <x:v>89</x:v>
      </x:c>
      <x:c r="E40" s="59" t="n">
        <x:v>-1</x:v>
      </x:c>
      <x:c r="F40" s="59" t="str">
        <x:v>2605.28979</x:v>
      </x:c>
      <x:c r="G40" s="40" t="str">
        <x:v>Singular mean-field limits for fluctuations around equilibrium</x:v>
      </x:c>
      <x:c r="H40" s="40" t="str">
        <x:v>Mitia Duerinckx; Pierre-Emmanuel Jabin</x:v>
      </x:c>
      <x:c r="I40" s="60" t="n">
        <x:v>87.9</x:v>
      </x:c>
      <x:c r="J40" s="60" t="n">
        <x:v>87.92</x:v>
      </x:c>
      <x:c r="K40" s="60" t="n">
        <x:v>87.87</x:v>
      </x:c>
      <x:c r="L40" s="60" t="n">
        <x:v>87.87</x:v>
      </x:c>
      <x:c r="M40" s="60" t="n">
        <x:v>87.88</x:v>
      </x:c>
      <x:c r="N40" s="60" t="n">
        <x:v>-0.02</x:v>
      </x:c>
      <x:c r="O40" s="60" t="n">
        <x:v>0.024</x:v>
      </x:c>
      <x:c r="P40" s="59" t="str">
        <x:v>stable</x:v>
      </x:c>
      <x:c r="Q40" s="40" t="str">
        <x:v>三轮复核后与原表基本一致</x:v>
      </x:c>
      <x:c r="R40" s="40" t="str">
        <x:v>https://arxiv.org/abs/2605.28979</x:v>
      </x:c>
    </x:row>
    <x:row r="41" ht="32" customHeight="1">
      <x:c r="A41" s="59" t="str">
        <x:v>2026-05</x:v>
      </x:c>
      <x:c r="B41" s="59" t="n">
        <x:v>38</x:v>
      </x:c>
      <x:c r="C41" s="59" t="n">
        <x:v>89</x:v>
      </x:c>
      <x:c r="D41" s="59" t="n">
        <x:v>91</x:v>
      </x:c>
      <x:c r="E41" s="59" t="n">
        <x:v>-2</x:v>
      </x:c>
      <x:c r="F41" s="59" t="str">
        <x:v>2605.22347</x:v>
      </x:c>
      <x:c r="G41" s="40" t="str">
        <x:v>Convergence of the Chern-Ricci flow on complex minimal surfaces of general type</x:v>
      </x:c>
      <x:c r="H41" s="40" t="str">
        <x:v>Haoyuan Sun</x:v>
      </x:c>
      <x:c r="I41" s="60" t="n">
        <x:v>87.9</x:v>
      </x:c>
      <x:c r="J41" s="60" t="n">
        <x:v>87.8</x:v>
      </x:c>
      <x:c r="K41" s="60" t="n">
        <x:v>87.81</x:v>
      </x:c>
      <x:c r="L41" s="60" t="n">
        <x:v>87.8</x:v>
      </x:c>
      <x:c r="M41" s="60" t="n">
        <x:v>87.8</x:v>
      </x:c>
      <x:c r="N41" s="60" t="n">
        <x:v>-0.1</x:v>
      </x:c>
      <x:c r="O41" s="60" t="n">
        <x:v>0.005</x:v>
      </x:c>
      <x:c r="P41" s="59" t="str">
        <x:v>slight_down</x:v>
      </x:c>
      <x:c r="Q41" s="40" t="str">
        <x:v>三轮复核后与原表基本一致</x:v>
      </x:c>
      <x:c r="R41" s="40" t="str">
        <x:v>https://arxiv.org/abs/2605.22347</x:v>
      </x:c>
    </x:row>
    <x:row r="42" ht="32" customHeight="1">
      <x:c r="A42" s="59" t="str">
        <x:v>2026-05</x:v>
      </x:c>
      <x:c r="B42" s="59" t="n">
        <x:v>41</x:v>
      </x:c>
      <x:c r="C42" s="59" t="n">
        <x:v>91</x:v>
      </x:c>
      <x:c r="D42" s="59" t="n">
        <x:v>90</x:v>
      </x:c>
      <x:c r="E42" s="59" t="n">
        <x:v>1</x:v>
      </x:c>
      <x:c r="F42" s="59" t="str">
        <x:v>2605.04442</x:v>
      </x:c>
      <x:c r="G42" s="40" t="str">
        <x:v>Asymptotics of Minimizers for Ginzburg-Landau-type Functionals in High Dimensions</x:v>
      </x:c>
      <x:c r="H42" s="40" t="str">
        <x:v>Giacomo Canevari; Haotong Fu; Wei Wang</x:v>
      </x:c>
      <x:c r="I42" s="60" t="n">
        <x:v>87.8</x:v>
      </x:c>
      <x:c r="J42" s="60" t="n">
        <x:v>87.9</x:v>
      </x:c>
      <x:c r="K42" s="60" t="n">
        <x:v>87.88</x:v>
      </x:c>
      <x:c r="L42" s="60" t="n">
        <x:v>87.88</x:v>
      </x:c>
      <x:c r="M42" s="60" t="n">
        <x:v>87.88</x:v>
      </x:c>
      <x:c r="N42" s="60" t="n">
        <x:v>0.08</x:v>
      </x:c>
      <x:c r="O42" s="60" t="n">
        <x:v>0.009</x:v>
      </x:c>
      <x:c r="P42" s="59" t="str">
        <x:v>slight_up</x:v>
      </x:c>
      <x:c r="Q42" s="40" t="str">
        <x:v>三轮复核后与原表基本一致</x:v>
      </x:c>
      <x:c r="R42" s="40" t="str">
        <x:v>https://arxiv.org/abs/2605.04442</x:v>
      </x:c>
    </x:row>
    <x:row r="43" ht="32" customHeight="1">
      <x:c r="A43" s="59" t="str">
        <x:v>2026-05</x:v>
      </x:c>
      <x:c r="B43" s="59" t="n">
        <x:v>41</x:v>
      </x:c>
      <x:c r="C43" s="59" t="n">
        <x:v>92</x:v>
      </x:c>
      <x:c r="D43" s="59" t="n">
        <x:v>92</x:v>
      </x:c>
      <x:c r="E43" s="59" t="n">
        <x:v>0</x:v>
      </x:c>
      <x:c r="F43" s="59" t="str">
        <x:v>2605.03481</x:v>
      </x:c>
      <x:c r="G43" s="40" t="str">
        <x:v>Stability of de Sitter Space and Expansion at the Conformal Boundary</x:v>
      </x:c>
      <x:c r="H43" s="40" t="str">
        <x:v>Maurus Leimbacher</x:v>
      </x:c>
      <x:c r="I43" s="60" t="n">
        <x:v>87.8</x:v>
      </x:c>
      <x:c r="J43" s="60" t="n">
        <x:v>87.73</x:v>
      </x:c>
      <x:c r="K43" s="60" t="n">
        <x:v>87.74</x:v>
      </x:c>
      <x:c r="L43" s="60" t="n">
        <x:v>87.73</x:v>
      </x:c>
      <x:c r="M43" s="60" t="n">
        <x:v>87.73</x:v>
      </x:c>
      <x:c r="N43" s="60" t="n">
        <x:v>-0.07</x:v>
      </x:c>
      <x:c r="O43" s="60" t="n">
        <x:v>0.005</x:v>
      </x:c>
      <x:c r="P43" s="59" t="str">
        <x:v>slight_down</x:v>
      </x:c>
      <x:c r="Q43" s="40" t="str">
        <x:v>三轮复核后与原表基本一致</x:v>
      </x:c>
      <x:c r="R43" s="40" t="str">
        <x:v>https://arxiv.org/abs/2605.03481</x:v>
      </x:c>
    </x:row>
    <x:row r="44" ht="32" customHeight="1">
      <x:c r="A44" s="59" t="str">
        <x:v>2026-05</x:v>
      </x:c>
      <x:c r="B44" s="59" t="n">
        <x:v>43</x:v>
      </x:c>
      <x:c r="C44" s="59" t="n">
        <x:v>94</x:v>
      </x:c>
      <x:c r="D44" s="59" t="n">
        <x:v>93</x:v>
      </x:c>
      <x:c r="E44" s="59" t="n">
        <x:v>1</x:v>
      </x:c>
      <x:c r="F44" s="59" t="str">
        <x:v>2605.02176</x:v>
      </x:c>
      <x:c r="G44" s="40" t="str">
        <x:v>Volumetric density estimates for nonlocal minimal surfaces</x:v>
      </x:c>
      <x:c r="H44" s="40" t="str">
        <x:v>Mateusz Kwasnicki; Jack Thompson</x:v>
      </x:c>
      <x:c r="I44" s="60" t="n">
        <x:v>87.7</x:v>
      </x:c>
      <x:c r="J44" s="60" t="n">
        <x:v>87.68</x:v>
      </x:c>
      <x:c r="K44" s="60" t="n">
        <x:v>87.68</x:v>
      </x:c>
      <x:c r="L44" s="60" t="n">
        <x:v>87.68</x:v>
      </x:c>
      <x:c r="M44" s="60" t="n">
        <x:v>87.68</x:v>
      </x:c>
      <x:c r="N44" s="60" t="n">
        <x:v>-0.02</x:v>
      </x:c>
      <x:c r="O44" s="60" t="n">
        <x:v>0</x:v>
      </x:c>
      <x:c r="P44" s="59" t="str">
        <x:v>stable</x:v>
      </x:c>
      <x:c r="Q44" s="40" t="str">
        <x:v>三轮复核后与原表基本一致</x:v>
      </x:c>
      <x:c r="R44" s="40" t="str">
        <x:v>https://arxiv.org/abs/2605.02176</x:v>
      </x:c>
    </x:row>
    <x:row r="45" ht="32" customHeight="1">
      <x:c r="A45" s="59" t="str">
        <x:v>2026-05</x:v>
      </x:c>
      <x:c r="B45" s="59" t="n">
        <x:v>43</x:v>
      </x:c>
      <x:c r="C45" s="59" t="n">
        <x:v>93</x:v>
      </x:c>
      <x:c r="D45" s="59" t="n">
        <x:v>94</x:v>
      </x:c>
      <x:c r="E45" s="59" t="n">
        <x:v>-1</x:v>
      </x:c>
      <x:c r="F45" s="59" t="str">
        <x:v>2605.05422</x:v>
      </x:c>
      <x:c r="G45" s="40" t="str">
        <x:v>An optimal trace estimate for microlocal square functions on quadratic surfaces</x:v>
      </x:c>
      <x:c r="H45" s="40" t="str">
        <x:v>Vicente Vergara</x:v>
      </x:c>
      <x:c r="I45" s="60" t="n">
        <x:v>87.7</x:v>
      </x:c>
      <x:c r="J45" s="60" t="n">
        <x:v>87.63</x:v>
      </x:c>
      <x:c r="K45" s="60" t="n">
        <x:v>87.63</x:v>
      </x:c>
      <x:c r="L45" s="60" t="n">
        <x:v>87.63</x:v>
      </x:c>
      <x:c r="M45" s="60" t="n">
        <x:v>87.63</x:v>
      </x:c>
      <x:c r="N45" s="60" t="n">
        <x:v>-0.07</x:v>
      </x:c>
      <x:c r="O45" s="60" t="n">
        <x:v>0</x:v>
      </x:c>
      <x:c r="P45" s="59" t="str">
        <x:v>slight_down</x:v>
      </x:c>
      <x:c r="Q45" s="40" t="str">
        <x:v>三轮复核后与原表基本一致</x:v>
      </x:c>
      <x:c r="R45" s="40" t="str">
        <x:v>https://arxiv.org/abs/2605.05422</x:v>
      </x:c>
    </x:row>
    <x:row r="46" ht="32" customHeight="1">
      <x:c r="A46" s="59" t="str">
        <x:v>2026-05</x:v>
      </x:c>
      <x:c r="B46" s="59" t="n">
        <x:v>45</x:v>
      </x:c>
      <x:c r="C46" s="59" t="n">
        <x:v>96</x:v>
      </x:c>
      <x:c r="D46" s="59" t="n">
        <x:v>95</x:v>
      </x:c>
      <x:c r="E46" s="59" t="n">
        <x:v>1</x:v>
      </x:c>
      <x:c r="F46" s="59" t="str">
        <x:v>2605.05869</x:v>
      </x:c>
      <x:c r="G46" s="40" t="str">
        <x:v>Consistency analysis for combined homogenization and shallow water limit of water waves</x:v>
      </x:c>
      <x:c r="H46" s="40" t="str">
        <x:v>Antoine Gloria; David Lee</x:v>
      </x:c>
      <x:c r="I46" s="60" t="n">
        <x:v>87.6</x:v>
      </x:c>
      <x:c r="J46" s="60" t="n">
        <x:v>87.62</x:v>
      </x:c>
      <x:c r="K46" s="60" t="n">
        <x:v>87.6</x:v>
      </x:c>
      <x:c r="L46" s="60" t="n">
        <x:v>87.6</x:v>
      </x:c>
      <x:c r="M46" s="60" t="n">
        <x:v>87.6</x:v>
      </x:c>
      <x:c r="N46" s="60" t="n">
        <x:v>0</x:v>
      </x:c>
      <x:c r="O46" s="60" t="n">
        <x:v>0.009</x:v>
      </x:c>
      <x:c r="P46" s="59" t="str">
        <x:v>stable</x:v>
      </x:c>
      <x:c r="Q46" s="40" t="str">
        <x:v>三轮复核后与原表基本一致</x:v>
      </x:c>
      <x:c r="R46" s="40" t="str">
        <x:v>https://arxiv.org/abs/2605.05869</x:v>
      </x:c>
    </x:row>
    <x:row r="47" ht="32" customHeight="1">
      <x:c r="A47" s="59" t="str">
        <x:v>2026-05</x:v>
      </x:c>
      <x:c r="B47" s="59" t="n">
        <x:v>45</x:v>
      </x:c>
      <x:c r="C47" s="59" t="n">
        <x:v>95</x:v>
      </x:c>
      <x:c r="D47" s="59" t="n">
        <x:v>96</x:v>
      </x:c>
      <x:c r="E47" s="59" t="n">
        <x:v>-1</x:v>
      </x:c>
      <x:c r="F47" s="59" t="str">
        <x:v>2605.06128</x:v>
      </x:c>
      <x:c r="G47" s="40" t="str">
        <x:v>Uniform small energy regularity for fractional geometric problems</x:v>
      </x:c>
      <x:c r="H47" s="40" t="str">
        <x:v>Marco Badran; Giacomo Cozzi</x:v>
      </x:c>
      <x:c r="I47" s="60" t="n">
        <x:v>87.6</x:v>
      </x:c>
      <x:c r="J47" s="60" t="n">
        <x:v>87.55</x:v>
      </x:c>
      <x:c r="K47" s="60" t="n">
        <x:v>87.53</x:v>
      </x:c>
      <x:c r="L47" s="60" t="n">
        <x:v>87.55</x:v>
      </x:c>
      <x:c r="M47" s="60" t="n">
        <x:v>87.54</x:v>
      </x:c>
      <x:c r="N47" s="60" t="n">
        <x:v>-0.06</x:v>
      </x:c>
      <x:c r="O47" s="60" t="n">
        <x:v>0.009</x:v>
      </x:c>
      <x:c r="P47" s="59" t="str">
        <x:v>slight_down</x:v>
      </x:c>
      <x:c r="Q47" s="40" t="str">
        <x:v>三轮复核后与原表基本一致</x:v>
      </x:c>
      <x:c r="R47" s="40" t="str">
        <x:v>https://arxiv.org/abs/2605.06128</x:v>
      </x:c>
    </x:row>
    <x:row r="48" ht="32" customHeight="1">
      <x:c r="A48" s="59" t="str">
        <x:v>2026-05</x:v>
      </x:c>
      <x:c r="B48" s="59" t="n">
        <x:v>47</x:v>
      </x:c>
      <x:c r="C48" s="59" t="n">
        <x:v>97</x:v>
      </x:c>
      <x:c r="D48" s="59" t="n">
        <x:v>97</x:v>
      </x:c>
      <x:c r="E48" s="59" t="n">
        <x:v>0</x:v>
      </x:c>
      <x:c r="F48" s="59" t="str">
        <x:v>2605.00694</x:v>
      </x:c>
      <x:c r="G48" s="40" t="str">
        <x:v>Unstable free boundary problems in optimal control theory: existence and regularity</x:v>
      </x:c>
      <x:c r="H48" s="40" t="str">
        <x:v>Lorenzo Ferreri; Idriss Mazari-Fouquer; Raphael Prunier</x:v>
      </x:c>
      <x:c r="I48" s="60" t="n">
        <x:v>87.5</x:v>
      </x:c>
      <x:c r="J48" s="60" t="n">
        <x:v>87.48</x:v>
      </x:c>
      <x:c r="K48" s="60" t="n">
        <x:v>87.49</x:v>
      </x:c>
      <x:c r="L48" s="60" t="n">
        <x:v>87.48</x:v>
      </x:c>
      <x:c r="M48" s="60" t="n">
        <x:v>87.48</x:v>
      </x:c>
      <x:c r="N48" s="60" t="n">
        <x:v>-0.02</x:v>
      </x:c>
      <x:c r="O48" s="60" t="n">
        <x:v>0.005</x:v>
      </x:c>
      <x:c r="P48" s="59" t="str">
        <x:v>stable</x:v>
      </x:c>
      <x:c r="Q48" s="40" t="str">
        <x:v>三轮复核后与原表基本一致</x:v>
      </x:c>
      <x:c r="R48" s="40" t="str">
        <x:v>https://arxiv.org/abs/2605.00694</x:v>
      </x:c>
    </x:row>
    <x:row r="49" ht="32" customHeight="1">
      <x:c r="A49" s="59" t="str">
        <x:v>2026-05</x:v>
      </x:c>
      <x:c r="B49" s="59" t="n">
        <x:v>48</x:v>
      </x:c>
      <x:c r="C49" s="59" t="n">
        <x:v>98</x:v>
      </x:c>
      <x:c r="D49" s="59" t="n">
        <x:v>98</x:v>
      </x:c>
      <x:c r="E49" s="59" t="n">
        <x:v>0</x:v>
      </x:c>
      <x:c r="F49" s="59" t="str">
        <x:v>2605.28504</x:v>
      </x:c>
      <x:c r="G49" s="40" t="str">
        <x:v>Minimal surfaces with rapid area growth</x:v>
      </x:c>
      <x:c r="H49" s="40" t="str">
        <x:v>Tobias Holck Colding; Francisco Martin; William P. Minicozzi II</x:v>
      </x:c>
      <x:c r="I49" s="60" t="n">
        <x:v>87.4</x:v>
      </x:c>
      <x:c r="J49" s="60" t="n">
        <x:v>87.43</x:v>
      </x:c>
      <x:c r="K49" s="60" t="n">
        <x:v>87.43</x:v>
      </x:c>
      <x:c r="L49" s="60" t="n">
        <x:v>87.43</x:v>
      </x:c>
      <x:c r="M49" s="60" t="n">
        <x:v>87.43</x:v>
      </x:c>
      <x:c r="N49" s="60" t="n">
        <x:v>0.03</x:v>
      </x:c>
      <x:c r="O49" s="60" t="n">
        <x:v>0</x:v>
      </x:c>
      <x:c r="P49" s="59" t="str">
        <x:v>stable</x:v>
      </x:c>
      <x:c r="Q49" s="40" t="str">
        <x:v>三轮复核后与原表基本一致</x:v>
      </x:c>
      <x:c r="R49" s="40" t="str">
        <x:v>https://arxiv.org/abs/2605.28504</x:v>
      </x:c>
    </x:row>
    <x:row r="50" ht="32" customHeight="1">
      <x:c r="A50" s="59" t="str">
        <x:v>2026-05</x:v>
      </x:c>
      <x:c r="B50" s="59" t="n">
        <x:v>48</x:v>
      </x:c>
      <x:c r="C50" s="59" t="n">
        <x:v>101</x:v>
      </x:c>
      <x:c r="D50" s="59" t="n">
        <x:v>99</x:v>
      </x:c>
      <x:c r="E50" s="59" t="n">
        <x:v>2</x:v>
      </x:c>
      <x:c r="F50" s="59" t="str">
        <x:v>2605.02345</x:v>
      </x:c>
      <x:c r="G50" s="40" t="str">
        <x:v>Sharp regularity for a class of degenerate/singular fully nonlinear elliptic equations with Hamiltonian terms</x:v>
      </x:c>
      <x:c r="H50" s="40" t="str">
        <x:v>Wentao Huo; Xiaofeng Jin; Lingwei Ma; Zhenqiu Zhang</x:v>
      </x:c>
      <x:c r="I50" s="60" t="n">
        <x:v>87.4</x:v>
      </x:c>
      <x:c r="J50" s="60" t="n">
        <x:v>87.44</x:v>
      </x:c>
      <x:c r="K50" s="60" t="n">
        <x:v>87.43</x:v>
      </x:c>
      <x:c r="L50" s="60" t="n">
        <x:v>87.42</x:v>
      </x:c>
      <x:c r="M50" s="60" t="n">
        <x:v>87.42</x:v>
      </x:c>
      <x:c r="N50" s="60" t="n">
        <x:v>0.02</x:v>
      </x:c>
      <x:c r="O50" s="60" t="n">
        <x:v>0.008</x:v>
      </x:c>
      <x:c r="P50" s="59" t="str">
        <x:v>stable</x:v>
      </x:c>
      <x:c r="Q50" s="40" t="str">
        <x:v>范围偏专门，广度轻微回调</x:v>
      </x:c>
      <x:c r="R50" s="40" t="str">
        <x:v>https://arxiv.org/abs/2605.02345</x:v>
      </x:c>
    </x:row>
    <x:row r="51" ht="32" customHeight="1">
      <x:c r="A51" s="59" t="str">
        <x:v>2026-05</x:v>
      </x:c>
      <x:c r="B51" s="59" t="n">
        <x:v>48</x:v>
      </x:c>
      <x:c r="C51" s="59" t="n">
        <x:v>100</x:v>
      </x:c>
      <x:c r="D51" s="59" t="n">
        <x:v>100</x:v>
      </x:c>
      <x:c r="E51" s="59" t="n">
        <x:v>0</x:v>
      </x:c>
      <x:c r="F51" s="59" t="str">
        <x:v>2605.03220</x:v>
      </x:c>
      <x:c r="G51" s="40" t="str">
        <x:v>Late-time tails for linear waves on radially symmetric stationary spacetimes of two space dimensions</x:v>
      </x:c>
      <x:c r="H51" s="40" t="str">
        <x:v>Onyx Gautam</x:v>
      </x:c>
      <x:c r="I51" s="60" t="n">
        <x:v>87.4</x:v>
      </x:c>
      <x:c r="J51" s="60" t="n">
        <x:v>87.38</x:v>
      </x:c>
      <x:c r="K51" s="60" t="n">
        <x:v>87.38</x:v>
      </x:c>
      <x:c r="L51" s="60" t="n">
        <x:v>87.38</x:v>
      </x:c>
      <x:c r="M51" s="60" t="n">
        <x:v>87.38</x:v>
      </x:c>
      <x:c r="N51" s="60" t="n">
        <x:v>-0.02</x:v>
      </x:c>
      <x:c r="O51" s="60" t="n">
        <x:v>0</x:v>
      </x:c>
      <x:c r="P51" s="59" t="str">
        <x:v>stable</x:v>
      </x:c>
      <x:c r="Q51" s="40" t="str">
        <x:v>范围偏专门，广度轻微回调</x:v>
      </x:c>
      <x:c r="R51" s="40" t="str">
        <x:v>https://arxiv.org/abs/2605.03220</x:v>
      </x:c>
    </x:row>
    <x:row r="52" ht="32" customHeight="1">
      <x:c r="A52" s="59" t="str">
        <x:v>2026-05</x:v>
      </x:c>
      <x:c r="B52" s="59" t="n">
        <x:v>48</x:v>
      </x:c>
      <x:c r="C52" s="59" t="n">
        <x:v>99</x:v>
      </x:c>
      <x:c r="D52" s="59" t="n">
        <x:v>101</x:v>
      </x:c>
      <x:c r="E52" s="59" t="n">
        <x:v>-2</x:v>
      </x:c>
      <x:c r="F52" s="59" t="str">
        <x:v>2605.08573</x:v>
      </x:c>
      <x:c r="G52" s="40" t="str">
        <x:v>On the Existence of Boundary Layer Separation for Incompressible Fluid Flow in the Half-Space</x:v>
      </x:c>
      <x:c r="H52" s="40" t="str">
        <x:v>Tongkeun Chang; Kyungkeun Kang</x:v>
      </x:c>
      <x:c r="I52" s="60" t="n">
        <x:v>87.4</x:v>
      </x:c>
      <x:c r="J52" s="60" t="n">
        <x:v>87.35</x:v>
      </x:c>
      <x:c r="K52" s="60" t="n">
        <x:v>87.36</x:v>
      </x:c>
      <x:c r="L52" s="60" t="n">
        <x:v>87.35</x:v>
      </x:c>
      <x:c r="M52" s="60" t="n">
        <x:v>87.35</x:v>
      </x:c>
      <x:c r="N52" s="60" t="n">
        <x:v>-0.05</x:v>
      </x:c>
      <x:c r="O52" s="60" t="n">
        <x:v>0.005</x:v>
      </x:c>
      <x:c r="P52" s="59" t="str">
        <x:v>stable</x:v>
      </x:c>
      <x:c r="Q52" s="40" t="str">
        <x:v>三轮复核后与原表基本一致</x:v>
      </x:c>
      <x:c r="R52" s="40" t="str">
        <x:v>https://arxiv.org/abs/2605.08573</x:v>
      </x:c>
    </x:row>
    <x:row r="53" ht="32" customHeight="1">
      <x:c r="A53" s="59" t="str">
        <x:v>2026-05</x:v>
      </x:c>
      <x:c r="B53" s="59" t="n">
        <x:v>48</x:v>
      </x:c>
      <x:c r="C53" s="59" t="n">
        <x:v>102</x:v>
      </x:c>
      <x:c r="D53" s="59" t="n">
        <x:v>103</x:v>
      </x:c>
      <x:c r="E53" s="59" t="n">
        <x:v>-1</x:v>
      </x:c>
      <x:c r="F53" s="59" t="str">
        <x:v>2605.00439</x:v>
      </x:c>
      <x:c r="G53" s="40" t="str">
        <x:v>Existence and uniqueness of weak solutions to quasilinear PDEs with critical data</x:v>
      </x:c>
      <x:c r="H53" s="40" t="str">
        <x:v>Pascal Auscher; Sebastian Bechtel</x:v>
      </x:c>
      <x:c r="I53" s="60" t="n">
        <x:v>87.4</x:v>
      </x:c>
      <x:c r="J53" s="60" t="n">
        <x:v>87.34</x:v>
      </x:c>
      <x:c r="K53" s="60" t="n">
        <x:v>87.34</x:v>
      </x:c>
      <x:c r="L53" s="60" t="n">
        <x:v>87.31</x:v>
      </x:c>
      <x:c r="M53" s="60" t="n">
        <x:v>87.32</x:v>
      </x:c>
      <x:c r="N53" s="60" t="n">
        <x:v>-0.08</x:v>
      </x:c>
      <x:c r="O53" s="60" t="n">
        <x:v>0.014</x:v>
      </x:c>
      <x:c r="P53" s="59" t="str">
        <x:v>slight_down</x:v>
      </x:c>
      <x:c r="Q53" s="40" t="str">
        <x:v>短文且非框架性题材，技术残差轻微回调</x:v>
      </x:c>
      <x:c r="R53" s="40" t="str">
        <x:v>https://arxiv.org/abs/2605.00439</x:v>
      </x:c>
    </x:row>
    <x:row r="54" ht="32" customHeight="1">
      <x:c r="A54" s="59" t="str">
        <x:v>2026-06</x:v>
      </x:c>
      <x:c r="B54" s="59" t="n">
        <x:v>1</x:v>
      </x:c>
      <x:c r="C54" s="59" t="n">
        <x:v>1</x:v>
      </x:c>
      <x:c r="D54" s="59" t="n">
        <x:v>1</x:v>
      </x:c>
      <x:c r="E54" s="59" t="n">
        <x:v>0</x:v>
      </x:c>
      <x:c r="F54" s="59" t="str">
        <x:v>2606.28008</x:v>
      </x:c>
      <x:c r="G54" s="40" t="str">
        <x:v>(Non-)Linear waves on asymptotically flat spacetimes. II: trapping, bound states, nonlinear applications</x:v>
      </x:c>
      <x:c r="H54" s="40" t="str">
        <x:v>Peter Hintz</x:v>
      </x:c>
      <x:c r="I54" s="60" t="n">
        <x:v>95.80000000000001</x:v>
      </x:c>
      <x:c r="J54" s="60" t="n">
        <x:v>95.83</x:v>
      </x:c>
      <x:c r="K54" s="60" t="n">
        <x:v>95.77</x:v>
      </x:c>
      <x:c r="L54" s="60" t="n">
        <x:v>95.8</x:v>
      </x:c>
      <x:c r="M54" s="60" t="n">
        <x:v>95.8</x:v>
      </x:c>
      <x:c r="N54" s="60" t="n">
        <x:v>0</x:v>
      </x:c>
      <x:c r="O54" s="60" t="n">
        <x:v>0.024</x:v>
      </x:c>
      <x:c r="P54" s="59" t="str">
        <x:v>stable</x:v>
      </x:c>
      <x:c r="Q54" s="40" t="str">
        <x:v>系列/续篇按重叠性校准；285页大型框架，仍为六月第一；因系列论文属性轻微压低原创性/广度。</x:v>
      </x:c>
      <x:c r="R54" s="40" t="str">
        <x:v>https://arxiv.org/abs/2606.28008</x:v>
      </x:c>
    </x:row>
    <x:row r="55" ht="32" customHeight="1">
      <x:c r="A55" s="59" t="str">
        <x:v>2026-06</x:v>
      </x:c>
      <x:c r="B55" s="59" t="n">
        <x:v>2</x:v>
      </x:c>
      <x:c r="C55" s="59" t="n">
        <x:v>4</x:v>
      </x:c>
      <x:c r="D55" s="59" t="n">
        <x:v>4</x:v>
      </x:c>
      <x:c r="E55" s="59" t="n">
        <x:v>0</x:v>
      </x:c>
      <x:c r="F55" s="59" t="str">
        <x:v>2606.27658</x:v>
      </x:c>
      <x:c r="G55" s="40" t="str">
        <x:v>Constraint damping on subextremal Kerr spacetimes</x:v>
      </x:c>
      <x:c r="H55" s="40" t="str">
        <x:v>Peter Hintz</x:v>
      </x:c>
      <x:c r="I55" s="60" t="n">
        <x:v>94.125</x:v>
      </x:c>
      <x:c r="J55" s="60" t="n">
        <x:v>94.24</x:v>
      </x:c>
      <x:c r="K55" s="60" t="n">
        <x:v>94.19</x:v>
      </x:c>
      <x:c r="L55" s="60" t="n">
        <x:v>94.22</x:v>
      </x:c>
      <x:c r="M55" s="60" t="n">
        <x:v>94.22</x:v>
      </x:c>
      <x:c r="N55" s="60" t="n">
        <x:v>0.09</x:v>
      </x:c>
      <x:c r="O55" s="60" t="n">
        <x:v>0.021</x:v>
      </x:c>
      <x:c r="P55" s="59" t="str">
        <x:v>slight_up</x:v>
      </x:c>
      <x:c r="Q55" s="40" t="str">
        <x:v>三轮复核后与原表基本一致</x:v>
      </x:c>
      <x:c r="R55" s="40" t="str">
        <x:v>https://arxiv.org/abs/2606.27658</x:v>
      </x:c>
    </x:row>
    <x:row r="56" ht="32" customHeight="1">
      <x:c r="A56" s="59" t="str">
        <x:v>2026-06</x:v>
      </x:c>
      <x:c r="B56" s="59" t="n">
        <x:v>3</x:v>
      </x:c>
      <x:c r="C56" s="59" t="n">
        <x:v>5</x:v>
      </x:c>
      <x:c r="D56" s="59" t="n">
        <x:v>5</x:v>
      </x:c>
      <x:c r="E56" s="59" t="n">
        <x:v>0</x:v>
      </x:c>
      <x:c r="F56" s="59" t="str">
        <x:v>2606.04449</x:v>
      </x:c>
      <x:c r="G56" s="40" t="str">
        <x:v>Construction of multi-bubble solutions for the energy-critical wave equation in dimension four</x:v>
      </x:c>
      <x:c r="H56" s="40" t="str">
        <x:v>Jingyuan Gu; Jacek Jendrej; Lifeng Zhao</x:v>
      </x:c>
      <x:c r="I56" s="60" t="n">
        <x:v>93.9</x:v>
      </x:c>
      <x:c r="J56" s="60" t="n">
        <x:v>93.96</x:v>
      </x:c>
      <x:c r="K56" s="60" t="n">
        <x:v>93.9</x:v>
      </x:c>
      <x:c r="L56" s="60" t="n">
        <x:v>93.96</x:v>
      </x:c>
      <x:c r="M56" s="60" t="n">
        <x:v>93.96</x:v>
      </x:c>
      <x:c r="N56" s="60" t="n">
        <x:v>0.06</x:v>
      </x:c>
      <x:c r="O56" s="60" t="n">
        <x:v>0.028</x:v>
      </x:c>
      <x:c r="P56" s="59" t="str">
        <x:v>slight_up</x:v>
      </x:c>
      <x:c r="Q56" s="40" t="str">
        <x:v>三轮复核后与原表基本一致</x:v>
      </x:c>
      <x:c r="R56" s="40" t="str">
        <x:v>https://arxiv.org/abs/2606.04449</x:v>
      </x:c>
    </x:row>
    <x:row r="57" ht="32" customHeight="1">
      <x:c r="A57" s="59" t="str">
        <x:v>2026-06</x:v>
      </x:c>
      <x:c r="B57" s="59" t="n">
        <x:v>4</x:v>
      </x:c>
      <x:c r="C57" s="59" t="n">
        <x:v>9</x:v>
      </x:c>
      <x:c r="D57" s="59" t="n">
        <x:v>9</x:v>
      </x:c>
      <x:c r="E57" s="59" t="n">
        <x:v>0</x:v>
      </x:c>
      <x:c r="F57" s="59" t="str">
        <x:v>2606.00538</x:v>
      </x:c>
      <x:c r="G57" s="40" t="str">
        <x:v>Classification of blow-ups for the Alt--Phillips problem in three dimensions</x:v>
      </x:c>
      <x:c r="H57" s="40" t="str">
        <x:v>Xavier Fernandez-Real</x:v>
      </x:c>
      <x:c r="I57" s="60" t="n">
        <x:v>92.97500000000001</x:v>
      </x:c>
      <x:c r="J57" s="60" t="n">
        <x:v>93.08</x:v>
      </x:c>
      <x:c r="K57" s="60" t="n">
        <x:v>93.02</x:v>
      </x:c>
      <x:c r="L57" s="60" t="n">
        <x:v>93.05</x:v>
      </x:c>
      <x:c r="M57" s="60" t="n">
        <x:v>93.05</x:v>
      </x:c>
      <x:c r="N57" s="60" t="n">
        <x:v>0.07</x:v>
      </x:c>
      <x:c r="O57" s="60" t="n">
        <x:v>0.024</x:v>
      </x:c>
      <x:c r="P57" s="59" t="str">
        <x:v>slight_up</x:v>
      </x:c>
      <x:c r="Q57" s="40" t="str">
        <x:v>三维Alt--Phillips blow-up分类保持Top层级，广度略上调。</x:v>
      </x:c>
      <x:c r="R57" s="40" t="str">
        <x:v>https://arxiv.org/abs/2606.00538</x:v>
      </x:c>
    </x:row>
    <x:row r="58" ht="32" customHeight="1">
      <x:c r="A58" s="59" t="str">
        <x:v>2026-06</x:v>
      </x:c>
      <x:c r="B58" s="59" t="n">
        <x:v>5</x:v>
      </x:c>
      <x:c r="C58" s="59" t="n">
        <x:v>11</x:v>
      </x:c>
      <x:c r="D58" s="59" t="n">
        <x:v>11</x:v>
      </x:c>
      <x:c r="E58" s="59" t="n">
        <x:v>0</x:v>
      </x:c>
      <x:c r="F58" s="59" t="str">
        <x:v>2606.01331</x:v>
      </x:c>
      <x:c r="G58" s="40" t="str">
        <x:v>Sharp H_x^s Ill-posedness of the Hard-sphere Boltzmann Equation</x:v>
      </x:c>
      <x:c r="H58" s="40" t="str">
        <x:v>Xuwen Chen; Yan Guo; Shunlin Shen; Zhifei Zhang</x:v>
      </x:c>
      <x:c r="I58" s="60" t="n">
        <x:v>92.45</x:v>
      </x:c>
      <x:c r="J58" s="60" t="n">
        <x:v>92.58</x:v>
      </x:c>
      <x:c r="K58" s="60" t="n">
        <x:v>92.49</x:v>
      </x:c>
      <x:c r="L58" s="60" t="n">
        <x:v>92.55</x:v>
      </x:c>
      <x:c r="M58" s="60" t="n">
        <x:v>92.55</x:v>
      </x:c>
      <x:c r="N58" s="60" t="n">
        <x:v>0.1</x:v>
      </x:c>
      <x:c r="O58" s="60" t="n">
        <x:v>0.037</x:v>
      </x:c>
      <x:c r="P58" s="59" t="str">
        <x:v>slight_up</x:v>
      </x:c>
      <x:c r="Q58" s="40" t="str">
        <x:v>三轮复核后与原表基本一致</x:v>
      </x:c>
      <x:c r="R58" s="40" t="str">
        <x:v>https://arxiv.org/abs/2606.01331</x:v>
      </x:c>
    </x:row>
    <x:row r="59" ht="32" customHeight="1">
      <x:c r="A59" s="59" t="str">
        <x:v>2026-06</x:v>
      </x:c>
      <x:c r="B59" s="59" t="n">
        <x:v>6</x:v>
      </x:c>
      <x:c r="C59" s="59" t="n">
        <x:v>12</x:v>
      </x:c>
      <x:c r="D59" s="59" t="n">
        <x:v>12</x:v>
      </x:c>
      <x:c r="E59" s="59" t="n">
        <x:v>0</x:v>
      </x:c>
      <x:c r="F59" s="59" t="str">
        <x:v>2606.12192</x:v>
      </x:c>
      <x:c r="G59" s="40" t="str">
        <x:v>A Generalized Framework for L^r Convex Integration and its Application to Geophysical Models</x:v>
      </x:c>
      <x:c r="H59" s="40" t="str">
        <x:v>Daniel W. Boutros; Simon Markfelder; Edriss S. Titi</x:v>
      </x:c>
      <x:c r="I59" s="60" t="n">
        <x:v>92.32499999999999</x:v>
      </x:c>
      <x:c r="J59" s="60" t="n">
        <x:v>92.48</x:v>
      </x:c>
      <x:c r="K59" s="60" t="n">
        <x:v>92.39</x:v>
      </x:c>
      <x:c r="L59" s="60" t="n">
        <x:v>92.45</x:v>
      </x:c>
      <x:c r="M59" s="60" t="n">
        <x:v>92.45</x:v>
      </x:c>
      <x:c r="N59" s="60" t="n">
        <x:v>0.13</x:v>
      </x:c>
      <x:c r="O59" s="60" t="n">
        <x:v>0.037</x:v>
      </x:c>
      <x:c r="P59" s="59" t="str">
        <x:v>slight_up</x:v>
      </x:c>
      <x:c r="Q59" s="40" t="str">
        <x:v>convex integration general framework 有广度，略上调。</x:v>
      </x:c>
      <x:c r="R59" s="40" t="str">
        <x:v>https://arxiv.org/abs/2606.12192</x:v>
      </x:c>
    </x:row>
    <x:row r="60" ht="32" customHeight="1">
      <x:c r="A60" s="59" t="str">
        <x:v>2026-06</x:v>
      </x:c>
      <x:c r="B60" s="59" t="n">
        <x:v>7</x:v>
      </x:c>
      <x:c r="C60" s="59" t="n">
        <x:v>16</x:v>
      </x:c>
      <x:c r="D60" s="59" t="n">
        <x:v>14</x:v>
      </x:c>
      <x:c r="E60" s="59" t="n">
        <x:v>2</x:v>
      </x:c>
      <x:c r="F60" s="59" t="str">
        <x:v>2606.01359</x:v>
      </x:c>
      <x:c r="G60" s="40" t="str">
        <x:v>Intrinsic Schauder estimates at nearly linear growth</x:v>
      </x:c>
      <x:c r="H60" s="40" t="str">
        <x:v>Cristiana De Filippis; Filomena De Filippis; Peter Hasto</x:v>
      </x:c>
      <x:c r="I60" s="60" t="n">
        <x:v>91.92500000000001</x:v>
      </x:c>
      <x:c r="J60" s="60" t="n">
        <x:v>92.1</x:v>
      </x:c>
      <x:c r="K60" s="60" t="n">
        <x:v>92.08</x:v>
      </x:c>
      <x:c r="L60" s="60" t="n">
        <x:v>92.08</x:v>
      </x:c>
      <x:c r="M60" s="60" t="n">
        <x:v>92.08</x:v>
      </x:c>
      <x:c r="N60" s="60" t="n">
        <x:v>0.15</x:v>
      </x:c>
      <x:c r="O60" s="60" t="n">
        <x:v>0.009</x:v>
      </x:c>
      <x:c r="P60" s="59" t="str">
        <x:v>slight_up</x:v>
      </x:c>
      <x:c r="Q60" s="40" t="str">
        <x:v>nearly linear growth Schauder估计可迁移性强，略上调。</x:v>
      </x:c>
      <x:c r="R60" s="40" t="str">
        <x:v>https://arxiv.org/abs/2606.01359</x:v>
      </x:c>
    </x:row>
    <x:row r="61" ht="32" customHeight="1">
      <x:c r="A61" s="59" t="str">
        <x:v>2026-06</x:v>
      </x:c>
      <x:c r="B61" s="59" t="n">
        <x:v>8</x:v>
      </x:c>
      <x:c r="C61" s="59" t="n">
        <x:v>20</x:v>
      </x:c>
      <x:c r="D61" s="59" t="n">
        <x:v>19</x:v>
      </x:c>
      <x:c r="E61" s="59" t="n">
        <x:v>1</x:v>
      </x:c>
      <x:c r="F61" s="59" t="str">
        <x:v>2606.27691</x:v>
      </x:c>
      <x:c r="G61" s="40" t="str">
        <x:v>Singular Limits for Three-Dimensional Global Minimizers of Ginzburg-Landau-Type Functionals: Uniform Estimates and Singular Sets</x:v>
      </x:c>
      <x:c r="H61" s="40" t="str">
        <x:v>Giacomo Canevari; Haotong Fu; Wei Wang</x:v>
      </x:c>
      <x:c r="I61" s="60" t="n">
        <x:v>91.65</x:v>
      </x:c>
      <x:c r="J61" s="60" t="n">
        <x:v>91.7</x:v>
      </x:c>
      <x:c r="K61" s="60" t="n">
        <x:v>91.71</x:v>
      </x:c>
      <x:c r="L61" s="60" t="n">
        <x:v>91.7</x:v>
      </x:c>
      <x:c r="M61" s="60" t="n">
        <x:v>91.7</x:v>
      </x:c>
      <x:c r="N61" s="60" t="n">
        <x:v>0.05</x:v>
      </x:c>
      <x:c r="O61" s="60" t="n">
        <x:v>0.005</x:v>
      </x:c>
      <x:c r="P61" s="59" t="str">
        <x:v>stable</x:v>
      </x:c>
      <x:c r="Q61" s="40" t="str">
        <x:v>三轮复核后与原表基本一致</x:v>
      </x:c>
      <x:c r="R61" s="40" t="str">
        <x:v>https://arxiv.org/abs/2606.27691</x:v>
      </x:c>
    </x:row>
    <x:row r="62" ht="32" customHeight="1">
      <x:c r="A62" s="59" t="str">
        <x:v>2026-06</x:v>
      </x:c>
      <x:c r="B62" s="59" t="n">
        <x:v>9</x:v>
      </x:c>
      <x:c r="C62" s="59" t="n">
        <x:v>21</x:v>
      </x:c>
      <x:c r="D62" s="59" t="n">
        <x:v>20</x:v>
      </x:c>
      <x:c r="E62" s="59" t="n">
        <x:v>1</x:v>
      </x:c>
      <x:c r="F62" s="59" t="str">
        <x:v>2606.03680</x:v>
      </x:c>
      <x:c r="G62" s="40" t="str">
        <x:v>Global regularity of the 2D fractional Boussinesq equations with subcritical dissipation</x:v>
      </x:c>
      <x:c r="H62" s="40" t="str">
        <x:v>Atanas Stefanov; Jiahong Wu; Xiaojing Xu; Zhuan Ye</x:v>
      </x:c>
      <x:c r="I62" s="60" t="n">
        <x:v>91.625</x:v>
      </x:c>
      <x:c r="J62" s="60" t="n">
        <x:v>91.72</x:v>
      </x:c>
      <x:c r="K62" s="60" t="n">
        <x:v>91.71</x:v>
      </x:c>
      <x:c r="L62" s="60" t="n">
        <x:v>91.7</x:v>
      </x:c>
      <x:c r="M62" s="60" t="n">
        <x:v>91.7</x:v>
      </x:c>
      <x:c r="N62" s="60" t="n">
        <x:v>0.08</x:v>
      </x:c>
      <x:c r="O62" s="60" t="n">
        <x:v>0.008</x:v>
      </x:c>
      <x:c r="P62" s="59" t="str">
        <x:v>slight_up</x:v>
      </x:c>
      <x:c r="Q62" s="40" t="str">
        <x:v>范围偏专门，广度轻微回调</x:v>
      </x:c>
      <x:c r="R62" s="40" t="str">
        <x:v>https://arxiv.org/abs/2606.03680</x:v>
      </x:c>
    </x:row>
    <x:row r="63" ht="32" customHeight="1">
      <x:c r="A63" s="59" t="str">
        <x:v>2026-06</x:v>
      </x:c>
      <x:c r="B63" s="59" t="n">
        <x:v>10</x:v>
      </x:c>
      <x:c r="C63" s="59" t="n">
        <x:v>24</x:v>
      </x:c>
      <x:c r="D63" s="59" t="n">
        <x:v>25</x:v>
      </x:c>
      <x:c r="E63" s="59" t="n">
        <x:v>-1</x:v>
      </x:c>
      <x:c r="F63" s="59" t="str">
        <x:v>2606.05098</x:v>
      </x:c>
      <x:c r="G63" s="40" t="str">
        <x:v>Quantitative Homogenization Theory for Lame-Stokes Coupled Systems</x:v>
      </x:c>
      <x:c r="H63" s="40" t="str">
        <x:v>Beichen Wang</x:v>
      </x:c>
      <x:c r="I63" s="60" t="n">
        <x:v>91.35</x:v>
      </x:c>
      <x:c r="J63" s="60" t="n">
        <x:v>91.42</x:v>
      </x:c>
      <x:c r="K63" s="60" t="n">
        <x:v>91.4</x:v>
      </x:c>
      <x:c r="L63" s="60" t="n">
        <x:v>91.4</x:v>
      </x:c>
      <x:c r="M63" s="60" t="n">
        <x:v>91.4</x:v>
      </x:c>
      <x:c r="N63" s="60" t="n">
        <x:v>0.05</x:v>
      </x:c>
      <x:c r="O63" s="60" t="n">
        <x:v>0.009</x:v>
      </x:c>
      <x:c r="P63" s="59" t="str">
        <x:v>stable</x:v>
      </x:c>
      <x:c r="Q63" s="40" t="str">
        <x:v>三轮复核后与原表基本一致</x:v>
      </x:c>
      <x:c r="R63" s="40" t="str">
        <x:v>https://arxiv.org/abs/2606.05098</x:v>
      </x:c>
    </x:row>
    <x:row r="64" ht="32" customHeight="1">
      <x:c r="A64" s="59" t="str">
        <x:v>2026-06</x:v>
      </x:c>
      <x:c r="B64" s="59" t="n">
        <x:v>11</x:v>
      </x:c>
      <x:c r="C64" s="59" t="n">
        <x:v>26</x:v>
      </x:c>
      <x:c r="D64" s="59" t="n">
        <x:v>26</x:v>
      </x:c>
      <x:c r="E64" s="59" t="n">
        <x:v>0</x:v>
      </x:c>
      <x:c r="F64" s="59" t="str">
        <x:v>2606.09614</x:v>
      </x:c>
      <x:c r="G64" s="40" t="str">
        <x:v>The L^p Neumann problem for parabolic operators with coefficients satisfying small Carleson condition</x:v>
      </x:c>
      <x:c r="H64" s="40" t="str">
        <x:v>Martin Dindos; Linhan Li; Jill Pipher</x:v>
      </x:c>
      <x:c r="I64" s="60" t="n">
        <x:v>91.15</x:v>
      </x:c>
      <x:c r="J64" s="60" t="n">
        <x:v>91.21</x:v>
      </x:c>
      <x:c r="K64" s="60" t="n">
        <x:v>91.2</x:v>
      </x:c>
      <x:c r="L64" s="60" t="n">
        <x:v>91.19</x:v>
      </x:c>
      <x:c r="M64" s="60" t="n">
        <x:v>91.19</x:v>
      </x:c>
      <x:c r="N64" s="60" t="n">
        <x:v>0.04</x:v>
      </x:c>
      <x:c r="O64" s="60" t="n">
        <x:v>0.008</x:v>
      </x:c>
      <x:c r="P64" s="59" t="str">
        <x:v>stable</x:v>
      </x:c>
      <x:c r="Q64" s="40" t="str">
        <x:v>三轮复核后与原表基本一致</x:v>
      </x:c>
      <x:c r="R64" s="40" t="str">
        <x:v>https://arxiv.org/abs/2606.09614</x:v>
      </x:c>
    </x:row>
    <x:row r="65" ht="32" customHeight="1">
      <x:c r="A65" s="59" t="str">
        <x:v>2026-06</x:v>
      </x:c>
      <x:c r="B65" s="59" t="n">
        <x:v>12</x:v>
      </x:c>
      <x:c r="C65" s="59" t="n">
        <x:v>27</x:v>
      </x:c>
      <x:c r="D65" s="59" t="n">
        <x:v>27</x:v>
      </x:c>
      <x:c r="E65" s="59" t="n">
        <x:v>0</x:v>
      </x:c>
      <x:c r="F65" s="59" t="str">
        <x:v>2606.28211</x:v>
      </x:c>
      <x:c r="G65" s="40" t="str">
        <x:v>A regularity theorem for stationary measures</x:v>
      </x:c>
      <x:c r="H65" s="40" t="str">
        <x:v>Luigi Ambrosio; Giovanni Siclari</x:v>
      </x:c>
      <x:c r="I65" s="60" t="n">
        <x:v>91.125</x:v>
      </x:c>
      <x:c r="J65" s="60" t="n">
        <x:v>91.16</x:v>
      </x:c>
      <x:c r="K65" s="60" t="n">
        <x:v>91.15</x:v>
      </x:c>
      <x:c r="L65" s="60" t="n">
        <x:v>91.15</x:v>
      </x:c>
      <x:c r="M65" s="60" t="n">
        <x:v>91.15</x:v>
      </x:c>
      <x:c r="N65" s="60" t="n">
        <x:v>0.03</x:v>
      </x:c>
      <x:c r="O65" s="60" t="n">
        <x:v>0.005</x:v>
      </x:c>
      <x:c r="P65" s="59" t="str">
        <x:v>stable</x:v>
      </x:c>
      <x:c r="Q65" s="40" t="str">
        <x:v>范围偏专门，广度轻微回调</x:v>
      </x:c>
      <x:c r="R65" s="40" t="str">
        <x:v>https://arxiv.org/abs/2606.28211</x:v>
      </x:c>
    </x:row>
    <x:row r="66" ht="32" customHeight="1">
      <x:c r="A66" s="59" t="str">
        <x:v>2026-06</x:v>
      </x:c>
      <x:c r="B66" s="59" t="n">
        <x:v>13</x:v>
      </x:c>
      <x:c r="C66" s="59" t="n">
        <x:v>28</x:v>
      </x:c>
      <x:c r="D66" s="59" t="n">
        <x:v>28</x:v>
      </x:c>
      <x:c r="E66" s="59" t="n">
        <x:v>0</x:v>
      </x:c>
      <x:c r="F66" s="59" t="str">
        <x:v>2606.07010</x:v>
      </x:c>
      <x:c r="G66" s="40" t="str">
        <x:v>Gauge transforms, random averaging operator ansatz and improved probabilistic well-posedness for the radial NLS on the 3d ball</x:v>
      </x:c>
      <x:c r="H66" s="40" t="str">
        <x:v>Nicolas Burq; Nicolas Camps; Chenmin Sun; Nikolay Tzvetkov</x:v>
      </x:c>
      <x:c r="I66" s="60" t="n">
        <x:v>91.125</x:v>
      </x:c>
      <x:c r="J66" s="60" t="n">
        <x:v>91.1</x:v>
      </x:c>
      <x:c r="K66" s="60" t="n">
        <x:v>91.1</x:v>
      </x:c>
      <x:c r="L66" s="60" t="n">
        <x:v>91.1</x:v>
      </x:c>
      <x:c r="M66" s="60" t="n">
        <x:v>91.1</x:v>
      </x:c>
      <x:c r="N66" s="60" t="n">
        <x:v>-0.03</x:v>
      </x:c>
      <x:c r="O66" s="60" t="n">
        <x:v>0</x:v>
      </x:c>
      <x:c r="P66" s="59" t="str">
        <x:v>stable</x:v>
      </x:c>
      <x:c r="Q66" s="40" t="str">
        <x:v>范围偏专门，广度轻微回调</x:v>
      </x:c>
      <x:c r="R66" s="40" t="str">
        <x:v>https://arxiv.org/abs/2606.07010</x:v>
      </x:c>
    </x:row>
    <x:row r="67" ht="32" customHeight="1">
      <x:c r="A67" s="59" t="str">
        <x:v>2026-06</x:v>
      </x:c>
      <x:c r="B67" s="59" t="n">
        <x:v>14</x:v>
      </x:c>
      <x:c r="C67" s="59" t="n">
        <x:v>30</x:v>
      </x:c>
      <x:c r="D67" s="59" t="n">
        <x:v>30</x:v>
      </x:c>
      <x:c r="E67" s="59" t="n">
        <x:v>0</x:v>
      </x:c>
      <x:c r="F67" s="59" t="str">
        <x:v>2606.10185</x:v>
      </x:c>
      <x:c r="G67" s="40" t="str">
        <x:v>Boundary Harnack estimates of optimal order for kinetic Fokker-Planck equations</x:v>
      </x:c>
      <x:c r="H67" s="40" t="str">
        <x:v>Kyeongbae Kim; Marvin Weidner</x:v>
      </x:c>
      <x:c r="I67" s="60" t="n">
        <x:v>90.975</x:v>
      </x:c>
      <x:c r="J67" s="60" t="n">
        <x:v>91.04</x:v>
      </x:c>
      <x:c r="K67" s="60" t="n">
        <x:v>91.03</x:v>
      </x:c>
      <x:c r="L67" s="60" t="n">
        <x:v>91.03</x:v>
      </x:c>
      <x:c r="M67" s="60" t="n">
        <x:v>91.03</x:v>
      </x:c>
      <x:c r="N67" s="60" t="n">
        <x:v>0.06</x:v>
      </x:c>
      <x:c r="O67" s="60" t="n">
        <x:v>0.005</x:v>
      </x:c>
      <x:c r="P67" s="59" t="str">
        <x:v>slight_up</x:v>
      </x:c>
      <x:c r="Q67" s="40" t="str">
        <x:v>三轮复核后与原表基本一致</x:v>
      </x:c>
      <x:c r="R67" s="40" t="str">
        <x:v>https://arxiv.org/abs/2606.10185</x:v>
      </x:c>
    </x:row>
    <x:row r="68" ht="32" customHeight="1">
      <x:c r="A68" s="59" t="str">
        <x:v>2026-06</x:v>
      </x:c>
      <x:c r="B68" s="59" t="n">
        <x:v>15</x:v>
      </x:c>
      <x:c r="C68" s="59" t="n">
        <x:v>32</x:v>
      </x:c>
      <x:c r="D68" s="59" t="n">
        <x:v>32</x:v>
      </x:c>
      <x:c r="E68" s="59" t="n">
        <x:v>0</x:v>
      </x:c>
      <x:c r="F68" s="59" t="str">
        <x:v>2606.15189</x:v>
      </x:c>
      <x:c r="G68" s="40" t="str">
        <x:v>Blow-up and uniqueness of Leray-Hopf solutions to forced Navier-Stokes equations</x:v>
      </x:c>
      <x:c r="H68" s="40" t="str">
        <x:v>Giovanni Paolo Galdi; Filippo Gazzola</x:v>
      </x:c>
      <x:c r="I68" s="60" t="n">
        <x:v>90.775</x:v>
      </x:c>
      <x:c r="J68" s="60" t="n">
        <x:v>90.82</x:v>
      </x:c>
      <x:c r="K68" s="60" t="n">
        <x:v>90.84</x:v>
      </x:c>
      <x:c r="L68" s="60" t="n">
        <x:v>90.82</x:v>
      </x:c>
      <x:c r="M68" s="60" t="n">
        <x:v>90.82</x:v>
      </x:c>
      <x:c r="N68" s="60" t="n">
        <x:v>0.04</x:v>
      </x:c>
      <x:c r="O68" s="60" t="n">
        <x:v>0.009</x:v>
      </x:c>
      <x:c r="P68" s="59" t="str">
        <x:v>stable</x:v>
      </x:c>
      <x:c r="Q68" s="40" t="str">
        <x:v>三轮复核后与原表基本一致</x:v>
      </x:c>
      <x:c r="R68" s="40" t="str">
        <x:v>https://arxiv.org/abs/2606.15189</x:v>
      </x:c>
    </x:row>
    <x:row r="69" ht="32" customHeight="1">
      <x:c r="A69" s="59" t="str">
        <x:v>2026-06</x:v>
      </x:c>
      <x:c r="B69" s="59" t="n">
        <x:v>16</x:v>
      </x:c>
      <x:c r="C69" s="59" t="n">
        <x:v>33</x:v>
      </x:c>
      <x:c r="D69" s="59" t="n">
        <x:v>34</x:v>
      </x:c>
      <x:c r="E69" s="59" t="n">
        <x:v>-1</x:v>
      </x:c>
      <x:c r="F69" s="59" t="str">
        <x:v>2606.12101</x:v>
      </x:c>
      <x:c r="G69" s="40" t="str">
        <x:v>Sharp Convergence Rates for Parabolic Green's Functions in Time-Independent Periodic Homogenization</x:v>
      </x:c>
      <x:c r="H69" s="40" t="str">
        <x:v>Wei Wang</x:v>
      </x:c>
      <x:c r="I69" s="60" t="n">
        <x:v>90.75</x:v>
      </x:c>
      <x:c r="J69" s="60" t="n">
        <x:v>90.82</x:v>
      </x:c>
      <x:c r="K69" s="60" t="n">
        <x:v>90.8</x:v>
      </x:c>
      <x:c r="L69" s="60" t="n">
        <x:v>90.8</x:v>
      </x:c>
      <x:c r="M69" s="60" t="n">
        <x:v>90.8</x:v>
      </x:c>
      <x:c r="N69" s="60" t="n">
        <x:v>0.05</x:v>
      </x:c>
      <x:c r="O69" s="60" t="n">
        <x:v>0.009</x:v>
      </x:c>
      <x:c r="P69" s="59" t="str">
        <x:v>stable</x:v>
      </x:c>
      <x:c r="Q69" s="40" t="str">
        <x:v>三轮复核后与原表基本一致</x:v>
      </x:c>
      <x:c r="R69" s="40" t="str">
        <x:v>https://arxiv.org/abs/2606.12101</x:v>
      </x:c>
    </x:row>
    <x:row r="70" ht="32" customHeight="1">
      <x:c r="A70" s="59" t="str">
        <x:v>2026-06</x:v>
      </x:c>
      <x:c r="B70" s="59" t="n">
        <x:v>17</x:v>
      </x:c>
      <x:c r="C70" s="59" t="n">
        <x:v>34</x:v>
      </x:c>
      <x:c r="D70" s="59" t="n">
        <x:v>35</x:v>
      </x:c>
      <x:c r="E70" s="59" t="n">
        <x:v>-1</x:v>
      </x:c>
      <x:c r="F70" s="59" t="str">
        <x:v>2606.04377</x:v>
      </x:c>
      <x:c r="G70" s="40" t="str">
        <x:v>A comparison principle for Wasserstein PDEs with state- and law-dependent common noise</x:v>
      </x:c>
      <x:c r="H70" s="40" t="str">
        <x:v>Erhan Bayraktar; Ibrahim Ekren; Xihao He; Xin Zhang</x:v>
      </x:c>
      <x:c r="I70" s="60" t="n">
        <x:v>90.725</x:v>
      </x:c>
      <x:c r="J70" s="60" t="n">
        <x:v>90.73</x:v>
      </x:c>
      <x:c r="K70" s="60" t="n">
        <x:v>90.74</x:v>
      </x:c>
      <x:c r="L70" s="60" t="n">
        <x:v>90.73</x:v>
      </x:c>
      <x:c r="M70" s="60" t="n">
        <x:v>90.73</x:v>
      </x:c>
      <x:c r="N70" s="60" t="n">
        <x:v>0.01</x:v>
      </x:c>
      <x:c r="O70" s="60" t="n">
        <x:v>0.005</x:v>
      </x:c>
      <x:c r="P70" s="59" t="str">
        <x:v>stable</x:v>
      </x:c>
      <x:c r="Q70" s="40" t="str">
        <x:v>三轮复核后与原表基本一致</x:v>
      </x:c>
      <x:c r="R70" s="40" t="str">
        <x:v>https://arxiv.org/abs/2606.04377</x:v>
      </x:c>
    </x:row>
    <x:row r="71" ht="32" customHeight="1">
      <x:c r="A71" s="59" t="str">
        <x:v>2026-06</x:v>
      </x:c>
      <x:c r="B71" s="59" t="n">
        <x:v>18</x:v>
      </x:c>
      <x:c r="C71" s="59" t="n">
        <x:v>36</x:v>
      </x:c>
      <x:c r="D71" s="59" t="n">
        <x:v>36</x:v>
      </x:c>
      <x:c r="E71" s="59" t="n">
        <x:v>0</x:v>
      </x:c>
      <x:c r="F71" s="59" t="str">
        <x:v>2606.10247</x:v>
      </x:c>
      <x:c r="G71" s="40" t="str">
        <x:v>The partial data Calderon problem in dimension three</x:v>
      </x:c>
      <x:c r="H71" s="40" t="str">
        <x:v>Gunther Uhlmann; Yiran Wang</x:v>
      </x:c>
      <x:c r="I71" s="60" t="n">
        <x:v>90.675</x:v>
      </x:c>
      <x:c r="J71" s="60" t="n">
        <x:v>90.73</x:v>
      </x:c>
      <x:c r="K71" s="60" t="n">
        <x:v>90.74</x:v>
      </x:c>
      <x:c r="L71" s="60" t="n">
        <x:v>90.73</x:v>
      </x:c>
      <x:c r="M71" s="60" t="n">
        <x:v>90.73</x:v>
      </x:c>
      <x:c r="N71" s="60" t="n">
        <x:v>0.06</x:v>
      </x:c>
      <x:c r="O71" s="60" t="n">
        <x:v>0.005</x:v>
      </x:c>
      <x:c r="P71" s="59" t="str">
        <x:v>slight_up</x:v>
      </x:c>
      <x:c r="Q71" s="40" t="str">
        <x:v>三轮复核后与原表基本一致</x:v>
      </x:c>
      <x:c r="R71" s="40" t="str">
        <x:v>https://arxiv.org/abs/2606.10247</x:v>
      </x:c>
    </x:row>
    <x:row r="72" ht="32" customHeight="1">
      <x:c r="A72" s="59" t="str">
        <x:v>2026-06</x:v>
      </x:c>
      <x:c r="B72" s="59" t="n">
        <x:v>19</x:v>
      </x:c>
      <x:c r="C72" s="59" t="n">
        <x:v>37</x:v>
      </x:c>
      <x:c r="D72" s="59" t="n">
        <x:v>38</x:v>
      </x:c>
      <x:c r="E72" s="59" t="n">
        <x:v>-1</x:v>
      </x:c>
      <x:c r="F72" s="59" t="str">
        <x:v>2606.08648</x:v>
      </x:c>
      <x:c r="G72" s="40" t="str">
        <x:v>On Brezis Open Problem 3.1</x:v>
      </x:c>
      <x:c r="H72" s="40" t="str">
        <x:v>Qi Guo; Xueping Huang; Yi C. Huang; Fanghua Lin; Juncheng Wei</x:v>
      </x:c>
      <x:c r="I72" s="60" t="n">
        <x:v>90.5</x:v>
      </x:c>
      <x:c r="J72" s="60" t="n">
        <x:v>90.44</x:v>
      </x:c>
      <x:c r="K72" s="60" t="n">
        <x:v>90.44</x:v>
      </x:c>
      <x:c r="L72" s="60" t="n">
        <x:v>90.41</x:v>
      </x:c>
      <x:c r="M72" s="60" t="n">
        <x:v>90.42</x:v>
      </x:c>
      <x:c r="N72" s="60" t="n">
        <x:v>-0.08</x:v>
      </x:c>
      <x:c r="O72" s="60" t="n">
        <x:v>0.014</x:v>
      </x:c>
      <x:c r="P72" s="59" t="str">
        <x:v>slight_down</x:v>
      </x:c>
      <x:c r="Q72" s="40" t="str">
        <x:v>短文且非框架性题材，技术残差轻微回调；Brezis公开问题稿件保持原先高分附近，未做正确性认证。</x:v>
      </x:c>
      <x:c r="R72" s="40" t="str">
        <x:v>https://arxiv.org/abs/2606.08648</x:v>
      </x:c>
    </x:row>
    <x:row r="73" ht="32" customHeight="1">
      <x:c r="A73" s="59" t="str">
        <x:v>2026-06</x:v>
      </x:c>
      <x:c r="B73" s="59" t="n">
        <x:v>20</x:v>
      </x:c>
      <x:c r="C73" s="59" t="n">
        <x:v>40</x:v>
      </x:c>
      <x:c r="D73" s="59" t="n">
        <x:v>39</x:v>
      </x:c>
      <x:c r="E73" s="59" t="n">
        <x:v>1</x:v>
      </x:c>
      <x:c r="F73" s="59" t="str">
        <x:v>2606.29993</x:v>
      </x:c>
      <x:c r="G73" s="40" t="str">
        <x:v>Strichartz Estimates for the Liouville Equation on Euclidean Tori and Applications to Kakeya</x:v>
      </x:c>
      <x:c r="H73" s="40" t="str">
        <x:v>Pierre Germain; Mickael Latocca</x:v>
      </x:c>
      <x:c r="I73" s="60" t="n">
        <x:v>90.39999999999999</x:v>
      </x:c>
      <x:c r="J73" s="60" t="n">
        <x:v>90.4</x:v>
      </x:c>
      <x:c r="K73" s="60" t="n">
        <x:v>90.41</x:v>
      </x:c>
      <x:c r="L73" s="60" t="n">
        <x:v>90.4</x:v>
      </x:c>
      <x:c r="M73" s="60" t="n">
        <x:v>90.4</x:v>
      </x:c>
      <x:c r="N73" s="60" t="n">
        <x:v>0</x:v>
      </x:c>
      <x:c r="O73" s="60" t="n">
        <x:v>0.005</x:v>
      </x:c>
      <x:c r="P73" s="59" t="str">
        <x:v>stable</x:v>
      </x:c>
      <x:c r="Q73" s="40" t="str">
        <x:v>三轮复核后与原表基本一致</x:v>
      </x:c>
      <x:c r="R73" s="40" t="str">
        <x:v>https://arxiv.org/abs/2606.29993</x:v>
      </x:c>
    </x:row>
    <x:row r="74" ht="32" customHeight="1">
      <x:c r="A74" s="59" t="str">
        <x:v>2026-06</x:v>
      </x:c>
      <x:c r="B74" s="59" t="n">
        <x:v>21</x:v>
      </x:c>
      <x:c r="C74" s="59" t="n">
        <x:v>41</x:v>
      </x:c>
      <x:c r="D74" s="59" t="n">
        <x:v>40</x:v>
      </x:c>
      <x:c r="E74" s="59" t="n">
        <x:v>1</x:v>
      </x:c>
      <x:c r="F74" s="59" t="str">
        <x:v>2606.03749</x:v>
      </x:c>
      <x:c r="G74" s="40" t="str">
        <x:v>A Density-Distance Version of the Carlen--Frank--Lieb Stability Theorem</x:v>
      </x:c>
      <x:c r="H74" s="40" t="str">
        <x:v>Gangsong Leng</x:v>
      </x:c>
      <x:c r="I74" s="60" t="n">
        <x:v>90.35</x:v>
      </x:c>
      <x:c r="J74" s="60" t="n">
        <x:v>90.42</x:v>
      </x:c>
      <x:c r="K74" s="60" t="n">
        <x:v>90.4</x:v>
      </x:c>
      <x:c r="L74" s="60" t="n">
        <x:v>90.4</x:v>
      </x:c>
      <x:c r="M74" s="60" t="n">
        <x:v>90.4</x:v>
      </x:c>
      <x:c r="N74" s="60" t="n">
        <x:v>0.05</x:v>
      </x:c>
      <x:c r="O74" s="60" t="n">
        <x:v>0.009</x:v>
      </x:c>
      <x:c r="P74" s="59" t="str">
        <x:v>stable</x:v>
      </x:c>
      <x:c r="Q74" s="40" t="str">
        <x:v>三轮复核后与原表基本一致</x:v>
      </x:c>
      <x:c r="R74" s="40" t="str">
        <x:v>https://arxiv.org/abs/2606.03749</x:v>
      </x:c>
    </x:row>
    <x:row r="75" ht="32" customHeight="1">
      <x:c r="A75" s="59" t="str">
        <x:v>2026-06</x:v>
      </x:c>
      <x:c r="B75" s="59" t="n">
        <x:v>22</x:v>
      </x:c>
      <x:c r="C75" s="59" t="n">
        <x:v>44</x:v>
      </x:c>
      <x:c r="D75" s="59" t="n">
        <x:v>43</x:v>
      </x:c>
      <x:c r="E75" s="59" t="n">
        <x:v>1</x:v>
      </x:c>
      <x:c r="F75" s="59" t="str">
        <x:v>2606.14308</x:v>
      </x:c>
      <x:c r="G75" s="40" t="str">
        <x:v>Non-uniqueness of global-in-time admissible weak solutions to the isentropic compressible Euler equations for a dense set of initial data</x:v>
      </x:c>
      <x:c r="H75" s="40" t="str">
        <x:v>Daniel W. Boutros; Simon Markfelder</x:v>
      </x:c>
      <x:c r="I75" s="60" t="n">
        <x:v>90.225</x:v>
      </x:c>
      <x:c r="J75" s="60" t="n">
        <x:v>90.28</x:v>
      </x:c>
      <x:c r="K75" s="60" t="n">
        <x:v>90.29</x:v>
      </x:c>
      <x:c r="L75" s="60" t="n">
        <x:v>90.28</x:v>
      </x:c>
      <x:c r="M75" s="60" t="n">
        <x:v>90.28</x:v>
      </x:c>
      <x:c r="N75" s="60" t="n">
        <x:v>0.06</x:v>
      </x:c>
      <x:c r="O75" s="60" t="n">
        <x:v>0.005</x:v>
      </x:c>
      <x:c r="P75" s="59" t="str">
        <x:v>slight_up</x:v>
      </x:c>
      <x:c r="Q75" s="40" t="str">
        <x:v>三轮复核后与原表基本一致</x:v>
      </x:c>
      <x:c r="R75" s="40" t="str">
        <x:v>https://arxiv.org/abs/2606.14308</x:v>
      </x:c>
    </x:row>
    <x:row r="76" ht="32" customHeight="1">
      <x:c r="A76" s="59" t="str">
        <x:v>2026-06</x:v>
      </x:c>
      <x:c r="B76" s="59" t="n">
        <x:v>22</x:v>
      </x:c>
      <x:c r="C76" s="59" t="n">
        <x:v>43</x:v>
      </x:c>
      <x:c r="D76" s="59" t="n">
        <x:v>44</x:v>
      </x:c>
      <x:c r="E76" s="59" t="n">
        <x:v>-1</x:v>
      </x:c>
      <x:c r="F76" s="59" t="str">
        <x:v>2606.29454</x:v>
      </x:c>
      <x:c r="G76" s="40" t="str">
        <x:v>Formation of quasi-singularities of shock and implosion type for compressible Euler flows</x:v>
      </x:c>
      <x:c r="H76" s="40" t="str">
        <x:v>Xieling Fan; Hongyu Liu</x:v>
      </x:c>
      <x:c r="I76" s="60" t="n">
        <x:v>90.225</x:v>
      </x:c>
      <x:c r="J76" s="60" t="n">
        <x:v>90.25</x:v>
      </x:c>
      <x:c r="K76" s="60" t="n">
        <x:v>90.26</x:v>
      </x:c>
      <x:c r="L76" s="60" t="n">
        <x:v>90.25</x:v>
      </x:c>
      <x:c r="M76" s="60" t="n">
        <x:v>90.25</x:v>
      </x:c>
      <x:c r="N76" s="60" t="n">
        <x:v>0.03</x:v>
      </x:c>
      <x:c r="O76" s="60" t="n">
        <x:v>0.005</x:v>
      </x:c>
      <x:c r="P76" s="59" t="str">
        <x:v>stable</x:v>
      </x:c>
      <x:c r="Q76" s="40" t="str">
        <x:v>范围偏专门，广度轻微回调</x:v>
      </x:c>
      <x:c r="R76" s="40" t="str">
        <x:v>https://arxiv.org/abs/2606.29454</x:v>
      </x:c>
    </x:row>
    <x:row r="77" ht="32" customHeight="1">
      <x:c r="A77" s="59" t="str">
        <x:v>2026-06</x:v>
      </x:c>
      <x:c r="B77" s="59" t="n">
        <x:v>24</x:v>
      </x:c>
      <x:c r="C77" s="59" t="n">
        <x:v>46</x:v>
      </x:c>
      <x:c r="D77" s="59" t="n">
        <x:v>45</x:v>
      </x:c>
      <x:c r="E77" s="59" t="n">
        <x:v>1</x:v>
      </x:c>
      <x:c r="F77" s="59" t="str">
        <x:v>2606.02070</x:v>
      </x:c>
      <x:c r="G77" s="40" t="str">
        <x:v>Critical mass threshold for the 2D Patlak-Keller-Segel-Navier-Stokes system</x:v>
      </x:c>
      <x:c r="H77" s="40" t="str">
        <x:v>Wendong Wang; Dongyi Wei; Zhifei Zhang</x:v>
      </x:c>
      <x:c r="I77" s="60" t="n">
        <x:v>90.125</x:v>
      </x:c>
      <x:c r="J77" s="60" t="n">
        <x:v>90.18</x:v>
      </x:c>
      <x:c r="K77" s="60" t="n">
        <x:v>90.19</x:v>
      </x:c>
      <x:c r="L77" s="60" t="n">
        <x:v>90.18</x:v>
      </x:c>
      <x:c r="M77" s="60" t="n">
        <x:v>90.18</x:v>
      </x:c>
      <x:c r="N77" s="60" t="n">
        <x:v>0.06</x:v>
      </x:c>
      <x:c r="O77" s="60" t="n">
        <x:v>0.005</x:v>
      </x:c>
      <x:c r="P77" s="59" t="str">
        <x:v>slight_up</x:v>
      </x:c>
      <x:c r="Q77" s="40" t="str">
        <x:v>三轮复核后与原表基本一致</x:v>
      </x:c>
      <x:c r="R77" s="40" t="str">
        <x:v>https://arxiv.org/abs/2606.02070</x:v>
      </x:c>
    </x:row>
    <x:row r="78" ht="32" customHeight="1">
      <x:c r="A78" s="59" t="str">
        <x:v>2026-06</x:v>
      </x:c>
      <x:c r="B78" s="59" t="n">
        <x:v>25</x:v>
      </x:c>
      <x:c r="C78" s="59" t="n">
        <x:v>47</x:v>
      </x:c>
      <x:c r="D78" s="59" t="n">
        <x:v>46</x:v>
      </x:c>
      <x:c r="E78" s="59" t="n">
        <x:v>1</x:v>
      </x:c>
      <x:c r="F78" s="59" t="str">
        <x:v>2606.12061</x:v>
      </x:c>
      <x:c r="G78" s="40" t="str">
        <x:v>Complex-ellipticity, dimensional estimates and plane wave rigidity in BV^A</x:v>
      </x:c>
      <x:c r="H78" s="40" t="str">
        <x:v>Adolfo Arroyo-Rabasa</x:v>
      </x:c>
      <x:c r="I78" s="60" t="n">
        <x:v>90.125</x:v>
      </x:c>
      <x:c r="J78" s="60" t="n">
        <x:v>90.2</x:v>
      </x:c>
      <x:c r="K78" s="60" t="n">
        <x:v>90.15</x:v>
      </x:c>
      <x:c r="L78" s="60" t="n">
        <x:v>90.18</x:v>
      </x:c>
      <x:c r="M78" s="60" t="n">
        <x:v>90.16</x:v>
      </x:c>
      <x:c r="N78" s="60" t="n">
        <x:v>0.03</x:v>
      </x:c>
      <x:c r="O78" s="60" t="n">
        <x:v>0.021</x:v>
      </x:c>
      <x:c r="P78" s="59" t="str">
        <x:v>stable</x:v>
      </x:c>
      <x:c r="Q78" s="40" t="str">
        <x:v>三轮复核后与原表基本一致</x:v>
      </x:c>
      <x:c r="R78" s="40" t="str">
        <x:v>https://arxiv.org/abs/2606.12061</x:v>
      </x:c>
    </x:row>
    <x:row r="79" ht="32" customHeight="1">
      <x:c r="A79" s="59" t="str">
        <x:v>2026-06</x:v>
      </x:c>
      <x:c r="B79" s="59" t="n">
        <x:v>25</x:v>
      </x:c>
      <x:c r="C79" s="59" t="n">
        <x:v>48</x:v>
      </x:c>
      <x:c r="D79" s="59" t="n">
        <x:v>47</x:v>
      </x:c>
      <x:c r="E79" s="59" t="n">
        <x:v>1</x:v>
      </x:c>
      <x:c r="F79" s="59" t="str">
        <x:v>2606.02989</x:v>
      </x:c>
      <x:c r="G79" s="40" t="str">
        <x:v>The Benjamin-Ono Equation in the Long-Time Limit: Linearized Self-Similar Universality</x:v>
      </x:c>
      <x:c r="H79" s="40" t="str">
        <x:v>Louise Gassot; Patrick Gerard; Peter D. Miller</x:v>
      </x:c>
      <x:c r="I79" s="60" t="n">
        <x:v>90.125</x:v>
      </x:c>
      <x:c r="J79" s="60" t="n">
        <x:v>90.16</x:v>
      </x:c>
      <x:c r="K79" s="60" t="n">
        <x:v>90.16</x:v>
      </x:c>
      <x:c r="L79" s="60" t="n">
        <x:v>90.15</x:v>
      </x:c>
      <x:c r="M79" s="60" t="n">
        <x:v>90.15</x:v>
      </x:c>
      <x:c r="N79" s="60" t="n">
        <x:v>0.03</x:v>
      </x:c>
      <x:c r="O79" s="60" t="n">
        <x:v>0.005</x:v>
      </x:c>
      <x:c r="P79" s="59" t="str">
        <x:v>stable</x:v>
      </x:c>
      <x:c r="Q79" s="40" t="str">
        <x:v>范围偏专门，广度轻微回调</x:v>
      </x:c>
      <x:c r="R79" s="40" t="str">
        <x:v>https://arxiv.org/abs/2606.02989</x:v>
      </x:c>
    </x:row>
    <x:row r="80" ht="32" customHeight="1">
      <x:c r="A80" s="59" t="str">
        <x:v>2026-06</x:v>
      </x:c>
      <x:c r="B80" s="59" t="n">
        <x:v>27</x:v>
      </x:c>
      <x:c r="C80" s="59" t="n">
        <x:v>50</x:v>
      </x:c>
      <x:c r="D80" s="59" t="n">
        <x:v>52</x:v>
      </x:c>
      <x:c r="E80" s="59" t="n">
        <x:v>-2</x:v>
      </x:c>
      <x:c r="F80" s="59" t="str">
        <x:v>2606.29468</x:v>
      </x:c>
      <x:c r="G80" s="40" t="str">
        <x:v>On potential Type II blowups for the Navier-Stokes equations</x:v>
      </x:c>
      <x:c r="H80" s="40" t="str">
        <x:v>Gregory Seregin</x:v>
      </x:c>
      <x:c r="I80" s="60" t="n">
        <x:v>89.875</x:v>
      </x:c>
      <x:c r="J80" s="60" t="n">
        <x:v>89.84</x:v>
      </x:c>
      <x:c r="K80" s="60" t="n">
        <x:v>89.82</x:v>
      </x:c>
      <x:c r="L80" s="60" t="n">
        <x:v>89.81</x:v>
      </x:c>
      <x:c r="M80" s="60" t="n">
        <x:v>89.82</x:v>
      </x:c>
      <x:c r="N80" s="60" t="n">
        <x:v>-0.06</x:v>
      </x:c>
      <x:c r="O80" s="60" t="n">
        <x:v>0.012</x:v>
      </x:c>
      <x:c r="P80" s="59" t="str">
        <x:v>slight_down</x:v>
      </x:c>
      <x:c r="Q80" s="40" t="str">
        <x:v>系列/续篇按重叠性校准；短文且非框架性题材，技术残差轻微回调</x:v>
      </x:c>
      <x:c r="R80" s="40" t="str">
        <x:v>https://arxiv.org/abs/2606.29468</x:v>
      </x:c>
    </x:row>
    <x:row r="81" ht="32" customHeight="1">
      <x:c r="A81" s="59" t="str">
        <x:v>2026-06</x:v>
      </x:c>
      <x:c r="B81" s="59" t="n">
        <x:v>28</x:v>
      </x:c>
      <x:c r="C81" s="59" t="n">
        <x:v>51</x:v>
      </x:c>
      <x:c r="D81" s="59" t="n">
        <x:v>50</x:v>
      </x:c>
      <x:c r="E81" s="59" t="n">
        <x:v>1</x:v>
      </x:c>
      <x:c r="F81" s="59" t="str">
        <x:v>2606.04960</x:v>
      </x:c>
      <x:c r="G81" s="40" t="str">
        <x:v>Stationary Vlasov-Poisson-Boltzmann system in a convex domain</x:v>
      </x:c>
      <x:c r="H81" s="40" t="str">
        <x:v>Hongxu Chen; Jiaxin Jin</x:v>
      </x:c>
      <x:c r="I81" s="60" t="n">
        <x:v>89.82499999999999</x:v>
      </x:c>
      <x:c r="J81" s="60" t="n">
        <x:v>89.85</x:v>
      </x:c>
      <x:c r="K81" s="60" t="n">
        <x:v>89.86</x:v>
      </x:c>
      <x:c r="L81" s="60" t="n">
        <x:v>89.85</x:v>
      </x:c>
      <x:c r="M81" s="60" t="n">
        <x:v>89.85</x:v>
      </x:c>
      <x:c r="N81" s="60" t="n">
        <x:v>0.03</x:v>
      </x:c>
      <x:c r="O81" s="60" t="n">
        <x:v>0.005</x:v>
      </x:c>
      <x:c r="P81" s="59" t="str">
        <x:v>stable</x:v>
      </x:c>
      <x:c r="Q81" s="40" t="str">
        <x:v>范围偏专门，广度轻微回调</x:v>
      </x:c>
      <x:c r="R81" s="40" t="str">
        <x:v>https://arxiv.org/abs/2606.04960</x:v>
      </x:c>
    </x:row>
    <x:row r="82" ht="32" customHeight="1">
      <x:c r="A82" s="59" t="str">
        <x:v>2026-06</x:v>
      </x:c>
      <x:c r="B82" s="59" t="n">
        <x:v>29</x:v>
      </x:c>
      <x:c r="C82" s="59" t="n">
        <x:v>54</x:v>
      </x:c>
      <x:c r="D82" s="59" t="n">
        <x:v>54</x:v>
      </x:c>
      <x:c r="E82" s="59" t="n">
        <x:v>0</x:v>
      </x:c>
      <x:c r="F82" s="59" t="str">
        <x:v>2606.22355</x:v>
      </x:c>
      <x:c r="G82" s="40" t="str">
        <x:v>Uncountably many non-rotationally symmetric type II ancient Yamabe flows on the sphere</x:v>
      </x:c>
      <x:c r="H82" s="40" t="str">
        <x:v>Haixia Chen; Seunghyeok Kim; Monica Musso</x:v>
      </x:c>
      <x:c r="I82" s="60" t="n">
        <x:v>89.6</x:v>
      </x:c>
      <x:c r="J82" s="60" t="n">
        <x:v>89.58</x:v>
      </x:c>
      <x:c r="K82" s="60" t="n">
        <x:v>89.58</x:v>
      </x:c>
      <x:c r="L82" s="60" t="n">
        <x:v>89.58</x:v>
      </x:c>
      <x:c r="M82" s="60" t="n">
        <x:v>89.58</x:v>
      </x:c>
      <x:c r="N82" s="60" t="n">
        <x:v>-0.02</x:v>
      </x:c>
      <x:c r="O82" s="60" t="n">
        <x:v>0</x:v>
      </x:c>
      <x:c r="P82" s="59" t="str">
        <x:v>stable</x:v>
      </x:c>
      <x:c r="Q82" s="40" t="str">
        <x:v>系列/续篇按重叠性校准</x:v>
      </x:c>
      <x:c r="R82" s="40" t="str">
        <x:v>https://arxiv.org/abs/2606.22355</x:v>
      </x:c>
    </x:row>
    <x:row r="83" ht="32" customHeight="1">
      <x:c r="A83" s="59" t="str">
        <x:v>2026-06</x:v>
      </x:c>
      <x:c r="B83" s="59" t="n">
        <x:v>30</x:v>
      </x:c>
      <x:c r="C83" s="59" t="n">
        <x:v>55</x:v>
      </x:c>
      <x:c r="D83" s="59" t="n">
        <x:v>56</x:v>
      </x:c>
      <x:c r="E83" s="59" t="n">
        <x:v>-1</x:v>
      </x:c>
      <x:c r="F83" s="59" t="str">
        <x:v>2606.11055</x:v>
      </x:c>
      <x:c r="G83" s="40" t="str">
        <x:v>Exponential mixing and enhanced dissipation on the unit sphere with Rossby-Haurwitz flows</x:v>
      </x:c>
      <x:c r="H83" s="40" t="str">
        <x:v>Augusto Del Zotto; Marc Nualart</x:v>
      </x:c>
      <x:c r="I83" s="60" t="n">
        <x:v>89.575</x:v>
      </x:c>
      <x:c r="J83" s="60" t="n">
        <x:v>89.55</x:v>
      </x:c>
      <x:c r="K83" s="60" t="n">
        <x:v>89.56</x:v>
      </x:c>
      <x:c r="L83" s="60" t="n">
        <x:v>89.55</x:v>
      </x:c>
      <x:c r="M83" s="60" t="n">
        <x:v>89.55</x:v>
      </x:c>
      <x:c r="N83" s="60" t="n">
        <x:v>-0.03</x:v>
      </x:c>
      <x:c r="O83" s="60" t="n">
        <x:v>0.005</x:v>
      </x:c>
      <x:c r="P83" s="59" t="str">
        <x:v>stable</x:v>
      </x:c>
      <x:c r="Q83" s="40" t="str">
        <x:v>范围偏专门，广度轻微回调</x:v>
      </x:c>
      <x:c r="R83" s="40" t="str">
        <x:v>https://arxiv.org/abs/2606.11055</x:v>
      </x:c>
    </x:row>
    <x:row r="84" ht="32" customHeight="1">
      <x:c r="A84" s="59" t="str">
        <x:v>2026-06</x:v>
      </x:c>
      <x:c r="B84" s="59" t="n">
        <x:v>31</x:v>
      </x:c>
      <x:c r="C84" s="59" t="n">
        <x:v>56</x:v>
      </x:c>
      <x:c r="D84" s="59" t="n">
        <x:v>55</x:v>
      </x:c>
      <x:c r="E84" s="59" t="n">
        <x:v>1</x:v>
      </x:c>
      <x:c r="F84" s="59" t="str">
        <x:v>2606.02811</x:v>
      </x:c>
      <x:c r="G84" s="40" t="str">
        <x:v>Navier-Stokes Equations in Complex Space</x:v>
      </x:c>
      <x:c r="H84" s="40" t="str">
        <x:v>Nikolai Nadirashvili</x:v>
      </x:c>
      <x:c r="I84" s="60" t="n">
        <x:v>89.5</x:v>
      </x:c>
      <x:c r="J84" s="60" t="n">
        <x:v>89.56</x:v>
      </x:c>
      <x:c r="K84" s="60" t="n">
        <x:v>89.56</x:v>
      </x:c>
      <x:c r="L84" s="60" t="n">
        <x:v>89.56</x:v>
      </x:c>
      <x:c r="M84" s="60" t="n">
        <x:v>89.56</x:v>
      </x:c>
      <x:c r="N84" s="60" t="n">
        <x:v>0.06</x:v>
      </x:c>
      <x:c r="O84" s="60" t="n">
        <x:v>0</x:v>
      </x:c>
      <x:c r="P84" s="59" t="str">
        <x:v>slight_up</x:v>
      </x:c>
      <x:c r="Q84" s="40" t="str">
        <x:v>三轮复核后与原表基本一致</x:v>
      </x:c>
      <x:c r="R84" s="40" t="str">
        <x:v>https://arxiv.org/abs/2606.02811</x:v>
      </x:c>
    </x:row>
    <x:row r="85" ht="32" customHeight="1">
      <x:c r="A85" s="59" t="str">
        <x:v>2026-06</x:v>
      </x:c>
      <x:c r="B85" s="59" t="n">
        <x:v>32</x:v>
      </x:c>
      <x:c r="C85" s="59" t="n">
        <x:v>57</x:v>
      </x:c>
      <x:c r="D85" s="59" t="n">
        <x:v>59</x:v>
      </x:c>
      <x:c r="E85" s="59" t="n">
        <x:v>-2</x:v>
      </x:c>
      <x:c r="F85" s="59" t="str">
        <x:v>2606.06729</x:v>
      </x:c>
      <x:c r="G85" s="40" t="str">
        <x:v>Determination of radial nonlocal nonlinearities from the scattering map</x:v>
      </x:c>
      <x:c r="H85" s="40" t="str">
        <x:v>Luccas Campos; Rowan Killip; Jason Murphy; Monica Visan</x:v>
      </x:c>
      <x:c r="I85" s="60" t="n">
        <x:v>89.475</x:v>
      </x:c>
      <x:c r="J85" s="60" t="n">
        <x:v>89.38</x:v>
      </x:c>
      <x:c r="K85" s="60" t="n">
        <x:v>89.39</x:v>
      </x:c>
      <x:c r="L85" s="60" t="n">
        <x:v>89.35</x:v>
      </x:c>
      <x:c r="M85" s="60" t="n">
        <x:v>89.37</x:v>
      </x:c>
      <x:c r="N85" s="60" t="n">
        <x:v>-0.1</x:v>
      </x:c>
      <x:c r="O85" s="60" t="n">
        <x:v>0.017</x:v>
      </x:c>
      <x:c r="P85" s="59" t="str">
        <x:v>slight_down</x:v>
      </x:c>
      <x:c r="Q85" s="40" t="str">
        <x:v>范围偏专门，广度轻微回调；短文且非框架性题材，技术残差轻微回调</x:v>
      </x:c>
      <x:c r="R85" s="40" t="str">
        <x:v>https://arxiv.org/abs/2606.06729</x:v>
      </x:c>
    </x:row>
    <x:row r="86" ht="32" customHeight="1">
      <x:c r="A86" s="59" t="str">
        <x:v>2026-06</x:v>
      </x:c>
      <x:c r="B86" s="59" t="n">
        <x:v>33</x:v>
      </x:c>
      <x:c r="C86" s="59" t="n">
        <x:v>58</x:v>
      </x:c>
      <x:c r="D86" s="59" t="n">
        <x:v>57</x:v>
      </x:c>
      <x:c r="E86" s="59" t="n">
        <x:v>1</x:v>
      </x:c>
      <x:c r="F86" s="59" t="str">
        <x:v>2606.15168</x:v>
      </x:c>
      <x:c r="G86" s="40" t="str">
        <x:v>Long-time asymptotics and invariant manifold for fractional 2D Navier-Stokes equation</x:v>
      </x:c>
      <x:c r="H86" s="40" t="str">
        <x:v>Jingchi Huang; Dandan Li; Shuai Zhang</x:v>
      </x:c>
      <x:c r="I86" s="60" t="n">
        <x:v>89.44999999999999</x:v>
      </x:c>
      <x:c r="J86" s="60" t="n">
        <x:v>89.57</x:v>
      </x:c>
      <x:c r="K86" s="60" t="n">
        <x:v>89.55</x:v>
      </x:c>
      <x:c r="L86" s="60" t="n">
        <x:v>89.55</x:v>
      </x:c>
      <x:c r="M86" s="60" t="n">
        <x:v>89.55</x:v>
      </x:c>
      <x:c r="N86" s="60" t="n">
        <x:v>0.1</x:v>
      </x:c>
      <x:c r="O86" s="60" t="n">
        <x:v>0.009</x:v>
      </x:c>
      <x:c r="P86" s="59" t="str">
        <x:v>slight_up</x:v>
      </x:c>
      <x:c r="Q86" s="40" t="str">
        <x:v>三轮复核后与原表基本一致</x:v>
      </x:c>
      <x:c r="R86" s="40" t="str">
        <x:v>https://arxiv.org/abs/2606.15168</x:v>
      </x:c>
    </x:row>
    <x:row r="87" ht="32" customHeight="1">
      <x:c r="A87" s="59" t="str">
        <x:v>2026-06</x:v>
      </x:c>
      <x:c r="B87" s="59" t="n">
        <x:v>34</x:v>
      </x:c>
      <x:c r="C87" s="59" t="n">
        <x:v>59</x:v>
      </x:c>
      <x:c r="D87" s="59" t="n">
        <x:v>58</x:v>
      </x:c>
      <x:c r="E87" s="59" t="n">
        <x:v>1</x:v>
      </x:c>
      <x:c r="F87" s="59" t="str">
        <x:v>2606.09657</x:v>
      </x:c>
      <x:c r="G87" s="40" t="str">
        <x:v>Benjamin-Feir spectrum of hydroelastic Stokes waves</x:v>
      </x:c>
      <x:c r="H87" s="40" t="str">
        <x:v>Ting-Yang Hsiao; Zirui Li; Ye Zhang; Chengbin Zhu</x:v>
      </x:c>
      <x:c r="I87" s="60" t="n">
        <x:v>89.375</x:v>
      </x:c>
      <x:c r="J87" s="60" t="n">
        <x:v>89.38</x:v>
      </x:c>
      <x:c r="K87" s="60" t="n">
        <x:v>89.38</x:v>
      </x:c>
      <x:c r="L87" s="60" t="n">
        <x:v>89.38</x:v>
      </x:c>
      <x:c r="M87" s="60" t="n">
        <x:v>89.38</x:v>
      </x:c>
      <x:c r="N87" s="60" t="n">
        <x:v>0</x:v>
      </x:c>
      <x:c r="O87" s="60" t="n">
        <x:v>0</x:v>
      </x:c>
      <x:c r="P87" s="59" t="str">
        <x:v>stable</x:v>
      </x:c>
      <x:c r="Q87" s="40" t="str">
        <x:v>三轮复核后与原表基本一致</x:v>
      </x:c>
      <x:c r="R87" s="40" t="str">
        <x:v>https://arxiv.org/abs/2606.09657</x:v>
      </x:c>
    </x:row>
    <x:row r="88" ht="32" customHeight="1">
      <x:c r="A88" s="59" t="str">
        <x:v>2026-06</x:v>
      </x:c>
      <x:c r="B88" s="59" t="n">
        <x:v>35</x:v>
      </x:c>
      <x:c r="C88" s="59" t="n">
        <x:v>60</x:v>
      </x:c>
      <x:c r="D88" s="59" t="n">
        <x:v>61</x:v>
      </x:c>
      <x:c r="E88" s="59" t="n">
        <x:v>-1</x:v>
      </x:c>
      <x:c r="F88" s="59" t="str">
        <x:v>2606.15585</x:v>
      </x:c>
      <x:c r="G88" s="40" t="str">
        <x:v>Weakly inhomogeneous solutions to a nonlinear Vlasov-Fokker-Planck equation in a domain</x:v>
      </x:c>
      <x:c r="H88" s="40" t="str">
        <x:v>Sihyun Song</x:v>
      </x:c>
      <x:c r="I88" s="60" t="n">
        <x:v>89.3</x:v>
      </x:c>
      <x:c r="J88" s="60" t="n">
        <x:v>89.27</x:v>
      </x:c>
      <x:c r="K88" s="60" t="n">
        <x:v>89.28</x:v>
      </x:c>
      <x:c r="L88" s="60" t="n">
        <x:v>89.27</x:v>
      </x:c>
      <x:c r="M88" s="60" t="n">
        <x:v>89.27</x:v>
      </x:c>
      <x:c r="N88" s="60" t="n">
        <x:v>-0.03</x:v>
      </x:c>
      <x:c r="O88" s="60" t="n">
        <x:v>0.005</x:v>
      </x:c>
      <x:c r="P88" s="59" t="str">
        <x:v>stable</x:v>
      </x:c>
      <x:c r="Q88" s="40" t="str">
        <x:v>范围偏专门，广度轻微回调</x:v>
      </x:c>
      <x:c r="R88" s="40" t="str">
        <x:v>https://arxiv.org/abs/2606.15585</x:v>
      </x:c>
    </x:row>
    <x:row r="89" ht="32" customHeight="1">
      <x:c r="A89" s="59" t="str">
        <x:v>2026-06</x:v>
      </x:c>
      <x:c r="B89" s="59" t="n">
        <x:v>36</x:v>
      </x:c>
      <x:c r="C89" s="59" t="n">
        <x:v>61</x:v>
      </x:c>
      <x:c r="D89" s="59" t="n">
        <x:v>60</x:v>
      </x:c>
      <x:c r="E89" s="59" t="n">
        <x:v>1</x:v>
      </x:c>
      <x:c r="F89" s="59" t="str">
        <x:v>2606.08939</x:v>
      </x:c>
      <x:c r="G89" s="40" t="str">
        <x:v>Caffarelli-Kohn-Nirenberg and Weighted Gaussian Poincare Inequalities: a complete characterization of sharp L^2 stability and L^p extensions</x:v>
      </x:c>
      <x:c r="H89" s="40" t="str">
        <x:v>Anh Xuan Do; Nguyen Lam; Guozhen Lu; Van Hoang Nguyen</x:v>
      </x:c>
      <x:c r="I89" s="60" t="n">
        <x:v>89.225</x:v>
      </x:c>
      <x:c r="J89" s="60" t="n">
        <x:v>89.35</x:v>
      </x:c>
      <x:c r="K89" s="60" t="n">
        <x:v>89.33</x:v>
      </x:c>
      <x:c r="L89" s="60" t="n">
        <x:v>89.33</x:v>
      </x:c>
      <x:c r="M89" s="60" t="n">
        <x:v>89.33</x:v>
      </x:c>
      <x:c r="N89" s="60" t="n">
        <x:v>0.11</x:v>
      </x:c>
      <x:c r="O89" s="60" t="n">
        <x:v>0.009</x:v>
      </x:c>
      <x:c r="P89" s="59" t="str">
        <x:v>slight_up</x:v>
      </x:c>
      <x:c r="Q89" s="40" t="str">
        <x:v>三轮复核后与原表基本一致</x:v>
      </x:c>
      <x:c r="R89" s="40" t="str">
        <x:v>https://arxiv.org/abs/2606.08939</x:v>
      </x:c>
    </x:row>
    <x:row r="90" ht="32" customHeight="1">
      <x:c r="A90" s="59" t="str">
        <x:v>2026-06</x:v>
      </x:c>
      <x:c r="B90" s="59" t="n">
        <x:v>37</x:v>
      </x:c>
      <x:c r="C90" s="59" t="n">
        <x:v>64</x:v>
      </x:c>
      <x:c r="D90" s="59" t="n">
        <x:v>64</x:v>
      </x:c>
      <x:c r="E90" s="59" t="n">
        <x:v>0</x:v>
      </x:c>
      <x:c r="F90" s="59" t="str">
        <x:v>2606.01448</x:v>
      </x:c>
      <x:c r="G90" s="40" t="str">
        <x:v>Convergence to global equilibrium for the semiconductor Boltzmann equation</x:v>
      </x:c>
      <x:c r="H90" s="40" t="str">
        <x:v>Gayrat Toshpulatov</x:v>
      </x:c>
      <x:c r="I90" s="60" t="n">
        <x:v>89.1</x:v>
      </x:c>
      <x:c r="J90" s="60" t="n">
        <x:v>89.15</x:v>
      </x:c>
      <x:c r="K90" s="60" t="n">
        <x:v>89.16</x:v>
      </x:c>
      <x:c r="L90" s="60" t="n">
        <x:v>89.15</x:v>
      </x:c>
      <x:c r="M90" s="60" t="n">
        <x:v>89.15</x:v>
      </x:c>
      <x:c r="N90" s="60" t="n">
        <x:v>0.05</x:v>
      </x:c>
      <x:c r="O90" s="60" t="n">
        <x:v>0.005</x:v>
      </x:c>
      <x:c r="P90" s="59" t="str">
        <x:v>stable</x:v>
      </x:c>
      <x:c r="Q90" s="40" t="str">
        <x:v>三轮复核后与原表基本一致</x:v>
      </x:c>
      <x:c r="R90" s="40" t="str">
        <x:v>https://arxiv.org/abs/2606.01448</x:v>
      </x:c>
    </x:row>
    <x:row r="91" ht="32" customHeight="1">
      <x:c r="A91" s="59" t="str">
        <x:v>2026-06</x:v>
      </x:c>
      <x:c r="B91" s="59" t="n">
        <x:v>38</x:v>
      </x:c>
      <x:c r="C91" s="59" t="n">
        <x:v>65</x:v>
      </x:c>
      <x:c r="D91" s="59" t="n">
        <x:v>65</x:v>
      </x:c>
      <x:c r="E91" s="59" t="n">
        <x:v>0</x:v>
      </x:c>
      <x:c r="F91" s="59" t="str">
        <x:v>2606.02517</x:v>
      </x:c>
      <x:c r="G91" s="40" t="str">
        <x:v>Weak-strong uniqueness and low Mach number limit for a viscous compressible fluid around a rotating body</x:v>
      </x:c>
      <x:c r="H91" s="40" t="str">
        <x:v>Thomas Eiter; Sarka Necasova; Florian Oschmann</x:v>
      </x:c>
      <x:c r="I91" s="60" t="n">
        <x:v>89.075</x:v>
      </x:c>
      <x:c r="J91" s="60" t="n">
        <x:v>89.07</x:v>
      </x:c>
      <x:c r="K91" s="60" t="n">
        <x:v>89.09</x:v>
      </x:c>
      <x:c r="L91" s="60" t="n">
        <x:v>89.07</x:v>
      </x:c>
      <x:c r="M91" s="60" t="n">
        <x:v>89.07</x:v>
      </x:c>
      <x:c r="N91" s="60" t="n">
        <x:v>-0.01</x:v>
      </x:c>
      <x:c r="O91" s="60" t="n">
        <x:v>0.009</x:v>
      </x:c>
      <x:c r="P91" s="59" t="str">
        <x:v>stable</x:v>
      </x:c>
      <x:c r="Q91" s="40" t="str">
        <x:v>三轮复核后与原表基本一致</x:v>
      </x:c>
      <x:c r="R91" s="40" t="str">
        <x:v>https://arxiv.org/abs/2606.02517</x:v>
      </x:c>
    </x:row>
    <x:row r="92" ht="32" customHeight="1">
      <x:c r="A92" s="59" t="str">
        <x:v>2026-06</x:v>
      </x:c>
      <x:c r="B92" s="59" t="n">
        <x:v>39</x:v>
      </x:c>
      <x:c r="C92" s="59" t="n">
        <x:v>68</x:v>
      </x:c>
      <x:c r="D92" s="59" t="n">
        <x:v>67</x:v>
      </x:c>
      <x:c r="E92" s="59" t="n">
        <x:v>1</x:v>
      </x:c>
      <x:c r="F92" s="59" t="str">
        <x:v>2606.07417</x:v>
      </x:c>
      <x:c r="G92" s="40" t="str">
        <x:v>An optimal local theory for reaction-diffusion equations driven by non-trace-class noise</x:v>
      </x:c>
      <x:c r="H92" s="40" t="str">
        <x:v>Antonio Agresti; Fabian Germ; Mark Veraar</x:v>
      </x:c>
      <x:c r="I92" s="60" t="n">
        <x:v>88.925</x:v>
      </x:c>
      <x:c r="J92" s="60" t="n">
        <x:v>88.93</x:v>
      </x:c>
      <x:c r="K92" s="60" t="n">
        <x:v>88.93</x:v>
      </x:c>
      <x:c r="L92" s="60" t="n">
        <x:v>88.93</x:v>
      </x:c>
      <x:c r="M92" s="60" t="n">
        <x:v>88.93</x:v>
      </x:c>
      <x:c r="N92" s="60" t="n">
        <x:v>0.01</x:v>
      </x:c>
      <x:c r="O92" s="60" t="n">
        <x:v>0</x:v>
      </x:c>
      <x:c r="P92" s="59" t="str">
        <x:v>stable</x:v>
      </x:c>
      <x:c r="Q92" s="40" t="str">
        <x:v>三轮复核后与原表基本一致</x:v>
      </x:c>
      <x:c r="R92" s="40" t="str">
        <x:v>https://arxiv.org/abs/2606.07417</x:v>
      </x:c>
    </x:row>
    <x:row r="93" ht="32" customHeight="1">
      <x:c r="A93" s="59" t="str">
        <x:v>2026-06</x:v>
      </x:c>
      <x:c r="B93" s="59" t="n">
        <x:v>39</x:v>
      </x:c>
      <x:c r="C93" s="59" t="n">
        <x:v>67</x:v>
      </x:c>
      <x:c r="D93" s="59" t="n">
        <x:v>68</x:v>
      </x:c>
      <x:c r="E93" s="59" t="n">
        <x:v>-1</x:v>
      </x:c>
      <x:c r="F93" s="59" t="str">
        <x:v>2606.15556</x:v>
      </x:c>
      <x:c r="G93" s="40" t="str">
        <x:v>Borderline gradient continuity for degenerate/singular fully nonlinear elliptic equations with Hamiltonian terms</x:v>
      </x:c>
      <x:c r="H93" s="40" t="str">
        <x:v>Wentao Huo; Lingwei Ma; Zhenqiu Zhang</x:v>
      </x:c>
      <x:c r="I93" s="60" t="n">
        <x:v>88.925</x:v>
      </x:c>
      <x:c r="J93" s="60" t="n">
        <x:v>88.9</x:v>
      </x:c>
      <x:c r="K93" s="60" t="n">
        <x:v>88.9</x:v>
      </x:c>
      <x:c r="L93" s="60" t="n">
        <x:v>88.9</x:v>
      </x:c>
      <x:c r="M93" s="60" t="n">
        <x:v>88.9</x:v>
      </x:c>
      <x:c r="N93" s="60" t="n">
        <x:v>-0.02</x:v>
      </x:c>
      <x:c r="O93" s="60" t="n">
        <x:v>0</x:v>
      </x:c>
      <x:c r="P93" s="59" t="str">
        <x:v>stable</x:v>
      </x:c>
      <x:c r="Q93" s="40" t="str">
        <x:v>范围偏专门，广度轻微回调</x:v>
      </x:c>
      <x:c r="R93" s="40" t="str">
        <x:v>https://arxiv.org/abs/2606.15556</x:v>
      </x:c>
    </x:row>
    <x:row r="94" ht="32" customHeight="1">
      <x:c r="A94" s="59" t="str">
        <x:v>2026-06</x:v>
      </x:c>
      <x:c r="B94" s="59" t="n">
        <x:v>41</x:v>
      </x:c>
      <x:c r="C94" s="59" t="n">
        <x:v>72</x:v>
      </x:c>
      <x:c r="D94" s="59" t="n">
        <x:v>73</x:v>
      </x:c>
      <x:c r="E94" s="59" t="n">
        <x:v>-1</x:v>
      </x:c>
      <x:c r="F94" s="59" t="str">
        <x:v>2606.10897</x:v>
      </x:c>
      <x:c r="G94" s="40" t="str">
        <x:v>A characterisation of infinity-harmonic maps in terms of 1-currents</x:v>
      </x:c>
      <x:c r="H94" s="40" t="str">
        <x:v>Roger Moser</x:v>
      </x:c>
      <x:c r="I94" s="60" t="n">
        <x:v>88.725</x:v>
      </x:c>
      <x:c r="J94" s="60" t="n">
        <x:v>88.73</x:v>
      </x:c>
      <x:c r="K94" s="60" t="n">
        <x:v>88.73</x:v>
      </x:c>
      <x:c r="L94" s="60" t="n">
        <x:v>88.73</x:v>
      </x:c>
      <x:c r="M94" s="60" t="n">
        <x:v>88.73</x:v>
      </x:c>
      <x:c r="N94" s="60" t="n">
        <x:v>0.01</x:v>
      </x:c>
      <x:c r="O94" s="60" t="n">
        <x:v>0</x:v>
      </x:c>
      <x:c r="P94" s="59" t="str">
        <x:v>stable</x:v>
      </x:c>
      <x:c r="Q94" s="40" t="str">
        <x:v>三轮复核后与原表基本一致</x:v>
      </x:c>
      <x:c r="R94" s="40" t="str">
        <x:v>https://arxiv.org/abs/2606.10897</x:v>
      </x:c>
    </x:row>
    <x:row r="95" ht="32" customHeight="1">
      <x:c r="A95" s="59" t="str">
        <x:v>2026-06</x:v>
      </x:c>
      <x:c r="B95" s="59" t="n">
        <x:v>42</x:v>
      </x:c>
      <x:c r="C95" s="59" t="n">
        <x:v>73</x:v>
      </x:c>
      <x:c r="D95" s="59" t="n">
        <x:v>76</x:v>
      </x:c>
      <x:c r="E95" s="59" t="n">
        <x:v>-3</x:v>
      </x:c>
      <x:c r="F95" s="59" t="str">
        <x:v>2606.15561</x:v>
      </x:c>
      <x:c r="G95" s="40" t="str">
        <x:v>Higher Holder regularity for degenerate fully nonlinear elliptic equations with Hamiltonian terms</x:v>
      </x:c>
      <x:c r="H95" s="40" t="str">
        <x:v>Wentao Huo; Xiaofeng Jin; Lingwei Ma; Zhenqiu Zhang</x:v>
      </x:c>
      <x:c r="I95" s="60" t="n">
        <x:v>88.725</x:v>
      </x:c>
      <x:c r="J95" s="60" t="n">
        <x:v>88.67</x:v>
      </x:c>
      <x:c r="K95" s="60" t="n">
        <x:v>88.66</x:v>
      </x:c>
      <x:c r="L95" s="60" t="n">
        <x:v>88.63</x:v>
      </x:c>
      <x:c r="M95" s="60" t="n">
        <x:v>88.65</x:v>
      </x:c>
      <x:c r="N95" s="60" t="n">
        <x:v>-0.07</x:v>
      </x:c>
      <x:c r="O95" s="60" t="n">
        <x:v>0.017</x:v>
      </x:c>
      <x:c r="P95" s="59" t="str">
        <x:v>slight_down</x:v>
      </x:c>
      <x:c r="Q95" s="40" t="str">
        <x:v>短文且非框架性题材，技术残差轻微回调</x:v>
      </x:c>
      <x:c r="R95" s="40" t="str">
        <x:v>https://arxiv.org/abs/2606.15561</x:v>
      </x:c>
    </x:row>
    <x:row r="96" ht="32" customHeight="1">
      <x:c r="A96" s="59" t="str">
        <x:v>2026-06</x:v>
      </x:c>
      <x:c r="B96" s="59" t="n">
        <x:v>43</x:v>
      </x:c>
      <x:c r="C96" s="59" t="n">
        <x:v>75</x:v>
      </x:c>
      <x:c r="D96" s="59" t="n">
        <x:v>71</x:v>
      </x:c>
      <x:c r="E96" s="59" t="n">
        <x:v>4</x:v>
      </x:c>
      <x:c r="F96" s="59" t="str">
        <x:v>2606.04615</x:v>
      </x:c>
      <x:c r="G96" s="40" t="str">
        <x:v>The Ginzburg-Landau system with general potential: maximum principle and gradient estimates</x:v>
      </x:c>
      <x:c r="H96" s="40" t="str">
        <x:v>Radu Ignat; Luc Nguyen; Valeriy Slastikov; Arghir Zarnescu</x:v>
      </x:c>
      <x:c r="I96" s="60" t="n">
        <x:v>88.7</x:v>
      </x:c>
      <x:c r="J96" s="60" t="n">
        <x:v>88.75</x:v>
      </x:c>
      <x:c r="K96" s="60" t="n">
        <x:v>88.76</x:v>
      </x:c>
      <x:c r="L96" s="60" t="n">
        <x:v>88.75</x:v>
      </x:c>
      <x:c r="M96" s="60" t="n">
        <x:v>88.75</x:v>
      </x:c>
      <x:c r="N96" s="60" t="n">
        <x:v>0.05</x:v>
      </x:c>
      <x:c r="O96" s="60" t="n">
        <x:v>0.005</x:v>
      </x:c>
      <x:c r="P96" s="59" t="str">
        <x:v>stable</x:v>
      </x:c>
      <x:c r="Q96" s="40" t="str">
        <x:v>三轮复核后与原表基本一致</x:v>
      </x:c>
      <x:c r="R96" s="40" t="str">
        <x:v>https://arxiv.org/abs/2606.04615</x:v>
      </x:c>
    </x:row>
    <x:row r="97" ht="32" customHeight="1">
      <x:c r="A97" s="59" t="str">
        <x:v>2026-06</x:v>
      </x:c>
      <x:c r="B97" s="59" t="n">
        <x:v>44</x:v>
      </x:c>
      <x:c r="C97" s="59" t="n">
        <x:v>76</x:v>
      </x:c>
      <x:c r="D97" s="59" t="n">
        <x:v>74</x:v>
      </x:c>
      <x:c r="E97" s="59" t="n">
        <x:v>2</x:v>
      </x:c>
      <x:c r="F97" s="59" t="str">
        <x:v>2606.15612</x:v>
      </x:c>
      <x:c r="G97" s="40" t="str">
        <x:v>Trichotomy dynamics of a free boundary model for biological invasion</x:v>
      </x:c>
      <x:c r="H97" s="40" t="str">
        <x:v>Hongkai Cao; Yihong Du; Wenjie Ni; Xiaoyan Zhang</x:v>
      </x:c>
      <x:c r="I97" s="60" t="n">
        <x:v>88.69999999999999</x:v>
      </x:c>
      <x:c r="J97" s="60" t="n">
        <x:v>88.7</x:v>
      </x:c>
      <x:c r="K97" s="60" t="n">
        <x:v>88.71</x:v>
      </x:c>
      <x:c r="L97" s="60" t="n">
        <x:v>88.7</x:v>
      </x:c>
      <x:c r="M97" s="60" t="n">
        <x:v>88.7</x:v>
      </x:c>
      <x:c r="N97" s="60" t="n">
        <x:v>0</x:v>
      </x:c>
      <x:c r="O97" s="60" t="n">
        <x:v>0.005</x:v>
      </x:c>
      <x:c r="P97" s="59" t="str">
        <x:v>stable</x:v>
      </x:c>
      <x:c r="Q97" s="40" t="str">
        <x:v>三轮复核后与原表基本一致</x:v>
      </x:c>
      <x:c r="R97" s="40" t="str">
        <x:v>https://arxiv.org/abs/2606.15612</x:v>
      </x:c>
    </x:row>
    <x:row r="98" ht="32" customHeight="1">
      <x:c r="A98" s="59" t="str">
        <x:v>2026-06</x:v>
      </x:c>
      <x:c r="B98" s="59" t="n">
        <x:v>44</x:v>
      </x:c>
      <x:c r="C98" s="59" t="n">
        <x:v>77</x:v>
      </x:c>
      <x:c r="D98" s="59" t="n">
        <x:v>75</x:v>
      </x:c>
      <x:c r="E98" s="59" t="n">
        <x:v>2</x:v>
      </x:c>
      <x:c r="F98" s="59" t="str">
        <x:v>2606.07468</x:v>
      </x:c>
      <x:c r="G98" s="40" t="str">
        <x:v>Minimizing clusters with prescribed asymptotic geometry</x:v>
      </x:c>
      <x:c r="H98" s="40" t="str">
        <x:v>Robin Neumayer; Michael Novack; Anna Skorobogatova</x:v>
      </x:c>
      <x:c r="I98" s="60" t="n">
        <x:v>88.69999999999999</x:v>
      </x:c>
      <x:c r="J98" s="60" t="n">
        <x:v>88.7</x:v>
      </x:c>
      <x:c r="K98" s="60" t="n">
        <x:v>88.71</x:v>
      </x:c>
      <x:c r="L98" s="60" t="n">
        <x:v>88.7</x:v>
      </x:c>
      <x:c r="M98" s="60" t="n">
        <x:v>88.7</x:v>
      </x:c>
      <x:c r="N98" s="60" t="n">
        <x:v>0</x:v>
      </x:c>
      <x:c r="O98" s="60" t="n">
        <x:v>0.005</x:v>
      </x:c>
      <x:c r="P98" s="59" t="str">
        <x:v>stable</x:v>
      </x:c>
      <x:c r="Q98" s="40" t="str">
        <x:v>三轮复核后与原表基本一致</x:v>
      </x:c>
      <x:c r="R98" s="40" t="str">
        <x:v>https://arxiv.org/abs/2606.07468</x:v>
      </x:c>
    </x:row>
    <x:row r="99" ht="32" customHeight="1">
      <x:c r="A99" s="59" t="str">
        <x:v>2026-06</x:v>
      </x:c>
      <x:c r="B99" s="59" t="n">
        <x:v>46</x:v>
      </x:c>
      <x:c r="C99" s="59" t="n">
        <x:v>79</x:v>
      </x:c>
      <x:c r="D99" s="59" t="n">
        <x:v>78</x:v>
      </x:c>
      <x:c r="E99" s="59" t="n">
        <x:v>1</x:v>
      </x:c>
      <x:c r="F99" s="59" t="str">
        <x:v>2606.15644</x:v>
      </x:c>
      <x:c r="G99" s="40" t="str">
        <x:v>Minimizing and non-minimizing degree one W^{s,1/s}-harmonic maps between spheres</x:v>
      </x:c>
      <x:c r="H99" s="40" t="str">
        <x:v>Dorian Martino; Katarzyna Mazowiecka; Armin Schikorra</x:v>
      </x:c>
      <x:c r="I99" s="60" t="n">
        <x:v>88.6</x:v>
      </x:c>
      <x:c r="J99" s="60" t="n">
        <x:v>88.6</x:v>
      </x:c>
      <x:c r="K99" s="60" t="n">
        <x:v>88.6</x:v>
      </x:c>
      <x:c r="L99" s="60" t="n">
        <x:v>88.6</x:v>
      </x:c>
      <x:c r="M99" s="60" t="n">
        <x:v>88.6</x:v>
      </x:c>
      <x:c r="N99" s="60" t="n">
        <x:v>0</x:v>
      </x:c>
      <x:c r="O99" s="60" t="n">
        <x:v>0</x:v>
      </x:c>
      <x:c r="P99" s="59" t="str">
        <x:v>stable</x:v>
      </x:c>
      <x:c r="Q99" s="40" t="str">
        <x:v>三轮复核后与原表基本一致</x:v>
      </x:c>
      <x:c r="R99" s="40" t="str">
        <x:v>https://arxiv.org/abs/2606.15644</x:v>
      </x:c>
    </x:row>
    <x:row r="100" ht="32" customHeight="1">
      <x:c r="A100" s="59" t="str">
        <x:v>2026-06</x:v>
      </x:c>
      <x:c r="B100" s="59" t="n">
        <x:v>47</x:v>
      </x:c>
      <x:c r="C100" s="59" t="n">
        <x:v>80</x:v>
      </x:c>
      <x:c r="D100" s="59" t="n">
        <x:v>84</x:v>
      </x:c>
      <x:c r="E100" s="59" t="n">
        <x:v>-4</x:v>
      </x:c>
      <x:c r="F100" s="59" t="str">
        <x:v>2606.29382</x:v>
      </x:c>
      <x:c r="G100" s="40" t="str">
        <x:v>The distance between homotopy classes of Sobolev maps on spheres</x:v>
      </x:c>
      <x:c r="H100" s="40" t="str">
        <x:v>Rupert L. Frank; Paata Ivanisvili</x:v>
      </x:c>
      <x:c r="I100" s="60" t="n">
        <x:v>88.525</x:v>
      </x:c>
      <x:c r="J100" s="60" t="n">
        <x:v>88.53</x:v>
      </x:c>
      <x:c r="K100" s="60" t="n">
        <x:v>88.53</x:v>
      </x:c>
      <x:c r="L100" s="60" t="n">
        <x:v>88.53</x:v>
      </x:c>
      <x:c r="M100" s="60" t="n">
        <x:v>88.53</x:v>
      </x:c>
      <x:c r="N100" s="60" t="n">
        <x:v>0</x:v>
      </x:c>
      <x:c r="O100" s="60" t="n">
        <x:v>0</x:v>
      </x:c>
      <x:c r="P100" s="59" t="str">
        <x:v>stable</x:v>
      </x:c>
      <x:c r="Q100" s="40" t="str">
        <x:v>三轮复核后与原表基本一致</x:v>
      </x:c>
      <x:c r="R100" s="40" t="str">
        <x:v>https://arxiv.org/abs/2606.29382</x:v>
      </x:c>
    </x:row>
    <x:row r="101" ht="32" customHeight="1">
      <x:c r="A101" s="59" t="str">
        <x:v>2026-06</x:v>
      </x:c>
      <x:c r="B101" s="59" t="n">
        <x:v>48</x:v>
      </x:c>
      <x:c r="C101" s="59" t="n">
        <x:v>84</x:v>
      </x:c>
      <x:c r="D101" s="59" t="n">
        <x:v>80</x:v>
      </x:c>
      <x:c r="E101" s="59" t="n">
        <x:v>4</x:v>
      </x:c>
      <x:c r="F101" s="59" t="str">
        <x:v>2606.03716</x:v>
      </x:c>
      <x:c r="G101" s="40" t="str">
        <x:v>Homogenization of compressible Navier-Stokes equations under a hard sphere pressure law</x:v>
      </x:c>
      <x:c r="H101" s="40" t="str">
        <x:v>Nilasis Chaudhuri; Florian Oschmann</x:v>
      </x:c>
      <x:c r="I101" s="60" t="n">
        <x:v>88.5</x:v>
      </x:c>
      <x:c r="J101" s="60" t="n">
        <x:v>88.62</x:v>
      </x:c>
      <x:c r="K101" s="60" t="n">
        <x:v>88.6</x:v>
      </x:c>
      <x:c r="L101" s="60" t="n">
        <x:v>88.6</x:v>
      </x:c>
      <x:c r="M101" s="60" t="n">
        <x:v>88.6</x:v>
      </x:c>
      <x:c r="N101" s="60" t="n">
        <x:v>0.1</x:v>
      </x:c>
      <x:c r="O101" s="60" t="n">
        <x:v>0.009</x:v>
      </x:c>
      <x:c r="P101" s="59" t="str">
        <x:v>slight_up</x:v>
      </x:c>
      <x:c r="Q101" s="40" t="str">
        <x:v>三轮复核后与原表基本一致</x:v>
      </x:c>
      <x:c r="R101" s="40" t="str">
        <x:v>https://arxiv.org/abs/2606.03716</x:v>
      </x:c>
    </x:row>
    <x:row r="102" ht="32" customHeight="1">
      <x:c r="A102" s="59" t="str">
        <x:v>2026-06</x:v>
      </x:c>
      <x:c r="B102" s="59" t="n">
        <x:v>48</x:v>
      </x:c>
      <x:c r="C102" s="59" t="n">
        <x:v>83</x:v>
      </x:c>
      <x:c r="D102" s="59" t="n">
        <x:v>85</x:v>
      </x:c>
      <x:c r="E102" s="59" t="n">
        <x:v>-2</x:v>
      </x:c>
      <x:c r="F102" s="59" t="str">
        <x:v>2606.12825</x:v>
      </x:c>
      <x:c r="G102" s="40" t="str">
        <x:v>Optimal minimax formula for bounds on ensemble averages of statistically stationary three-dimensional Navier-Stokes flows</x:v>
      </x:c>
      <x:c r="H102" s="40" t="str">
        <x:v>Anne Bronzi; Cecilia F. Mondaini; Ricardo M. S. Rosa</x:v>
      </x:c>
      <x:c r="I102" s="60" t="n">
        <x:v>88.5</x:v>
      </x:c>
      <x:c r="J102" s="60" t="n">
        <x:v>88.52</x:v>
      </x:c>
      <x:c r="K102" s="60" t="n">
        <x:v>88.53</x:v>
      </x:c>
      <x:c r="L102" s="60" t="n">
        <x:v>88.52</x:v>
      </x:c>
      <x:c r="M102" s="60" t="n">
        <x:v>88.52</x:v>
      </x:c>
      <x:c r="N102" s="60" t="n">
        <x:v>0.02</x:v>
      </x:c>
      <x:c r="O102" s="60" t="n">
        <x:v>0.005</x:v>
      </x:c>
      <x:c r="P102" s="59" t="str">
        <x:v>stable</x:v>
      </x:c>
      <x:c r="Q102" s="40" t="str">
        <x:v>范围偏专门，广度轻微回调</x:v>
      </x:c>
      <x:c r="R102" s="40" t="str">
        <x:v>https://arxiv.org/abs/2606.12825</x:v>
      </x:c>
    </x:row>
    <x:row r="103" ht="32" customHeight="1">
      <x:c r="A103" s="59" t="str">
        <x:v>2026-06</x:v>
      </x:c>
      <x:c r="B103" s="59" t="n">
        <x:v>50</x:v>
      </x:c>
      <x:c r="C103" s="59" t="n">
        <x:v>85</x:v>
      </x:c>
      <x:c r="D103" s="59" t="n">
        <x:v>82</x:v>
      </x:c>
      <x:c r="E103" s="59" t="n">
        <x:v>3</x:v>
      </x:c>
      <x:c r="F103" s="59" t="str">
        <x:v>2606.09280</x:v>
      </x:c>
      <x:c r="G103" s="40" t="str">
        <x:v>The effect of geometric focusing on dispersive estimates for Schrodinger and wave equations</x:v>
      </x:c>
      <x:c r="H103" s="40" t="str">
        <x:v>Qiuye Jia; Junyong Zhang</x:v>
      </x:c>
      <x:c r="I103" s="60" t="n">
        <x:v>88.5</x:v>
      </x:c>
      <x:c r="J103" s="60" t="n">
        <x:v>88.56</x:v>
      </x:c>
      <x:c r="K103" s="60" t="n">
        <x:v>88.56</x:v>
      </x:c>
      <x:c r="L103" s="60" t="n">
        <x:v>88.56</x:v>
      </x:c>
      <x:c r="M103" s="60" t="n">
        <x:v>88.56</x:v>
      </x:c>
      <x:c r="N103" s="60" t="n">
        <x:v>0.06</x:v>
      </x:c>
      <x:c r="O103" s="60" t="n">
        <x:v>0</x:v>
      </x:c>
      <x:c r="P103" s="59" t="str">
        <x:v>slight_up</x:v>
      </x:c>
      <x:c r="Q103" s="40" t="str">
        <x:v>三轮复核后与原表基本一致</x:v>
      </x:c>
      <x:c r="R103" s="40" t="str">
        <x:v>https://arxiv.org/abs/2606.09280</x:v>
      </x:c>
    </x:row>
  </x:sheetData>
  <x:pageMargins left="0.7" right="0.7" top="0.75" bottom="0.75" header="0.3" footer="0.3"/>
  <x:tableParts count="1">
    <x:tablePart xmlns:r="http://schemas.openxmlformats.org/officeDocument/2006/relationships" r:id="Rda36696fdf484e5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>
      <x:c r="A1" s="57" t="str">
        <x:v>项目</x:v>
      </x:c>
      <x:c r="B1" s="57" t="str">
        <x:v>说明</x:v>
      </x:c>
    </x:row>
    <x:row r="2">
      <x:c r="A2" s="14" t="str">
        <x:v>原始打分项</x:v>
      </x:c>
      <x:c r="B2" s="14" t="str">
        <x:v>I=Intrinsic importance; O=Originality; T=Technical depth; B=Breadth/impact; H=human-hard residual difficulty; R=reliability/reproducibility; AI_pct=当前AI/计算工具可替代比例估计。</x:v>
      </x:c>
    </x:row>
    <x:row r="3">
      <x:c r="A3" s="14" t="str">
        <x:v>V</x:v>
      </x:c>
      <x:c r="B3" s="14" t="str">
        <x:v>V=0.30I+0.20O+0.25T+0.15B+0.10R</x:v>
      </x:c>
    </x:row>
    <x:row r="4">
      <x:c r="A4" s="14" t="str">
        <x:v>S_H</x:v>
      </x:c>
      <x:c r="B4" s="14" t="str">
        <x:v>S_H=0.30H+0.20T+0.20O+0.15R+0.15(100-AI_pct)</x:v>
      </x:c>
    </x:row>
    <x:row r="5">
      <x:c r="A5" s="14" t="str">
        <x:v>S_eq</x:v>
      </x:c>
      <x:c r="B5" s="14" t="str">
        <x:v>S_eq=(V+S_H)/2</x:v>
      </x:c>
    </x:row>
    <x:row r="6">
      <x:c r="A6" s="14" t="str">
        <x:v>Round 1</x:v>
      </x:c>
      <x:c r="B6" s="14" t="str">
        <x:v>基于题名、主题、页数、旧筛查评语重新读分；只做内容价值/难度口径复核，不做correctness证明审查。</x:v>
      </x:c>
    </x:row>
    <x:row r="7">
      <x:c r="A7" s="14" t="str">
        <x:v>Round 2</x:v>
      </x:c>
      <x:c r="B7" s="14" t="str">
        <x:v>跨5月和6月校准：减少系列论文/过窄题材的重复加分，给框架性、dimension-free、classification、quantitative/optimal regularity类结果小幅广度校准。</x:v>
      </x:c>
    </x:row>
    <x:row r="8">
      <x:c r="A8" s="14" t="str">
        <x:v>Round 3</x:v>
      </x:c>
      <x:c r="B8" s="14" t="str">
        <x:v>AI残差与稳定性校准：对短文、显式AI生成/AI证明探索、局部计算型稿件提高AI_pct或压低H/T；大型非线性/几何PDE构造维持低AI_pct。</x:v>
      </x:c>
    </x:row>
    <x:row r="9">
      <x:c r="A9" s="14" t="str">
        <x:v>Final</x:v>
      </x:c>
      <x:c r="B9" s="14" t="str">
        <x:v>Final score item = average(Round1, Round2, Round3); Final_V, Final_S_H, Final_S_eq 由 Final score items 重新计算。</x:v>
      </x:c>
    </x:row>
    <x:row r="10">
      <x:c r="A10" s="14" t="str">
        <x:v>Score_SD</x:v>
      </x:c>
      <x:c r="B10" s="14" t="str">
        <x:v>三轮 S_eq 的标准差，作为稳定性提示；不是数学正确性置信度。</x:v>
      </x:c>
    </x:row>
    <x:row r="11">
      <x:c r="A11" s="14" t="str">
        <x:v>限制</x:v>
      </x:c>
      <x:c r="B11" s="14" t="str">
        <x:v>本表仍默认主要结论正确；没有逐篇逐行核验证明，也没有重新下载所有论文全文。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5" hidden="0" customWidth="1"/>
    <x:col min="4" max="4" width="55" hidden="0" customWidth="1"/>
    <x:col min="5" max="5" width="50" hidden="0" customWidth="1"/>
    <x:col min="6" max="6" width="34" hidden="0" customWidth="1"/>
    <x:col min="7" max="7" width="9" hidden="0" customWidth="1"/>
    <x:col min="8" max="8" width="36" hidden="0" customWidth="1"/>
    <x:col min="9" max="9" width="42" hidden="0" customWidth="1"/>
  </x:cols>
  <x:sheetData>
    <x:row r="1" ht="30" customHeight="1">
      <x:c r="A1" s="67" t="str">
        <x:v>项目</x:v>
      </x:c>
      <x:c r="B1" s="67" t="str">
        <x:v>数值</x:v>
      </x:c>
      <x:c r="C1" s="67" t="str">
        <x:v>说明</x:v>
      </x:c>
      <x:c r="D1" s="67" t="str">
        <x:v>公式/口径</x:v>
      </x:c>
      <x:c r="E1" s="67" t="str">
        <x:v>来源</x:v>
      </x:c>
    </x:row>
    <x:row r="2" ht="38" customHeight="1">
      <x:c r="A2" s="71" t="str">
        <x:v>July 2026 official math.AP appearances</x:v>
      </x:c>
      <x:c r="B2" s="40" t="n">
        <x:v>734</x:v>
      </x:c>
      <x:c r="C2" s="40" t="str">
        <x:v>arXiv July official list total entries</x:v>
      </x:c>
      <x:c r="D2" s="40" t="str">
        <x:v>N_Jul=734</x:v>
      </x:c>
      <x:c r="E2" s="40" t="str">
        <x:v>https://arxiv.org/list/math.AP/2026-07?show=2000</x:v>
      </x:c>
    </x:row>
    <x:row r="3" ht="38" customHeight="1">
      <x:c r="A3" s="71" t="str">
        <x:v>July scored pool</x:v>
      </x:c>
      <x:c r="B3" s="40" t="n">
        <x:v>221</x:v>
      </x:c>
      <x:c r="C3" s="40" t="str">
        <x:v>按所有 July AP 出现项的 30% 向上取整</x:v>
      </x:c>
      <x:c r="D3" s="40" t="str">
        <x:v>ceil(734*0.30)=221</x:v>
      </x:c>
      <x:c r="E3" s="40" t="str">
        <x:v>本工作表 Jul_AP_scored30pct</x:v>
      </x:c>
    </x:row>
    <x:row r="4" ht="38" customHeight="1">
      <x:c r="A4" s="71" t="str">
        <x:v>August 2026 official math.AP appearances</x:v>
      </x:c>
      <x:c r="B4" s="40" t="n">
        <x:v>169</x:v>
      </x:c>
      <x:c r="C4" s="40" t="str">
        <x:v>arXiv August official list total entries</x:v>
      </x:c>
      <x:c r="D4" s="40" t="str">
        <x:v>N_Aug=169</x:v>
      </x:c>
      <x:c r="E4" s="40" t="str">
        <x:v>https://arxiv.org/list/math.AP/2026-08?show=2000</x:v>
      </x:c>
    </x:row>
    <x:row r="5" ht="38" customHeight="1">
      <x:c r="A5" s="71" t="str">
        <x:v>August scored pool</x:v>
      </x:c>
      <x:c r="B5" s="40" t="n">
        <x:v>51</x:v>
      </x:c>
      <x:c r="C5" s="40" t="str">
        <x:v>按所有 August AP 出现项的 30% 向上取整</x:v>
      </x:c>
      <x:c r="D5" s="40" t="str">
        <x:v>ceil(169*0.30)=51</x:v>
      </x:c>
      <x:c r="E5" s="40" t="str">
        <x:v>本工作表 Aug_AP_scored30pct</x:v>
      </x:c>
    </x:row>
    <x:row r="6" ht="38" customHeight="1">
      <x:c r="A6" s="71" t="str">
        <x:v>July+August scored pool total</x:v>
      </x:c>
      <x:c r="B6" s="40" t="n">
        <x:v>272</x:v>
      </x:c>
      <x:c r="C6" s="40" t="str">
        <x:v>用于 July/August 竞争性打分池</x:v>
      </x:c>
      <x:c r="D6" s="40" t="str">
        <x:v>221+51=272</x:v>
      </x:c>
      <x:c r="E6" s="40" t="str">
        <x:v>Jul_AP_scored30pct + Aug_AP_scored30pct</x:v>
      </x:c>
    </x:row>
    <x:row r="7" ht="38" customHeight="1">
      <x:c r="A7" s="71" t="str">
        <x:v>PDF Top50</x:v>
      </x:c>
      <x:c r="B7" s="40" t="n">
        <x:v>50</x:v>
      </x:c>
      <x:c r="C7" s="40" t="str">
        <x:v>July+August 合并后按 S_eq 排序取前50</x:v>
      </x:c>
      <x:c r="D7" s="40" t="str">
        <x:v>Top50 by S_eq</x:v>
      </x:c>
      <x:c r="E7" s="40" t="str">
        <x:v>JulAug_Top50</x:v>
      </x:c>
    </x:row>
    <x:row r="8" ht="38" customHeight="1">
      <x:c r="A8" s="71" t="str">
        <x:v>All-month Combined Top100</x:v>
      </x:c>
      <x:c r="B8" s="40" t="n">
        <x:v>100</x:v>
      </x:c>
      <x:c r="C8" s="40" t="str">
        <x:v>May-June 旧 Top100 与 July-August 新打分池合并重排</x:v>
      </x:c>
      <x:c r="D8" s="40" t="str">
        <x:v>Sort by Final_S_eq</x:v>
      </x:c>
      <x:c r="E8" s="40" t="str">
        <x:v>May_Aug_Combined_Top100</x:v>
      </x:c>
    </x:row>
    <x:row r="9" ht="38" customHeight="1">
      <x:c r="A9" s="71" t="str">
        <x:v>Correctness check</x:v>
      </x:c>
      <x:c r="B9" s="40" t="str">
        <x:v>not performed</x:v>
      </x:c>
      <x:c r="C9" s="40" t="str">
        <x:v>默认主要结论正确；未逐篇逐行核验证明</x:v>
      </x:c>
      <x:c r="D9" s="40" t="str">
        <x:v>same as previous files</x:v>
      </x:c>
      <x:c r="E9" s="40" t="str"/>
    </x:row>
    <x:row r="10" ht="38" customHeight="1">
      <x:c r="A10" s="71" t="str">
        <x:v>Scoring formula</x:v>
      </x:c>
      <x:c r="B10" s="40" t="str">
        <x:v>V, S_H, S_eq</x:v>
      </x:c>
      <x:c r="C10" s="40" t="str">
        <x:v>V=0.30I+0.20O+0.25T+0.15B+0.10R; S_H=0.30H+0.20T+0.20O+0.15R+0.15(100-AI_pct); S_eq=(V+S_H)/2</x:v>
      </x:c>
      <x:c r="D10" s="40" t="str">
        <x:v>V and S_H equal-weighted</x:v>
      </x:c>
      <x:c r="E10" s="40" t="str"/>
    </x:row>
  </x:sheetData>
  <x:pageMargins left="0.7" right="0.7" top="0.75" bottom="0.75" header="0.3" footer="0.3"/>
  <x:tableParts count="1">
    <x:tablePart xmlns:r="http://schemas.openxmlformats.org/officeDocument/2006/relationships" r:id="Rb41b417bfb7e4e3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70" hidden="0" customWidth="1"/>
    <x:col min="4" max="4" width="22" hidden="0" customWidth="1"/>
    <x:col min="5" max="5" width="42" hidden="0" customWidth="1"/>
    <x:col min="6" max="6" width="34" hidden="0" customWidth="1"/>
    <x:col min="7" max="7" width="9" hidden="0" customWidth="1"/>
    <x:col min="8" max="8" width="36" hidden="0" customWidth="1"/>
    <x:col min="9" max="9" width="42" hidden="0" customWidth="1"/>
  </x:cols>
  <x:sheetData>
    <x:row r="1" ht="30" customHeight="1">
      <x:c r="A1" s="67" t="str">
        <x:v>Field</x:v>
      </x:c>
      <x:c r="B1" s="67" t="str">
        <x:v>Meaning</x:v>
      </x:c>
      <x:c r="C1" s="67" t="str">
        <x:v>Scale/use</x:v>
      </x:c>
    </x:row>
    <x:row r="2" ht="38" customHeight="1">
      <x:c r="A2" s="40" t="str">
        <x:v>I</x:v>
      </x:c>
      <x:c r="B2" s="40" t="str">
        <x:v>Intrinsic importance</x:v>
      </x:c>
      <x:c r="C2" s="40" t="str">
        <x:v>Result/problem importance, theorem-level centrality</x:v>
      </x:c>
    </x:row>
    <x:row r="3" ht="38" customHeight="1">
      <x:c r="A3" s="40" t="str">
        <x:v>O</x:v>
      </x:c>
      <x:c r="B3" s="40" t="str">
        <x:v>Originality</x:v>
      </x:c>
      <x:c r="C3" s="40" t="str">
        <x:v>New idea/new construction/new mechanism</x:v>
      </x:c>
    </x:row>
    <x:row r="4" ht="38" customHeight="1">
      <x:c r="A4" s="40" t="str">
        <x:v>T</x:v>
      </x:c>
      <x:c r="B4" s="40" t="str">
        <x:v>Technical depth</x:v>
      </x:c>
      <x:c r="C4" s="40" t="str">
        <x:v>Proof length, nonlinear coupling, estimates, multi-scale difficulty</x:v>
      </x:c>
    </x:row>
    <x:row r="5" ht="38" customHeight="1">
      <x:c r="A5" s="40" t="str">
        <x:v>B</x:v>
      </x:c>
      <x:c r="B5" s="40" t="str">
        <x:v>Breadth / downstream impact</x:v>
      </x:c>
      <x:c r="C5" s="40" t="str">
        <x:v>Likely use outside a narrow subtopic</x:v>
      </x:c>
    </x:row>
    <x:row r="6" ht="38" customHeight="1">
      <x:c r="A6" s="40" t="str">
        <x:v>H</x:v>
      </x:c>
      <x:c r="B6" s="40" t="str">
        <x:v>Human hardness</x:v>
      </x:c>
      <x:c r="C6" s="40" t="str">
        <x:v>Portion difficult to replace by present AI/computation tools</x:v>
      </x:c>
    </x:row>
    <x:row r="7" ht="38" customHeight="1">
      <x:c r="A7" s="40" t="str">
        <x:v>R</x:v>
      </x:c>
      <x:c r="B7" s="40" t="str">
        <x:v>Robustness</x:v>
      </x:c>
      <x:c r="C7" s="40" t="str">
        <x:v>Clarity of statement, resistance to fragile assumptions, maturity</x:v>
      </x:c>
    </x:row>
    <x:row r="8" ht="38" customHeight="1">
      <x:c r="A8" s="40" t="str">
        <x:v>AI_pct</x:v>
      </x:c>
      <x:c r="B8" s="40" t="str">
        <x:v>Estimated replaceable percentage by current AI/computational tools</x:v>
      </x:c>
      <x:c r="C8" s="40" t="str">
        <x:v>Lower AI_pct raises S_H</x:v>
      </x:c>
    </x:row>
    <x:row r="9" ht="38" customHeight="1">
      <x:c r="A9" s="40" t="str">
        <x:v>AI_unc</x:v>
      </x:c>
      <x:c r="B9" s="40" t="str">
        <x:v>Uncertainty of AI_pct estimate</x:v>
      </x:c>
      <x:c r="C9" s="40" t="str">
        <x:v>High value means AI-use/replaceability is harder to infer</x:v>
      </x:c>
    </x:row>
  </x:sheetData>
  <x:pageMargins left="0.7" right="0.7" top="0.75" bottom="0.75" header="0.3" footer="0.3"/>
  <x:tableParts count="1">
    <x:tablePart xmlns:r="http://schemas.openxmlformats.org/officeDocument/2006/relationships" r:id="Ra794ac9c95be462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22" hidden="0" customWidth="1"/>
    <x:col min="5" max="5" width="42" hidden="0" customWidth="1"/>
    <x:col min="6" max="6" width="34" hidden="0" customWidth="1"/>
    <x:col min="7" max="7" width="9" hidden="0" customWidth="1"/>
    <x:col min="8" max="8" width="36" hidden="0" customWidth="1"/>
    <x:col min="9" max="9" width="42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25" hidden="0" customWidth="1"/>
    <x:col min="22" max="22" width="16" hidden="0" customWidth="1"/>
    <x:col min="23" max="23" width="12" hidden="0" customWidth="1"/>
    <x:col min="24" max="24" width="30" hidden="0" customWidth="1"/>
    <x:col min="25" max="25" width="34" hidden="0" customWidth="1"/>
  </x:cols>
  <x:sheetData>
    <x:row r="1" ht="30" customHeight="1">
      <x:c r="A1" s="67" t="str">
        <x:v>arXiv</x:v>
      </x:c>
      <x:c r="B1" s="67" t="str">
        <x:v>month</x:v>
      </x:c>
      <x:c r="C1" s="67" t="str">
        <x:v>AP_status</x:v>
      </x:c>
      <x:c r="D1" s="67" t="str">
        <x:v>theme</x:v>
      </x:c>
      <x:c r="E1" s="67" t="str">
        <x:v>title</x:v>
      </x:c>
      <x:c r="F1" s="67" t="str">
        <x:v>authors</x:v>
      </x:c>
      <x:c r="G1" s="67" t="str">
        <x:v>pages</x:v>
      </x:c>
      <x:c r="H1" s="67" t="str">
        <x:v>source_url</x:v>
      </x:c>
      <x:c r="I1" s="67" t="str">
        <x:v>screening_note</x:v>
      </x:c>
      <x:c r="J1" s="67" t="str">
        <x:v>I</x:v>
      </x:c>
      <x:c r="K1" s="67" t="str">
        <x:v>O</x:v>
      </x:c>
      <x:c r="L1" s="67" t="str">
        <x:v>T</x:v>
      </x:c>
      <x:c r="M1" s="67" t="str">
        <x:v>B</x:v>
      </x:c>
      <x:c r="N1" s="67" t="str">
        <x:v>H</x:v>
      </x:c>
      <x:c r="O1" s="67" t="str">
        <x:v>R</x:v>
      </x:c>
      <x:c r="P1" s="67" t="str">
        <x:v>AI_pct</x:v>
      </x:c>
      <x:c r="Q1" s="67" t="str">
        <x:v>AI_unc</x:v>
      </x:c>
      <x:c r="R1" s="67" t="str">
        <x:v>V</x:v>
      </x:c>
      <x:c r="S1" s="67" t="str">
        <x:v>S_H</x:v>
      </x:c>
      <x:c r="T1" s="67" t="str">
        <x:v>S_eq</x:v>
      </x:c>
      <x:c r="U1" s="67" t="str">
        <x:v>rank_formula</x:v>
      </x:c>
      <x:c r="V1" s="67" t="str">
        <x:v>exact_bibliography</x:v>
      </x:c>
      <x:c r="W1" s="67" t="str">
        <x:v>Top50_flag</x:v>
      </x:c>
      <x:c r="X1" s="67" t="str">
        <x:v>source_batch</x:v>
      </x:c>
      <x:c r="Y1" s="67" t="str">
        <x:v>score_comments</x:v>
      </x:c>
    </x:row>
    <x:row r="2" ht="38" customHeight="1">
      <x:c r="A2" s="40" t="str">
        <x:v>2607.10686</x:v>
      </x:c>
      <x:c r="B2" s="40" t="str">
        <x:v>2026-07</x:v>
      </x:c>
      <x:c r="C2" s="40" t="str">
        <x:v>math.AP</x:v>
      </x:c>
      <x:c r="D2" s="40" t="str">
        <x:v>mean-field limits / Coulomb-type PDE</x:v>
      </x:c>
      <x:c r="E2" s="40" t="str">
        <x:v>Singular mean-field limits via a multiscale mollification metric</x:v>
      </x:c>
      <x:c r="F2" s="40" t="str">
        <x:v>Quoc Hung Nguyen; Sylvia Serfaty</x:v>
      </x:c>
      <x:c r="G2" s="40" t="n">
        <x:v>105</x:v>
      </x:c>
      <x:c r="H2" s="40" t="str">
        <x:v>https://arxiv.org/abs/2607.10686</x:v>
      </x:c>
      <x:c r="I2" s="40" t="str">
        <x:v>Large-scale singular mean-field limit framework; broad PDE/probability transfer.</x:v>
      </x:c>
      <x:c r="J2" s="72" t="n">
        <x:v>96</x:v>
      </x:c>
      <x:c r="K2" s="72" t="n">
        <x:v>94</x:v>
      </x:c>
      <x:c r="L2" s="72" t="n">
        <x:v>96</x:v>
      </x:c>
      <x:c r="M2" s="72" t="n">
        <x:v>92</x:v>
      </x:c>
      <x:c r="N2" s="72" t="n">
        <x:v>96</x:v>
      </x:c>
      <x:c r="O2" s="72" t="n">
        <x:v>86</x:v>
      </x:c>
      <x:c r="P2" s="72" t="n">
        <x:v>10</x:v>
      </x:c>
      <x:c r="Q2" s="72" t="n">
        <x:v>5</x:v>
      </x:c>
      <x:c r="R2" s="72" t="n">
        <x:f>ROUND(0.30*J2+0.20*K2+0.25*L2+0.15*M2+0.10*O2,2)</x:f>
        <x:v>94</x:v>
      </x:c>
      <x:c r="S2" s="72" t="n">
        <x:f>ROUND(0.30*N2+0.20*L2+0.20*K2+0.15*O2+0.15*(100-P2),2)</x:f>
        <x:v>93.2</x:v>
      </x:c>
      <x:c r="T2" s="72" t="n">
        <x:f>ROUND((R2+S2)/2,2)</x:f>
        <x:v>93.6</x:v>
      </x:c>
      <x:c r="U2" s="40" t="str">
        <x:v>S_eq=(V+S_H)/2; V and S_H equal-weighted</x:v>
      </x:c>
      <x:c r="V2" s="40" t="str">
        <x:v>yes</x:v>
      </x:c>
      <x:c r="W2" s="40" t="str">
        <x:v>Top50</x:v>
      </x:c>
      <x:c r="X2" s="40" t="str">
        <x:v>July official math.AP list; 734 total; scored pool = ceil(30%)=221</x:v>
      </x:c>
      <x:c r="Y2" s="40" t="str">
        <x:v>Assume main results correct; no line-by-line correctness check.</x:v>
      </x:c>
    </x:row>
    <x:row r="3" ht="38" customHeight="1">
      <x:c r="A3" s="40" t="str">
        <x:v>2607.00891</x:v>
      </x:c>
      <x:c r="B3" s="40" t="str">
        <x:v>2026-07</x:v>
      </x:c>
      <x:c r="C3" s="40" t="str">
        <x:v>math.AP</x:v>
      </x:c>
      <x:c r="D3" s="40" t="str">
        <x:v>free-boundary MHD</x:v>
      </x:c>
      <x:c r="E3" s="40" t="str">
        <x:v>Low-regularity a priori estimates, blow-up criterion, and self-intersection singularities for free-boundary ideal magnetohydrodynamics with surface tension</x:v>
      </x:c>
      <x:c r="F3" s="40" t="str">
        <x:v>Tao Luo; Siqi Yang</x:v>
      </x:c>
      <x:c r="G3" s="40" t="n">
        <x:v>48</x:v>
      </x:c>
      <x:c r="H3" s="40" t="str">
        <x:v>https://arxiv.org/abs/2607.00891</x:v>
      </x:c>
      <x:c r="I3" s="40" t="str">
        <x:v>Difficult free-boundary MHD estimates and singularity criteria.</x:v>
      </x:c>
      <x:c r="J3" s="72" t="n">
        <x:v>94</x:v>
      </x:c>
      <x:c r="K3" s="72" t="n">
        <x:v>91</x:v>
      </x:c>
      <x:c r="L3" s="72" t="n">
        <x:v>95</x:v>
      </x:c>
      <x:c r="M3" s="72" t="n">
        <x:v>89</x:v>
      </x:c>
      <x:c r="N3" s="72" t="n">
        <x:v>95</x:v>
      </x:c>
      <x:c r="O3" s="72" t="n">
        <x:v>85</x:v>
      </x:c>
      <x:c r="P3" s="72" t="n">
        <x:v>11</x:v>
      </x:c>
      <x:c r="Q3" s="72" t="n">
        <x:v>6</x:v>
      </x:c>
      <x:c r="R3" s="72" t="n">
        <x:f>ROUND(0.30*J3+0.20*K3+0.25*L3+0.15*M3+0.10*O3,2)</x:f>
        <x:v>92</x:v>
      </x:c>
      <x:c r="S3" s="72" t="n">
        <x:f>ROUND(0.30*N3+0.20*L3+0.20*K3+0.15*O3+0.15*(100-P3),2)</x:f>
        <x:v>91.8</x:v>
      </x:c>
      <x:c r="T3" s="72" t="n">
        <x:f>ROUND((R3+S3)/2,2)</x:f>
        <x:v>91.9</x:v>
      </x:c>
      <x:c r="U3" s="40" t="str">
        <x:v>S_eq=(V+S_H)/2; V and S_H equal-weighted</x:v>
      </x:c>
      <x:c r="V3" s="40" t="str">
        <x:v>yes</x:v>
      </x:c>
      <x:c r="W3" s="40" t="str">
        <x:v>Top50</x:v>
      </x:c>
      <x:c r="X3" s="40" t="str">
        <x:v>July official math.AP list; 734 total; scored pool = ceil(30%)=221</x:v>
      </x:c>
      <x:c r="Y3" s="40" t="str">
        <x:v>Assume main results correct; no line-by-line correctness check.</x:v>
      </x:c>
    </x:row>
    <x:row r="4" ht="38" customHeight="1">
      <x:c r="A4" s="40" t="str">
        <x:v>2607.15256</x:v>
      </x:c>
      <x:c r="B4" s="40" t="str">
        <x:v>2026-07</x:v>
      </x:c>
      <x:c r="C4" s="40" t="str">
        <x:v>math.AP</x:v>
      </x:c>
      <x:c r="D4" s="40" t="str">
        <x:v>Euler singularity / computer-assisted analysis</x:v>
      </x:c>
      <x:c r="E4" s="40" t="str">
        <x:v>Analytic finite-rank corrections for singularly weighted estimates in a computer-assisted proof of 3D Euler singularity</x:v>
      </x:c>
      <x:c r="F4" s="40" t="str">
        <x:v>Jiajie Chen; Thomas Y. Hou</x:v>
      </x:c>
      <x:c r="G4" s="40" t="n">
        <x:v>24</x:v>
      </x:c>
      <x:c r="H4" s="40" t="str">
        <x:v>https://arxiv.org/abs/2607.15256</x:v>
      </x:c>
      <x:c r="I4" s="40" t="str">
        <x:v>Major correction/certification component in 3D Euler singularity program; high value but partly computational.</x:v>
      </x:c>
      <x:c r="J4" s="72" t="n">
        <x:v>95</x:v>
      </x:c>
      <x:c r="K4" s="72" t="n">
        <x:v>94</x:v>
      </x:c>
      <x:c r="L4" s="72" t="n">
        <x:v>95</x:v>
      </x:c>
      <x:c r="M4" s="72" t="n">
        <x:v>90</x:v>
      </x:c>
      <x:c r="N4" s="72" t="n">
        <x:v>95</x:v>
      </x:c>
      <x:c r="O4" s="72" t="n">
        <x:v>84</x:v>
      </x:c>
      <x:c r="P4" s="72" t="n">
        <x:v>22</x:v>
      </x:c>
      <x:c r="Q4" s="72" t="n">
        <x:v>8</x:v>
      </x:c>
      <x:c r="R4" s="72" t="n">
        <x:f>ROUND(0.30*J4+0.20*K4+0.25*L4+0.15*M4+0.10*O4,2)</x:f>
        <x:v>92.95</x:v>
      </x:c>
      <x:c r="S4" s="72" t="n">
        <x:f>ROUND(0.30*N4+0.20*L4+0.20*K4+0.15*O4+0.15*(100-P4),2)</x:f>
        <x:v>90.6</x:v>
      </x:c>
      <x:c r="T4" s="72" t="n">
        <x:f>ROUND((R4+S4)/2,2)</x:f>
        <x:v>91.78</x:v>
      </x:c>
      <x:c r="U4" s="40" t="str">
        <x:v>S_eq=(V+S_H)/2; V and S_H equal-weighted</x:v>
      </x:c>
      <x:c r="V4" s="40" t="str">
        <x:v>yes</x:v>
      </x:c>
      <x:c r="W4" s="40" t="str">
        <x:v>Top50</x:v>
      </x:c>
      <x:c r="X4" s="40" t="str">
        <x:v>July official math.AP list; 734 total; scored pool = ceil(30%)=221</x:v>
      </x:c>
      <x:c r="Y4" s="40" t="str">
        <x:v>Assume main results correct; no line-by-line correctness check.</x:v>
      </x:c>
    </x:row>
    <x:row r="5" ht="38" customHeight="1">
      <x:c r="A5" s="40" t="str">
        <x:v>2607.08685</x:v>
      </x:c>
      <x:c r="B5" s="40" t="str">
        <x:v>2026-07</x:v>
      </x:c>
      <x:c r="C5" s="40" t="str">
        <x:v>math.AP</x:v>
      </x:c>
      <x:c r="D5" s="40" t="str">
        <x:v>free boundary</x:v>
      </x:c>
      <x:c r="E5" s="40" t="str">
        <x:v>A Short Proof of Optimal Regularity for minimizers of the Alt-Phillips Problem</x:v>
      </x:c>
      <x:c r="F5" s="40" t="str">
        <x:v>Kunyi Ma</x:v>
      </x:c>
      <x:c r="G5" s="40" t="str">
        <x:v>-</x:v>
      </x:c>
      <x:c r="H5" s="40" t="str">
        <x:v>https://arxiv.org/abs/2607.08685</x:v>
      </x:c>
      <x:c r="I5" s="40" t="str">
        <x:v>Scored candidate from official July math.AP list; correctness not checked.</x:v>
      </x:c>
      <x:c r="J5" s="72" t="n">
        <x:v>93</x:v>
      </x:c>
      <x:c r="K5" s="72" t="n">
        <x:v>90</x:v>
      </x:c>
      <x:c r="L5" s="72" t="n">
        <x:v>94</x:v>
      </x:c>
      <x:c r="M5" s="72" t="n">
        <x:v>89</x:v>
      </x:c>
      <x:c r="N5" s="72" t="n">
        <x:v>94</x:v>
      </x:c>
      <x:c r="O5" s="72" t="n">
        <x:v>89</x:v>
      </x:c>
      <x:c r="P5" s="72" t="n">
        <x:v>13</x:v>
      </x:c>
      <x:c r="Q5" s="72" t="n">
        <x:v>7</x:v>
      </x:c>
      <x:c r="R5" s="72" t="n">
        <x:f>ROUND(0.30*J5+0.20*K5+0.25*L5+0.15*M5+0.10*O5,2)</x:f>
        <x:v>91.65</x:v>
      </x:c>
      <x:c r="S5" s="72" t="n">
        <x:f>ROUND(0.30*N5+0.20*L5+0.20*K5+0.15*O5+0.15*(100-P5),2)</x:f>
        <x:v>91.4</x:v>
      </x:c>
      <x:c r="T5" s="72" t="n">
        <x:f>ROUND((R5+S5)/2,2)</x:f>
        <x:v>91.53</x:v>
      </x:c>
      <x:c r="U5" s="40" t="str">
        <x:v>S_eq=(V+S_H)/2; V and S_H equal-weighted</x:v>
      </x:c>
      <x:c r="V5" s="40" t="str">
        <x:v>yes</x:v>
      </x:c>
      <x:c r="W5" s="40" t="str">
        <x:v>Top50</x:v>
      </x:c>
      <x:c r="X5" s="40" t="str">
        <x:v>July official math.AP list; 734 total; scored pool = ceil(30%)=221</x:v>
      </x:c>
      <x:c r="Y5" s="40" t="str">
        <x:v>Assume main results correct; no line-by-line correctness check.</x:v>
      </x:c>
    </x:row>
    <x:row r="6" ht="38" customHeight="1">
      <x:c r="A6" s="40" t="str">
        <x:v>2607.02493</x:v>
      </x:c>
      <x:c r="B6" s="40" t="str">
        <x:v>2026-07</x:v>
      </x:c>
      <x:c r="C6" s="40" t="str">
        <x:v>math.AP</x:v>
      </x:c>
      <x:c r="D6" s="40" t="str">
        <x:v>nonlinear waves / stability</x:v>
      </x:c>
      <x:c r="E6" s="40" t="str">
        <x:v>Stability of global self-similar solutions to the cubic wave equation and the wave maps equation</x:v>
      </x:c>
      <x:c r="F6" s="40" t="str">
        <x:v>Akansha Sanwal; Birgit Schörkhuber; David Wallauch</x:v>
      </x:c>
      <x:c r="G6" s="40" t="n">
        <x:v>91</x:v>
      </x:c>
      <x:c r="H6" s="40" t="str">
        <x:v>https://arxiv.org/abs/2607.02493</x:v>
      </x:c>
      <x:c r="I6" s="40" t="str">
        <x:v>Long nonlinear stability analysis of self-similar wave profiles.</x:v>
      </x:c>
      <x:c r="J6" s="72" t="n">
        <x:v>94</x:v>
      </x:c>
      <x:c r="K6" s="72" t="n">
        <x:v>91</x:v>
      </x:c>
      <x:c r="L6" s="72" t="n">
        <x:v>94</x:v>
      </x:c>
      <x:c r="M6" s="72" t="n">
        <x:v>88</x:v>
      </x:c>
      <x:c r="N6" s="72" t="n">
        <x:v>94</x:v>
      </x:c>
      <x:c r="O6" s="72" t="n">
        <x:v>85</x:v>
      </x:c>
      <x:c r="P6" s="72" t="n">
        <x:v>12</x:v>
      </x:c>
      <x:c r="Q6" s="72" t="n">
        <x:v>6</x:v>
      </x:c>
      <x:c r="R6" s="72" t="n">
        <x:f>ROUND(0.30*J6+0.20*K6+0.25*L6+0.15*M6+0.10*O6,2)</x:f>
        <x:v>91.6</x:v>
      </x:c>
      <x:c r="S6" s="72" t="n">
        <x:f>ROUND(0.30*N6+0.20*L6+0.20*K6+0.15*O6+0.15*(100-P6),2)</x:f>
        <x:v>91.15</x:v>
      </x:c>
      <x:c r="T6" s="72" t="n">
        <x:f>ROUND((R6+S6)/2,2)</x:f>
        <x:v>91.38</x:v>
      </x:c>
      <x:c r="U6" s="40" t="str">
        <x:v>S_eq=(V+S_H)/2; V and S_H equal-weighted</x:v>
      </x:c>
      <x:c r="V6" s="40" t="str">
        <x:v>yes</x:v>
      </x:c>
      <x:c r="W6" s="40" t="str">
        <x:v>Top50</x:v>
      </x:c>
      <x:c r="X6" s="40" t="str">
        <x:v>July official math.AP list; 734 total; scored pool = ceil(30%)=221</x:v>
      </x:c>
      <x:c r="Y6" s="40" t="str">
        <x:v>Assume main results correct; no line-by-line correctness check.</x:v>
      </x:c>
    </x:row>
    <x:row r="7" ht="38" customHeight="1">
      <x:c r="A7" s="40" t="str">
        <x:v>2607.07154</x:v>
      </x:c>
      <x:c r="B7" s="40" t="str">
        <x:v>2026-07</x:v>
      </x:c>
      <x:c r="C7" s="40" t="str">
        <x:v>math.AP</x:v>
      </x:c>
      <x:c r="D7" s="40" t="str">
        <x:v>nonlocal minimal surfaces</x:v>
      </x:c>
      <x:c r="E7" s="40" t="str">
        <x:v>Nonlocal minimal surfaces are generically unique, and smooth in one extra dimension</x:v>
      </x:c>
      <x:c r="F7" s="40" t="str">
        <x:v>Serena Dipierro; Xavier Fernández-Real; Enrico Valdinoci</x:v>
      </x:c>
      <x:c r="G7" s="40" t="str">
        <x:v>-</x:v>
      </x:c>
      <x:c r="H7" s="40" t="str">
        <x:v>https://arxiv.org/abs/2607.07154</x:v>
      </x:c>
      <x:c r="I7" s="40" t="str">
        <x:v>Conceptual regularity/generic uniqueness result in nonlocal geometric PDE.</x:v>
      </x:c>
      <x:c r="J7" s="72" t="n">
        <x:v>93</x:v>
      </x:c>
      <x:c r="K7" s="72" t="n">
        <x:v>91</x:v>
      </x:c>
      <x:c r="L7" s="72" t="n">
        <x:v>93</x:v>
      </x:c>
      <x:c r="M7" s="72" t="n">
        <x:v>89</x:v>
      </x:c>
      <x:c r="N7" s="72" t="n">
        <x:v>93</x:v>
      </x:c>
      <x:c r="O7" s="72" t="n">
        <x:v>86</x:v>
      </x:c>
      <x:c r="P7" s="72" t="n">
        <x:v>10</x:v>
      </x:c>
      <x:c r="Q7" s="72" t="n">
        <x:v>5</x:v>
      </x:c>
      <x:c r="R7" s="72" t="n">
        <x:f>ROUND(0.30*J7+0.20*K7+0.25*L7+0.15*M7+0.10*O7,2)</x:f>
        <x:v>91.3</x:v>
      </x:c>
      <x:c r="S7" s="72" t="n">
        <x:f>ROUND(0.30*N7+0.20*L7+0.20*K7+0.15*O7+0.15*(100-P7),2)</x:f>
        <x:v>91.1</x:v>
      </x:c>
      <x:c r="T7" s="72" t="n">
        <x:f>ROUND((R7+S7)/2,2)</x:f>
        <x:v>91.2</x:v>
      </x:c>
      <x:c r="U7" s="40" t="str">
        <x:v>S_eq=(V+S_H)/2; V and S_H equal-weighted</x:v>
      </x:c>
      <x:c r="V7" s="40" t="str">
        <x:v>yes</x:v>
      </x:c>
      <x:c r="W7" s="40" t="str">
        <x:v>Top50</x:v>
      </x:c>
      <x:c r="X7" s="40" t="str">
        <x:v>July official math.AP list; 734 total; scored pool = ceil(30%)=221</x:v>
      </x:c>
      <x:c r="Y7" s="40" t="str">
        <x:v>Assume main results correct; no line-by-line correctness check.</x:v>
      </x:c>
    </x:row>
    <x:row r="8" ht="38" customHeight="1">
      <x:c r="A8" s="40" t="str">
        <x:v>2607.07618</x:v>
      </x:c>
      <x:c r="B8" s="40" t="str">
        <x:v>2026-07</x:v>
      </x:c>
      <x:c r="C8" s="40" t="str">
        <x:v>math.AP</x:v>
      </x:c>
      <x:c r="D8" s="40" t="str">
        <x:v>stochastic dispersive PDE</x:v>
      </x:c>
      <x:c r="E8" s="40" t="str">
        <x:v>Fourier restriction norm method adapted to controlled paths: stochastic wave equations</x:v>
      </x:c>
      <x:c r="F8" s="40" t="str">
        <x:v>Andreia Chapouto; Jiawei Li; Tadahiro Oh</x:v>
      </x:c>
      <x:c r="G8" s="40" t="n">
        <x:v>100</x:v>
      </x:c>
      <x:c r="H8" s="40" t="str">
        <x:v>https://arxiv.org/abs/2607.07618</x:v>
      </x:c>
      <x:c r="I8" s="40" t="str">
        <x:v>Develops controlled-path restriction framework for stochastic waves.</x:v>
      </x:c>
      <x:c r="J8" s="72" t="n">
        <x:v>93</x:v>
      </x:c>
      <x:c r="K8" s="72" t="n">
        <x:v>91</x:v>
      </x:c>
      <x:c r="L8" s="72" t="n">
        <x:v>94</x:v>
      </x:c>
      <x:c r="M8" s="72" t="n">
        <x:v>88</x:v>
      </x:c>
      <x:c r="N8" s="72" t="n">
        <x:v>94</x:v>
      </x:c>
      <x:c r="O8" s="72" t="n">
        <x:v>84</x:v>
      </x:c>
      <x:c r="P8" s="72" t="n">
        <x:v>13</x:v>
      </x:c>
      <x:c r="Q8" s="72" t="n">
        <x:v>6</x:v>
      </x:c>
      <x:c r="R8" s="72" t="n">
        <x:f>ROUND(0.30*J8+0.20*K8+0.25*L8+0.15*M8+0.10*O8,2)</x:f>
        <x:v>91.2</x:v>
      </x:c>
      <x:c r="S8" s="72" t="n">
        <x:f>ROUND(0.30*N8+0.20*L8+0.20*K8+0.15*O8+0.15*(100-P8),2)</x:f>
        <x:v>90.85</x:v>
      </x:c>
      <x:c r="T8" s="72" t="n">
        <x:f>ROUND((R8+S8)/2,2)</x:f>
        <x:v>91.03</x:v>
      </x:c>
      <x:c r="U8" s="40" t="str">
        <x:v>S_eq=(V+S_H)/2; V and S_H equal-weighted</x:v>
      </x:c>
      <x:c r="V8" s="40" t="str">
        <x:v>yes</x:v>
      </x:c>
      <x:c r="W8" s="40" t="str">
        <x:v>Top50</x:v>
      </x:c>
      <x:c r="X8" s="40" t="str">
        <x:v>July official math.AP list; 734 total; scored pool = ceil(30%)=221</x:v>
      </x:c>
      <x:c r="Y8" s="40" t="str">
        <x:v>Assume main results correct; no line-by-line correctness check.</x:v>
      </x:c>
    </x:row>
    <x:row r="9" ht="38" customHeight="1">
      <x:c r="A9" s="40" t="str">
        <x:v>2607.07613</x:v>
      </x:c>
      <x:c r="B9" s="40" t="str">
        <x:v>2026-07</x:v>
      </x:c>
      <x:c r="C9" s="40" t="str">
        <x:v>math.AP</x:v>
      </x:c>
      <x:c r="D9" s="40" t="str">
        <x:v>Euler vortices / bifurcation</x:v>
      </x:c>
      <x:c r="E9" s="40" t="str">
        <x:v>Time-periodic vortices near translating symmetric dipole patches</x:v>
      </x:c>
      <x:c r="F9" s="40" t="str">
        <x:v>Luca Franzoi; Taoufik Hmidi; Riccardo Montalto</x:v>
      </x:c>
      <x:c r="G9" s="40" t="n">
        <x:v>105</x:v>
      </x:c>
      <x:c r="H9" s="40" t="str">
        <x:v>https://arxiv.org/abs/2607.07613</x:v>
      </x:c>
      <x:c r="I9" s="40" t="str">
        <x:v>Long construction around vortex patches; high human difficulty.</x:v>
      </x:c>
      <x:c r="J9" s="72" t="n">
        <x:v>93</x:v>
      </x:c>
      <x:c r="K9" s="72" t="n">
        <x:v>90</x:v>
      </x:c>
      <x:c r="L9" s="72" t="n">
        <x:v>94</x:v>
      </x:c>
      <x:c r="M9" s="72" t="n">
        <x:v>87</x:v>
      </x:c>
      <x:c r="N9" s="72" t="n">
        <x:v>94</x:v>
      </x:c>
      <x:c r="O9" s="72" t="n">
        <x:v>84</x:v>
      </x:c>
      <x:c r="P9" s="72" t="n">
        <x:v>12</x:v>
      </x:c>
      <x:c r="Q9" s="72" t="n">
        <x:v>6</x:v>
      </x:c>
      <x:c r="R9" s="72" t="n">
        <x:f>ROUND(0.30*J9+0.20*K9+0.25*L9+0.15*M9+0.10*O9,2)</x:f>
        <x:v>90.85</x:v>
      </x:c>
      <x:c r="S9" s="72" t="n">
        <x:f>ROUND(0.30*N9+0.20*L9+0.20*K9+0.15*O9+0.15*(100-P9),2)</x:f>
        <x:v>90.8</x:v>
      </x:c>
      <x:c r="T9" s="72" t="n">
        <x:f>ROUND((R9+S9)/2,2)</x:f>
        <x:v>90.82</x:v>
      </x:c>
      <x:c r="U9" s="40" t="str">
        <x:v>S_eq=(V+S_H)/2; V and S_H equal-weighted</x:v>
      </x:c>
      <x:c r="V9" s="40" t="str">
        <x:v>yes</x:v>
      </x:c>
      <x:c r="W9" s="40" t="str">
        <x:v>Top50</x:v>
      </x:c>
      <x:c r="X9" s="40" t="str">
        <x:v>July official math.AP list; 734 total; scored pool = ceil(30%)=221</x:v>
      </x:c>
      <x:c r="Y9" s="40" t="str">
        <x:v>Assume main results correct; no line-by-line correctness check.</x:v>
      </x:c>
    </x:row>
    <x:row r="10" ht="38" customHeight="1">
      <x:c r="A10" s="40" t="str">
        <x:v>2607.11618</x:v>
      </x:c>
      <x:c r="B10" s="40" t="str">
        <x:v>2026-07</x:v>
      </x:c>
      <x:c r="C10" s="40" t="str">
        <x:v>math.AP</x:v>
      </x:c>
      <x:c r="D10" s="40" t="str">
        <x:v>fully nonlinear PDE</x:v>
      </x:c>
      <x:c r="E10" s="40" t="str">
        <x:v>Bellman Equations with Sub-Lipschitz Hessians</x:v>
      </x:c>
      <x:c r="F10" s="40" t="str">
        <x:v>Xavier Fernández-Real</x:v>
      </x:c>
      <x:c r="G10" s="40" t="str">
        <x:v>-</x:v>
      </x:c>
      <x:c r="H10" s="40" t="str">
        <x:v>https://arxiv.org/abs/2607.11618</x:v>
      </x:c>
      <x:c r="I10" s="40" t="str">
        <x:v>Strong fully nonlinear regularity contribution; concise but high conceptual value.</x:v>
      </x:c>
      <x:c r="J10" s="72" t="n">
        <x:v>92</x:v>
      </x:c>
      <x:c r="K10" s="72" t="n">
        <x:v>90</x:v>
      </x:c>
      <x:c r="L10" s="72" t="n">
        <x:v>92</x:v>
      </x:c>
      <x:c r="M10" s="72" t="n">
        <x:v>88</x:v>
      </x:c>
      <x:c r="N10" s="72" t="n">
        <x:v>92</x:v>
      </x:c>
      <x:c r="O10" s="72" t="n">
        <x:v>86</x:v>
      </x:c>
      <x:c r="P10" s="72" t="n">
        <x:v>10</x:v>
      </x:c>
      <x:c r="Q10" s="72" t="n">
        <x:v>5</x:v>
      </x:c>
      <x:c r="R10" s="72" t="n">
        <x:f>ROUND(0.30*J10+0.20*K10+0.25*L10+0.15*M10+0.10*O10,2)</x:f>
        <x:v>90.4</x:v>
      </x:c>
      <x:c r="S10" s="72" t="n">
        <x:f>ROUND(0.30*N10+0.20*L10+0.20*K10+0.15*O10+0.15*(100-P10),2)</x:f>
        <x:v>90.4</x:v>
      </x:c>
      <x:c r="T10" s="72" t="n">
        <x:f>ROUND((R10+S10)/2,2)</x:f>
        <x:v>90.4</x:v>
      </x:c>
      <x:c r="U10" s="40" t="str">
        <x:v>S_eq=(V+S_H)/2; V and S_H equal-weighted</x:v>
      </x:c>
      <x:c r="V10" s="40" t="str">
        <x:v>yes</x:v>
      </x:c>
      <x:c r="W10" s="40" t="str">
        <x:v>Top50</x:v>
      </x:c>
      <x:c r="X10" s="40" t="str">
        <x:v>July official math.AP list; 734 total; scored pool = ceil(30%)=221</x:v>
      </x:c>
      <x:c r="Y10" s="40" t="str">
        <x:v>Assume main results correct; no line-by-line correctness check.</x:v>
      </x:c>
    </x:row>
    <x:row r="11" ht="38" customHeight="1">
      <x:c r="A11" s="40" t="str">
        <x:v>2607.11731</x:v>
      </x:c>
      <x:c r="B11" s="40" t="str">
        <x:v>2026-07</x:v>
      </x:c>
      <x:c r="C11" s="40" t="str">
        <x:v>math.AP</x:v>
      </x:c>
      <x:c r="D11" s="40" t="str">
        <x:v>fluid-structure interaction</x:v>
      </x:c>
      <x:c r="E11" s="40" t="str">
        <x:v>Global asymptotic stability for the 3D Peskin Problem at critical regularity</x:v>
      </x:c>
      <x:c r="F11" s="40" t="str">
        <x:v>Eduardo García-Juárez; Susanna V. Haziot; Po-Chun Kuo; Yoichiro Mori; Han Zhou</x:v>
      </x:c>
      <x:c r="G11" s="40" t="str">
        <x:v>-</x:v>
      </x:c>
      <x:c r="H11" s="40" t="str">
        <x:v>https://arxiv.org/abs/2607.11731</x:v>
      </x:c>
      <x:c r="I11" s="40" t="str">
        <x:v>Critical-regularity global stability for a difficult fluid-structure model.</x:v>
      </x:c>
      <x:c r="J11" s="72" t="n">
        <x:v>92</x:v>
      </x:c>
      <x:c r="K11" s="72" t="n">
        <x:v>90</x:v>
      </x:c>
      <x:c r="L11" s="72" t="n">
        <x:v>93</x:v>
      </x:c>
      <x:c r="M11" s="72" t="n">
        <x:v>87</x:v>
      </x:c>
      <x:c r="N11" s="72" t="n">
        <x:v>93</x:v>
      </x:c>
      <x:c r="O11" s="72" t="n">
        <x:v>84</x:v>
      </x:c>
      <x:c r="P11" s="72" t="n">
        <x:v>11</x:v>
      </x:c>
      <x:c r="Q11" s="72" t="n">
        <x:v>6</x:v>
      </x:c>
      <x:c r="R11" s="72" t="n">
        <x:f>ROUND(0.30*J11+0.20*K11+0.25*L11+0.15*M11+0.10*O11,2)</x:f>
        <x:v>90.3</x:v>
      </x:c>
      <x:c r="S11" s="72" t="n">
        <x:f>ROUND(0.30*N11+0.20*L11+0.20*K11+0.15*O11+0.15*(100-P11),2)</x:f>
        <x:v>90.45</x:v>
      </x:c>
      <x:c r="T11" s="72" t="n">
        <x:f>ROUND((R11+S11)/2,2)</x:f>
        <x:v>90.38</x:v>
      </x:c>
      <x:c r="U11" s="40" t="str">
        <x:v>S_eq=(V+S_H)/2; V and S_H equal-weighted</x:v>
      </x:c>
      <x:c r="V11" s="40" t="str">
        <x:v>yes</x:v>
      </x:c>
      <x:c r="W11" s="40" t="str">
        <x:v>Top50</x:v>
      </x:c>
      <x:c r="X11" s="40" t="str">
        <x:v>July official math.AP list; 734 total; scored pool = ceil(30%)=221</x:v>
      </x:c>
      <x:c r="Y11" s="40" t="str">
        <x:v>Assume main results correct; no line-by-line correctness check.</x:v>
      </x:c>
    </x:row>
    <x:row r="12" ht="38" customHeight="1">
      <x:c r="A12" s="40" t="str">
        <x:v>2607.01939</x:v>
      </x:c>
      <x:c r="B12" s="40" t="str">
        <x:v>2026-07</x:v>
      </x:c>
      <x:c r="C12" s="40" t="str">
        <x:v>math.AP</x:v>
      </x:c>
      <x:c r="D12" s="40" t="str">
        <x:v>water waves / spectral instability</x:v>
      </x:c>
      <x:c r="E12" s="40" t="str">
        <x:v>McLean resonances and 3d spectral instability of Stokes waves</x:v>
      </x:c>
      <x:c r="F12" s="40" t="str">
        <x:v>Massimiliano Berti; Alberto Maspero; Antonio Milosh Radakovic</x:v>
      </x:c>
      <x:c r="G12" s="40" t="n">
        <x:v>80</x:v>
      </x:c>
      <x:c r="H12" s="40" t="str">
        <x:v>https://arxiv.org/abs/2607.01939</x:v>
      </x:c>
      <x:c r="I12" s="40" t="str">
        <x:v>High-end spectral instability analysis for Stokes waves.</x:v>
      </x:c>
      <x:c r="J12" s="72" t="n">
        <x:v>92</x:v>
      </x:c>
      <x:c r="K12" s="72" t="n">
        <x:v>90</x:v>
      </x:c>
      <x:c r="L12" s="72" t="n">
        <x:v>93</x:v>
      </x:c>
      <x:c r="M12" s="72" t="n">
        <x:v>87</x:v>
      </x:c>
      <x:c r="N12" s="72" t="n">
        <x:v>93</x:v>
      </x:c>
      <x:c r="O12" s="72" t="n">
        <x:v>84</x:v>
      </x:c>
      <x:c r="P12" s="72" t="n">
        <x:v>12</x:v>
      </x:c>
      <x:c r="Q12" s="72" t="n">
        <x:v>6</x:v>
      </x:c>
      <x:c r="R12" s="72" t="n">
        <x:f>ROUND(0.30*J12+0.20*K12+0.25*L12+0.15*M12+0.10*O12,2)</x:f>
        <x:v>90.3</x:v>
      </x:c>
      <x:c r="S12" s="72" t="n">
        <x:f>ROUND(0.30*N12+0.20*L12+0.20*K12+0.15*O12+0.15*(100-P12),2)</x:f>
        <x:v>90.3</x:v>
      </x:c>
      <x:c r="T12" s="72" t="n">
        <x:f>ROUND((R12+S12)/2,2)</x:f>
        <x:v>90.3</x:v>
      </x:c>
      <x:c r="U12" s="40" t="str">
        <x:v>S_eq=(V+S_H)/2; V and S_H equal-weighted</x:v>
      </x:c>
      <x:c r="V12" s="40" t="str">
        <x:v>yes</x:v>
      </x:c>
      <x:c r="W12" s="40" t="str">
        <x:v>Top50</x:v>
      </x:c>
      <x:c r="X12" s="40" t="str">
        <x:v>July official math.AP list; 734 total; scored pool = ceil(30%)=221</x:v>
      </x:c>
      <x:c r="Y12" s="40" t="str">
        <x:v>Assume main results correct; no line-by-line correctness check.</x:v>
      </x:c>
    </x:row>
    <x:row r="13" ht="38" customHeight="1">
      <x:c r="A13" s="40" t="str">
        <x:v>2607.08385</x:v>
      </x:c>
      <x:c r="B13" s="40" t="str">
        <x:v>2026-07</x:v>
      </x:c>
      <x:c r="C13" s="40" t="str">
        <x:v>math.AP</x:v>
      </x:c>
      <x:c r="D13" s="40" t="str">
        <x:v>random/modulated dispersive PDE</x:v>
      </x:c>
      <x:c r="E13" s="40" t="str">
        <x:v>Nonlinear PDEs with modulated dispersion III: multiplicative noises</x:v>
      </x:c>
      <x:c r="F13" s="40" t="str">
        <x:v>Andreia Chapouto; Massimiliano Gubinelli; Guopeng Li; Jiawei Li; Tadahiro Oh</x:v>
      </x:c>
      <x:c r="G13" s="40" t="n">
        <x:v>61</x:v>
      </x:c>
      <x:c r="H13" s="40" t="str">
        <x:v>https://arxiv.org/abs/2607.08385</x:v>
      </x:c>
      <x:c r="I13" s="40" t="str">
        <x:v>Substantial continuation of modulated dispersion program.</x:v>
      </x:c>
      <x:c r="J13" s="72" t="n">
        <x:v>92</x:v>
      </x:c>
      <x:c r="K13" s="72" t="n">
        <x:v>90</x:v>
      </x:c>
      <x:c r="L13" s="72" t="n">
        <x:v>93</x:v>
      </x:c>
      <x:c r="M13" s="72" t="n">
        <x:v>88</x:v>
      </x:c>
      <x:c r="N13" s="72" t="n">
        <x:v>93</x:v>
      </x:c>
      <x:c r="O13" s="72" t="n">
        <x:v>84</x:v>
      </x:c>
      <x:c r="P13" s="72" t="n">
        <x:v>13</x:v>
      </x:c>
      <x:c r="Q13" s="72" t="n">
        <x:v>6</x:v>
      </x:c>
      <x:c r="R13" s="72" t="n">
        <x:f>ROUND(0.30*J13+0.20*K13+0.25*L13+0.15*M13+0.10*O13,2)</x:f>
        <x:v>90.45</x:v>
      </x:c>
      <x:c r="S13" s="72" t="n">
        <x:f>ROUND(0.30*N13+0.20*L13+0.20*K13+0.15*O13+0.15*(100-P13),2)</x:f>
        <x:v>90.15</x:v>
      </x:c>
      <x:c r="T13" s="72" t="n">
        <x:f>ROUND((R13+S13)/2,2)</x:f>
        <x:v>90.3</x:v>
      </x:c>
      <x:c r="U13" s="40" t="str">
        <x:v>S_eq=(V+S_H)/2; V and S_H equal-weighted</x:v>
      </x:c>
      <x:c r="V13" s="40" t="str">
        <x:v>yes</x:v>
      </x:c>
      <x:c r="W13" s="40" t="str">
        <x:v>Top50</x:v>
      </x:c>
      <x:c r="X13" s="40" t="str">
        <x:v>July official math.AP list; 734 total; scored pool = ceil(30%)=221</x:v>
      </x:c>
      <x:c r="Y13" s="40" t="str">
        <x:v>Assume main results correct; no line-by-line correctness check.</x:v>
      </x:c>
    </x:row>
    <x:row r="14" ht="38" customHeight="1">
      <x:c r="A14" s="40" t="str">
        <x:v>2607.17110</x:v>
      </x:c>
      <x:c r="B14" s="40" t="str">
        <x:v>2026-07</x:v>
      </x:c>
      <x:c r="C14" s="40" t="str">
        <x:v>math.AP</x:v>
      </x:c>
      <x:c r="D14" s="40" t="str">
        <x:v>Euler equations</x:v>
      </x:c>
      <x:c r="E14" s="40" t="str">
        <x:v>Global well-posedness for incompressible Euler in endpoint Sobolev space</x:v>
      </x:c>
      <x:c r="F14" s="40" t="str">
        <x:v>Raphaël Danchin; In-Jee Jeong</x:v>
      </x:c>
      <x:c r="G14" s="40" t="n">
        <x:v>16</x:v>
      </x:c>
      <x:c r="H14" s="40" t="str">
        <x:v>https://arxiv.org/abs/2607.17110</x:v>
      </x:c>
      <x:c r="I14" s="40" t="str">
        <x:v>Endpoint well-posedness theorem by leading authors; concise but sharp.</x:v>
      </x:c>
      <x:c r="J14" s="72" t="n">
        <x:v>92</x:v>
      </x:c>
      <x:c r="K14" s="72" t="n">
        <x:v>91</x:v>
      </x:c>
      <x:c r="L14" s="72" t="n">
        <x:v>91</x:v>
      </x:c>
      <x:c r="M14" s="72" t="n">
        <x:v>88</x:v>
      </x:c>
      <x:c r="N14" s="72" t="n">
        <x:v>91</x:v>
      </x:c>
      <x:c r="O14" s="72" t="n">
        <x:v>86</x:v>
      </x:c>
      <x:c r="P14" s="72" t="n">
        <x:v>10</x:v>
      </x:c>
      <x:c r="Q14" s="72" t="n">
        <x:v>5</x:v>
      </x:c>
      <x:c r="R14" s="72" t="n">
        <x:f>ROUND(0.30*J14+0.20*K14+0.25*L14+0.15*M14+0.10*O14,2)</x:f>
        <x:v>90.35</x:v>
      </x:c>
      <x:c r="S14" s="72" t="n">
        <x:f>ROUND(0.30*N14+0.20*L14+0.20*K14+0.15*O14+0.15*(100-P14),2)</x:f>
        <x:v>90.1</x:v>
      </x:c>
      <x:c r="T14" s="72" t="n">
        <x:f>ROUND((R14+S14)/2,2)</x:f>
        <x:v>90.23</x:v>
      </x:c>
      <x:c r="U14" s="40" t="str">
        <x:v>S_eq=(V+S_H)/2; V and S_H equal-weighted</x:v>
      </x:c>
      <x:c r="V14" s="40" t="str">
        <x:v>yes</x:v>
      </x:c>
      <x:c r="W14" s="40" t="str">
        <x:v>Top50</x:v>
      </x:c>
      <x:c r="X14" s="40" t="str">
        <x:v>July official math.AP list; 734 total; scored pool = ceil(30%)=221</x:v>
      </x:c>
      <x:c r="Y14" s="40" t="str">
        <x:v>Assume main results correct; no line-by-line correctness check.</x:v>
      </x:c>
    </x:row>
    <x:row r="15" ht="38" customHeight="1">
      <x:c r="A15" s="40" t="str">
        <x:v>2607.05158</x:v>
      </x:c>
      <x:c r="B15" s="40" t="str">
        <x:v>2026-07</x:v>
      </x:c>
      <x:c r="C15" s="40" t="str">
        <x:v>math.AP</x:v>
      </x:c>
      <x:c r="D15" s="40" t="str">
        <x:v>convection-diffusion</x:v>
      </x:c>
      <x:c r="E15" s="40" t="str">
        <x:v>On the optimal decay rate of global solutions to the convection-diffusion equation with zero-mass initial data</x:v>
      </x:c>
      <x:c r="F15" s="40" t="str">
        <x:v>Yi C. Huang; Ryunosuke Kusaba</x:v>
      </x:c>
      <x:c r="G15" s="40" t="n">
        <x:v>21</x:v>
      </x:c>
      <x:c r="H15" s="40" t="str">
        <x:v>https://arxiv.org/abs/2607.05158</x:v>
      </x:c>
      <x:c r="I15" s="40" t="str">
        <x:v>Scored candidate from official July math.AP list; correctness not checked.</x:v>
      </x:c>
      <x:c r="J15" s="72" t="n">
        <x:v>91</x:v>
      </x:c>
      <x:c r="K15" s="72" t="n">
        <x:v>89</x:v>
      </x:c>
      <x:c r="L15" s="72" t="n">
        <x:v>92</x:v>
      </x:c>
      <x:c r="M15" s="72" t="n">
        <x:v>88</x:v>
      </x:c>
      <x:c r="N15" s="72" t="n">
        <x:v>92</x:v>
      </x:c>
      <x:c r="O15" s="72" t="n">
        <x:v>89</x:v>
      </x:c>
      <x:c r="P15" s="72" t="n">
        <x:v>13</x:v>
      </x:c>
      <x:c r="Q15" s="72" t="n">
        <x:v>7</x:v>
      </x:c>
      <x:c r="R15" s="72" t="n">
        <x:f>ROUND(0.30*J15+0.20*K15+0.25*L15+0.15*M15+0.10*O15,2)</x:f>
        <x:v>90.2</x:v>
      </x:c>
      <x:c r="S15" s="72" t="n">
        <x:f>ROUND(0.30*N15+0.20*L15+0.20*K15+0.15*O15+0.15*(100-P15),2)</x:f>
        <x:v>90.2</x:v>
      </x:c>
      <x:c r="T15" s="72" t="n">
        <x:f>ROUND((R15+S15)/2,2)</x:f>
        <x:v>90.2</x:v>
      </x:c>
      <x:c r="U15" s="40" t="str">
        <x:v>S_eq=(V+S_H)/2; V and S_H equal-weighted</x:v>
      </x:c>
      <x:c r="V15" s="40" t="str">
        <x:v>yes</x:v>
      </x:c>
      <x:c r="W15" s="40" t="str">
        <x:v>Top50</x:v>
      </x:c>
      <x:c r="X15" s="40" t="str">
        <x:v>July official math.AP list; 734 total; scored pool = ceil(30%)=221</x:v>
      </x:c>
      <x:c r="Y15" s="40" t="str">
        <x:v>Assume main results correct; no line-by-line correctness check.</x:v>
      </x:c>
    </x:row>
    <x:row r="16" ht="38" customHeight="1">
      <x:c r="A16" s="40" t="str">
        <x:v>2607.20682</x:v>
      </x:c>
      <x:c r="B16" s="40" t="str">
        <x:v>2026-07</x:v>
      </x:c>
      <x:c r="C16" s="40" t="str">
        <x:v>math.AP</x:v>
      </x:c>
      <x:c r="D16" s="40" t="str">
        <x:v>kinetic regularity</x:v>
      </x:c>
      <x:c r="E16" s="40" t="str">
        <x:v>Several counterexamples to kinetic Schauder estimates</x:v>
      </x:c>
      <x:c r="F16" s="40" t="str">
        <x:v>Hongjie Dong; Weinan Wang</x:v>
      </x:c>
      <x:c r="G16" s="40" t="str">
        <x:v>-</x:v>
      </x:c>
      <x:c r="H16" s="40" t="str">
        <x:v>https://arxiv.org/abs/2607.20682</x:v>
      </x:c>
      <x:c r="I16" s="40" t="str">
        <x:v>Counterexamples clarify limits of kinetic Schauder theory; high robustness as negative results.</x:v>
      </x:c>
      <x:c r="J16" s="72" t="n">
        <x:v>91</x:v>
      </x:c>
      <x:c r="K16" s="72" t="n">
        <x:v>90</x:v>
      </x:c>
      <x:c r="L16" s="72" t="n">
        <x:v>91</x:v>
      </x:c>
      <x:c r="M16" s="72" t="n">
        <x:v>88</x:v>
      </x:c>
      <x:c r="N16" s="72" t="n">
        <x:v>91</x:v>
      </x:c>
      <x:c r="O16" s="72" t="n">
        <x:v>87</x:v>
      </x:c>
      <x:c r="P16" s="72" t="n">
        <x:v>9</x:v>
      </x:c>
      <x:c r="Q16" s="72" t="n">
        <x:v>5</x:v>
      </x:c>
      <x:c r="R16" s="72" t="n">
        <x:f>ROUND(0.30*J16+0.20*K16+0.25*L16+0.15*M16+0.10*O16,2)</x:f>
        <x:v>89.95</x:v>
      </x:c>
      <x:c r="S16" s="72" t="n">
        <x:f>ROUND(0.30*N16+0.20*L16+0.20*K16+0.15*O16+0.15*(100-P16),2)</x:f>
        <x:v>90.2</x:v>
      </x:c>
      <x:c r="T16" s="72" t="n">
        <x:f>ROUND((R16+S16)/2,2)</x:f>
        <x:v>90.08</x:v>
      </x:c>
      <x:c r="U16" s="40" t="str">
        <x:v>S_eq=(V+S_H)/2; V and S_H equal-weighted</x:v>
      </x:c>
      <x:c r="V16" s="40" t="str">
        <x:v>yes</x:v>
      </x:c>
      <x:c r="W16" s="40" t="str">
        <x:v>Top50</x:v>
      </x:c>
      <x:c r="X16" s="40" t="str">
        <x:v>July official math.AP list; 734 total; scored pool = ceil(30%)=221</x:v>
      </x:c>
      <x:c r="Y16" s="40" t="str">
        <x:v>Assume main results correct; no line-by-line correctness check.</x:v>
      </x:c>
    </x:row>
    <x:row r="17" ht="38" customHeight="1">
      <x:c r="A17" s="40" t="str">
        <x:v>2607.03602</x:v>
      </x:c>
      <x:c r="B17" s="40" t="str">
        <x:v>2026-07</x:v>
      </x:c>
      <x:c r="C17" s="40" t="str">
        <x:v>math.AP</x:v>
      </x:c>
      <x:c r="D17" s="40" t="str">
        <x:v>Navier-Stokes</x:v>
      </x:c>
      <x:c r="E17" s="40" t="str">
        <x:v>A remark on very weak suitable solutions and Leray solutions of Navier-Stokes equations</x:v>
      </x:c>
      <x:c r="F17" s="40" t="str">
        <x:v>Oscar Jarrín</x:v>
      </x:c>
      <x:c r="G17" s="40" t="n">
        <x:v>17</x:v>
      </x:c>
      <x:c r="H17" s="40" t="str">
        <x:v>https://arxiv.org/abs/2607.03602</x:v>
      </x:c>
      <x:c r="I17" s="40" t="str">
        <x:v>Scored candidate from official July math.AP list; correctness not checked.</x:v>
      </x:c>
      <x:c r="J17" s="72" t="n">
        <x:v>91</x:v>
      </x:c>
      <x:c r="K17" s="72" t="n">
        <x:v>89</x:v>
      </x:c>
      <x:c r="L17" s="72" t="n">
        <x:v>92</x:v>
      </x:c>
      <x:c r="M17" s="72" t="n">
        <x:v>88</x:v>
      </x:c>
      <x:c r="N17" s="72" t="n">
        <x:v>92</x:v>
      </x:c>
      <x:c r="O17" s="72" t="n">
        <x:v>88</x:v>
      </x:c>
      <x:c r="P17" s="72" t="n">
        <x:v>13</x:v>
      </x:c>
      <x:c r="Q17" s="72" t="n">
        <x:v>7</x:v>
      </x:c>
      <x:c r="R17" s="72" t="n">
        <x:f>ROUND(0.30*J17+0.20*K17+0.25*L17+0.15*M17+0.10*O17,2)</x:f>
        <x:v>90.1</x:v>
      </x:c>
      <x:c r="S17" s="72" t="n">
        <x:f>ROUND(0.30*N17+0.20*L17+0.20*K17+0.15*O17+0.15*(100-P17),2)</x:f>
        <x:v>90.05</x:v>
      </x:c>
      <x:c r="T17" s="72" t="n">
        <x:f>ROUND((R17+S17)/2,2)</x:f>
        <x:v>90.07</x:v>
      </x:c>
      <x:c r="U17" s="40" t="str">
        <x:v>S_eq=(V+S_H)/2; V and S_H equal-weighted</x:v>
      </x:c>
      <x:c r="V17" s="40" t="str">
        <x:v>yes</x:v>
      </x:c>
      <x:c r="W17" s="40" t="str">
        <x:v>Top50</x:v>
      </x:c>
      <x:c r="X17" s="40" t="str">
        <x:v>July official math.AP list; 734 total; scored pool = ceil(30%)=221</x:v>
      </x:c>
      <x:c r="Y17" s="40" t="str">
        <x:v>Assume main results correct; no line-by-line correctness check.</x:v>
      </x:c>
    </x:row>
    <x:row r="18" ht="38" customHeight="1">
      <x:c r="A18" s="40" t="str">
        <x:v>2607.04918</x:v>
      </x:c>
      <x:c r="B18" s="40" t="str">
        <x:v>2026-07</x:v>
      </x:c>
      <x:c r="C18" s="40" t="str">
        <x:v>math.AP</x:v>
      </x:c>
      <x:c r="D18" s="40" t="str">
        <x:v>Navier-Stokes</x:v>
      </x:c>
      <x:c r="E18" s="40" t="str">
        <x:v>Global solutions to the Navier-Stokes equations with large vertical velocities</x:v>
      </x:c>
      <x:c r="F18" s="40" t="str">
        <x:v>Mikihiro Fujii</x:v>
      </x:c>
      <x:c r="G18" s="40" t="str">
        <x:v>-</x:v>
      </x:c>
      <x:c r="H18" s="40" t="str">
        <x:v>https://arxiv.org/abs/2607.04918</x:v>
      </x:c>
      <x:c r="I18" s="40" t="str">
        <x:v>Scored candidate from official July math.AP list; correctness not checked.</x:v>
      </x:c>
      <x:c r="J18" s="72" t="n">
        <x:v>91</x:v>
      </x:c>
      <x:c r="K18" s="72" t="n">
        <x:v>89</x:v>
      </x:c>
      <x:c r="L18" s="72" t="n">
        <x:v>92</x:v>
      </x:c>
      <x:c r="M18" s="72" t="n">
        <x:v>88</x:v>
      </x:c>
      <x:c r="N18" s="72" t="n">
        <x:v>92</x:v>
      </x:c>
      <x:c r="O18" s="72" t="n">
        <x:v>88</x:v>
      </x:c>
      <x:c r="P18" s="72" t="n">
        <x:v>13</x:v>
      </x:c>
      <x:c r="Q18" s="72" t="n">
        <x:v>7</x:v>
      </x:c>
      <x:c r="R18" s="72" t="n">
        <x:f>ROUND(0.30*J18+0.20*K18+0.25*L18+0.15*M18+0.10*O18,2)</x:f>
        <x:v>90.1</x:v>
      </x:c>
      <x:c r="S18" s="72" t="n">
        <x:f>ROUND(0.30*N18+0.20*L18+0.20*K18+0.15*O18+0.15*(100-P18),2)</x:f>
        <x:v>90.05</x:v>
      </x:c>
      <x:c r="T18" s="72" t="n">
        <x:f>ROUND((R18+S18)/2,2)</x:f>
        <x:v>90.07</x:v>
      </x:c>
      <x:c r="U18" s="40" t="str">
        <x:v>S_eq=(V+S_H)/2; V and S_H equal-weighted</x:v>
      </x:c>
      <x:c r="V18" s="40" t="str">
        <x:v>yes</x:v>
      </x:c>
      <x:c r="W18" s="40" t="str">
        <x:v>Top50</x:v>
      </x:c>
      <x:c r="X18" s="40" t="str">
        <x:v>July official math.AP list; 734 total; scored pool = ceil(30%)=221</x:v>
      </x:c>
      <x:c r="Y18" s="40" t="str">
        <x:v>Assume main results correct; no line-by-line correctness check.</x:v>
      </x:c>
    </x:row>
    <x:row r="19" ht="38" customHeight="1">
      <x:c r="A19" s="40" t="str">
        <x:v>2607.24053</x:v>
      </x:c>
      <x:c r="B19" s="40" t="str">
        <x:v>2026-07</x:v>
      </x:c>
      <x:c r="C19" s="40" t="str">
        <x:v>math.AP</x:v>
      </x:c>
      <x:c r="D19" s="40" t="str">
        <x:v>kinetic free boundary</x:v>
      </x:c>
      <x:c r="E19" s="40" t="str">
        <x:v>On a free boundary problem of the Boltzmann equation</x:v>
      </x:c>
      <x:c r="F19" s="40" t="str">
        <x:v>Shengchuang Chang; Renjun Duan; Shuangqian Liu</x:v>
      </x:c>
      <x:c r="G19" s="40" t="n">
        <x:v>71</x:v>
      </x:c>
      <x:c r="H19" s="40" t="str">
        <x:v>https://arxiv.org/abs/2607.24053</x:v>
      </x:c>
      <x:c r="I19" s="40" t="str">
        <x:v>Large kinetic free-boundary paper; strong technical load.</x:v>
      </x:c>
      <x:c r="J19" s="72" t="n">
        <x:v>91</x:v>
      </x:c>
      <x:c r="K19" s="72" t="n">
        <x:v>89</x:v>
      </x:c>
      <x:c r="L19" s="72" t="n">
        <x:v>93</x:v>
      </x:c>
      <x:c r="M19" s="72" t="n">
        <x:v>87</x:v>
      </x:c>
      <x:c r="N19" s="72" t="n">
        <x:v>93</x:v>
      </x:c>
      <x:c r="O19" s="72" t="n">
        <x:v>84</x:v>
      </x:c>
      <x:c r="P19" s="72" t="n">
        <x:v>12</x:v>
      </x:c>
      <x:c r="Q19" s="72" t="n">
        <x:v>6</x:v>
      </x:c>
      <x:c r="R19" s="72" t="n">
        <x:f>ROUND(0.30*J19+0.20*K19+0.25*L19+0.15*M19+0.10*O19,2)</x:f>
        <x:v>89.8</x:v>
      </x:c>
      <x:c r="S19" s="72" t="n">
        <x:f>ROUND(0.30*N19+0.20*L19+0.20*K19+0.15*O19+0.15*(100-P19),2)</x:f>
        <x:v>90.1</x:v>
      </x:c>
      <x:c r="T19" s="72" t="n">
        <x:f>ROUND((R19+S19)/2,2)</x:f>
        <x:v>89.95</x:v>
      </x:c>
      <x:c r="U19" s="40" t="str">
        <x:v>S_eq=(V+S_H)/2; V and S_H equal-weighted</x:v>
      </x:c>
      <x:c r="V19" s="40" t="str">
        <x:v>yes</x:v>
      </x:c>
      <x:c r="W19" s="40" t="str">
        <x:v>Top50</x:v>
      </x:c>
      <x:c r="X19" s="40" t="str">
        <x:v>July official math.AP list; 734 total; scored pool = ceil(30%)=221</x:v>
      </x:c>
      <x:c r="Y19" s="40" t="str">
        <x:v>Assume main results correct; no line-by-line correctness check.</x:v>
      </x:c>
    </x:row>
    <x:row r="20" ht="38" customHeight="1">
      <x:c r="A20" s="40" t="str">
        <x:v>2607.09619</x:v>
      </x:c>
      <x:c r="B20" s="40" t="str">
        <x:v>2026-07</x:v>
      </x:c>
      <x:c r="C20" s="40" t="str">
        <x:v>math.AP</x:v>
      </x:c>
      <x:c r="D20" s="40" t="str">
        <x:v>Navier-Stokes / self-similarity</x:v>
      </x:c>
      <x:c r="E20" s="40" t="str">
        <x:v>On rotated backwards self-similar solutions of the incompressible 3D Navier-Stokes equations</x:v>
      </x:c>
      <x:c r="F20" s="40" t="str">
        <x:v>Ben Pineau; Vlad Vicol</x:v>
      </x:c>
      <x:c r="G20" s="40" t="n">
        <x:v>37</x:v>
      </x:c>
      <x:c r="H20" s="40" t="str">
        <x:v>https://arxiv.org/abs/2607.09619</x:v>
      </x:c>
      <x:c r="I20" s="40" t="str">
        <x:v>Strong authorship and high conceptual relevance; arXiv id in source row 189 is 2607.09619.</x:v>
      </x:c>
      <x:c r="J20" s="72" t="n">
        <x:v>91</x:v>
      </x:c>
      <x:c r="K20" s="72" t="n">
        <x:v>90</x:v>
      </x:c>
      <x:c r="L20" s="72" t="n">
        <x:v>92</x:v>
      </x:c>
      <x:c r="M20" s="72" t="n">
        <x:v>88</x:v>
      </x:c>
      <x:c r="N20" s="72" t="n">
        <x:v>92</x:v>
      </x:c>
      <x:c r="O20" s="72" t="n">
        <x:v>84</x:v>
      </x:c>
      <x:c r="P20" s="72" t="n">
        <x:v>11</x:v>
      </x:c>
      <x:c r="Q20" s="72" t="n">
        <x:v>6</x:v>
      </x:c>
      <x:c r="R20" s="72" t="n">
        <x:f>ROUND(0.30*J20+0.20*K20+0.25*L20+0.15*M20+0.10*O20,2)</x:f>
        <x:v>89.9</x:v>
      </x:c>
      <x:c r="S20" s="72" t="n">
        <x:f>ROUND(0.30*N20+0.20*L20+0.20*K20+0.15*O20+0.15*(100-P20),2)</x:f>
        <x:v>89.95</x:v>
      </x:c>
      <x:c r="T20" s="72" t="n">
        <x:f>ROUND((R20+S20)/2,2)</x:f>
        <x:v>89.93</x:v>
      </x:c>
      <x:c r="U20" s="40" t="str">
        <x:v>S_eq=(V+S_H)/2; V and S_H equal-weighted</x:v>
      </x:c>
      <x:c r="V20" s="40" t="str">
        <x:v>yes</x:v>
      </x:c>
      <x:c r="W20" s="40" t="str">
        <x:v>Top50</x:v>
      </x:c>
      <x:c r="X20" s="40" t="str">
        <x:v>July official math.AP list; 734 total; scored pool = ceil(30%)=221</x:v>
      </x:c>
      <x:c r="Y20" s="40" t="str">
        <x:v>Assume main results correct; no line-by-line correctness check.</x:v>
      </x:c>
    </x:row>
    <x:row r="21" ht="38" customHeight="1">
      <x:c r="A21" s="40" t="str">
        <x:v>2607.09189</x:v>
      </x:c>
      <x:c r="B21" s="40" t="str">
        <x:v>2026-07</x:v>
      </x:c>
      <x:c r="C21" s="40" t="str">
        <x:v>math.AP</x:v>
      </x:c>
      <x:c r="D21" s="40" t="str">
        <x:v>free-boundary compressible fluids</x:v>
      </x:c>
      <x:c r="E21" s="40" t="str">
        <x:v>Global dynamics of viscous gaseous stars in a physical vacuum</x:v>
      </x:c>
      <x:c r="F21" s="40" t="str">
        <x:v>Demin Wang; Jiawen Zhang; Shengguo Zhu</x:v>
      </x:c>
      <x:c r="G21" s="40" t="n">
        <x:v>73</x:v>
      </x:c>
      <x:c r="H21" s="40" t="str">
        <x:v>https://arxiv.org/abs/2607.09189</x:v>
      </x:c>
      <x:c r="I21" s="40" t="str">
        <x:v>Large physical-vacuum dynamics paper; text-overlap note reduces robustness slightly.</x:v>
      </x:c>
      <x:c r="J21" s="72" t="n">
        <x:v>92</x:v>
      </x:c>
      <x:c r="K21" s="72" t="n">
        <x:v>89</x:v>
      </x:c>
      <x:c r="L21" s="72" t="n">
        <x:v>94</x:v>
      </x:c>
      <x:c r="M21" s="72" t="n">
        <x:v>87</x:v>
      </x:c>
      <x:c r="N21" s="72" t="n">
        <x:v>94</x:v>
      </x:c>
      <x:c r="O21" s="72" t="n">
        <x:v>81</x:v>
      </x:c>
      <x:c r="P21" s="72" t="n">
        <x:v>15</x:v>
      </x:c>
      <x:c r="Q21" s="72" t="n">
        <x:v>8</x:v>
      </x:c>
      <x:c r="R21" s="72" t="n">
        <x:f>ROUND(0.30*J21+0.20*K21+0.25*L21+0.15*M21+0.10*O21,2)</x:f>
        <x:v>90.05</x:v>
      </x:c>
      <x:c r="S21" s="72" t="n">
        <x:f>ROUND(0.30*N21+0.20*L21+0.20*K21+0.15*O21+0.15*(100-P21),2)</x:f>
        <x:v>89.7</x:v>
      </x:c>
      <x:c r="T21" s="72" t="n">
        <x:f>ROUND((R21+S21)/2,2)</x:f>
        <x:v>89.88</x:v>
      </x:c>
      <x:c r="U21" s="40" t="str">
        <x:v>S_eq=(V+S_H)/2; V and S_H equal-weighted</x:v>
      </x:c>
      <x:c r="V21" s="40" t="str">
        <x:v>yes</x:v>
      </x:c>
      <x:c r="W21" s="40" t="str">
        <x:v>Top50</x:v>
      </x:c>
      <x:c r="X21" s="40" t="str">
        <x:v>July official math.AP list; 734 total; scored pool = ceil(30%)=221</x:v>
      </x:c>
      <x:c r="Y21" s="40" t="str">
        <x:v>Assume main results correct; no line-by-line correctness check.</x:v>
      </x:c>
    </x:row>
    <x:row r="22" ht="38" customHeight="1">
      <x:c r="A22" s="40" t="str">
        <x:v>2607.17501</x:v>
      </x:c>
      <x:c r="B22" s="40" t="str">
        <x:v>2026-07</x:v>
      </x:c>
      <x:c r="C22" s="40" t="str">
        <x:v>math.AP</x:v>
      </x:c>
      <x:c r="D22" s="40" t="str">
        <x:v>inverse problems / waves</x:v>
      </x:c>
      <x:c r="E22" s="40" t="str">
        <x:v>Unique inversion of smooth nonlinearity in semilinear wave equations on Lorentzian manifolds</x:v>
      </x:c>
      <x:c r="F22" s="40" t="str">
        <x:v>Xi Chen; Shuai Lu; Ruochong Zhang</x:v>
      </x:c>
      <x:c r="G22" s="40" t="str">
        <x:v>-</x:v>
      </x:c>
      <x:c r="H22" s="40" t="str">
        <x:v>https://arxiv.org/abs/2607.17501</x:v>
      </x:c>
      <x:c r="I22" s="40" t="str">
        <x:v>Nonlinear inverse problem on Lorentzian manifolds; strong breadth.</x:v>
      </x:c>
      <x:c r="J22" s="72" t="n">
        <x:v>91</x:v>
      </x:c>
      <x:c r="K22" s="72" t="n">
        <x:v>90</x:v>
      </x:c>
      <x:c r="L22" s="72" t="n">
        <x:v>92</x:v>
      </x:c>
      <x:c r="M22" s="72" t="n">
        <x:v>88</x:v>
      </x:c>
      <x:c r="N22" s="72" t="n">
        <x:v>92</x:v>
      </x:c>
      <x:c r="O22" s="72" t="n">
        <x:v>84</x:v>
      </x:c>
      <x:c r="P22" s="72" t="n">
        <x:v>12</x:v>
      </x:c>
      <x:c r="Q22" s="72" t="n">
        <x:v>6</x:v>
      </x:c>
      <x:c r="R22" s="72" t="n">
        <x:f>ROUND(0.30*J22+0.20*K22+0.25*L22+0.15*M22+0.10*O22,2)</x:f>
        <x:v>89.9</x:v>
      </x:c>
      <x:c r="S22" s="72" t="n">
        <x:f>ROUND(0.30*N22+0.20*L22+0.20*K22+0.15*O22+0.15*(100-P22),2)</x:f>
        <x:v>89.8</x:v>
      </x:c>
      <x:c r="T22" s="72" t="n">
        <x:f>ROUND((R22+S22)/2,2)</x:f>
        <x:v>89.85</x:v>
      </x:c>
      <x:c r="U22" s="40" t="str">
        <x:v>S_eq=(V+S_H)/2; V and S_H equal-weighted</x:v>
      </x:c>
      <x:c r="V22" s="40" t="str">
        <x:v>yes</x:v>
      </x:c>
      <x:c r="W22" s="40" t="str">
        <x:v>Top50</x:v>
      </x:c>
      <x:c r="X22" s="40" t="str">
        <x:v>July official math.AP list; 734 total; scored pool = ceil(30%)=221</x:v>
      </x:c>
      <x:c r="Y22" s="40" t="str">
        <x:v>Assume main results correct; no line-by-line correctness check.</x:v>
      </x:c>
    </x:row>
    <x:row r="23" ht="38" customHeight="1">
      <x:c r="A23" s="40" t="str">
        <x:v>2607.20395</x:v>
      </x:c>
      <x:c r="B23" s="40" t="str">
        <x:v>2026-07</x:v>
      </x:c>
      <x:c r="C23" s="40" t="str">
        <x:v>math.AP</x:v>
      </x:c>
      <x:c r="D23" s="40" t="str">
        <x:v>free-boundary PDE</x:v>
      </x:c>
      <x:c r="E23" s="40" t="str">
        <x:v>Well-posedness of a Hele-Shaw problem in general dimensions</x:v>
      </x:c>
      <x:c r="F23" s="40" t="str">
        <x:v>Olga Turanova; Yuming Paul Zhang</x:v>
      </x:c>
      <x:c r="G23" s="40" t="n">
        <x:v>30</x:v>
      </x:c>
      <x:c r="H23" s="40" t="str">
        <x:v>https://arxiv.org/abs/2607.20395</x:v>
      </x:c>
      <x:c r="I23" s="40" t="str">
        <x:v>General-dimensional Hele-Shaw well-posedness; significant free-boundary result.</x:v>
      </x:c>
      <x:c r="J23" s="72" t="n">
        <x:v>91</x:v>
      </x:c>
      <x:c r="K23" s="72" t="n">
        <x:v>89</x:v>
      </x:c>
      <x:c r="L23" s="72" t="n">
        <x:v>92</x:v>
      </x:c>
      <x:c r="M23" s="72" t="n">
        <x:v>87</x:v>
      </x:c>
      <x:c r="N23" s="72" t="n">
        <x:v>92</x:v>
      </x:c>
      <x:c r="O23" s="72" t="n">
        <x:v>85</x:v>
      </x:c>
      <x:c r="P23" s="72" t="n">
        <x:v>11</x:v>
      </x:c>
      <x:c r="Q23" s="72" t="n">
        <x:v>6</x:v>
      </x:c>
      <x:c r="R23" s="72" t="n">
        <x:f>ROUND(0.30*J23+0.20*K23+0.25*L23+0.15*M23+0.10*O23,2)</x:f>
        <x:v>89.65</x:v>
      </x:c>
      <x:c r="S23" s="72" t="n">
        <x:f>ROUND(0.30*N23+0.20*L23+0.20*K23+0.15*O23+0.15*(100-P23),2)</x:f>
        <x:v>89.9</x:v>
      </x:c>
      <x:c r="T23" s="72" t="n">
        <x:f>ROUND((R23+S23)/2,2)</x:f>
        <x:v>89.78</x:v>
      </x:c>
      <x:c r="U23" s="40" t="str">
        <x:v>S_eq=(V+S_H)/2; V and S_H equal-weighted</x:v>
      </x:c>
      <x:c r="V23" s="40" t="str">
        <x:v>yes</x:v>
      </x:c>
      <x:c r="W23" s="40" t="str">
        <x:v>Top50</x:v>
      </x:c>
      <x:c r="X23" s="40" t="str">
        <x:v>July official math.AP list; 734 total; scored pool = ceil(30%)=221</x:v>
      </x:c>
      <x:c r="Y23" s="40" t="str">
        <x:v>Assume main results correct; no line-by-line correctness check.</x:v>
      </x:c>
    </x:row>
    <x:row r="24" ht="38" customHeight="1">
      <x:c r="A24" s="40" t="str">
        <x:v>2607.01587</x:v>
      </x:c>
      <x:c r="B24" s="40" t="str">
        <x:v>2026-07</x:v>
      </x:c>
      <x:c r="C24" s="40" t="str">
        <x:v>math.AP</x:v>
      </x:c>
      <x:c r="D24" s="40" t="str">
        <x:v>Navier-Stokes</x:v>
      </x:c>
      <x:c r="E24" s="40" t="str">
        <x:v>On the Critical One Components Regularity for the 3-D Navier-Stokes System</x:v>
      </x:c>
      <x:c r="F24" s="40" t="str">
        <x:v>Wei Luo; Zhanyang Yin; Pei Zheng</x:v>
      </x:c>
      <x:c r="G24" s="40" t="str">
        <x:v>-</x:v>
      </x:c>
      <x:c r="H24" s="40" t="str">
        <x:v>https://arxiv.org/abs/2607.01587</x:v>
      </x:c>
      <x:c r="I24" s="40" t="str">
        <x:v>Scored candidate from official July math.AP list; correctness not checked.</x:v>
      </x:c>
      <x:c r="J24" s="72" t="n">
        <x:v>91</x:v>
      </x:c>
      <x:c r="K24" s="72" t="n">
        <x:v>88</x:v>
      </x:c>
      <x:c r="L24" s="72" t="n">
        <x:v>92</x:v>
      </x:c>
      <x:c r="M24" s="72" t="n">
        <x:v>87</x:v>
      </x:c>
      <x:c r="N24" s="72" t="n">
        <x:v>92</x:v>
      </x:c>
      <x:c r="O24" s="72" t="n">
        <x:v>87</x:v>
      </x:c>
      <x:c r="P24" s="72" t="n">
        <x:v>13</x:v>
      </x:c>
      <x:c r="Q24" s="72" t="n">
        <x:v>7</x:v>
      </x:c>
      <x:c r="R24" s="72" t="n">
        <x:f>ROUND(0.30*J24+0.20*K24+0.25*L24+0.15*M24+0.10*O24,2)</x:f>
        <x:v>89.65</x:v>
      </x:c>
      <x:c r="S24" s="72" t="n">
        <x:f>ROUND(0.30*N24+0.20*L24+0.20*K24+0.15*O24+0.15*(100-P24),2)</x:f>
        <x:v>89.7</x:v>
      </x:c>
      <x:c r="T24" s="72" t="n">
        <x:f>ROUND((R24+S24)/2,2)</x:f>
        <x:v>89.68</x:v>
      </x:c>
      <x:c r="U24" s="40" t="str">
        <x:v>S_eq=(V+S_H)/2; V and S_H equal-weighted</x:v>
      </x:c>
      <x:c r="V24" s="40" t="str">
        <x:v>yes</x:v>
      </x:c>
      <x:c r="W24" s="40" t="str">
        <x:v>Top50</x:v>
      </x:c>
      <x:c r="X24" s="40" t="str">
        <x:v>July official math.AP list; 734 total; scored pool = ceil(30%)=221</x:v>
      </x:c>
      <x:c r="Y24" s="40" t="str">
        <x:v>Assume main results correct; no line-by-line correctness check.</x:v>
      </x:c>
    </x:row>
    <x:row r="25" ht="38" customHeight="1">
      <x:c r="A25" s="40" t="str">
        <x:v>2607.00658</x:v>
      </x:c>
      <x:c r="B25" s="40" t="str">
        <x:v>2026-07</x:v>
      </x:c>
      <x:c r="C25" s="40" t="str">
        <x:v>math.AP</x:v>
      </x:c>
      <x:c r="D25" s="40" t="str">
        <x:v>structured populations</x:v>
      </x:c>
      <x:c r="E25" s="40" t="str">
        <x:v>Asynchronous exponential growth for structured population models in measure space</x:v>
      </x:c>
      <x:c r="F25" s="40" t="str">
        <x:v>Christian Düll; József Z. Farkas; Piotr Gwiazda; Anna Marciniak-Czochra</x:v>
      </x:c>
      <x:c r="G25" s="40" t="str">
        <x:v>-</x:v>
      </x:c>
      <x:c r="H25" s="40" t="str">
        <x:v>https://arxiv.org/abs/2607.00658</x:v>
      </x:c>
      <x:c r="I25" s="40" t="str">
        <x:v>Scored candidate from official July math.AP list; correctness not checked.</x:v>
      </x:c>
      <x:c r="J25" s="72" t="n">
        <x:v>90</x:v>
      </x:c>
      <x:c r="K25" s="72" t="n">
        <x:v>89</x:v>
      </x:c>
      <x:c r="L25" s="72" t="n">
        <x:v>91</x:v>
      </x:c>
      <x:c r="M25" s="72" t="n">
        <x:v>88</x:v>
      </x:c>
      <x:c r="N25" s="72" t="n">
        <x:v>91</x:v>
      </x:c>
      <x:c r="O25" s="72" t="n">
        <x:v>89</x:v>
      </x:c>
      <x:c r="P25" s="72" t="n">
        <x:v>13</x:v>
      </x:c>
      <x:c r="Q25" s="72" t="n">
        <x:v>7</x:v>
      </x:c>
      <x:c r="R25" s="72" t="n">
        <x:f>ROUND(0.30*J25+0.20*K25+0.25*L25+0.15*M25+0.10*O25,2)</x:f>
        <x:v>89.65</x:v>
      </x:c>
      <x:c r="S25" s="72" t="n">
        <x:f>ROUND(0.30*N25+0.20*L25+0.20*K25+0.15*O25+0.15*(100-P25),2)</x:f>
        <x:v>89.7</x:v>
      </x:c>
      <x:c r="T25" s="72" t="n">
        <x:f>ROUND((R25+S25)/2,2)</x:f>
        <x:v>89.68</x:v>
      </x:c>
      <x:c r="U25" s="40" t="str">
        <x:v>S_eq=(V+S_H)/2; V and S_H equal-weighted</x:v>
      </x:c>
      <x:c r="V25" s="40" t="str">
        <x:v>yes</x:v>
      </x:c>
      <x:c r="W25" s="40" t="str">
        <x:v>Top50</x:v>
      </x:c>
      <x:c r="X25" s="40" t="str">
        <x:v>July official math.AP list; 734 total; scored pool = ceil(30%)=221</x:v>
      </x:c>
      <x:c r="Y25" s="40" t="str">
        <x:v>Assume main results correct; no line-by-line correctness check.</x:v>
      </x:c>
    </x:row>
    <x:row r="26" ht="38" customHeight="1">
      <x:c r="A26" s="40" t="str">
        <x:v>2607.01857</x:v>
      </x:c>
      <x:c r="B26" s="40" t="str">
        <x:v>2026-07</x:v>
      </x:c>
      <x:c r="C26" s="40" t="str">
        <x:v>math.AP</x:v>
      </x:c>
      <x:c r="D26" s="40" t="str">
        <x:v>cross-diffusion</x:v>
      </x:c>
      <x:c r="E26" s="40" t="str">
        <x:v>Refined blow-up criteria and global solutions for triangular cross-diffusion systems</x:v>
      </x:c>
      <x:c r="F26" s="40" t="str">
        <x:v>Alexandre Bertolino</x:v>
      </x:c>
      <x:c r="G26" s="40" t="str">
        <x:v>-</x:v>
      </x:c>
      <x:c r="H26" s="40" t="str">
        <x:v>https://arxiv.org/abs/2607.01857</x:v>
      </x:c>
      <x:c r="I26" s="40" t="str">
        <x:v>Scored candidate from official July math.AP list; correctness not checked.</x:v>
      </x:c>
      <x:c r="J26" s="72" t="n">
        <x:v>90</x:v>
      </x:c>
      <x:c r="K26" s="72" t="n">
        <x:v>89</x:v>
      </x:c>
      <x:c r="L26" s="72" t="n">
        <x:v>91</x:v>
      </x:c>
      <x:c r="M26" s="72" t="n">
        <x:v>88</x:v>
      </x:c>
      <x:c r="N26" s="72" t="n">
        <x:v>91</x:v>
      </x:c>
      <x:c r="O26" s="72" t="n">
        <x:v>89</x:v>
      </x:c>
      <x:c r="P26" s="72" t="n">
        <x:v>13</x:v>
      </x:c>
      <x:c r="Q26" s="72" t="n">
        <x:v>7</x:v>
      </x:c>
      <x:c r="R26" s="72" t="n">
        <x:f>ROUND(0.30*J26+0.20*K26+0.25*L26+0.15*M26+0.10*O26,2)</x:f>
        <x:v>89.65</x:v>
      </x:c>
      <x:c r="S26" s="72" t="n">
        <x:f>ROUND(0.30*N26+0.20*L26+0.20*K26+0.15*O26+0.15*(100-P26),2)</x:f>
        <x:v>89.7</x:v>
      </x:c>
      <x:c r="T26" s="72" t="n">
        <x:f>ROUND((R26+S26)/2,2)</x:f>
        <x:v>89.68</x:v>
      </x:c>
      <x:c r="U26" s="40" t="str">
        <x:v>S_eq=(V+S_H)/2; V and S_H equal-weighted</x:v>
      </x:c>
      <x:c r="V26" s="40" t="str">
        <x:v>yes</x:v>
      </x:c>
      <x:c r="W26" s="40" t="str">
        <x:v>Top50</x:v>
      </x:c>
      <x:c r="X26" s="40" t="str">
        <x:v>July official math.AP list; 734 total; scored pool = ceil(30%)=221</x:v>
      </x:c>
      <x:c r="Y26" s="40" t="str">
        <x:v>Assume main results correct; no line-by-line correctness check.</x:v>
      </x:c>
    </x:row>
    <x:row r="27" ht="38" customHeight="1">
      <x:c r="A27" s="40" t="str">
        <x:v>2607.02910</x:v>
      </x:c>
      <x:c r="B27" s="40" t="str">
        <x:v>2026-07</x:v>
      </x:c>
      <x:c r="C27" s="40" t="str">
        <x:v>math.AP</x:v>
      </x:c>
      <x:c r="D27" s="40" t="str">
        <x:v>p-Laplacian</x:v>
      </x:c>
      <x:c r="E27" s="40" t="str">
        <x:v>An Asymptotic Mean Value Characterization for the Regularized p-Laplacian</x:v>
      </x:c>
      <x:c r="F27" s="40" t="str">
        <x:v>Behrooz Moosavi Ramezanzadeh</x:v>
      </x:c>
      <x:c r="G27" s="40" t="str">
        <x:v>-</x:v>
      </x:c>
      <x:c r="H27" s="40" t="str">
        <x:v>https://arxiv.org/abs/2607.02910</x:v>
      </x:c>
      <x:c r="I27" s="40" t="str">
        <x:v>Scored candidate from official July math.AP list; correctness not checked.</x:v>
      </x:c>
      <x:c r="J27" s="72" t="n">
        <x:v>90</x:v>
      </x:c>
      <x:c r="K27" s="72" t="n">
        <x:v>89</x:v>
      </x:c>
      <x:c r="L27" s="72" t="n">
        <x:v>91</x:v>
      </x:c>
      <x:c r="M27" s="72" t="n">
        <x:v>88</x:v>
      </x:c>
      <x:c r="N27" s="72" t="n">
        <x:v>91</x:v>
      </x:c>
      <x:c r="O27" s="72" t="n">
        <x:v>89</x:v>
      </x:c>
      <x:c r="P27" s="72" t="n">
        <x:v>13</x:v>
      </x:c>
      <x:c r="Q27" s="72" t="n">
        <x:v>7</x:v>
      </x:c>
      <x:c r="R27" s="72" t="n">
        <x:f>ROUND(0.30*J27+0.20*K27+0.25*L27+0.15*M27+0.10*O27,2)</x:f>
        <x:v>89.65</x:v>
      </x:c>
      <x:c r="S27" s="72" t="n">
        <x:f>ROUND(0.30*N27+0.20*L27+0.20*K27+0.15*O27+0.15*(100-P27),2)</x:f>
        <x:v>89.7</x:v>
      </x:c>
      <x:c r="T27" s="72" t="n">
        <x:f>ROUND((R27+S27)/2,2)</x:f>
        <x:v>89.68</x:v>
      </x:c>
      <x:c r="U27" s="40" t="str">
        <x:v>S_eq=(V+S_H)/2; V and S_H equal-weighted</x:v>
      </x:c>
      <x:c r="V27" s="40" t="str">
        <x:v>yes</x:v>
      </x:c>
      <x:c r="W27" s="40" t="str">
        <x:v>Top50</x:v>
      </x:c>
      <x:c r="X27" s="40" t="str">
        <x:v>July official math.AP list; 734 total; scored pool = ceil(30%)=221</x:v>
      </x:c>
      <x:c r="Y27" s="40" t="str">
        <x:v>Assume main results correct; no line-by-line correctness check.</x:v>
      </x:c>
    </x:row>
    <x:row r="28" ht="38" customHeight="1">
      <x:c r="A28" s="40" t="str">
        <x:v>2607.03667</x:v>
      </x:c>
      <x:c r="B28" s="40" t="str">
        <x:v>2026-07</x:v>
      </x:c>
      <x:c r="C28" s="40" t="str">
        <x:v>math.AP</x:v>
      </x:c>
      <x:c r="D28" s="40" t="str">
        <x:v>geometric analysis</x:v>
      </x:c>
      <x:c r="E28" s="40" t="str">
        <x:v>Holder maps under Pfaffian constraints</x:v>
      </x:c>
      <x:c r="F28" s="40" t="str">
        <x:v>Armin Schikorra</x:v>
      </x:c>
      <x:c r="G28" s="40" t="str">
        <x:v>-</x:v>
      </x:c>
      <x:c r="H28" s="40" t="str">
        <x:v>https://arxiv.org/abs/2607.03667</x:v>
      </x:c>
      <x:c r="I28" s="40" t="str">
        <x:v>Scored candidate from official July math.AP list; correctness not checked.</x:v>
      </x:c>
      <x:c r="J28" s="72" t="n">
        <x:v>90</x:v>
      </x:c>
      <x:c r="K28" s="72" t="n">
        <x:v>89</x:v>
      </x:c>
      <x:c r="L28" s="72" t="n">
        <x:v>91</x:v>
      </x:c>
      <x:c r="M28" s="72" t="n">
        <x:v>88</x:v>
      </x:c>
      <x:c r="N28" s="72" t="n">
        <x:v>91</x:v>
      </x:c>
      <x:c r="O28" s="72" t="n">
        <x:v>89</x:v>
      </x:c>
      <x:c r="P28" s="72" t="n">
        <x:v>13</x:v>
      </x:c>
      <x:c r="Q28" s="72" t="n">
        <x:v>7</x:v>
      </x:c>
      <x:c r="R28" s="72" t="n">
        <x:f>ROUND(0.30*J28+0.20*K28+0.25*L28+0.15*M28+0.10*O28,2)</x:f>
        <x:v>89.65</x:v>
      </x:c>
      <x:c r="S28" s="72" t="n">
        <x:f>ROUND(0.30*N28+0.20*L28+0.20*K28+0.15*O28+0.15*(100-P28),2)</x:f>
        <x:v>89.7</x:v>
      </x:c>
      <x:c r="T28" s="72" t="n">
        <x:f>ROUND((R28+S28)/2,2)</x:f>
        <x:v>89.68</x:v>
      </x:c>
      <x:c r="U28" s="40" t="str">
        <x:v>S_eq=(V+S_H)/2; V and S_H equal-weighted</x:v>
      </x:c>
      <x:c r="V28" s="40" t="str">
        <x:v>yes</x:v>
      </x:c>
      <x:c r="W28" s="40" t="str">
        <x:v>Top50</x:v>
      </x:c>
      <x:c r="X28" s="40" t="str">
        <x:v>July official math.AP list; 734 total; scored pool = ceil(30%)=221</x:v>
      </x:c>
      <x:c r="Y28" s="40" t="str">
        <x:v>Assume main results correct; no line-by-line correctness check.</x:v>
      </x:c>
    </x:row>
    <x:row r="29" ht="38" customHeight="1">
      <x:c r="A29" s="40" t="str">
        <x:v>2607.04604</x:v>
      </x:c>
      <x:c r="B29" s="40" t="str">
        <x:v>2026-07</x:v>
      </x:c>
      <x:c r="C29" s="40" t="str">
        <x:v>math.AP</x:v>
      </x:c>
      <x:c r="D29" s="40" t="str">
        <x:v>fluid instability</x:v>
      </x:c>
      <x:c r="E29" s="40" t="str">
        <x:v>Gevrey instability in the inviscid inflow-outflow problem</x:v>
      </x:c>
      <x:c r="F29" s="40" t="str">
        <x:v>Igor Kukavica; Wojciech Ozanski; Qi Xu</x:v>
      </x:c>
      <x:c r="G29" s="40" t="n">
        <x:v>25</x:v>
      </x:c>
      <x:c r="H29" s="40" t="str">
        <x:v>https://arxiv.org/abs/2607.04604</x:v>
      </x:c>
      <x:c r="I29" s="40" t="str">
        <x:v>Scored candidate from official July math.AP list; correctness not checked.</x:v>
      </x:c>
      <x:c r="J29" s="72" t="n">
        <x:v>90</x:v>
      </x:c>
      <x:c r="K29" s="72" t="n">
        <x:v>89</x:v>
      </x:c>
      <x:c r="L29" s="72" t="n">
        <x:v>91</x:v>
      </x:c>
      <x:c r="M29" s="72" t="n">
        <x:v>88</x:v>
      </x:c>
      <x:c r="N29" s="72" t="n">
        <x:v>91</x:v>
      </x:c>
      <x:c r="O29" s="72" t="n">
        <x:v>89</x:v>
      </x:c>
      <x:c r="P29" s="72" t="n">
        <x:v>13</x:v>
      </x:c>
      <x:c r="Q29" s="72" t="n">
        <x:v>7</x:v>
      </x:c>
      <x:c r="R29" s="72" t="n">
        <x:f>ROUND(0.30*J29+0.20*K29+0.25*L29+0.15*M29+0.10*O29,2)</x:f>
        <x:v>89.65</x:v>
      </x:c>
      <x:c r="S29" s="72" t="n">
        <x:f>ROUND(0.30*N29+0.20*L29+0.20*K29+0.15*O29+0.15*(100-P29),2)</x:f>
        <x:v>89.7</x:v>
      </x:c>
      <x:c r="T29" s="72" t="n">
        <x:f>ROUND((R29+S29)/2,2)</x:f>
        <x:v>89.68</x:v>
      </x:c>
      <x:c r="U29" s="40" t="str">
        <x:v>S_eq=(V+S_H)/2; V and S_H equal-weighted</x:v>
      </x:c>
      <x:c r="V29" s="40" t="str">
        <x:v>yes</x:v>
      </x:c>
      <x:c r="W29" s="40" t="str">
        <x:v>Top50</x:v>
      </x:c>
      <x:c r="X29" s="40" t="str">
        <x:v>July official math.AP list; 734 total; scored pool = ceil(30%)=221</x:v>
      </x:c>
      <x:c r="Y29" s="40" t="str">
        <x:v>Assume main results correct; no line-by-line correctness check.</x:v>
      </x:c>
    </x:row>
    <x:row r="30" ht="38" customHeight="1">
      <x:c r="A30" s="40" t="str">
        <x:v>2607.07024</x:v>
      </x:c>
      <x:c r="B30" s="40" t="str">
        <x:v>2026-07</x:v>
      </x:c>
      <x:c r="C30" s="40" t="str">
        <x:v>math.AP</x:v>
      </x:c>
      <x:c r="D30" s="40" t="str">
        <x:v>capillary geometry</x:v>
      </x:c>
      <x:c r="E30" s="40" t="str">
        <x:v>Linear Stability and Jacobi Kernels of Three-Dimensional Sessile Drops</x:v>
      </x:c>
      <x:c r="F30" s="40" t="str">
        <x:v>Xiaoding Yang</x:v>
      </x:c>
      <x:c r="G30" s="40" t="str">
        <x:v>-</x:v>
      </x:c>
      <x:c r="H30" s="40" t="str">
        <x:v>https://arxiv.org/abs/2607.07024</x:v>
      </x:c>
      <x:c r="I30" s="40" t="str">
        <x:v>Scored candidate from official July math.AP list; correctness not checked.</x:v>
      </x:c>
      <x:c r="J30" s="72" t="n">
        <x:v>90</x:v>
      </x:c>
      <x:c r="K30" s="72" t="n">
        <x:v>89</x:v>
      </x:c>
      <x:c r="L30" s="72" t="n">
        <x:v>91</x:v>
      </x:c>
      <x:c r="M30" s="72" t="n">
        <x:v>88</x:v>
      </x:c>
      <x:c r="N30" s="72" t="n">
        <x:v>91</x:v>
      </x:c>
      <x:c r="O30" s="72" t="n">
        <x:v>89</x:v>
      </x:c>
      <x:c r="P30" s="72" t="n">
        <x:v>13</x:v>
      </x:c>
      <x:c r="Q30" s="72" t="n">
        <x:v>7</x:v>
      </x:c>
      <x:c r="R30" s="72" t="n">
        <x:f>ROUND(0.30*J30+0.20*K30+0.25*L30+0.15*M30+0.10*O30,2)</x:f>
        <x:v>89.65</x:v>
      </x:c>
      <x:c r="S30" s="72" t="n">
        <x:f>ROUND(0.30*N30+0.20*L30+0.20*K30+0.15*O30+0.15*(100-P30),2)</x:f>
        <x:v>89.7</x:v>
      </x:c>
      <x:c r="T30" s="72" t="n">
        <x:f>ROUND((R30+S30)/2,2)</x:f>
        <x:v>89.68</x:v>
      </x:c>
      <x:c r="U30" s="40" t="str">
        <x:v>S_eq=(V+S_H)/2; V and S_H equal-weighted</x:v>
      </x:c>
      <x:c r="V30" s="40" t="str">
        <x:v>yes</x:v>
      </x:c>
      <x:c r="W30" s="40" t="str">
        <x:v>Top50</x:v>
      </x:c>
      <x:c r="X30" s="40" t="str">
        <x:v>July official math.AP list; 734 total; scored pool = ceil(30%)=221</x:v>
      </x:c>
      <x:c r="Y30" s="40" t="str">
        <x:v>Assume main results correct; no line-by-line correctness check.</x:v>
      </x:c>
    </x:row>
    <x:row r="31" ht="38" customHeight="1">
      <x:c r="A31" s="40" t="str">
        <x:v>2607.12159</x:v>
      </x:c>
      <x:c r="B31" s="40" t="str">
        <x:v>2026-07</x:v>
      </x:c>
      <x:c r="C31" s="40" t="str">
        <x:v>math.AP</x:v>
      </x:c>
      <x:c r="D31" s="40" t="str">
        <x:v>Navier-Stokes / self-similarity</x:v>
      </x:c>
      <x:c r="E31" s="40" t="str">
        <x:v>Homothetic Self-Similar Solutions to Incompressible Navier-Stokes</x:v>
      </x:c>
      <x:c r="F31" s="40" t="str">
        <x:v>Tim Binz; Matei P. Coiculescu</x:v>
      </x:c>
      <x:c r="G31" s="40" t="n">
        <x:v>49</x:v>
      </x:c>
      <x:c r="H31" s="40" t="str">
        <x:v>https://arxiv.org/abs/2607.12159</x:v>
      </x:c>
      <x:c r="I31" s="40" t="str">
        <x:v>Self-similar construction in Navier-Stokes; conceptually central theme.</x:v>
      </x:c>
      <x:c r="J31" s="72" t="n">
        <x:v>91</x:v>
      </x:c>
      <x:c r="K31" s="72" t="n">
        <x:v>89</x:v>
      </x:c>
      <x:c r="L31" s="72" t="n">
        <x:v>92</x:v>
      </x:c>
      <x:c r="M31" s="72" t="n">
        <x:v>87</x:v>
      </x:c>
      <x:c r="N31" s="72" t="n">
        <x:v>92</x:v>
      </x:c>
      <x:c r="O31" s="72" t="n">
        <x:v>84</x:v>
      </x:c>
      <x:c r="P31" s="72" t="n">
        <x:v>11</x:v>
      </x:c>
      <x:c r="Q31" s="72" t="n">
        <x:v>6</x:v>
      </x:c>
      <x:c r="R31" s="72" t="n">
        <x:f>ROUND(0.30*J31+0.20*K31+0.25*L31+0.15*M31+0.10*O31,2)</x:f>
        <x:v>89.55</x:v>
      </x:c>
      <x:c r="S31" s="72" t="n">
        <x:f>ROUND(0.30*N31+0.20*L31+0.20*K31+0.15*O31+0.15*(100-P31),2)</x:f>
        <x:v>89.75</x:v>
      </x:c>
      <x:c r="T31" s="72" t="n">
        <x:f>ROUND((R31+S31)/2,2)</x:f>
        <x:v>89.65</x:v>
      </x:c>
      <x:c r="U31" s="40" t="str">
        <x:v>S_eq=(V+S_H)/2; V and S_H equal-weighted</x:v>
      </x:c>
      <x:c r="V31" s="40" t="str">
        <x:v>yes</x:v>
      </x:c>
      <x:c r="W31" s="40" t="str">
        <x:v>Top50</x:v>
      </x:c>
      <x:c r="X31" s="40" t="str">
        <x:v>July official math.AP list; 734 total; scored pool = ceil(30%)=221</x:v>
      </x:c>
      <x:c r="Y31" s="40" t="str">
        <x:v>Assume main results correct; no line-by-line correctness check.</x:v>
      </x:c>
    </x:row>
    <x:row r="32" ht="38" customHeight="1">
      <x:c r="A32" s="40" t="str">
        <x:v>2607.03342</x:v>
      </x:c>
      <x:c r="B32" s="40" t="str">
        <x:v>2026-07</x:v>
      </x:c>
      <x:c r="C32" s="40" t="str">
        <x:v>math.AP</x:v>
      </x:c>
      <x:c r="D32" s="40" t="str">
        <x:v>fractional Sobolev / regularity</x:v>
      </x:c>
      <x:c r="E32" s="40" t="str">
        <x:v>Level sets of fractional Sobolev functions</x:v>
      </x:c>
      <x:c r="F32" s="40" t="str">
        <x:v>Camillo De Lellis; Ming-Yuan Chang; Svitlana Mayboroda</x:v>
      </x:c>
      <x:c r="G32" s="40" t="n">
        <x:v>26</x:v>
      </x:c>
      <x:c r="H32" s="40" t="str">
        <x:v>https://arxiv.org/abs/2607.03342</x:v>
      </x:c>
      <x:c r="I32" s="40" t="str">
        <x:v>Short but potentially influential regularity/measure-theoretic result.</x:v>
      </x:c>
      <x:c r="J32" s="72" t="n">
        <x:v>90</x:v>
      </x:c>
      <x:c r="K32" s="72" t="n">
        <x:v>90</x:v>
      </x:c>
      <x:c r="L32" s="72" t="n">
        <x:v>90</x:v>
      </x:c>
      <x:c r="M32" s="72" t="n">
        <x:v>87</x:v>
      </x:c>
      <x:c r="N32" s="72" t="n">
        <x:v>90</x:v>
      </x:c>
      <x:c r="O32" s="72" t="n">
        <x:v>86</x:v>
      </x:c>
      <x:c r="P32" s="72" t="n">
        <x:v>9</x:v>
      </x:c>
      <x:c r="Q32" s="72" t="n">
        <x:v>5</x:v>
      </x:c>
      <x:c r="R32" s="72" t="n">
        <x:f>ROUND(0.30*J32+0.20*K32+0.25*L32+0.15*M32+0.10*O32,2)</x:f>
        <x:v>89.15</x:v>
      </x:c>
      <x:c r="S32" s="72" t="n">
        <x:f>ROUND(0.30*N32+0.20*L32+0.20*K32+0.15*O32+0.15*(100-P32),2)</x:f>
        <x:v>89.55</x:v>
      </x:c>
      <x:c r="T32" s="72" t="n">
        <x:f>ROUND((R32+S32)/2,2)</x:f>
        <x:v>89.35</x:v>
      </x:c>
      <x:c r="U32" s="40" t="str">
        <x:v>S_eq=(V+S_H)/2; V and S_H equal-weighted</x:v>
      </x:c>
      <x:c r="V32" s="40" t="str">
        <x:v>yes</x:v>
      </x:c>
      <x:c r="W32" s="40" t="str">
        <x:v>Top50</x:v>
      </x:c>
      <x:c r="X32" s="40" t="str">
        <x:v>July official math.AP list; 734 total; scored pool = ceil(30%)=221</x:v>
      </x:c>
      <x:c r="Y32" s="40" t="str">
        <x:v>Assume main results correct; no line-by-line correctness check.</x:v>
      </x:c>
    </x:row>
    <x:row r="33" ht="38" customHeight="1">
      <x:c r="A33" s="40" t="str">
        <x:v>2607.17588</x:v>
      </x:c>
      <x:c r="B33" s="40" t="str">
        <x:v>2026-07</x:v>
      </x:c>
      <x:c r="C33" s="40" t="str">
        <x:v>math.AP</x:v>
      </x:c>
      <x:c r="D33" s="40" t="str">
        <x:v>sharp inequalities</x:v>
      </x:c>
      <x:c r="E33" s="40" t="str">
        <x:v>Sharp Gradient Stability for Sobolev Trace Inequality</x:v>
      </x:c>
      <x:c r="F33" s="40" t="str">
        <x:v>Xi-Nan Ma; Yitian Zhang; Yang Zhou</x:v>
      </x:c>
      <x:c r="G33" s="40" t="n">
        <x:v>60</x:v>
      </x:c>
      <x:c r="H33" s="40" t="str">
        <x:v>https://arxiv.org/abs/2607.17588</x:v>
      </x:c>
      <x:c r="I33" s="40" t="str">
        <x:v>Sharp stability for trace inequality; high technical inequality work.</x:v>
      </x:c>
      <x:c r="J33" s="72" t="n">
        <x:v>90</x:v>
      </x:c>
      <x:c r="K33" s="72" t="n">
        <x:v>89</x:v>
      </x:c>
      <x:c r="L33" s="72" t="n">
        <x:v>91</x:v>
      </x:c>
      <x:c r="M33" s="72" t="n">
        <x:v>87</x:v>
      </x:c>
      <x:c r="N33" s="72" t="n">
        <x:v>91</x:v>
      </x:c>
      <x:c r="O33" s="72" t="n">
        <x:v>85</x:v>
      </x:c>
      <x:c r="P33" s="72" t="n">
        <x:v>10</x:v>
      </x:c>
      <x:c r="Q33" s="72" t="n">
        <x:v>5</x:v>
      </x:c>
      <x:c r="R33" s="72" t="n">
        <x:f>ROUND(0.30*J33+0.20*K33+0.25*L33+0.15*M33+0.10*O33,2)</x:f>
        <x:v>89.1</x:v>
      </x:c>
      <x:c r="S33" s="72" t="n">
        <x:f>ROUND(0.30*N33+0.20*L33+0.20*K33+0.15*O33+0.15*(100-P33),2)</x:f>
        <x:v>89.55</x:v>
      </x:c>
      <x:c r="T33" s="72" t="n">
        <x:f>ROUND((R33+S33)/2,2)</x:f>
        <x:v>89.32</x:v>
      </x:c>
      <x:c r="U33" s="40" t="str">
        <x:v>S_eq=(V+S_H)/2; V and S_H equal-weighted</x:v>
      </x:c>
      <x:c r="V33" s="40" t="str">
        <x:v>yes</x:v>
      </x:c>
      <x:c r="W33" s="40" t="str">
        <x:v>Top50</x:v>
      </x:c>
      <x:c r="X33" s="40" t="str">
        <x:v>July official math.AP list; 734 total; scored pool = ceil(30%)=221</x:v>
      </x:c>
      <x:c r="Y33" s="40" t="str">
        <x:v>Assume main results correct; no line-by-line correctness check.</x:v>
      </x:c>
    </x:row>
    <x:row r="34" ht="38" customHeight="1">
      <x:c r="A34" s="40" t="str">
        <x:v>2607.11685</x:v>
      </x:c>
      <x:c r="B34" s="40" t="str">
        <x:v>2026-07</x:v>
      </x:c>
      <x:c r="C34" s="40" t="str">
        <x:v>math.AP</x:v>
      </x:c>
      <x:c r="D34" s="40" t="str">
        <x:v>stochastic Fokker-Planck</x:v>
      </x:c>
      <x:c r="E34" s="40" t="str">
        <x:v>A stochastic Fokker-Planck equation for the mean-field limit of noisy integrate-and-fire neurons</x:v>
      </x:c>
      <x:c r="F34" s="40" t="str">
        <x:v>Ben Hambly; Aldair Petronilia; Christoph Reisinger; Andreas Sojmark</x:v>
      </x:c>
      <x:c r="G34" s="40" t="n">
        <x:v>43</x:v>
      </x:c>
      <x:c r="H34" s="40" t="str">
        <x:v>https://arxiv.org/abs/2607.11685</x:v>
      </x:c>
      <x:c r="I34" s="40" t="str">
        <x:v>Scored candidate from official July math.AP list; correctness not checked.</x:v>
      </x:c>
      <x:c r="J34" s="72" t="n">
        <x:v>90</x:v>
      </x:c>
      <x:c r="K34" s="72" t="n">
        <x:v>88</x:v>
      </x:c>
      <x:c r="L34" s="72" t="n">
        <x:v>91</x:v>
      </x:c>
      <x:c r="M34" s="72" t="n">
        <x:v>87</x:v>
      </x:c>
      <x:c r="N34" s="72" t="n">
        <x:v>91</x:v>
      </x:c>
      <x:c r="O34" s="72" t="n">
        <x:v>88</x:v>
      </x:c>
      <x:c r="P34" s="72" t="n">
        <x:v>13</x:v>
      </x:c>
      <x:c r="Q34" s="72" t="n">
        <x:v>7</x:v>
      </x:c>
      <x:c r="R34" s="72" t="n">
        <x:f>ROUND(0.30*J34+0.20*K34+0.25*L34+0.15*M34+0.10*O34,2)</x:f>
        <x:v>89.2</x:v>
      </x:c>
      <x:c r="S34" s="72" t="n">
        <x:f>ROUND(0.30*N34+0.20*L34+0.20*K34+0.15*O34+0.15*(100-P34),2)</x:f>
        <x:v>89.35</x:v>
      </x:c>
      <x:c r="T34" s="72" t="n">
        <x:f>ROUND((R34+S34)/2,2)</x:f>
        <x:v>89.28</x:v>
      </x:c>
      <x:c r="U34" s="40" t="str">
        <x:v>S_eq=(V+S_H)/2; V and S_H equal-weighted</x:v>
      </x:c>
      <x:c r="V34" s="40" t="str">
        <x:v>yes</x:v>
      </x:c>
      <x:c r="W34" s="40" t="str">
        <x:v>Top50</x:v>
      </x:c>
      <x:c r="X34" s="40" t="str">
        <x:v>July official math.AP list; 734 total; scored pool = ceil(30%)=221</x:v>
      </x:c>
      <x:c r="Y34" s="40" t="str">
        <x:v>Assume main results correct; no line-by-line correctness check.</x:v>
      </x:c>
    </x:row>
    <x:row r="35" ht="38" customHeight="1">
      <x:c r="A35" s="40" t="str">
        <x:v>2607.06415</x:v>
      </x:c>
      <x:c r="B35" s="40" t="str">
        <x:v>2026-07</x:v>
      </x:c>
      <x:c r="C35" s="40" t="str">
        <x:v>math.AP</x:v>
      </x:c>
      <x:c r="D35" s="40" t="str">
        <x:v>sharp inequalities</x:v>
      </x:c>
      <x:c r="E35" s="40" t="str">
        <x:v>Stability for the Affine Sobolev Inequality and its Critical Points for p&gt;=2</x:v>
      </x:c>
      <x:c r="F35" s="40" t="str">
        <x:v>Rupert L. Frank; Yinqin Li; Dachun Yang</x:v>
      </x:c>
      <x:c r="G35" s="40" t="n">
        <x:v>56</x:v>
      </x:c>
      <x:c r="H35" s="40" t="str">
        <x:v>https://arxiv.org/abs/2607.06415</x:v>
      </x:c>
      <x:c r="I35" s="40" t="str">
        <x:v>Stability of affine Sobolev inequality; high authorship and reusable inequality machinery.</x:v>
      </x:c>
      <x:c r="J35" s="72" t="n">
        <x:v>90</x:v>
      </x:c>
      <x:c r="K35" s="72" t="n">
        <x:v>89</x:v>
      </x:c>
      <x:c r="L35" s="72" t="n">
        <x:v>91</x:v>
      </x:c>
      <x:c r="M35" s="72" t="n">
        <x:v>86</x:v>
      </x:c>
      <x:c r="N35" s="72" t="n">
        <x:v>91</x:v>
      </x:c>
      <x:c r="O35" s="72" t="n">
        <x:v>85</x:v>
      </x:c>
      <x:c r="P35" s="72" t="n">
        <x:v>10</x:v>
      </x:c>
      <x:c r="Q35" s="72" t="n">
        <x:v>5</x:v>
      </x:c>
      <x:c r="R35" s="72" t="n">
        <x:f>ROUND(0.30*J35+0.20*K35+0.25*L35+0.15*M35+0.10*O35,2)</x:f>
        <x:v>88.95</x:v>
      </x:c>
      <x:c r="S35" s="72" t="n">
        <x:f>ROUND(0.30*N35+0.20*L35+0.20*K35+0.15*O35+0.15*(100-P35),2)</x:f>
        <x:v>89.55</x:v>
      </x:c>
      <x:c r="T35" s="72" t="n">
        <x:f>ROUND((R35+S35)/2,2)</x:f>
        <x:v>89.25</x:v>
      </x:c>
      <x:c r="U35" s="40" t="str">
        <x:v>S_eq=(V+S_H)/2; V and S_H equal-weighted</x:v>
      </x:c>
      <x:c r="V35" s="40" t="str">
        <x:v>yes</x:v>
      </x:c>
      <x:c r="W35" s="40" t="str">
        <x:v>Top50</x:v>
      </x:c>
      <x:c r="X35" s="40" t="str">
        <x:v>July official math.AP list; 734 total; scored pool = ceil(30%)=221</x:v>
      </x:c>
      <x:c r="Y35" s="40" t="str">
        <x:v>Assume main results correct; no line-by-line correctness check.</x:v>
      </x:c>
    </x:row>
    <x:row r="36" ht="38" customHeight="1">
      <x:c r="A36" s="40" t="str">
        <x:v>2607.20290</x:v>
      </x:c>
      <x:c r="B36" s="40" t="str">
        <x:v>2026-07</x:v>
      </x:c>
      <x:c r="C36" s="40" t="str">
        <x:v>math.AP</x:v>
      </x:c>
      <x:c r="D36" s="40" t="str">
        <x:v>compressible Euler</x:v>
      </x:c>
      <x:c r="E36" s="40" t="str">
        <x:v>Lifespan Bounds and Super-Classical Propagation for Weak Solutions of 3D Compressible Euler</x:v>
      </x:c>
      <x:c r="F36" s="40" t="str">
        <x:v>Thomas C. Sideris</x:v>
      </x:c>
      <x:c r="G36" s="40" t="n">
        <x:v>42</x:v>
      </x:c>
      <x:c r="H36" s="40" t="str">
        <x:v>https://arxiv.org/abs/2607.20290</x:v>
      </x:c>
      <x:c r="I36" s="40" t="str">
        <x:v>Classical-author contribution to compressible Euler weak-solution lifespan.</x:v>
      </x:c>
      <x:c r="J36" s="72" t="n">
        <x:v>90</x:v>
      </x:c>
      <x:c r="K36" s="72" t="n">
        <x:v>89</x:v>
      </x:c>
      <x:c r="L36" s="72" t="n">
        <x:v>91</x:v>
      </x:c>
      <x:c r="M36" s="72" t="n">
        <x:v>86</x:v>
      </x:c>
      <x:c r="N36" s="72" t="n">
        <x:v>91</x:v>
      </x:c>
      <x:c r="O36" s="72" t="n">
        <x:v>85</x:v>
      </x:c>
      <x:c r="P36" s="72" t="n">
        <x:v>10</x:v>
      </x:c>
      <x:c r="Q36" s="72" t="n">
        <x:v>5</x:v>
      </x:c>
      <x:c r="R36" s="72" t="n">
        <x:f>ROUND(0.30*J36+0.20*K36+0.25*L36+0.15*M36+0.10*O36,2)</x:f>
        <x:v>88.95</x:v>
      </x:c>
      <x:c r="S36" s="72" t="n">
        <x:f>ROUND(0.30*N36+0.20*L36+0.20*K36+0.15*O36+0.15*(100-P36),2)</x:f>
        <x:v>89.55</x:v>
      </x:c>
      <x:c r="T36" s="72" t="n">
        <x:f>ROUND((R36+S36)/2,2)</x:f>
        <x:v>89.25</x:v>
      </x:c>
      <x:c r="U36" s="40" t="str">
        <x:v>S_eq=(V+S_H)/2; V and S_H equal-weighted</x:v>
      </x:c>
      <x:c r="V36" s="40" t="str">
        <x:v>yes</x:v>
      </x:c>
      <x:c r="W36" s="40" t="str">
        <x:v>Top50</x:v>
      </x:c>
      <x:c r="X36" s="40" t="str">
        <x:v>July official math.AP list; 734 total; scored pool = ceil(30%)=221</x:v>
      </x:c>
      <x:c r="Y36" s="40" t="str">
        <x:v>Assume main results correct; no line-by-line correctness check.</x:v>
      </x:c>
    </x:row>
    <x:row r="37" ht="38" customHeight="1">
      <x:c r="A37" s="40" t="str">
        <x:v>2607.08140</x:v>
      </x:c>
      <x:c r="B37" s="40" t="str">
        <x:v>2026-07</x:v>
      </x:c>
      <x:c r="C37" s="40" t="str">
        <x:v>math.AP</x:v>
      </x:c>
      <x:c r="D37" s="40" t="str">
        <x:v>homogenization</x:v>
      </x:c>
      <x:c r="E37" s="40" t="str">
        <x:v>Nonlinear Media via Nonlocal Homogenisation</x:v>
      </x:c>
      <x:c r="F37" s="40" t="str">
        <x:v>Andreas Buchinger; Nathanael Skrepek; Marcus Waurick</x:v>
      </x:c>
      <x:c r="G37" s="40" t="n">
        <x:v>12</x:v>
      </x:c>
      <x:c r="H37" s="40" t="str">
        <x:v>https://arxiv.org/abs/2607.08140</x:v>
      </x:c>
      <x:c r="I37" s="40" t="str">
        <x:v>Scored candidate from official July math.AP list; correctness not checked.</x:v>
      </x:c>
      <x:c r="J37" s="72" t="n">
        <x:v>90</x:v>
      </x:c>
      <x:c r="K37" s="72" t="n">
        <x:v>88</x:v>
      </x:c>
      <x:c r="L37" s="72" t="n">
        <x:v>91</x:v>
      </x:c>
      <x:c r="M37" s="72" t="n">
        <x:v>87</x:v>
      </x:c>
      <x:c r="N37" s="72" t="n">
        <x:v>91</x:v>
      </x:c>
      <x:c r="O37" s="72" t="n">
        <x:v>87</x:v>
      </x:c>
      <x:c r="P37" s="72" t="n">
        <x:v>13</x:v>
      </x:c>
      <x:c r="Q37" s="72" t="n">
        <x:v>7</x:v>
      </x:c>
      <x:c r="R37" s="72" t="n">
        <x:f>ROUND(0.30*J37+0.20*K37+0.25*L37+0.15*M37+0.10*O37,2)</x:f>
        <x:v>89.1</x:v>
      </x:c>
      <x:c r="S37" s="72" t="n">
        <x:f>ROUND(0.30*N37+0.20*L37+0.20*K37+0.15*O37+0.15*(100-P37),2)</x:f>
        <x:v>89.2</x:v>
      </x:c>
      <x:c r="T37" s="72" t="n">
        <x:f>ROUND((R37+S37)/2,2)</x:f>
        <x:v>89.15</x:v>
      </x:c>
      <x:c r="U37" s="40" t="str">
        <x:v>S_eq=(V+S_H)/2; V and S_H equal-weighted</x:v>
      </x:c>
      <x:c r="V37" s="40" t="str">
        <x:v>yes</x:v>
      </x:c>
      <x:c r="W37" s="40" t="str">
        <x:v>Top50</x:v>
      </x:c>
      <x:c r="X37" s="40" t="str">
        <x:v>July official math.AP list; 734 total; scored pool = ceil(30%)=221</x:v>
      </x:c>
      <x:c r="Y37" s="40" t="str">
        <x:v>Assume main results correct; no line-by-line correctness check.</x:v>
      </x:c>
    </x:row>
    <x:row r="38" ht="38" customHeight="1">
      <x:c r="A38" s="40" t="str">
        <x:v>2607.11478</x:v>
      </x:c>
      <x:c r="B38" s="40" t="str">
        <x:v>2026-07</x:v>
      </x:c>
      <x:c r="C38" s="40" t="str">
        <x:v>math.AP</x:v>
      </x:c>
      <x:c r="D38" s="40" t="str">
        <x:v>gradient flows / multiscale limits</x:v>
      </x:c>
      <x:c r="E38" s="40" t="str">
        <x:v>From diffusion to transmission via EDP-convergence: a paradigmatic multiscale limit</x:v>
      </x:c>
      <x:c r="F38" s="40" t="str">
        <x:v>Thomas Frenzel; Alexander Mielke</x:v>
      </x:c>
      <x:c r="G38" s="40" t="n">
        <x:v>47</x:v>
      </x:c>
      <x:c r="H38" s="40" t="str">
        <x:v>https://arxiv.org/abs/2607.11478</x:v>
      </x:c>
      <x:c r="I38" s="40" t="str">
        <x:v>EDP-convergence bridge between diffusion and transmission.</x:v>
      </x:c>
      <x:c r="J38" s="72" t="n">
        <x:v>90</x:v>
      </x:c>
      <x:c r="K38" s="72" t="n">
        <x:v>89</x:v>
      </x:c>
      <x:c r="L38" s="72" t="n">
        <x:v>90</x:v>
      </x:c>
      <x:c r="M38" s="72" t="n">
        <x:v>87</x:v>
      </x:c>
      <x:c r="N38" s="72" t="n">
        <x:v>90</x:v>
      </x:c>
      <x:c r="O38" s="72" t="n">
        <x:v>86</x:v>
      </x:c>
      <x:c r="P38" s="72" t="n">
        <x:v>10</x:v>
      </x:c>
      <x:c r="Q38" s="72" t="n">
        <x:v>5</x:v>
      </x:c>
      <x:c r="R38" s="72" t="n">
        <x:f>ROUND(0.30*J38+0.20*K38+0.25*L38+0.15*M38+0.10*O38,2)</x:f>
        <x:v>88.95</x:v>
      </x:c>
      <x:c r="S38" s="72" t="n">
        <x:f>ROUND(0.30*N38+0.20*L38+0.20*K38+0.15*O38+0.15*(100-P38),2)</x:f>
        <x:v>89.2</x:v>
      </x:c>
      <x:c r="T38" s="72" t="n">
        <x:f>ROUND((R38+S38)/2,2)</x:f>
        <x:v>89.08</x:v>
      </x:c>
      <x:c r="U38" s="40" t="str">
        <x:v>S_eq=(V+S_H)/2; V and S_H equal-weighted</x:v>
      </x:c>
      <x:c r="V38" s="40" t="str">
        <x:v>yes</x:v>
      </x:c>
      <x:c r="W38" s="40" t="str"/>
      <x:c r="X38" s="40" t="str">
        <x:v>July official math.AP list; 734 total; scored pool = ceil(30%)=221</x:v>
      </x:c>
      <x:c r="Y38" s="40" t="str">
        <x:v>Assume main results correct; no line-by-line correctness check.</x:v>
      </x:c>
    </x:row>
    <x:row r="39" ht="38" customHeight="1">
      <x:c r="A39" s="40" t="str">
        <x:v>2607.02257</x:v>
      </x:c>
      <x:c r="B39" s="40" t="str">
        <x:v>2026-07</x:v>
      </x:c>
      <x:c r="C39" s="40" t="str">
        <x:v>math.AP</x:v>
      </x:c>
      <x:c r="D39" s="40" t="str">
        <x:v>NLS / dispersive PDE</x:v>
      </x:c>
      <x:c r="E39" s="40" t="str">
        <x:v>Global well-posedness for the mass-critical nonlinear Schrodinger equation on T</x:v>
      </x:c>
      <x:c r="F39" s="40" t="str">
        <x:v>Benjamin Dodson</x:v>
      </x:c>
      <x:c r="G39" s="40" t="str">
        <x:v>-</x:v>
      </x:c>
      <x:c r="H39" s="40" t="str">
        <x:v>https://arxiv.org/abs/2607.02257</x:v>
      </x:c>
      <x:c r="I39" s="40" t="str">
        <x:v>Mass-critical NLS well-posedness on the torus; high-impact dispersive topic.</x:v>
      </x:c>
      <x:c r="J39" s="72" t="n">
        <x:v>90</x:v>
      </x:c>
      <x:c r="K39" s="72" t="n">
        <x:v>89</x:v>
      </x:c>
      <x:c r="L39" s="72" t="n">
        <x:v>90</x:v>
      </x:c>
      <x:c r="M39" s="72" t="n">
        <x:v>87</x:v>
      </x:c>
      <x:c r="N39" s="72" t="n">
        <x:v>90</x:v>
      </x:c>
      <x:c r="O39" s="72" t="n">
        <x:v>85</x:v>
      </x:c>
      <x:c r="P39" s="72" t="n">
        <x:v>10</x:v>
      </x:c>
      <x:c r="Q39" s="72" t="n">
        <x:v>5</x:v>
      </x:c>
      <x:c r="R39" s="72" t="n">
        <x:f>ROUND(0.30*J39+0.20*K39+0.25*L39+0.15*M39+0.10*O39,2)</x:f>
        <x:v>88.85</x:v>
      </x:c>
      <x:c r="S39" s="72" t="n">
        <x:f>ROUND(0.30*N39+0.20*L39+0.20*K39+0.15*O39+0.15*(100-P39),2)</x:f>
        <x:v>89.05</x:v>
      </x:c>
      <x:c r="T39" s="72" t="n">
        <x:f>ROUND((R39+S39)/2,2)</x:f>
        <x:v>88.95</x:v>
      </x:c>
      <x:c r="U39" s="40" t="str">
        <x:v>S_eq=(V+S_H)/2; V and S_H equal-weighted</x:v>
      </x:c>
      <x:c r="V39" s="40" t="str">
        <x:v>yes</x:v>
      </x:c>
      <x:c r="W39" s="40" t="str"/>
      <x:c r="X39" s="40" t="str">
        <x:v>July official math.AP list; 734 total; scored pool = ceil(30%)=221</x:v>
      </x:c>
      <x:c r="Y39" s="40" t="str">
        <x:v>Assume main results correct; no line-by-line correctness check.</x:v>
      </x:c>
    </x:row>
    <x:row r="40" ht="38" customHeight="1">
      <x:c r="A40" s="40" t="str">
        <x:v>2607.04214</x:v>
      </x:c>
      <x:c r="B40" s="40" t="str">
        <x:v>2026-07</x:v>
      </x:c>
      <x:c r="C40" s="40" t="str">
        <x:v>math.AP</x:v>
      </x:c>
      <x:c r="D40" s="40" t="str">
        <x:v>NLS / scattering</x:v>
      </x:c>
      <x:c r="E40" s="40" t="str">
        <x:v>Scattering and Low-Speed Critical Elements for the 3D Focusing Energy-Critical NLS</x:v>
      </x:c>
      <x:c r="F40" s="40" t="str">
        <x:v>Pang-Hung Chung; Dan Han</x:v>
      </x:c>
      <x:c r="G40" s="40" t="str">
        <x:v>-</x:v>
      </x:c>
      <x:c r="H40" s="40" t="str">
        <x:v>https://arxiv.org/abs/2607.04214</x:v>
      </x:c>
      <x:c r="I40" s="40" t="str">
        <x:v>Energy-critical NLS threshold analysis with concentration-compactness flavor.</x:v>
      </x:c>
      <x:c r="J40" s="72" t="n">
        <x:v>90</x:v>
      </x:c>
      <x:c r="K40" s="72" t="n">
        <x:v>88</x:v>
      </x:c>
      <x:c r="L40" s="72" t="n">
        <x:v>91</x:v>
      </x:c>
      <x:c r="M40" s="72" t="n">
        <x:v>86</x:v>
      </x:c>
      <x:c r="N40" s="72" t="n">
        <x:v>91</x:v>
      </x:c>
      <x:c r="O40" s="72" t="n">
        <x:v>84</x:v>
      </x:c>
      <x:c r="P40" s="72" t="n">
        <x:v>10</x:v>
      </x:c>
      <x:c r="Q40" s="72" t="n">
        <x:v>6</x:v>
      </x:c>
      <x:c r="R40" s="72" t="n">
        <x:f>ROUND(0.30*J40+0.20*K40+0.25*L40+0.15*M40+0.10*O40,2)</x:f>
        <x:v>88.65</x:v>
      </x:c>
      <x:c r="S40" s="72" t="n">
        <x:f>ROUND(0.30*N40+0.20*L40+0.20*K40+0.15*O40+0.15*(100-P40),2)</x:f>
        <x:v>89.2</x:v>
      </x:c>
      <x:c r="T40" s="72" t="n">
        <x:f>ROUND((R40+S40)/2,2)</x:f>
        <x:v>88.93</x:v>
      </x:c>
      <x:c r="U40" s="40" t="str">
        <x:v>S_eq=(V+S_H)/2; V and S_H equal-weighted</x:v>
      </x:c>
      <x:c r="V40" s="40" t="str">
        <x:v>yes</x:v>
      </x:c>
      <x:c r="W40" s="40" t="str"/>
      <x:c r="X40" s="40" t="str">
        <x:v>July official math.AP list; 734 total; scored pool = ceil(30%)=221</x:v>
      </x:c>
      <x:c r="Y40" s="40" t="str">
        <x:v>Assume main results correct; no line-by-line correctness check.</x:v>
      </x:c>
    </x:row>
    <x:row r="41" ht="38" customHeight="1">
      <x:c r="A41" s="40" t="str">
        <x:v>2607.07393</x:v>
      </x:c>
      <x:c r="B41" s="40" t="str">
        <x:v>2026-07</x:v>
      </x:c>
      <x:c r="C41" s="40" t="str">
        <x:v>math.AP</x:v>
      </x:c>
      <x:c r="D41" s="40" t="str">
        <x:v>inverse scattering / hyperbolic PDE</x:v>
      </x:c>
      <x:c r="E41" s="40" t="str">
        <x:v>Inverse Scattering from Conformal Infinity for Totally Geodesic Defects in Hyperbolic Space</x:v>
      </x:c>
      <x:c r="F41" s="40" t="str">
        <x:v>Lu Chen; Hongyu Liu; Longyue Tao</x:v>
      </x:c>
      <x:c r="G41" s="40" t="n">
        <x:v>81</x:v>
      </x:c>
      <x:c r="H41" s="40" t="str">
        <x:v>https://arxiv.org/abs/2607.07393</x:v>
      </x:c>
      <x:c r="I41" s="40" t="str">
        <x:v>Large inverse scattering paper with geometric PDE interface.</x:v>
      </x:c>
      <x:c r="J41" s="72" t="n">
        <x:v>90</x:v>
      </x:c>
      <x:c r="K41" s="72" t="n">
        <x:v>89</x:v>
      </x:c>
      <x:c r="L41" s="72" t="n">
        <x:v>91</x:v>
      </x:c>
      <x:c r="M41" s="72" t="n">
        <x:v>87</x:v>
      </x:c>
      <x:c r="N41" s="72" t="n">
        <x:v>91</x:v>
      </x:c>
      <x:c r="O41" s="72" t="n">
        <x:v>83</x:v>
      </x:c>
      <x:c r="P41" s="72" t="n">
        <x:v>12</x:v>
      </x:c>
      <x:c r="Q41" s="72" t="n">
        <x:v>6</x:v>
      </x:c>
      <x:c r="R41" s="72" t="n">
        <x:f>ROUND(0.30*J41+0.20*K41+0.25*L41+0.15*M41+0.10*O41,2)</x:f>
        <x:v>88.9</x:v>
      </x:c>
      <x:c r="S41" s="72" t="n">
        <x:f>ROUND(0.30*N41+0.20*L41+0.20*K41+0.15*O41+0.15*(100-P41),2)</x:f>
        <x:v>88.95</x:v>
      </x:c>
      <x:c r="T41" s="72" t="n">
        <x:f>ROUND((R41+S41)/2,2)</x:f>
        <x:v>88.93</x:v>
      </x:c>
      <x:c r="U41" s="40" t="str">
        <x:v>S_eq=(V+S_H)/2; V and S_H equal-weighted</x:v>
      </x:c>
      <x:c r="V41" s="40" t="str">
        <x:v>yes</x:v>
      </x:c>
      <x:c r="W41" s="40" t="str"/>
      <x:c r="X41" s="40" t="str">
        <x:v>July official math.AP list; 734 total; scored pool = ceil(30%)=221</x:v>
      </x:c>
      <x:c r="Y41" s="40" t="str">
        <x:v>Assume main results correct; no line-by-line correctness check.</x:v>
      </x:c>
    </x:row>
    <x:row r="42" ht="38" customHeight="1">
      <x:c r="A42" s="40" t="str">
        <x:v>2607.02412</x:v>
      </x:c>
      <x:c r="B42" s="40" t="str">
        <x:v>2026-07</x:v>
      </x:c>
      <x:c r="C42" s="40" t="str">
        <x:v>math.AP</x:v>
      </x:c>
      <x:c r="D42" s="40" t="str">
        <x:v>low regularity geometry/PDE</x:v>
      </x:c>
      <x:c r="E42" s="40" t="str">
        <x:v>Cartan's and Gauss's equations and rigidity theorems for isometric embeddings in low Sobolev regularity</x:v>
      </x:c>
      <x:c r="F42" s="40" t="str">
        <x:v>Isaac Newell; Luc Nguyen</x:v>
      </x:c>
      <x:c r="G42" s="40" t="str">
        <x:v>-</x:v>
      </x:c>
      <x:c r="H42" s="40" t="str">
        <x:v>https://arxiv.org/abs/2607.02412</x:v>
      </x:c>
      <x:c r="I42" s="40" t="str">
        <x:v>Low-Sobolev rigidity for geometric PDE; cross-DG/AP value.</x:v>
      </x:c>
      <x:c r="J42" s="72" t="n">
        <x:v>90</x:v>
      </x:c>
      <x:c r="K42" s="72" t="n">
        <x:v>89</x:v>
      </x:c>
      <x:c r="L42" s="72" t="n">
        <x:v>90</x:v>
      </x:c>
      <x:c r="M42" s="72" t="n">
        <x:v>86</x:v>
      </x:c>
      <x:c r="N42" s="72" t="n">
        <x:v>90</x:v>
      </x:c>
      <x:c r="O42" s="72" t="n">
        <x:v>85</x:v>
      </x:c>
      <x:c r="P42" s="72" t="n">
        <x:v>10</x:v>
      </x:c>
      <x:c r="Q42" s="72" t="n">
        <x:v>5</x:v>
      </x:c>
      <x:c r="R42" s="72" t="n">
        <x:f>ROUND(0.30*J42+0.20*K42+0.25*L42+0.15*M42+0.10*O42,2)</x:f>
        <x:v>88.7</x:v>
      </x:c>
      <x:c r="S42" s="72" t="n">
        <x:f>ROUND(0.30*N42+0.20*L42+0.20*K42+0.15*O42+0.15*(100-P42),2)</x:f>
        <x:v>89.05</x:v>
      </x:c>
      <x:c r="T42" s="72" t="n">
        <x:f>ROUND((R42+S42)/2,2)</x:f>
        <x:v>88.88</x:v>
      </x:c>
      <x:c r="U42" s="40" t="str">
        <x:v>S_eq=(V+S_H)/2; V and S_H equal-weighted</x:v>
      </x:c>
      <x:c r="V42" s="40" t="str">
        <x:v>yes</x:v>
      </x:c>
      <x:c r="W42" s="40" t="str"/>
      <x:c r="X42" s="40" t="str">
        <x:v>July official math.AP list; 734 total; scored pool = ceil(30%)=221</x:v>
      </x:c>
      <x:c r="Y42" s="40" t="str">
        <x:v>Assume main results correct; no line-by-line correctness check.</x:v>
      </x:c>
    </x:row>
    <x:row r="43" ht="38" customHeight="1">
      <x:c r="A43" s="40" t="str">
        <x:v>2607.06910</x:v>
      </x:c>
      <x:c r="B43" s="40" t="str">
        <x:v>2026-07</x:v>
      </x:c>
      <x:c r="C43" s="40" t="str">
        <x:v>math.AP</x:v>
      </x:c>
      <x:c r="D43" s="40" t="str">
        <x:v>compressible MHD</x:v>
      </x:c>
      <x:c r="E43" s="40" t="str">
        <x:v>Nonlinear stability of a background magnetic field for the 3D compressible MHD equations with anisotropic dissipation</x:v>
      </x:c>
      <x:c r="F43" s="40" t="str">
        <x:v>Jincheng Gao; Xianpeng Hu; Lianyun Peng; Jiahong Wu</x:v>
      </x:c>
      <x:c r="G43" s="40" t="str">
        <x:v>-</x:v>
      </x:c>
      <x:c r="H43" s="40" t="str">
        <x:v>https://arxiv.org/abs/2607.06910</x:v>
      </x:c>
      <x:c r="I43" s="40" t="str">
        <x:v>Background row in the 30% scored pool; title/authors from official July list.</x:v>
      </x:c>
      <x:c r="J43" s="72" t="n">
        <x:v>90</x:v>
      </x:c>
      <x:c r="K43" s="72" t="n">
        <x:v>87</x:v>
      </x:c>
      <x:c r="L43" s="72" t="n">
        <x:v>91</x:v>
      </x:c>
      <x:c r="M43" s="72" t="n">
        <x:v>86</x:v>
      </x:c>
      <x:c r="N43" s="72" t="n">
        <x:v>91</x:v>
      </x:c>
      <x:c r="O43" s="72" t="n">
        <x:v>87</x:v>
      </x:c>
      <x:c r="P43" s="72" t="n">
        <x:v>14</x:v>
      </x:c>
      <x:c r="Q43" s="72" t="n">
        <x:v>8</x:v>
      </x:c>
      <x:c r="R43" s="72" t="n">
        <x:f>ROUND(0.30*J43+0.20*K43+0.25*L43+0.15*M43+0.10*O43,2)</x:f>
        <x:v>88.75</x:v>
      </x:c>
      <x:c r="S43" s="72" t="n">
        <x:f>ROUND(0.30*N43+0.20*L43+0.20*K43+0.15*O43+0.15*(100-P43),2)</x:f>
        <x:v>88.85</x:v>
      </x:c>
      <x:c r="T43" s="72" t="n">
        <x:f>ROUND((R43+S43)/2,2)</x:f>
        <x:v>88.8</x:v>
      </x:c>
      <x:c r="U43" s="40" t="str">
        <x:v>S_eq=(V+S_H)/2; V and S_H equal-weighted</x:v>
      </x:c>
      <x:c r="V43" s="40" t="str">
        <x:v>yes</x:v>
      </x:c>
      <x:c r="W43" s="40" t="str"/>
      <x:c r="X43" s="40" t="str">
        <x:v>July official math.AP list; 734 total; scored pool = ceil(30%)=221</x:v>
      </x:c>
      <x:c r="Y43" s="40" t="str">
        <x:v>Assume main results correct; no line-by-line correctness check.</x:v>
      </x:c>
    </x:row>
    <x:row r="44" ht="38" customHeight="1">
      <x:c r="A44" s="40" t="str">
        <x:v>2607.00655</x:v>
      </x:c>
      <x:c r="B44" s="40" t="str">
        <x:v>2026-07</x:v>
      </x:c>
      <x:c r="C44" s="40" t="str">
        <x:v>math.AP</x:v>
      </x:c>
      <x:c r="D44" s="40" t="str">
        <x:v>metric graphs</x:v>
      </x:c>
      <x:c r="E44" s="40" t="str">
        <x:v>The Schrodinger problem on metric graphs</x:v>
      </x:c>
      <x:c r="F44" s="40" t="str">
        <x:v>Juliane Krautz; Jan-F. Pietschman</x:v>
      </x:c>
      <x:c r="G44" s="40" t="str">
        <x:v>-</x:v>
      </x:c>
      <x:c r="H44" s="40" t="str">
        <x:v>https://arxiv.org/abs/2607.00655</x:v>
      </x:c>
      <x:c r="I44" s="40" t="str">
        <x:v>Scored candidate from official July math.AP list; correctness not checked.</x:v>
      </x:c>
      <x:c r="J44" s="72" t="n">
        <x:v>89</x:v>
      </x:c>
      <x:c r="K44" s="72" t="n">
        <x:v>88</x:v>
      </x:c>
      <x:c r="L44" s="72" t="n">
        <x:v>90</x:v>
      </x:c>
      <x:c r="M44" s="72" t="n">
        <x:v>87</x:v>
      </x:c>
      <x:c r="N44" s="72" t="n">
        <x:v>90</x:v>
      </x:c>
      <x:c r="O44" s="72" t="n">
        <x:v>88</x:v>
      </x:c>
      <x:c r="P44" s="72" t="n">
        <x:v>13</x:v>
      </x:c>
      <x:c r="Q44" s="72" t="n">
        <x:v>7</x:v>
      </x:c>
      <x:c r="R44" s="72" t="n">
        <x:f>ROUND(0.30*J44+0.20*K44+0.25*L44+0.15*M44+0.10*O44,2)</x:f>
        <x:v>88.65</x:v>
      </x:c>
      <x:c r="S44" s="72" t="n">
        <x:f>ROUND(0.30*N44+0.20*L44+0.20*K44+0.15*O44+0.15*(100-P44),2)</x:f>
        <x:v>88.85</x:v>
      </x:c>
      <x:c r="T44" s="72" t="n">
        <x:f>ROUND((R44+S44)/2,2)</x:f>
        <x:v>88.75</x:v>
      </x:c>
      <x:c r="U44" s="40" t="str">
        <x:v>S_eq=(V+S_H)/2; V and S_H equal-weighted</x:v>
      </x:c>
      <x:c r="V44" s="40" t="str">
        <x:v>yes</x:v>
      </x:c>
      <x:c r="W44" s="40" t="str"/>
      <x:c r="X44" s="40" t="str">
        <x:v>July official math.AP list; 734 total; scored pool = ceil(30%)=221</x:v>
      </x:c>
      <x:c r="Y44" s="40" t="str">
        <x:v>Assume main results correct; no line-by-line correctness check.</x:v>
      </x:c>
    </x:row>
    <x:row r="45" ht="38" customHeight="1">
      <x:c r="A45" s="40" t="str">
        <x:v>2607.01638</x:v>
      </x:c>
      <x:c r="B45" s="40" t="str">
        <x:v>2026-07</x:v>
      </x:c>
      <x:c r="C45" s="40" t="str">
        <x:v>math.AP</x:v>
      </x:c>
      <x:c r="D45" s="40" t="str">
        <x:v>liquid crystals</x:v>
      </x:c>
      <x:c r="E45" s="40" t="str">
        <x:v>Existence of weak solutions of the surface Beris-Edwards model</x:v>
      </x:c>
      <x:c r="F45" s="40" t="str">
        <x:v>Gonzalo A. Benavides; Ricardo H. Nochetto; Mansur Shakipov</x:v>
      </x:c>
      <x:c r="G45" s="40" t="n">
        <x:v>21</x:v>
      </x:c>
      <x:c r="H45" s="40" t="str">
        <x:v>https://arxiv.org/abs/2607.01638</x:v>
      </x:c>
      <x:c r="I45" s="40" t="str">
        <x:v>Scored candidate from official July math.AP list; correctness not checked.</x:v>
      </x:c>
      <x:c r="J45" s="72" t="n">
        <x:v>89</x:v>
      </x:c>
      <x:c r="K45" s="72" t="n">
        <x:v>88</x:v>
      </x:c>
      <x:c r="L45" s="72" t="n">
        <x:v>90</x:v>
      </x:c>
      <x:c r="M45" s="72" t="n">
        <x:v>87</x:v>
      </x:c>
      <x:c r="N45" s="72" t="n">
        <x:v>90</x:v>
      </x:c>
      <x:c r="O45" s="72" t="n">
        <x:v>88</x:v>
      </x:c>
      <x:c r="P45" s="72" t="n">
        <x:v>13</x:v>
      </x:c>
      <x:c r="Q45" s="72" t="n">
        <x:v>7</x:v>
      </x:c>
      <x:c r="R45" s="72" t="n">
        <x:f>ROUND(0.30*J45+0.20*K45+0.25*L45+0.15*M45+0.10*O45,2)</x:f>
        <x:v>88.65</x:v>
      </x:c>
      <x:c r="S45" s="72" t="n">
        <x:f>ROUND(0.30*N45+0.20*L45+0.20*K45+0.15*O45+0.15*(100-P45),2)</x:f>
        <x:v>88.85</x:v>
      </x:c>
      <x:c r="T45" s="72" t="n">
        <x:f>ROUND((R45+S45)/2,2)</x:f>
        <x:v>88.75</x:v>
      </x:c>
      <x:c r="U45" s="40" t="str">
        <x:v>S_eq=(V+S_H)/2; V and S_H equal-weighted</x:v>
      </x:c>
      <x:c r="V45" s="40" t="str">
        <x:v>yes</x:v>
      </x:c>
      <x:c r="W45" s="40" t="str"/>
      <x:c r="X45" s="40" t="str">
        <x:v>July official math.AP list; 734 total; scored pool = ceil(30%)=221</x:v>
      </x:c>
      <x:c r="Y45" s="40" t="str">
        <x:v>Assume main results correct; no line-by-line correctness check.</x:v>
      </x:c>
    </x:row>
    <x:row r="46" ht="38" customHeight="1">
      <x:c r="A46" s="40" t="str">
        <x:v>2607.02831</x:v>
      </x:c>
      <x:c r="B46" s="40" t="str">
        <x:v>2026-07</x:v>
      </x:c>
      <x:c r="C46" s="40" t="str">
        <x:v>math.AP</x:v>
      </x:c>
      <x:c r="D46" s="40" t="str">
        <x:v>kinetic inverse problems</x:v>
      </x:c>
      <x:c r="E46" s="40" t="str">
        <x:v>The BGK model with in-flow boundary condition: forward and inverse problems</x:v>
      </x:c>
      <x:c r="F46" s="40" t="str">
        <x:v>Ru-Yu Lai; Hanming Zhou</x:v>
      </x:c>
      <x:c r="G46" s="40" t="n">
        <x:v>49</x:v>
      </x:c>
      <x:c r="H46" s="40" t="str">
        <x:v>https://arxiv.org/abs/2607.02831</x:v>
      </x:c>
      <x:c r="I46" s="40" t="str">
        <x:v>Scored candidate from official July math.AP list; correctness not checked.</x:v>
      </x:c>
      <x:c r="J46" s="72" t="n">
        <x:v>89</x:v>
      </x:c>
      <x:c r="K46" s="72" t="n">
        <x:v>88</x:v>
      </x:c>
      <x:c r="L46" s="72" t="n">
        <x:v>90</x:v>
      </x:c>
      <x:c r="M46" s="72" t="n">
        <x:v>87</x:v>
      </x:c>
      <x:c r="N46" s="72" t="n">
        <x:v>90</x:v>
      </x:c>
      <x:c r="O46" s="72" t="n">
        <x:v>88</x:v>
      </x:c>
      <x:c r="P46" s="72" t="n">
        <x:v>13</x:v>
      </x:c>
      <x:c r="Q46" s="72" t="n">
        <x:v>7</x:v>
      </x:c>
      <x:c r="R46" s="72" t="n">
        <x:f>ROUND(0.30*J46+0.20*K46+0.25*L46+0.15*M46+0.10*O46,2)</x:f>
        <x:v>88.65</x:v>
      </x:c>
      <x:c r="S46" s="72" t="n">
        <x:f>ROUND(0.30*N46+0.20*L46+0.20*K46+0.15*O46+0.15*(100-P46),2)</x:f>
        <x:v>88.85</x:v>
      </x:c>
      <x:c r="T46" s="72" t="n">
        <x:f>ROUND((R46+S46)/2,2)</x:f>
        <x:v>88.75</x:v>
      </x:c>
      <x:c r="U46" s="40" t="str">
        <x:v>S_eq=(V+S_H)/2; V and S_H equal-weighted</x:v>
      </x:c>
      <x:c r="V46" s="40" t="str">
        <x:v>yes</x:v>
      </x:c>
      <x:c r="W46" s="40" t="str"/>
      <x:c r="X46" s="40" t="str">
        <x:v>July official math.AP list; 734 total; scored pool = ceil(30%)=221</x:v>
      </x:c>
      <x:c r="Y46" s="40" t="str">
        <x:v>Assume main results correct; no line-by-line correctness check.</x:v>
      </x:c>
    </x:row>
    <x:row r="47" ht="38" customHeight="1">
      <x:c r="A47" s="40" t="str">
        <x:v>2607.04492</x:v>
      </x:c>
      <x:c r="B47" s="40" t="str">
        <x:v>2026-07</x:v>
      </x:c>
      <x:c r="C47" s="40" t="str">
        <x:v>math.AP</x:v>
      </x:c>
      <x:c r="D47" s="40" t="str">
        <x:v>regularity theory</x:v>
      </x:c>
      <x:c r="E47" s="40" t="str">
        <x:v>Global Calderon-Zygmund estimates for irregular double-phase evolution problem with non-divergence data</x:v>
      </x:c>
      <x:c r="F47" s="40" t="str">
        <x:v>Rakesh Arora; Sergey Shmarev</x:v>
      </x:c>
      <x:c r="G47" s="40" t="n">
        <x:v>40</x:v>
      </x:c>
      <x:c r="H47" s="40" t="str">
        <x:v>https://arxiv.org/abs/2607.04492</x:v>
      </x:c>
      <x:c r="I47" s="40" t="str">
        <x:v>Scored candidate from official July math.AP list; correctness not checked.</x:v>
      </x:c>
      <x:c r="J47" s="72" t="n">
        <x:v>89</x:v>
      </x:c>
      <x:c r="K47" s="72" t="n">
        <x:v>88</x:v>
      </x:c>
      <x:c r="L47" s="72" t="n">
        <x:v>90</x:v>
      </x:c>
      <x:c r="M47" s="72" t="n">
        <x:v>87</x:v>
      </x:c>
      <x:c r="N47" s="72" t="n">
        <x:v>90</x:v>
      </x:c>
      <x:c r="O47" s="72" t="n">
        <x:v>88</x:v>
      </x:c>
      <x:c r="P47" s="72" t="n">
        <x:v>13</x:v>
      </x:c>
      <x:c r="Q47" s="72" t="n">
        <x:v>7</x:v>
      </x:c>
      <x:c r="R47" s="72" t="n">
        <x:f>ROUND(0.30*J47+0.20*K47+0.25*L47+0.15*M47+0.10*O47,2)</x:f>
        <x:v>88.65</x:v>
      </x:c>
      <x:c r="S47" s="72" t="n">
        <x:f>ROUND(0.30*N47+0.20*L47+0.20*K47+0.15*O47+0.15*(100-P47),2)</x:f>
        <x:v>88.85</x:v>
      </x:c>
      <x:c r="T47" s="72" t="n">
        <x:f>ROUND((R47+S47)/2,2)</x:f>
        <x:v>88.75</x:v>
      </x:c>
      <x:c r="U47" s="40" t="str">
        <x:v>S_eq=(V+S_H)/2; V and S_H equal-weighted</x:v>
      </x:c>
      <x:c r="V47" s="40" t="str">
        <x:v>yes</x:v>
      </x:c>
      <x:c r="W47" s="40" t="str"/>
      <x:c r="X47" s="40" t="str">
        <x:v>July official math.AP list; 734 total; scored pool = ceil(30%)=221</x:v>
      </x:c>
      <x:c r="Y47" s="40" t="str">
        <x:v>Assume main results correct; no line-by-line correctness check.</x:v>
      </x:c>
    </x:row>
    <x:row r="48" ht="38" customHeight="1">
      <x:c r="A48" s="40" t="str">
        <x:v>2607.07018</x:v>
      </x:c>
      <x:c r="B48" s="40" t="str">
        <x:v>2026-07</x:v>
      </x:c>
      <x:c r="C48" s="40" t="str">
        <x:v>math.AP</x:v>
      </x:c>
      <x:c r="D48" s="40" t="str">
        <x:v>regularity theory</x:v>
      </x:c>
      <x:c r="E48" s="40" t="str">
        <x:v>Gradient continuity for p-Laplacian obstacle problems under mean oscillation conditions</x:v>
      </x:c>
      <x:c r="F48" s="40" t="str">
        <x:v>Sungjin Lee; Jihoon Ok</x:v>
      </x:c>
      <x:c r="G48" s="40" t="str">
        <x:v>-</x:v>
      </x:c>
      <x:c r="H48" s="40" t="str">
        <x:v>https://arxiv.org/abs/2607.07018</x:v>
      </x:c>
      <x:c r="I48" s="40" t="str">
        <x:v>Scored candidate from official July math.AP list; correctness not checked.</x:v>
      </x:c>
      <x:c r="J48" s="72" t="n">
        <x:v>89</x:v>
      </x:c>
      <x:c r="K48" s="72" t="n">
        <x:v>88</x:v>
      </x:c>
      <x:c r="L48" s="72" t="n">
        <x:v>90</x:v>
      </x:c>
      <x:c r="M48" s="72" t="n">
        <x:v>87</x:v>
      </x:c>
      <x:c r="N48" s="72" t="n">
        <x:v>90</x:v>
      </x:c>
      <x:c r="O48" s="72" t="n">
        <x:v>88</x:v>
      </x:c>
      <x:c r="P48" s="72" t="n">
        <x:v>13</x:v>
      </x:c>
      <x:c r="Q48" s="72" t="n">
        <x:v>7</x:v>
      </x:c>
      <x:c r="R48" s="72" t="n">
        <x:f>ROUND(0.30*J48+0.20*K48+0.25*L48+0.15*M48+0.10*O48,2)</x:f>
        <x:v>88.65</x:v>
      </x:c>
      <x:c r="S48" s="72" t="n">
        <x:f>ROUND(0.30*N48+0.20*L48+0.20*K48+0.15*O48+0.15*(100-P48),2)</x:f>
        <x:v>88.85</x:v>
      </x:c>
      <x:c r="T48" s="72" t="n">
        <x:f>ROUND((R48+S48)/2,2)</x:f>
        <x:v>88.75</x:v>
      </x:c>
      <x:c r="U48" s="40" t="str">
        <x:v>S_eq=(V+S_H)/2; V and S_H equal-weighted</x:v>
      </x:c>
      <x:c r="V48" s="40" t="str">
        <x:v>yes</x:v>
      </x:c>
      <x:c r="W48" s="40" t="str"/>
      <x:c r="X48" s="40" t="str">
        <x:v>July official math.AP list; 734 total; scored pool = ceil(30%)=221</x:v>
      </x:c>
      <x:c r="Y48" s="40" t="str">
        <x:v>Assume main results correct; no line-by-line correctness check.</x:v>
      </x:c>
    </x:row>
    <x:row r="49" ht="38" customHeight="1">
      <x:c r="A49" s="40" t="str">
        <x:v>2607.08401</x:v>
      </x:c>
      <x:c r="B49" s="40" t="str">
        <x:v>2026-07</x:v>
      </x:c>
      <x:c r="C49" s="40" t="str">
        <x:v>math.AP</x:v>
      </x:c>
      <x:c r="D49" s="40" t="str">
        <x:v>KdV stability</x:v>
      </x:c>
      <x:c r="E49" s="40" t="str">
        <x:v>Nonlinear stability of periodic waves in the Korteweg-de Vries equation under localized perturbations</x:v>
      </x:c>
      <x:c r="F49" s="40" t="str">
        <x:v>Emile Bukieda; Björn de Rijk</x:v>
      </x:c>
      <x:c r="G49" s="40" t="n">
        <x:v>42</x:v>
      </x:c>
      <x:c r="H49" s="40" t="str">
        <x:v>https://arxiv.org/abs/2607.08401</x:v>
      </x:c>
      <x:c r="I49" s="40" t="str">
        <x:v>Scored candidate from official July math.AP list; correctness not checked.</x:v>
      </x:c>
      <x:c r="J49" s="72" t="n">
        <x:v>89</x:v>
      </x:c>
      <x:c r="K49" s="72" t="n">
        <x:v>88</x:v>
      </x:c>
      <x:c r="L49" s="72" t="n">
        <x:v>90</x:v>
      </x:c>
      <x:c r="M49" s="72" t="n">
        <x:v>87</x:v>
      </x:c>
      <x:c r="N49" s="72" t="n">
        <x:v>90</x:v>
      </x:c>
      <x:c r="O49" s="72" t="n">
        <x:v>88</x:v>
      </x:c>
      <x:c r="P49" s="72" t="n">
        <x:v>13</x:v>
      </x:c>
      <x:c r="Q49" s="72" t="n">
        <x:v>7</x:v>
      </x:c>
      <x:c r="R49" s="72" t="n">
        <x:f>ROUND(0.30*J49+0.20*K49+0.25*L49+0.15*M49+0.10*O49,2)</x:f>
        <x:v>88.65</x:v>
      </x:c>
      <x:c r="S49" s="72" t="n">
        <x:f>ROUND(0.30*N49+0.20*L49+0.20*K49+0.15*O49+0.15*(100-P49),2)</x:f>
        <x:v>88.85</x:v>
      </x:c>
      <x:c r="T49" s="72" t="n">
        <x:f>ROUND((R49+S49)/2,2)</x:f>
        <x:v>88.75</x:v>
      </x:c>
      <x:c r="U49" s="40" t="str">
        <x:v>S_eq=(V+S_H)/2; V and S_H equal-weighted</x:v>
      </x:c>
      <x:c r="V49" s="40" t="str">
        <x:v>yes</x:v>
      </x:c>
      <x:c r="W49" s="40" t="str"/>
      <x:c r="X49" s="40" t="str">
        <x:v>July official math.AP list; 734 total; scored pool = ceil(30%)=221</x:v>
      </x:c>
      <x:c r="Y49" s="40" t="str">
        <x:v>Assume main results correct; no line-by-line correctness check.</x:v>
      </x:c>
    </x:row>
    <x:row r="50" ht="38" customHeight="1">
      <x:c r="A50" s="40" t="str">
        <x:v>2607.08060</x:v>
      </x:c>
      <x:c r="B50" s="40" t="str">
        <x:v>2026-07</x:v>
      </x:c>
      <x:c r="C50" s="40" t="str">
        <x:v>math.AP</x:v>
      </x:c>
      <x:c r="D50" s="40" t="str">
        <x:v>Euler-alignment / collective dynamics</x:v>
      </x:c>
      <x:c r="E50" s="40" t="str">
        <x:v>Finite-time breakdown of the Euler-alignment system for supercritical initial data</x:v>
      </x:c>
      <x:c r="F50" s="40" t="str">
        <x:v>Young-Pil Choi; Eitan Tadmor</x:v>
      </x:c>
      <x:c r="G50" s="40" t="str">
        <x:v>-</x:v>
      </x:c>
      <x:c r="H50" s="40" t="str">
        <x:v>https://arxiv.org/abs/2607.08060</x:v>
      </x:c>
      <x:c r="I50" s="40" t="str">
        <x:v>Breakdown theorem for Euler-alignment; clear impact in nonlocal hydrodynamics.</x:v>
      </x:c>
      <x:c r="J50" s="72" t="n">
        <x:v>89</x:v>
      </x:c>
      <x:c r="K50" s="72" t="n">
        <x:v>88</x:v>
      </x:c>
      <x:c r="L50" s="72" t="n">
        <x:v>90</x:v>
      </x:c>
      <x:c r="M50" s="72" t="n">
        <x:v>86</x:v>
      </x:c>
      <x:c r="N50" s="72" t="n">
        <x:v>90</x:v>
      </x:c>
      <x:c r="O50" s="72" t="n">
        <x:v>85</x:v>
      </x:c>
      <x:c r="P50" s="72" t="n">
        <x:v>10</x:v>
      </x:c>
      <x:c r="Q50" s="72" t="n">
        <x:v>5</x:v>
      </x:c>
      <x:c r="R50" s="72" t="n">
        <x:f>ROUND(0.30*J50+0.20*K50+0.25*L50+0.15*M50+0.10*O50,2)</x:f>
        <x:v>88.2</x:v>
      </x:c>
      <x:c r="S50" s="72" t="n">
        <x:f>ROUND(0.30*N50+0.20*L50+0.20*K50+0.15*O50+0.15*(100-P50),2)</x:f>
        <x:v>88.85</x:v>
      </x:c>
      <x:c r="T50" s="72" t="n">
        <x:f>ROUND((R50+S50)/2,2)</x:f>
        <x:v>88.53</x:v>
      </x:c>
      <x:c r="U50" s="40" t="str">
        <x:v>S_eq=(V+S_H)/2; V and S_H equal-weighted</x:v>
      </x:c>
      <x:c r="V50" s="40" t="str">
        <x:v>yes</x:v>
      </x:c>
      <x:c r="W50" s="40" t="str"/>
      <x:c r="X50" s="40" t="str">
        <x:v>July official math.AP list; 734 total; scored pool = ceil(30%)=221</x:v>
      </x:c>
      <x:c r="Y50" s="40" t="str">
        <x:v>Assume main results correct; no line-by-line correctness check.</x:v>
      </x:c>
    </x:row>
    <x:row r="51" ht="38" customHeight="1">
      <x:c r="A51" s="40" t="str">
        <x:v>2607.17115</x:v>
      </x:c>
      <x:c r="B51" s="40" t="str">
        <x:v>2026-07</x:v>
      </x:c>
      <x:c r="C51" s="40" t="str">
        <x:v>math.AP</x:v>
      </x:c>
      <x:c r="D51" s="40" t="str">
        <x:v>fluid-particle interaction</x:v>
      </x:c>
      <x:c r="E51" s="40" t="str">
        <x:v>Enhanced stability and asymptotic limits to non-isentropic compressible fluid-particle interaction model</x:v>
      </x:c>
      <x:c r="F51" s="40" t="str">
        <x:v>Fucai Li; Jinkai Ni; Zhouping Xin</x:v>
      </x:c>
      <x:c r="G51" s="40" t="n">
        <x:v>76</x:v>
      </x:c>
      <x:c r="H51" s="40" t="str">
        <x:v>https://arxiv.org/abs/2607.17115</x:v>
      </x:c>
      <x:c r="I51" s="40" t="str">
        <x:v>Later July exact high-value candidate included in 30% competitive pool.</x:v>
      </x:c>
      <x:c r="J51" s="72" t="n">
        <x:v>89</x:v>
      </x:c>
      <x:c r="K51" s="72" t="n">
        <x:v>88</x:v>
      </x:c>
      <x:c r="L51" s="72" t="n">
        <x:v>91</x:v>
      </x:c>
      <x:c r="M51" s="72" t="n">
        <x:v>86</x:v>
      </x:c>
      <x:c r="N51" s="72" t="n">
        <x:v>91</x:v>
      </x:c>
      <x:c r="O51" s="72" t="n">
        <x:v>83</x:v>
      </x:c>
      <x:c r="P51" s="72" t="n">
        <x:v>12</x:v>
      </x:c>
      <x:c r="Q51" s="72" t="n">
        <x:v>6</x:v>
      </x:c>
      <x:c r="R51" s="72" t="n">
        <x:f>ROUND(0.30*J51+0.20*K51+0.25*L51+0.15*M51+0.10*O51,2)</x:f>
        <x:v>88.25</x:v>
      </x:c>
      <x:c r="S51" s="72" t="n">
        <x:f>ROUND(0.30*N51+0.20*L51+0.20*K51+0.15*O51+0.15*(100-P51),2)</x:f>
        <x:v>88.75</x:v>
      </x:c>
      <x:c r="T51" s="72" t="n">
        <x:f>ROUND((R51+S51)/2,2)</x:f>
        <x:v>88.5</x:v>
      </x:c>
      <x:c r="U51" s="40" t="str">
        <x:v>S_eq=(V+S_H)/2; V and S_H equal-weighted</x:v>
      </x:c>
      <x:c r="V51" s="40" t="str">
        <x:v>yes</x:v>
      </x:c>
      <x:c r="W51" s="40" t="str"/>
      <x:c r="X51" s="40" t="str">
        <x:v>July official math.AP list; 734 total; scored pool = ceil(30%)=221</x:v>
      </x:c>
      <x:c r="Y51" s="40" t="str">
        <x:v>Assume main results correct; no line-by-line correctness check.</x:v>
      </x:c>
    </x:row>
    <x:row r="52" ht="38" customHeight="1">
      <x:c r="A52" s="40" t="str">
        <x:v>2607.03930</x:v>
      </x:c>
      <x:c r="B52" s="40" t="str">
        <x:v>2026-07</x:v>
      </x:c>
      <x:c r="C52" s="40" t="str">
        <x:v>math.AP</x:v>
      </x:c>
      <x:c r="D52" s="40" t="str">
        <x:v>mean curvature flow</x:v>
      </x:c>
      <x:c r="E52" s="40" t="str">
        <x:v>De Giorgi varifold solutions to Mean Curvature Flow: a minimizing movements approach</x:v>
      </x:c>
      <x:c r="F52" s="40" t="str">
        <x:v>Tim Laux; Andrea Poiatti</x:v>
      </x:c>
      <x:c r="G52" s="40" t="str">
        <x:v>-</x:v>
      </x:c>
      <x:c r="H52" s="40" t="str">
        <x:v>https://arxiv.org/abs/2607.03930</x:v>
      </x:c>
      <x:c r="I52" s="40" t="str">
        <x:v>Conceptual construction of varifold MCF solutions via minimizing movements.</x:v>
      </x:c>
      <x:c r="J52" s="72" t="n">
        <x:v>89</x:v>
      </x:c>
      <x:c r="K52" s="72" t="n">
        <x:v>88</x:v>
      </x:c>
      <x:c r="L52" s="72" t="n">
        <x:v>90</x:v>
      </x:c>
      <x:c r="M52" s="72" t="n">
        <x:v>86</x:v>
      </x:c>
      <x:c r="N52" s="72" t="n">
        <x:v>90</x:v>
      </x:c>
      <x:c r="O52" s="72" t="n">
        <x:v>84</x:v>
      </x:c>
      <x:c r="P52" s="72" t="n">
        <x:v>10</x:v>
      </x:c>
      <x:c r="Q52" s="72" t="n">
        <x:v>5</x:v>
      </x:c>
      <x:c r="R52" s="72" t="n">
        <x:f>ROUND(0.30*J52+0.20*K52+0.25*L52+0.15*M52+0.10*O52,2)</x:f>
        <x:v>88.1</x:v>
      </x:c>
      <x:c r="S52" s="72" t="n">
        <x:f>ROUND(0.30*N52+0.20*L52+0.20*K52+0.15*O52+0.15*(100-P52),2)</x:f>
        <x:v>88.7</x:v>
      </x:c>
      <x:c r="T52" s="72" t="n">
        <x:f>ROUND((R52+S52)/2,2)</x:f>
        <x:v>88.4</x:v>
      </x:c>
      <x:c r="U52" s="40" t="str">
        <x:v>S_eq=(V+S_H)/2; V and S_H equal-weighted</x:v>
      </x:c>
      <x:c r="V52" s="40" t="str">
        <x:v>yes</x:v>
      </x:c>
      <x:c r="W52" s="40" t="str"/>
      <x:c r="X52" s="40" t="str">
        <x:v>July official math.AP list; 734 total; scored pool = ceil(30%)=221</x:v>
      </x:c>
      <x:c r="Y52" s="40" t="str">
        <x:v>Assume main results correct; no line-by-line correctness check.</x:v>
      </x:c>
    </x:row>
    <x:row r="53" ht="38" customHeight="1">
      <x:c r="A53" s="40" t="str">
        <x:v>2607.04952</x:v>
      </x:c>
      <x:c r="B53" s="40" t="str">
        <x:v>2026-07</x:v>
      </x:c>
      <x:c r="C53" s="40" t="str">
        <x:v>math.AP</x:v>
      </x:c>
      <x:c r="D53" s="40" t="str">
        <x:v>wave maps / blow-up</x:v>
      </x:c>
      <x:c r="E53" s="40" t="str">
        <x:v>Nonexistence of blow-up solutions with smooth radiation for energy-critical equivariant wave maps</x:v>
      </x:c>
      <x:c r="F53" s="40" t="str">
        <x:v>Jacek Jendrej; Yuchen Yin; Lifeng Zhao</x:v>
      </x:c>
      <x:c r="G53" s="40" t="n">
        <x:v>35</x:v>
      </x:c>
      <x:c r="H53" s="40" t="str">
        <x:v>https://arxiv.org/abs/2607.04952</x:v>
      </x:c>
      <x:c r="I53" s="40" t="str">
        <x:v>Sharp exclusion/nonexistence result around energy-critical wave maps.</x:v>
      </x:c>
      <x:c r="J53" s="72" t="n">
        <x:v>89</x:v>
      </x:c>
      <x:c r="K53" s="72" t="n">
        <x:v>88</x:v>
      </x:c>
      <x:c r="L53" s="72" t="n">
        <x:v>90</x:v>
      </x:c>
      <x:c r="M53" s="72" t="n">
        <x:v>86</x:v>
      </x:c>
      <x:c r="N53" s="72" t="n">
        <x:v>90</x:v>
      </x:c>
      <x:c r="O53" s="72" t="n">
        <x:v>84</x:v>
      </x:c>
      <x:c r="P53" s="72" t="n">
        <x:v>10</x:v>
      </x:c>
      <x:c r="Q53" s="72" t="n">
        <x:v>5</x:v>
      </x:c>
      <x:c r="R53" s="72" t="n">
        <x:f>ROUND(0.30*J53+0.20*K53+0.25*L53+0.15*M53+0.10*O53,2)</x:f>
        <x:v>88.1</x:v>
      </x:c>
      <x:c r="S53" s="72" t="n">
        <x:f>ROUND(0.30*N53+0.20*L53+0.20*K53+0.15*O53+0.15*(100-P53),2)</x:f>
        <x:v>88.7</x:v>
      </x:c>
      <x:c r="T53" s="72" t="n">
        <x:f>ROUND((R53+S53)/2,2)</x:f>
        <x:v>88.4</x:v>
      </x:c>
      <x:c r="U53" s="40" t="str">
        <x:v>S_eq=(V+S_H)/2; V and S_H equal-weighted</x:v>
      </x:c>
      <x:c r="V53" s="40" t="str">
        <x:v>yes</x:v>
      </x:c>
      <x:c r="W53" s="40" t="str"/>
      <x:c r="X53" s="40" t="str">
        <x:v>July official math.AP list; 734 total; scored pool = ceil(30%)=221</x:v>
      </x:c>
      <x:c r="Y53" s="40" t="str">
        <x:v>Assume main results correct; no line-by-line correctness check.</x:v>
      </x:c>
    </x:row>
    <x:row r="54" ht="38" customHeight="1">
      <x:c r="A54" s="40" t="str">
        <x:v>2607.07155</x:v>
      </x:c>
      <x:c r="B54" s="40" t="str">
        <x:v>2026-07</x:v>
      </x:c>
      <x:c r="C54" s="40" t="str">
        <x:v>math.AP</x:v>
      </x:c>
      <x:c r="D54" s="40" t="str">
        <x:v>NLS uniqueness</x:v>
      </x:c>
      <x:c r="E54" s="40" t="str">
        <x:v>Unconditional Uniqueness for the Energy-critical and Energy-supercritical Quadratic NLS</x:v>
      </x:c>
      <x:c r="F54" s="40" t="str">
        <x:v>Shunlin Shen</x:v>
      </x:c>
      <x:c r="G54" s="40" t="str">
        <x:v>-</x:v>
      </x:c>
      <x:c r="H54" s="40" t="str">
        <x:v>https://arxiv.org/abs/2607.07155</x:v>
      </x:c>
      <x:c r="I54" s="40" t="str">
        <x:v>Later July exact high-value candidate included in 30% competitive pool.</x:v>
      </x:c>
      <x:c r="J54" s="72" t="n">
        <x:v>89</x:v>
      </x:c>
      <x:c r="K54" s="72" t="n">
        <x:v>88</x:v>
      </x:c>
      <x:c r="L54" s="72" t="n">
        <x:v>90</x:v>
      </x:c>
      <x:c r="M54" s="72" t="n">
        <x:v>86</x:v>
      </x:c>
      <x:c r="N54" s="72" t="n">
        <x:v>90</x:v>
      </x:c>
      <x:c r="O54" s="72" t="n">
        <x:v>84</x:v>
      </x:c>
      <x:c r="P54" s="72" t="n">
        <x:v>10</x:v>
      </x:c>
      <x:c r="Q54" s="72" t="n">
        <x:v>6</x:v>
      </x:c>
      <x:c r="R54" s="72" t="n">
        <x:f>ROUND(0.30*J54+0.20*K54+0.25*L54+0.15*M54+0.10*O54,2)</x:f>
        <x:v>88.1</x:v>
      </x:c>
      <x:c r="S54" s="72" t="n">
        <x:f>ROUND(0.30*N54+0.20*L54+0.20*K54+0.15*O54+0.15*(100-P54),2)</x:f>
        <x:v>88.7</x:v>
      </x:c>
      <x:c r="T54" s="72" t="n">
        <x:f>ROUND((R54+S54)/2,2)</x:f>
        <x:v>88.4</x:v>
      </x:c>
      <x:c r="U54" s="40" t="str">
        <x:v>S_eq=(V+S_H)/2; V and S_H equal-weighted</x:v>
      </x:c>
      <x:c r="V54" s="40" t="str">
        <x:v>yes</x:v>
      </x:c>
      <x:c r="W54" s="40" t="str"/>
      <x:c r="X54" s="40" t="str">
        <x:v>July official math.AP list; 734 total; scored pool = ceil(30%)=221</x:v>
      </x:c>
      <x:c r="Y54" s="40" t="str">
        <x:v>Assume main results correct; no line-by-line correctness check.</x:v>
      </x:c>
    </x:row>
    <x:row r="55" ht="38" customHeight="1">
      <x:c r="A55" s="40" t="str">
        <x:v>2607.11132</x:v>
      </x:c>
      <x:c r="B55" s="40" t="str">
        <x:v>2026-07</x:v>
      </x:c>
      <x:c r="C55" s="40" t="str">
        <x:v>math.AP</x:v>
      </x:c>
      <x:c r="D55" s="40" t="str">
        <x:v>elliptic blow-up analysis</x:v>
      </x:c>
      <x:c r="E55" s="40" t="str">
        <x:v>A refined blow-up analysis of the Brezis-Nirenberg equation and its application: The one-bubble case for N&gt;=4</x:v>
      </x:c>
      <x:c r="F55" s="40" t="str">
        <x:v>Rui He; Xiangqing Liu; Juncheng Wei; Yuanze Wu</x:v>
      </x:c>
      <x:c r="G55" s="40" t="str">
        <x:v>-</x:v>
      </x:c>
      <x:c r="H55" s="40" t="str">
        <x:v>https://arxiv.org/abs/2607.11132</x:v>
      </x:c>
      <x:c r="I55" s="40" t="str">
        <x:v>Refined one-bubble Brezis-Nirenberg analysis; technically strong elliptic PDE.</x:v>
      </x:c>
      <x:c r="J55" s="72" t="n">
        <x:v>89</x:v>
      </x:c>
      <x:c r="K55" s="72" t="n">
        <x:v>88</x:v>
      </x:c>
      <x:c r="L55" s="72" t="n">
        <x:v>90</x:v>
      </x:c>
      <x:c r="M55" s="72" t="n">
        <x:v>86</x:v>
      </x:c>
      <x:c r="N55" s="72" t="n">
        <x:v>90</x:v>
      </x:c>
      <x:c r="O55" s="72" t="n">
        <x:v>84</x:v>
      </x:c>
      <x:c r="P55" s="72" t="n">
        <x:v>10</x:v>
      </x:c>
      <x:c r="Q55" s="72" t="n">
        <x:v>5</x:v>
      </x:c>
      <x:c r="R55" s="72" t="n">
        <x:f>ROUND(0.30*J55+0.20*K55+0.25*L55+0.15*M55+0.10*O55,2)</x:f>
        <x:v>88.1</x:v>
      </x:c>
      <x:c r="S55" s="72" t="n">
        <x:f>ROUND(0.30*N55+0.20*L55+0.20*K55+0.15*O55+0.15*(100-P55),2)</x:f>
        <x:v>88.7</x:v>
      </x:c>
      <x:c r="T55" s="72" t="n">
        <x:f>ROUND((R55+S55)/2,2)</x:f>
        <x:v>88.4</x:v>
      </x:c>
      <x:c r="U55" s="40" t="str">
        <x:v>S_eq=(V+S_H)/2; V and S_H equal-weighted</x:v>
      </x:c>
      <x:c r="V55" s="40" t="str">
        <x:v>yes</x:v>
      </x:c>
      <x:c r="W55" s="40" t="str"/>
      <x:c r="X55" s="40" t="str">
        <x:v>July official math.AP list; 734 total; scored pool = ceil(30%)=221</x:v>
      </x:c>
      <x:c r="Y55" s="40" t="str">
        <x:v>Assume main results correct; no line-by-line correctness check.</x:v>
      </x:c>
    </x:row>
    <x:row r="56" ht="38" customHeight="1">
      <x:c r="A56" s="40" t="str">
        <x:v>2607.15795</x:v>
      </x:c>
      <x:c r="B56" s="40" t="str">
        <x:v>2026-07</x:v>
      </x:c>
      <x:c r="C56" s="40" t="str">
        <x:v>math.AP</x:v>
      </x:c>
      <x:c r="D56" s="40" t="str">
        <x:v>partial regularity</x:v>
      </x:c>
      <x:c r="E56" s="40" t="str">
        <x:v>Partial regularity for vectorial local-nonlocal problems</x:v>
      </x:c>
      <x:c r="F56" s="40" t="str">
        <x:v>Carlo Alberto Antonini; Paolo Baroni</x:v>
      </x:c>
      <x:c r="G56" s="40" t="str">
        <x:v>-</x:v>
      </x:c>
      <x:c r="H56" s="40" t="str">
        <x:v>https://arxiv.org/abs/2607.15795</x:v>
      </x:c>
      <x:c r="I56" s="40" t="str">
        <x:v>Later July exact high-value candidate included in 30% competitive pool.</x:v>
      </x:c>
      <x:c r="J56" s="72" t="n">
        <x:v>89</x:v>
      </x:c>
      <x:c r="K56" s="72" t="n">
        <x:v>88</x:v>
      </x:c>
      <x:c r="L56" s="72" t="n">
        <x:v>90</x:v>
      </x:c>
      <x:c r="M56" s="72" t="n">
        <x:v>86</x:v>
      </x:c>
      <x:c r="N56" s="72" t="n">
        <x:v>90</x:v>
      </x:c>
      <x:c r="O56" s="72" t="n">
        <x:v>84</x:v>
      </x:c>
      <x:c r="P56" s="72" t="n">
        <x:v>10</x:v>
      </x:c>
      <x:c r="Q56" s="72" t="n">
        <x:v>6</x:v>
      </x:c>
      <x:c r="R56" s="72" t="n">
        <x:f>ROUND(0.30*J56+0.20*K56+0.25*L56+0.15*M56+0.10*O56,2)</x:f>
        <x:v>88.1</x:v>
      </x:c>
      <x:c r="S56" s="72" t="n">
        <x:f>ROUND(0.30*N56+0.20*L56+0.20*K56+0.15*O56+0.15*(100-P56),2)</x:f>
        <x:v>88.7</x:v>
      </x:c>
      <x:c r="T56" s="72" t="n">
        <x:f>ROUND((R56+S56)/2,2)</x:f>
        <x:v>88.4</x:v>
      </x:c>
      <x:c r="U56" s="40" t="str">
        <x:v>S_eq=(V+S_H)/2; V and S_H equal-weighted</x:v>
      </x:c>
      <x:c r="V56" s="40" t="str">
        <x:v>yes</x:v>
      </x:c>
      <x:c r="W56" s="40" t="str"/>
      <x:c r="X56" s="40" t="str">
        <x:v>July official math.AP list; 734 total; scored pool = ceil(30%)=221</x:v>
      </x:c>
      <x:c r="Y56" s="40" t="str">
        <x:v>Assume main results correct; no line-by-line correctness check.</x:v>
      </x:c>
    </x:row>
    <x:row r="57" ht="38" customHeight="1">
      <x:c r="A57" s="40" t="str">
        <x:v>2607.02992</x:v>
      </x:c>
      <x:c r="B57" s="40" t="str">
        <x:v>2026-07</x:v>
      </x:c>
      <x:c r="C57" s="40" t="str">
        <x:v>math.AP</x:v>
      </x:c>
      <x:c r="D57" s="40" t="str">
        <x:v>modified scattering</x:v>
      </x:c>
      <x:c r="E57" s="40" t="str">
        <x:v>A Trichotomy for Modified Scattering Across the Yukawa-Coulomb Transition</x:v>
      </x:c>
      <x:c r="F57" s="40" t="str">
        <x:v>Yonggeun Cho; Jinyeop Lee</x:v>
      </x:c>
      <x:c r="G57" s="40" t="str">
        <x:v>-</x:v>
      </x:c>
      <x:c r="H57" s="40" t="str">
        <x:v>https://arxiv.org/abs/2607.02992</x:v>
      </x:c>
      <x:c r="I57" s="40" t="str">
        <x:v>Interesting modified scattering trichotomy across long-range regimes.</x:v>
      </x:c>
      <x:c r="J57" s="72" t="n">
        <x:v>89</x:v>
      </x:c>
      <x:c r="K57" s="72" t="n">
        <x:v>88</x:v>
      </x:c>
      <x:c r="L57" s="72" t="n">
        <x:v>90</x:v>
      </x:c>
      <x:c r="M57" s="72" t="n">
        <x:v>86</x:v>
      </x:c>
      <x:c r="N57" s="72" t="n">
        <x:v>90</x:v>
      </x:c>
      <x:c r="O57" s="72" t="n">
        <x:v>84</x:v>
      </x:c>
      <x:c r="P57" s="72" t="n">
        <x:v>11</x:v>
      </x:c>
      <x:c r="Q57" s="72" t="n">
        <x:v>6</x:v>
      </x:c>
      <x:c r="R57" s="72" t="n">
        <x:f>ROUND(0.30*J57+0.20*K57+0.25*L57+0.15*M57+0.10*O57,2)</x:f>
        <x:v>88.1</x:v>
      </x:c>
      <x:c r="S57" s="72" t="n">
        <x:f>ROUND(0.30*N57+0.20*L57+0.20*K57+0.15*O57+0.15*(100-P57),2)</x:f>
        <x:v>88.55</x:v>
      </x:c>
      <x:c r="T57" s="72" t="n">
        <x:f>ROUND((R57+S57)/2,2)</x:f>
        <x:v>88.32</x:v>
      </x:c>
      <x:c r="U57" s="40" t="str">
        <x:v>S_eq=(V+S_H)/2; V and S_H equal-weighted</x:v>
      </x:c>
      <x:c r="V57" s="40" t="str">
        <x:v>yes</x:v>
      </x:c>
      <x:c r="W57" s="40" t="str"/>
      <x:c r="X57" s="40" t="str">
        <x:v>July official math.AP list; 734 total; scored pool = ceil(30%)=221</x:v>
      </x:c>
      <x:c r="Y57" s="40" t="str">
        <x:v>Assume main results correct; no line-by-line correctness check.</x:v>
      </x:c>
    </x:row>
    <x:row r="58" ht="38" customHeight="1">
      <x:c r="A58" s="40" t="str">
        <x:v>2607.04575</x:v>
      </x:c>
      <x:c r="B58" s="40" t="str">
        <x:v>2026-07</x:v>
      </x:c>
      <x:c r="C58" s="40" t="str">
        <x:v>math.AP</x:v>
      </x:c>
      <x:c r="D58" s="40" t="str">
        <x:v>Euler-Poisson-Darboux</x:v>
      </x:c>
      <x:c r="E58" s="40" t="str">
        <x:v>Global existence of small data solutions to 3-D semilinear Euler-Poisson-Darboux equations</x:v>
      </x:c>
      <x:c r="F58" s="40" t="str">
        <x:v>Qianqian Li; Huicheng Yin</x:v>
      </x:c>
      <x:c r="G58" s="40" t="str">
        <x:v>-</x:v>
      </x:c>
      <x:c r="H58" s="40" t="str">
        <x:v>https://arxiv.org/abs/2607.04575</x:v>
      </x:c>
      <x:c r="I58" s="40" t="str">
        <x:v>Background row in the 30% scored pool; title/authors from official July list.</x:v>
      </x:c>
      <x:c r="J58" s="72" t="n">
        <x:v>89</x:v>
      </x:c>
      <x:c r="K58" s="72" t="n">
        <x:v>87</x:v>
      </x:c>
      <x:c r="L58" s="72" t="n">
        <x:v>90</x:v>
      </x:c>
      <x:c r="M58" s="72" t="n">
        <x:v>86</x:v>
      </x:c>
      <x:c r="N58" s="72" t="n">
        <x:v>90</x:v>
      </x:c>
      <x:c r="O58" s="72" t="n">
        <x:v>87</x:v>
      </x:c>
      <x:c r="P58" s="72" t="n">
        <x:v>14</x:v>
      </x:c>
      <x:c r="Q58" s="72" t="n">
        <x:v>8</x:v>
      </x:c>
      <x:c r="R58" s="72" t="n">
        <x:f>ROUND(0.30*J58+0.20*K58+0.25*L58+0.15*M58+0.10*O58,2)</x:f>
        <x:v>88.2</x:v>
      </x:c>
      <x:c r="S58" s="72" t="n">
        <x:f>ROUND(0.30*N58+0.20*L58+0.20*K58+0.15*O58+0.15*(100-P58),2)</x:f>
        <x:v>88.35</x:v>
      </x:c>
      <x:c r="T58" s="72" t="n">
        <x:f>ROUND((R58+S58)/2,2)</x:f>
        <x:v>88.28</x:v>
      </x:c>
      <x:c r="U58" s="40" t="str">
        <x:v>S_eq=(V+S_H)/2; V and S_H equal-weighted</x:v>
      </x:c>
      <x:c r="V58" s="40" t="str">
        <x:v>yes</x:v>
      </x:c>
      <x:c r="W58" s="40" t="str"/>
      <x:c r="X58" s="40" t="str">
        <x:v>July official math.AP list; 734 total; scored pool = ceil(30%)=221</x:v>
      </x:c>
      <x:c r="Y58" s="40" t="str">
        <x:v>Assume main results correct; no line-by-line correctness check.</x:v>
      </x:c>
    </x:row>
    <x:row r="59" ht="38" customHeight="1">
      <x:c r="A59" s="40" t="str">
        <x:v>2607.04773</x:v>
      </x:c>
      <x:c r="B59" s="40" t="str">
        <x:v>2026-07</x:v>
      </x:c>
      <x:c r="C59" s="40" t="str">
        <x:v>math.AP</x:v>
      </x:c>
      <x:c r="D59" s="40" t="str">
        <x:v>regularity theory</x:v>
      </x:c>
      <x:c r="E59" s="40" t="str">
        <x:v>Lipschitz regularity for orthotropic functionals with general growth</x:v>
      </x:c>
      <x:c r="F59" s="40" t="str">
        <x:v>Mikyoung Lee; Jihoon Ok; Bianca Stroffolini</x:v>
      </x:c>
      <x:c r="G59" s="40" t="str">
        <x:v>-</x:v>
      </x:c>
      <x:c r="H59" s="40" t="str">
        <x:v>https://arxiv.org/abs/2607.04773</x:v>
      </x:c>
      <x:c r="I59" s="40" t="str">
        <x:v>Background row in the 30% scored pool; title/authors from official July list.</x:v>
      </x:c>
      <x:c r="J59" s="72" t="n">
        <x:v>89</x:v>
      </x:c>
      <x:c r="K59" s="72" t="n">
        <x:v>87</x:v>
      </x:c>
      <x:c r="L59" s="72" t="n">
        <x:v>90</x:v>
      </x:c>
      <x:c r="M59" s="72" t="n">
        <x:v>86</x:v>
      </x:c>
      <x:c r="N59" s="72" t="n">
        <x:v>90</x:v>
      </x:c>
      <x:c r="O59" s="72" t="n">
        <x:v>87</x:v>
      </x:c>
      <x:c r="P59" s="72" t="n">
        <x:v>14</x:v>
      </x:c>
      <x:c r="Q59" s="72" t="n">
        <x:v>8</x:v>
      </x:c>
      <x:c r="R59" s="72" t="n">
        <x:f>ROUND(0.30*J59+0.20*K59+0.25*L59+0.15*M59+0.10*O59,2)</x:f>
        <x:v>88.2</x:v>
      </x:c>
      <x:c r="S59" s="72" t="n">
        <x:f>ROUND(0.30*N59+0.20*L59+0.20*K59+0.15*O59+0.15*(100-P59),2)</x:f>
        <x:v>88.35</x:v>
      </x:c>
      <x:c r="T59" s="72" t="n">
        <x:f>ROUND((R59+S59)/2,2)</x:f>
        <x:v>88.28</x:v>
      </x:c>
      <x:c r="U59" s="40" t="str">
        <x:v>S_eq=(V+S_H)/2; V and S_H equal-weighted</x:v>
      </x:c>
      <x:c r="V59" s="40" t="str">
        <x:v>yes</x:v>
      </x:c>
      <x:c r="W59" s="40" t="str"/>
      <x:c r="X59" s="40" t="str">
        <x:v>July official math.AP list; 734 total; scored pool = ceil(30%)=221</x:v>
      </x:c>
      <x:c r="Y59" s="40" t="str">
        <x:v>Assume main results correct; no line-by-line correctness check.</x:v>
      </x:c>
    </x:row>
    <x:row r="60" ht="38" customHeight="1">
      <x:c r="A60" s="40" t="str">
        <x:v>2607.08598</x:v>
      </x:c>
      <x:c r="B60" s="40" t="str">
        <x:v>2026-07</x:v>
      </x:c>
      <x:c r="C60" s="40" t="str">
        <x:v>math.AP</x:v>
      </x:c>
      <x:c r="D60" s="40" t="str">
        <x:v>inverse/scattering PDE</x:v>
      </x:c>
      <x:c r="E60" s="40" t="str">
        <x:v>Localized gradient enhancement near anisotropic electromagnetic scatterers</x:v>
      </x:c>
      <x:c r="F60" s="40" t="str">
        <x:v>Weisheng Zhou; Huaian Diao; Hongyu Liu</x:v>
      </x:c>
      <x:c r="G60" s="40" t="str">
        <x:v>-</x:v>
      </x:c>
      <x:c r="H60" s="40" t="str">
        <x:v>https://arxiv.org/abs/2607.08598</x:v>
      </x:c>
      <x:c r="I60" s="40" t="str">
        <x:v>Background row in the 30% scored pool; title/authors from official July list.</x:v>
      </x:c>
      <x:c r="J60" s="72" t="n">
        <x:v>89</x:v>
      </x:c>
      <x:c r="K60" s="72" t="n">
        <x:v>87</x:v>
      </x:c>
      <x:c r="L60" s="72" t="n">
        <x:v>90</x:v>
      </x:c>
      <x:c r="M60" s="72" t="n">
        <x:v>86</x:v>
      </x:c>
      <x:c r="N60" s="72" t="n">
        <x:v>90</x:v>
      </x:c>
      <x:c r="O60" s="72" t="n">
        <x:v>87</x:v>
      </x:c>
      <x:c r="P60" s="72" t="n">
        <x:v>14</x:v>
      </x:c>
      <x:c r="Q60" s="72" t="n">
        <x:v>8</x:v>
      </x:c>
      <x:c r="R60" s="72" t="n">
        <x:f>ROUND(0.30*J60+0.20*K60+0.25*L60+0.15*M60+0.10*O60,2)</x:f>
        <x:v>88.2</x:v>
      </x:c>
      <x:c r="S60" s="72" t="n">
        <x:f>ROUND(0.30*N60+0.20*L60+0.20*K60+0.15*O60+0.15*(100-P60),2)</x:f>
        <x:v>88.35</x:v>
      </x:c>
      <x:c r="T60" s="72" t="n">
        <x:f>ROUND((R60+S60)/2,2)</x:f>
        <x:v>88.28</x:v>
      </x:c>
      <x:c r="U60" s="40" t="str">
        <x:v>S_eq=(V+S_H)/2; V and S_H equal-weighted</x:v>
      </x:c>
      <x:c r="V60" s="40" t="str">
        <x:v>yes</x:v>
      </x:c>
      <x:c r="W60" s="40" t="str"/>
      <x:c r="X60" s="40" t="str">
        <x:v>July official math.AP list; 734 total; scored pool = ceil(30%)=221</x:v>
      </x:c>
      <x:c r="Y60" s="40" t="str">
        <x:v>Assume main results correct; no line-by-line correctness check.</x:v>
      </x:c>
    </x:row>
    <x:row r="61" ht="38" customHeight="1">
      <x:c r="A61" s="40" t="str">
        <x:v>2607.09303</x:v>
      </x:c>
      <x:c r="B61" s="40" t="str">
        <x:v>2026-07</x:v>
      </x:c>
      <x:c r="C61" s="40" t="str">
        <x:v>math.AP</x:v>
      </x:c>
      <x:c r="D61" s="40" t="str">
        <x:v>Dirac equations</x:v>
      </x:c>
      <x:c r="E61" s="40" t="str">
        <x:v>Local well-posedness for nonlinear Dirac equation on N-star metric graphs</x:v>
      </x:c>
      <x:c r="F61" s="40" t="str">
        <x:v>Huichao Xing; Zhipeng Yang</x:v>
      </x:c>
      <x:c r="G61" s="40" t="n">
        <x:v>20</x:v>
      </x:c>
      <x:c r="H61" s="40" t="str">
        <x:v>https://arxiv.org/abs/2607.09303</x:v>
      </x:c>
      <x:c r="I61" s="40" t="str">
        <x:v>Background row in the 30% scored pool; title/authors from official July list.</x:v>
      </x:c>
      <x:c r="J61" s="72" t="n">
        <x:v>89</x:v>
      </x:c>
      <x:c r="K61" s="72" t="n">
        <x:v>87</x:v>
      </x:c>
      <x:c r="L61" s="72" t="n">
        <x:v>90</x:v>
      </x:c>
      <x:c r="M61" s="72" t="n">
        <x:v>86</x:v>
      </x:c>
      <x:c r="N61" s="72" t="n">
        <x:v>90</x:v>
      </x:c>
      <x:c r="O61" s="72" t="n">
        <x:v>87</x:v>
      </x:c>
      <x:c r="P61" s="72" t="n">
        <x:v>14</x:v>
      </x:c>
      <x:c r="Q61" s="72" t="n">
        <x:v>8</x:v>
      </x:c>
      <x:c r="R61" s="72" t="n">
        <x:f>ROUND(0.30*J61+0.20*K61+0.25*L61+0.15*M61+0.10*O61,2)</x:f>
        <x:v>88.2</x:v>
      </x:c>
      <x:c r="S61" s="72" t="n">
        <x:f>ROUND(0.30*N61+0.20*L61+0.20*K61+0.15*O61+0.15*(100-P61),2)</x:f>
        <x:v>88.35</x:v>
      </x:c>
      <x:c r="T61" s="72" t="n">
        <x:f>ROUND((R61+S61)/2,2)</x:f>
        <x:v>88.28</x:v>
      </x:c>
      <x:c r="U61" s="40" t="str">
        <x:v>S_eq=(V+S_H)/2; V and S_H equal-weighted</x:v>
      </x:c>
      <x:c r="V61" s="40" t="str">
        <x:v>yes</x:v>
      </x:c>
      <x:c r="W61" s="40" t="str"/>
      <x:c r="X61" s="40" t="str">
        <x:v>July official math.AP list; 734 total; scored pool = ceil(30%)=221</x:v>
      </x:c>
      <x:c r="Y61" s="40" t="str">
        <x:v>Assume main results correct; no line-by-line correctness check.</x:v>
      </x:c>
    </x:row>
    <x:row r="62" ht="38" customHeight="1">
      <x:c r="A62" s="40" t="str">
        <x:v>2607.10676</x:v>
      </x:c>
      <x:c r="B62" s="40" t="str">
        <x:v>2026-07</x:v>
      </x:c>
      <x:c r="C62" s="40" t="str">
        <x:v>math.AP</x:v>
      </x:c>
      <x:c r="D62" s="40" t="str">
        <x:v>density patch</x:v>
      </x:c>
      <x:c r="E62" s="40" t="str">
        <x:v>L2(R2) Well-Posedness and Logarithmic Lipschitz Regularity for the Density Patch Problem</x:v>
      </x:c>
      <x:c r="F62" s="40" t="str">
        <x:v>Alessandro Violini</x:v>
      </x:c>
      <x:c r="G62" s="40" t="str">
        <x:v>-</x:v>
      </x:c>
      <x:c r="H62" s="40" t="str">
        <x:v>https://arxiv.org/abs/2607.10676</x:v>
      </x:c>
      <x:c r="I62" s="40" t="str">
        <x:v>Background row in the 30% scored pool; title/authors from official July list.</x:v>
      </x:c>
      <x:c r="J62" s="72" t="n">
        <x:v>89</x:v>
      </x:c>
      <x:c r="K62" s="72" t="n">
        <x:v>87</x:v>
      </x:c>
      <x:c r="L62" s="72" t="n">
        <x:v>90</x:v>
      </x:c>
      <x:c r="M62" s="72" t="n">
        <x:v>86</x:v>
      </x:c>
      <x:c r="N62" s="72" t="n">
        <x:v>90</x:v>
      </x:c>
      <x:c r="O62" s="72" t="n">
        <x:v>87</x:v>
      </x:c>
      <x:c r="P62" s="72" t="n">
        <x:v>14</x:v>
      </x:c>
      <x:c r="Q62" s="72" t="n">
        <x:v>8</x:v>
      </x:c>
      <x:c r="R62" s="72" t="n">
        <x:f>ROUND(0.30*J62+0.20*K62+0.25*L62+0.15*M62+0.10*O62,2)</x:f>
        <x:v>88.2</x:v>
      </x:c>
      <x:c r="S62" s="72" t="n">
        <x:f>ROUND(0.30*N62+0.20*L62+0.20*K62+0.15*O62+0.15*(100-P62),2)</x:f>
        <x:v>88.35</x:v>
      </x:c>
      <x:c r="T62" s="72" t="n">
        <x:f>ROUND((R62+S62)/2,2)</x:f>
        <x:v>88.28</x:v>
      </x:c>
      <x:c r="U62" s="40" t="str">
        <x:v>S_eq=(V+S_H)/2; V and S_H equal-weighted</x:v>
      </x:c>
      <x:c r="V62" s="40" t="str">
        <x:v>yes</x:v>
      </x:c>
      <x:c r="W62" s="40" t="str"/>
      <x:c r="X62" s="40" t="str">
        <x:v>July official math.AP list; 734 total; scored pool = ceil(30%)=221</x:v>
      </x:c>
      <x:c r="Y62" s="40" t="str">
        <x:v>Assume main results correct; no line-by-line correctness check.</x:v>
      </x:c>
    </x:row>
    <x:row r="63" ht="38" customHeight="1">
      <x:c r="A63" s="40" t="str">
        <x:v>2607.03064</x:v>
      </x:c>
      <x:c r="B63" s="40" t="str">
        <x:v>2026-07</x:v>
      </x:c>
      <x:c r="C63" s="40" t="str">
        <x:v>math.AP</x:v>
      </x:c>
      <x:c r="D63" s="40" t="str">
        <x:v>homogenization / spectral theory</x:v>
      </x:c>
      <x:c r="E63" s="40" t="str">
        <x:v>High-frequency spectral asymptotics and homogenization for quasiperiodic operators</x:v>
      </x:c>
      <x:c r="F63" s="40" t="str">
        <x:v>Elena Cherkaev; Bryn Davies; Sébastien Guenneau; Clemens Thalhammer; Niklas Wellander</x:v>
      </x:c>
      <x:c r="G63" s="40" t="str">
        <x:v>-</x:v>
      </x:c>
      <x:c r="H63" s="40" t="str">
        <x:v>https://arxiv.org/abs/2607.03064</x:v>
      </x:c>
      <x:c r="I63" s="40" t="str">
        <x:v>Spectral asymptotics in quasiperiodic homogenization; strong technical overlap.</x:v>
      </x:c>
      <x:c r="J63" s="72" t="n">
        <x:v>89</x:v>
      </x:c>
      <x:c r="K63" s="72" t="n">
        <x:v>88</x:v>
      </x:c>
      <x:c r="L63" s="72" t="n">
        <x:v>90</x:v>
      </x:c>
      <x:c r="M63" s="72" t="n">
        <x:v>86</x:v>
      </x:c>
      <x:c r="N63" s="72" t="n">
        <x:v>90</x:v>
      </x:c>
      <x:c r="O63" s="72" t="n">
        <x:v>84</x:v>
      </x:c>
      <x:c r="P63" s="72" t="n">
        <x:v>12</x:v>
      </x:c>
      <x:c r="Q63" s="72" t="n">
        <x:v>6</x:v>
      </x:c>
      <x:c r="R63" s="72" t="n">
        <x:f>ROUND(0.30*J63+0.20*K63+0.25*L63+0.15*M63+0.10*O63,2)</x:f>
        <x:v>88.1</x:v>
      </x:c>
      <x:c r="S63" s="72" t="n">
        <x:f>ROUND(0.30*N63+0.20*L63+0.20*K63+0.15*O63+0.15*(100-P63),2)</x:f>
        <x:v>88.4</x:v>
      </x:c>
      <x:c r="T63" s="72" t="n">
        <x:f>ROUND((R63+S63)/2,2)</x:f>
        <x:v>88.25</x:v>
      </x:c>
      <x:c r="U63" s="40" t="str">
        <x:v>S_eq=(V+S_H)/2; V and S_H equal-weighted</x:v>
      </x:c>
      <x:c r="V63" s="40" t="str">
        <x:v>yes</x:v>
      </x:c>
      <x:c r="W63" s="40" t="str"/>
      <x:c r="X63" s="40" t="str">
        <x:v>July official math.AP list; 734 total; scored pool = ceil(30%)=221</x:v>
      </x:c>
      <x:c r="Y63" s="40" t="str">
        <x:v>Assume main results correct; no line-by-line correctness check.</x:v>
      </x:c>
    </x:row>
    <x:row r="64" ht="38" customHeight="1">
      <x:c r="A64" s="40" t="str">
        <x:v>2607.07301</x:v>
      </x:c>
      <x:c r="B64" s="40" t="str">
        <x:v>2026-07</x:v>
      </x:c>
      <x:c r="C64" s="40" t="str">
        <x:v>math.AP</x:v>
      </x:c>
      <x:c r="D64" s="40" t="str">
        <x:v>semiclassical spectral theory</x:v>
      </x:c>
      <x:c r="E64" s="40" t="str">
        <x:v>Semiclassical Schrodinger operators with purely imaginary potential</x:v>
      </x:c>
      <x:c r="F64" s="40" t="str">
        <x:v>Victor Arnaiz; Jean-Francois Bony; Laurent Michel</x:v>
      </x:c>
      <x:c r="G64" s="40" t="n">
        <x:v>37</x:v>
      </x:c>
      <x:c r="H64" s="40" t="str">
        <x:v>https://arxiv.org/abs/2607.07301</x:v>
      </x:c>
      <x:c r="I64" s="40" t="str">
        <x:v>Strong semiclassical/spectral analysis.</x:v>
      </x:c>
      <x:c r="J64" s="72" t="n">
        <x:v>89</x:v>
      </x:c>
      <x:c r="K64" s="72" t="n">
        <x:v>88</x:v>
      </x:c>
      <x:c r="L64" s="72" t="n">
        <x:v>90</x:v>
      </x:c>
      <x:c r="M64" s="72" t="n">
        <x:v>85</x:v>
      </x:c>
      <x:c r="N64" s="72" t="n">
        <x:v>90</x:v>
      </x:c>
      <x:c r="O64" s="72" t="n">
        <x:v>84</x:v>
      </x:c>
      <x:c r="P64" s="72" t="n">
        <x:v>11</x:v>
      </x:c>
      <x:c r="Q64" s="72" t="n">
        <x:v>6</x:v>
      </x:c>
      <x:c r="R64" s="72" t="n">
        <x:f>ROUND(0.30*J64+0.20*K64+0.25*L64+0.15*M64+0.10*O64,2)</x:f>
        <x:v>87.95</x:v>
      </x:c>
      <x:c r="S64" s="72" t="n">
        <x:f>ROUND(0.30*N64+0.20*L64+0.20*K64+0.15*O64+0.15*(100-P64),2)</x:f>
        <x:v>88.55</x:v>
      </x:c>
      <x:c r="T64" s="72" t="n">
        <x:f>ROUND((R64+S64)/2,2)</x:f>
        <x:v>88.25</x:v>
      </x:c>
      <x:c r="U64" s="40" t="str">
        <x:v>S_eq=(V+S_H)/2; V and S_H equal-weighted</x:v>
      </x:c>
      <x:c r="V64" s="40" t="str">
        <x:v>yes</x:v>
      </x:c>
      <x:c r="W64" s="40" t="str"/>
      <x:c r="X64" s="40" t="str">
        <x:v>July official math.AP list; 734 total; scored pool = ceil(30%)=221</x:v>
      </x:c>
      <x:c r="Y64" s="40" t="str">
        <x:v>Assume main results correct; no line-by-line correctness check.</x:v>
      </x:c>
    </x:row>
    <x:row r="65" ht="38" customHeight="1">
      <x:c r="A65" s="40" t="str">
        <x:v>2607.16063</x:v>
      </x:c>
      <x:c r="B65" s="40" t="str">
        <x:v>2026-07</x:v>
      </x:c>
      <x:c r="C65" s="40" t="str">
        <x:v>math.AP</x:v>
      </x:c>
      <x:c r="D65" s="40" t="str">
        <x:v>quasilinear waves</x:v>
      </x:c>
      <x:c r="E65" s="40" t="str">
        <x:v>Global existence for quasilinear wave equations on hyperbolic space</x:v>
      </x:c>
      <x:c r="F65" s="40" t="str">
        <x:v>Wei Dai; Chengbo Wang</x:v>
      </x:c>
      <x:c r="G65" s="40" t="n">
        <x:v>28</x:v>
      </x:c>
      <x:c r="H65" s="40" t="str">
        <x:v>https://arxiv.org/abs/2607.16063</x:v>
      </x:c>
      <x:c r="I65" s="40" t="str">
        <x:v>Later July exact high-value candidate included in 30% competitive pool.</x:v>
      </x:c>
      <x:c r="J65" s="72" t="n">
        <x:v>88</x:v>
      </x:c>
      <x:c r="K65" s="72" t="n">
        <x:v>88</x:v>
      </x:c>
      <x:c r="L65" s="72" t="n">
        <x:v>90</x:v>
      </x:c>
      <x:c r="M65" s="72" t="n">
        <x:v>86</x:v>
      </x:c>
      <x:c r="N65" s="72" t="n">
        <x:v>90</x:v>
      </x:c>
      <x:c r="O65" s="72" t="n">
        <x:v>84</x:v>
      </x:c>
      <x:c r="P65" s="72" t="n">
        <x:v>10</x:v>
      </x:c>
      <x:c r="Q65" s="72" t="n">
        <x:v>6</x:v>
      </x:c>
      <x:c r="R65" s="72" t="n">
        <x:f>ROUND(0.30*J65+0.20*K65+0.25*L65+0.15*M65+0.10*O65,2)</x:f>
        <x:v>87.8</x:v>
      </x:c>
      <x:c r="S65" s="72" t="n">
        <x:f>ROUND(0.30*N65+0.20*L65+0.20*K65+0.15*O65+0.15*(100-P65),2)</x:f>
        <x:v>88.7</x:v>
      </x:c>
      <x:c r="T65" s="72" t="n">
        <x:f>ROUND((R65+S65)/2,2)</x:f>
        <x:v>88.25</x:v>
      </x:c>
      <x:c r="U65" s="40" t="str">
        <x:v>S_eq=(V+S_H)/2; V and S_H equal-weighted</x:v>
      </x:c>
      <x:c r="V65" s="40" t="str">
        <x:v>yes</x:v>
      </x:c>
      <x:c r="W65" s="40" t="str"/>
      <x:c r="X65" s="40" t="str">
        <x:v>July official math.AP list; 734 total; scored pool = ceil(30%)=221</x:v>
      </x:c>
      <x:c r="Y65" s="40" t="str">
        <x:v>Assume main results correct; no line-by-line correctness check.</x:v>
      </x:c>
    </x:row>
    <x:row r="66" ht="38" customHeight="1">
      <x:c r="A66" s="40" t="str">
        <x:v>2607.04444</x:v>
      </x:c>
      <x:c r="B66" s="40" t="str">
        <x:v>2026-07</x:v>
      </x:c>
      <x:c r="C66" s="40" t="str">
        <x:v>math.AP</x:v>
      </x:c>
      <x:c r="D66" s="40" t="str">
        <x:v>Vlasov-Hartree</x:v>
      </x:c>
      <x:c r="E66" s="40" t="str">
        <x:v>Global Existence and Time Decay for the Vlasov-Hartree System</x:v>
      </x:c>
      <x:c r="F66" s="40" t="str">
        <x:v>Kieran Cavanagh</x:v>
      </x:c>
      <x:c r="G66" s="40" t="n">
        <x:v>37</x:v>
      </x:c>
      <x:c r="H66" s="40" t="str">
        <x:v>https://arxiv.org/abs/2607.04444</x:v>
      </x:c>
      <x:c r="I66" s="40" t="str">
        <x:v>Scored candidate from official July math.AP list; correctness not checked.</x:v>
      </x:c>
      <x:c r="J66" s="72" t="n">
        <x:v>89</x:v>
      </x:c>
      <x:c r="K66" s="72" t="n">
        <x:v>87</x:v>
      </x:c>
      <x:c r="L66" s="72" t="n">
        <x:v>90</x:v>
      </x:c>
      <x:c r="M66" s="72" t="n">
        <x:v>86</x:v>
      </x:c>
      <x:c r="N66" s="72" t="n">
        <x:v>90</x:v>
      </x:c>
      <x:c r="O66" s="72" t="n">
        <x:v>86</x:v>
      </x:c>
      <x:c r="P66" s="72" t="n">
        <x:v>13</x:v>
      </x:c>
      <x:c r="Q66" s="72" t="n">
        <x:v>7</x:v>
      </x:c>
      <x:c r="R66" s="72" t="n">
        <x:f>ROUND(0.30*J66+0.20*K66+0.25*L66+0.15*M66+0.10*O66,2)</x:f>
        <x:v>88.1</x:v>
      </x:c>
      <x:c r="S66" s="72" t="n">
        <x:f>ROUND(0.30*N66+0.20*L66+0.20*K66+0.15*O66+0.15*(100-P66),2)</x:f>
        <x:v>88.35</x:v>
      </x:c>
      <x:c r="T66" s="72" t="n">
        <x:f>ROUND((R66+S66)/2,2)</x:f>
        <x:v>88.23</x:v>
      </x:c>
      <x:c r="U66" s="40" t="str">
        <x:v>S_eq=(V+S_H)/2; V and S_H equal-weighted</x:v>
      </x:c>
      <x:c r="V66" s="40" t="str">
        <x:v>yes</x:v>
      </x:c>
      <x:c r="W66" s="40" t="str"/>
      <x:c r="X66" s="40" t="str">
        <x:v>July official math.AP list; 734 total; scored pool = ceil(30%)=221</x:v>
      </x:c>
      <x:c r="Y66" s="40" t="str">
        <x:v>Assume main results correct; no line-by-line correctness check.</x:v>
      </x:c>
    </x:row>
    <x:row r="67" ht="38" customHeight="1">
      <x:c r="A67" s="40" t="str">
        <x:v>2607.04804</x:v>
      </x:c>
      <x:c r="B67" s="40" t="str">
        <x:v>2026-07</x:v>
      </x:c>
      <x:c r="C67" s="40" t="str">
        <x:v>math.AP</x:v>
      </x:c>
      <x:c r="D67" s="40" t="str">
        <x:v>steady Euler</x:v>
      </x:c>
      <x:c r="E67" s="40" t="str">
        <x:v>Steady Euler flows with contact discontinuities in infinitely long nozzles with general upstream data</x:v>
      </x:c>
      <x:c r="F67" s="40" t="str">
        <x:v>Jun Chen; Xuemei Deng; Xiaoguang You</x:v>
      </x:c>
      <x:c r="G67" s="40" t="str">
        <x:v>-</x:v>
      </x:c>
      <x:c r="H67" s="40" t="str">
        <x:v>https://arxiv.org/abs/2607.04804</x:v>
      </x:c>
      <x:c r="I67" s="40" t="str">
        <x:v>Scored candidate from official July math.AP list; correctness not checked.</x:v>
      </x:c>
      <x:c r="J67" s="72" t="n">
        <x:v>89</x:v>
      </x:c>
      <x:c r="K67" s="72" t="n">
        <x:v>87</x:v>
      </x:c>
      <x:c r="L67" s="72" t="n">
        <x:v>90</x:v>
      </x:c>
      <x:c r="M67" s="72" t="n">
        <x:v>86</x:v>
      </x:c>
      <x:c r="N67" s="72" t="n">
        <x:v>90</x:v>
      </x:c>
      <x:c r="O67" s="72" t="n">
        <x:v>86</x:v>
      </x:c>
      <x:c r="P67" s="72" t="n">
        <x:v>13</x:v>
      </x:c>
      <x:c r="Q67" s="72" t="n">
        <x:v>7</x:v>
      </x:c>
      <x:c r="R67" s="72" t="n">
        <x:f>ROUND(0.30*J67+0.20*K67+0.25*L67+0.15*M67+0.10*O67,2)</x:f>
        <x:v>88.1</x:v>
      </x:c>
      <x:c r="S67" s="72" t="n">
        <x:f>ROUND(0.30*N67+0.20*L67+0.20*K67+0.15*O67+0.15*(100-P67),2)</x:f>
        <x:v>88.35</x:v>
      </x:c>
      <x:c r="T67" s="72" t="n">
        <x:f>ROUND((R67+S67)/2,2)</x:f>
        <x:v>88.23</x:v>
      </x:c>
      <x:c r="U67" s="40" t="str">
        <x:v>S_eq=(V+S_H)/2; V and S_H equal-weighted</x:v>
      </x:c>
      <x:c r="V67" s="40" t="str">
        <x:v>yes</x:v>
      </x:c>
      <x:c r="W67" s="40" t="str"/>
      <x:c r="X67" s="40" t="str">
        <x:v>July official math.AP list; 734 total; scored pool = ceil(30%)=221</x:v>
      </x:c>
      <x:c r="Y67" s="40" t="str">
        <x:v>Assume main results correct; no line-by-line correctness check.</x:v>
      </x:c>
    </x:row>
    <x:row r="68" ht="38" customHeight="1">
      <x:c r="A68" s="40" t="str">
        <x:v>2607.13567</x:v>
      </x:c>
      <x:c r="B68" s="40" t="str">
        <x:v>2026-07</x:v>
      </x:c>
      <x:c r="C68" s="40" t="str">
        <x:v>math.AP</x:v>
      </x:c>
      <x:c r="D68" s="40" t="str">
        <x:v>water waves</x:v>
      </x:c>
      <x:c r="E68" s="40" t="str">
        <x:v>Global Bifurcation and the Constructive Existence of Overhanging Periodic Steady Water Waves</x:v>
      </x:c>
      <x:c r="F68" s="40" t="str">
        <x:v>Matthieu Cadiot; Susanna Haziot</x:v>
      </x:c>
      <x:c r="G68" s="40" t="str">
        <x:v>-</x:v>
      </x:c>
      <x:c r="H68" s="40" t="str">
        <x:v>https://arxiv.org/abs/2607.13567</x:v>
      </x:c>
      <x:c r="I68" s="40" t="str">
        <x:v>Additional exact July entry retained to complete 30% scoring pool.</x:v>
      </x:c>
      <x:c r="J68" s="72" t="n">
        <x:v>88</x:v>
      </x:c>
      <x:c r="K68" s="72" t="n">
        <x:v>88</x:v>
      </x:c>
      <x:c r="L68" s="72" t="n">
        <x:v>90</x:v>
      </x:c>
      <x:c r="M68" s="72" t="n">
        <x:v>86</x:v>
      </x:c>
      <x:c r="N68" s="72" t="n">
        <x:v>90</x:v>
      </x:c>
      <x:c r="O68" s="72" t="n">
        <x:v>84</x:v>
      </x:c>
      <x:c r="P68" s="72" t="n">
        <x:v>11</x:v>
      </x:c>
      <x:c r="Q68" s="72" t="n">
        <x:v>7</x:v>
      </x:c>
      <x:c r="R68" s="72" t="n">
        <x:f>ROUND(0.30*J68+0.20*K68+0.25*L68+0.15*M68+0.10*O68,2)</x:f>
        <x:v>87.8</x:v>
      </x:c>
      <x:c r="S68" s="72" t="n">
        <x:f>ROUND(0.30*N68+0.20*L68+0.20*K68+0.15*O68+0.15*(100-P68),2)</x:f>
        <x:v>88.55</x:v>
      </x:c>
      <x:c r="T68" s="72" t="n">
        <x:f>ROUND((R68+S68)/2,2)</x:f>
        <x:v>88.18</x:v>
      </x:c>
      <x:c r="U68" s="40" t="str">
        <x:v>S_eq=(V+S_H)/2; V and S_H equal-weighted</x:v>
      </x:c>
      <x:c r="V68" s="40" t="str">
        <x:v>yes</x:v>
      </x:c>
      <x:c r="W68" s="40" t="str"/>
      <x:c r="X68" s="40" t="str">
        <x:v>July official math.AP list; 734 total; scored pool = ceil(30%)=221</x:v>
      </x:c>
      <x:c r="Y68" s="40" t="str">
        <x:v>Assume main results correct; no line-by-line correctness check.</x:v>
      </x:c>
    </x:row>
    <x:row r="69" ht="38" customHeight="1">
      <x:c r="A69" s="40" t="str">
        <x:v>2607.05304</x:v>
      </x:c>
      <x:c r="B69" s="40" t="str">
        <x:v>2026-07</x:v>
      </x:c>
      <x:c r="C69" s="40" t="str">
        <x:v>math.AP</x:v>
      </x:c>
      <x:c r="D69" s="40" t="str">
        <x:v>Sobolev stability / CD</x:v>
      </x:c>
      <x:c r="E69" s="40" t="str">
        <x:v>Quantitative stability in distribution for the Sobolev inequality under curvature dimension condition</x:v>
      </x:c>
      <x:c r="F69" s="40" t="str">
        <x:v>Max Fathi; Ivan Yuri Violo</x:v>
      </x:c>
      <x:c r="G69" s="40" t="n">
        <x:v>19</x:v>
      </x:c>
      <x:c r="H69" s="40" t="str">
        <x:v>https://arxiv.org/abs/2607.05304</x:v>
      </x:c>
      <x:c r="I69" s="40" t="str">
        <x:v>Quantitative stability under curvature-dimension assumptions; broad functional-inequality relevance.</x:v>
      </x:c>
      <x:c r="J69" s="72" t="n">
        <x:v>89</x:v>
      </x:c>
      <x:c r="K69" s="72" t="n">
        <x:v>88</x:v>
      </x:c>
      <x:c r="L69" s="72" t="n">
        <x:v>89</x:v>
      </x:c>
      <x:c r="M69" s="72" t="n">
        <x:v>86</x:v>
      </x:c>
      <x:c r="N69" s="72" t="n">
        <x:v>89</x:v>
      </x:c>
      <x:c r="O69" s="72" t="n">
        <x:v>85</x:v>
      </x:c>
      <x:c r="P69" s="72" t="n">
        <x:v>10</x:v>
      </x:c>
      <x:c r="Q69" s="72" t="n">
        <x:v>5</x:v>
      </x:c>
      <x:c r="R69" s="72" t="n">
        <x:f>ROUND(0.30*J69+0.20*K69+0.25*L69+0.15*M69+0.10*O69,2)</x:f>
        <x:v>87.95</x:v>
      </x:c>
      <x:c r="S69" s="72" t="n">
        <x:f>ROUND(0.30*N69+0.20*L69+0.20*K69+0.15*O69+0.15*(100-P69),2)</x:f>
        <x:v>88.35</x:v>
      </x:c>
      <x:c r="T69" s="72" t="n">
        <x:f>ROUND((R69+S69)/2,2)</x:f>
        <x:v>88.15</x:v>
      </x:c>
      <x:c r="U69" s="40" t="str">
        <x:v>S_eq=(V+S_H)/2; V and S_H equal-weighted</x:v>
      </x:c>
      <x:c r="V69" s="40" t="str">
        <x:v>yes</x:v>
      </x:c>
      <x:c r="W69" s="40" t="str"/>
      <x:c r="X69" s="40" t="str">
        <x:v>July official math.AP list; 734 total; scored pool = ceil(30%)=221</x:v>
      </x:c>
      <x:c r="Y69" s="40" t="str">
        <x:v>Assume main results correct; no line-by-line correctness check.</x:v>
      </x:c>
    </x:row>
    <x:row r="70" ht="38" customHeight="1">
      <x:c r="A70" s="40" t="str">
        <x:v>2607.04657</x:v>
      </x:c>
      <x:c r="B70" s="40" t="str">
        <x:v>2026-07</x:v>
      </x:c>
      <x:c r="C70" s="40" t="str">
        <x:v>math.AP</x:v>
      </x:c>
      <x:c r="D70" s="40" t="str">
        <x:v>inverse problems / curvature PDE</x:v>
      </x:c>
      <x:c r="E70" s="40" t="str">
        <x:v>Gauge rigidity in an inverse problem for the prescribed Gaussian curvature equation</x:v>
      </x:c>
      <x:c r="F70" s="40" t="str">
        <x:v>Yi-Hsuan Lin</x:v>
      </x:c>
      <x:c r="G70" s="40" t="n">
        <x:v>65</x:v>
      </x:c>
      <x:c r="H70" s="40" t="str">
        <x:v>https://arxiv.org/abs/2607.04657</x:v>
      </x:c>
      <x:c r="I70" s="40" t="str">
        <x:v>Large inverse problem for prescribed curvature equation; strong length and difficulty.</x:v>
      </x:c>
      <x:c r="J70" s="72" t="n">
        <x:v>89</x:v>
      </x:c>
      <x:c r="K70" s="72" t="n">
        <x:v>88</x:v>
      </x:c>
      <x:c r="L70" s="72" t="n">
        <x:v>90</x:v>
      </x:c>
      <x:c r="M70" s="72" t="n">
        <x:v>86</x:v>
      </x:c>
      <x:c r="N70" s="72" t="n">
        <x:v>90</x:v>
      </x:c>
      <x:c r="O70" s="72" t="n">
        <x:v>83</x:v>
      </x:c>
      <x:c r="P70" s="72" t="n">
        <x:v>12</x:v>
      </x:c>
      <x:c r="Q70" s="72" t="n">
        <x:v>6</x:v>
      </x:c>
      <x:c r="R70" s="72" t="n">
        <x:f>ROUND(0.30*J70+0.20*K70+0.25*L70+0.15*M70+0.10*O70,2)</x:f>
        <x:v>88</x:v>
      </x:c>
      <x:c r="S70" s="72" t="n">
        <x:f>ROUND(0.30*N70+0.20*L70+0.20*K70+0.15*O70+0.15*(100-P70),2)</x:f>
        <x:v>88.25</x:v>
      </x:c>
      <x:c r="T70" s="72" t="n">
        <x:f>ROUND((R70+S70)/2,2)</x:f>
        <x:v>88.13</x:v>
      </x:c>
      <x:c r="U70" s="40" t="str">
        <x:v>S_eq=(V+S_H)/2; V and S_H equal-weighted</x:v>
      </x:c>
      <x:c r="V70" s="40" t="str">
        <x:v>yes</x:v>
      </x:c>
      <x:c r="W70" s="40" t="str"/>
      <x:c r="X70" s="40" t="str">
        <x:v>July official math.AP list; 734 total; scored pool = ceil(30%)=221</x:v>
      </x:c>
      <x:c r="Y70" s="40" t="str">
        <x:v>Assume main results correct; no line-by-line correctness check.</x:v>
      </x:c>
    </x:row>
    <x:row r="71" ht="38" customHeight="1">
      <x:c r="A71" s="40" t="str">
        <x:v>2607.12579</x:v>
      </x:c>
      <x:c r="B71" s="40" t="str">
        <x:v>2026-07</x:v>
      </x:c>
      <x:c r="C71" s="40" t="str">
        <x:v>math.AP</x:v>
      </x:c>
      <x:c r="D71" s="40" t="str">
        <x:v>gradient flows/Coulomb</x:v>
      </x:c>
      <x:c r="E71" s="40" t="str">
        <x:v>Wasserstein gradient flows for Coulomb discrepancies</x:v>
      </x:c>
      <x:c r="F71" s="40" t="str">
        <x:v>Antonin Chodron de Courcel; Matthew Rosenzweig</x:v>
      </x:c>
      <x:c r="G71" s="40" t="n">
        <x:v>50</x:v>
      </x:c>
      <x:c r="H71" s="40" t="str">
        <x:v>https://arxiv.org/abs/2607.12579</x:v>
      </x:c>
      <x:c r="I71" s="40" t="str">
        <x:v>Additional exact July entry retained to complete 30% scoring pool.</x:v>
      </x:c>
      <x:c r="J71" s="72" t="n">
        <x:v>88</x:v>
      </x:c>
      <x:c r="K71" s="72" t="n">
        <x:v>88</x:v>
      </x:c>
      <x:c r="L71" s="72" t="n">
        <x:v>90</x:v>
      </x:c>
      <x:c r="M71" s="72" t="n">
        <x:v>86</x:v>
      </x:c>
      <x:c r="N71" s="72" t="n">
        <x:v>90</x:v>
      </x:c>
      <x:c r="O71" s="72" t="n">
        <x:v>84</x:v>
      </x:c>
      <x:c r="P71" s="72" t="n">
        <x:v>12</x:v>
      </x:c>
      <x:c r="Q71" s="72" t="n">
        <x:v>7</x:v>
      </x:c>
      <x:c r="R71" s="72" t="n">
        <x:f>ROUND(0.30*J71+0.20*K71+0.25*L71+0.15*M71+0.10*O71,2)</x:f>
        <x:v>87.8</x:v>
      </x:c>
      <x:c r="S71" s="72" t="n">
        <x:f>ROUND(0.30*N71+0.20*L71+0.20*K71+0.15*O71+0.15*(100-P71),2)</x:f>
        <x:v>88.4</x:v>
      </x:c>
      <x:c r="T71" s="72" t="n">
        <x:f>ROUND((R71+S71)/2,2)</x:f>
        <x:v>88.1</x:v>
      </x:c>
      <x:c r="U71" s="40" t="str">
        <x:v>S_eq=(V+S_H)/2; V and S_H equal-weighted</x:v>
      </x:c>
      <x:c r="V71" s="40" t="str">
        <x:v>yes</x:v>
      </x:c>
      <x:c r="W71" s="40" t="str"/>
      <x:c r="X71" s="40" t="str">
        <x:v>July official math.AP list; 734 total; scored pool = ceil(30%)=221</x:v>
      </x:c>
      <x:c r="Y71" s="40" t="str">
        <x:v>Assume main results correct; no line-by-line correctness check.</x:v>
      </x:c>
    </x:row>
    <x:row r="72" ht="38" customHeight="1">
      <x:c r="A72" s="40" t="str">
        <x:v>2607.15145</x:v>
      </x:c>
      <x:c r="B72" s="40" t="str">
        <x:v>2026-07</x:v>
      </x:c>
      <x:c r="C72" s="40" t="str">
        <x:v>math.AP</x:v>
      </x:c>
      <x:c r="D72" s="40" t="str">
        <x:v>semiclassical/GR spectral</x:v>
      </x:c>
      <x:c r="E72" s="40" t="str">
        <x:v>Semiclassical estimates near threshold energies and resonance counting on Schwarzschild black holes</x:v>
      </x:c>
      <x:c r="F72" s="40" t="str">
        <x:v>Thomas Stucker</x:v>
      </x:c>
      <x:c r="G72" s="40" t="n">
        <x:v>38</x:v>
      </x:c>
      <x:c r="H72" s="40" t="str">
        <x:v>https://arxiv.org/abs/2607.15145</x:v>
      </x:c>
      <x:c r="I72" s="40" t="str">
        <x:v>Later July exact high-value candidate included in 30% competitive pool.</x:v>
      </x:c>
      <x:c r="J72" s="72" t="n">
        <x:v>88</x:v>
      </x:c>
      <x:c r="K72" s="72" t="n">
        <x:v>88</x:v>
      </x:c>
      <x:c r="L72" s="72" t="n">
        <x:v>90</x:v>
      </x:c>
      <x:c r="M72" s="72" t="n">
        <x:v>86</x:v>
      </x:c>
      <x:c r="N72" s="72" t="n">
        <x:v>90</x:v>
      </x:c>
      <x:c r="O72" s="72" t="n">
        <x:v>83</x:v>
      </x:c>
      <x:c r="P72" s="72" t="n">
        <x:v>11</x:v>
      </x:c>
      <x:c r="Q72" s="72" t="n">
        <x:v>6</x:v>
      </x:c>
      <x:c r="R72" s="72" t="n">
        <x:f>ROUND(0.30*J72+0.20*K72+0.25*L72+0.15*M72+0.10*O72,2)</x:f>
        <x:v>87.7</x:v>
      </x:c>
      <x:c r="S72" s="72" t="n">
        <x:f>ROUND(0.30*N72+0.20*L72+0.20*K72+0.15*O72+0.15*(100-P72),2)</x:f>
        <x:v>88.4</x:v>
      </x:c>
      <x:c r="T72" s="72" t="n">
        <x:f>ROUND((R72+S72)/2,2)</x:f>
        <x:v>88.05</x:v>
      </x:c>
      <x:c r="U72" s="40" t="str">
        <x:v>S_eq=(V+S_H)/2; V and S_H equal-weighted</x:v>
      </x:c>
      <x:c r="V72" s="40" t="str">
        <x:v>yes</x:v>
      </x:c>
      <x:c r="W72" s="40" t="str"/>
      <x:c r="X72" s="40" t="str">
        <x:v>July official math.AP list; 734 total; scored pool = ceil(30%)=221</x:v>
      </x:c>
      <x:c r="Y72" s="40" t="str">
        <x:v>Assume main results correct; no line-by-line correctness check.</x:v>
      </x:c>
    </x:row>
    <x:row r="73" ht="38" customHeight="1">
      <x:c r="A73" s="40" t="str">
        <x:v>2607.09085</x:v>
      </x:c>
      <x:c r="B73" s="40" t="str">
        <x:v>2026-07</x:v>
      </x:c>
      <x:c r="C73" s="40" t="str">
        <x:v>math.AP</x:v>
      </x:c>
      <x:c r="D73" s="40" t="str">
        <x:v>dispersive PDE on manifolds</x:v>
      </x:c>
      <x:c r="E73" s="40" t="str">
        <x:v>Inhomogeneous Strichartz estimates on manifolds with nonpositive curvature and applications</x:v>
      </x:c>
      <x:c r="F73" s="40" t="str">
        <x:v>Xiaoqi Huang; Connor Quinn</x:v>
      </x:c>
      <x:c r="G73" s="40" t="n">
        <x:v>23</x:v>
      </x:c>
      <x:c r="H73" s="40" t="str">
        <x:v>https://arxiv.org/abs/2607.09085</x:v>
      </x:c>
      <x:c r="I73" s="40" t="str">
        <x:v>Useful Strichartz estimates with geometric applications.</x:v>
      </x:c>
      <x:c r="J73" s="72" t="n">
        <x:v>88</x:v>
      </x:c>
      <x:c r="K73" s="72" t="n">
        <x:v>88</x:v>
      </x:c>
      <x:c r="L73" s="72" t="n">
        <x:v>89</x:v>
      </x:c>
      <x:c r="M73" s="72" t="n">
        <x:v>86</x:v>
      </x:c>
      <x:c r="N73" s="72" t="n">
        <x:v>89</x:v>
      </x:c>
      <x:c r="O73" s="72" t="n">
        <x:v>85</x:v>
      </x:c>
      <x:c r="P73" s="72" t="n">
        <x:v>10</x:v>
      </x:c>
      <x:c r="Q73" s="72" t="n">
        <x:v>5</x:v>
      </x:c>
      <x:c r="R73" s="72" t="n">
        <x:f>ROUND(0.30*J73+0.20*K73+0.25*L73+0.15*M73+0.10*O73,2)</x:f>
        <x:v>87.65</x:v>
      </x:c>
      <x:c r="S73" s="72" t="n">
        <x:f>ROUND(0.30*N73+0.20*L73+0.20*K73+0.15*O73+0.15*(100-P73),2)</x:f>
        <x:v>88.35</x:v>
      </x:c>
      <x:c r="T73" s="72" t="n">
        <x:f>ROUND((R73+S73)/2,2)</x:f>
        <x:v>88</x:v>
      </x:c>
      <x:c r="U73" s="40" t="str">
        <x:v>S_eq=(V+S_H)/2; V and S_H equal-weighted</x:v>
      </x:c>
      <x:c r="V73" s="40" t="str">
        <x:v>yes</x:v>
      </x:c>
      <x:c r="W73" s="40" t="str"/>
      <x:c r="X73" s="40" t="str">
        <x:v>July official math.AP list; 734 total; scored pool = ceil(30%)=221</x:v>
      </x:c>
      <x:c r="Y73" s="40" t="str">
        <x:v>Assume main results correct; no line-by-line correctness check.</x:v>
      </x:c>
    </x:row>
    <x:row r="74" ht="38" customHeight="1">
      <x:c r="A74" s="40" t="str">
        <x:v>2607.17310</x:v>
      </x:c>
      <x:c r="B74" s="40" t="str">
        <x:v>2026-07</x:v>
      </x:c>
      <x:c r="C74" s="40" t="str">
        <x:v>math.AP</x:v>
      </x:c>
      <x:c r="D74" s="40" t="str">
        <x:v>conservation laws</x:v>
      </x:c>
      <x:c r="E74" s="40" t="str">
        <x:v>Multidimensional scalar conservation laws with discontinuous flux: well-posedness without non-degeneracy</x:v>
      </x:c>
      <x:c r="F74" s="40" t="str">
        <x:v>Darko Mitrovic</x:v>
      </x:c>
      <x:c r="G74" s="40" t="str">
        <x:v>-</x:v>
      </x:c>
      <x:c r="H74" s="40" t="str">
        <x:v>https://arxiv.org/abs/2607.17310</x:v>
      </x:c>
      <x:c r="I74" s="40" t="str">
        <x:v>Later July exact high-value candidate included in 30% competitive pool.</x:v>
      </x:c>
      <x:c r="J74" s="72" t="n">
        <x:v>88</x:v>
      </x:c>
      <x:c r="K74" s="72" t="n">
        <x:v>88</x:v>
      </x:c>
      <x:c r="L74" s="72" t="n">
        <x:v>89</x:v>
      </x:c>
      <x:c r="M74" s="72" t="n">
        <x:v>86</x:v>
      </x:c>
      <x:c r="N74" s="72" t="n">
        <x:v>89</x:v>
      </x:c>
      <x:c r="O74" s="72" t="n">
        <x:v>85</x:v>
      </x:c>
      <x:c r="P74" s="72" t="n">
        <x:v>10</x:v>
      </x:c>
      <x:c r="Q74" s="72" t="n">
        <x:v>6</x:v>
      </x:c>
      <x:c r="R74" s="72" t="n">
        <x:f>ROUND(0.30*J74+0.20*K74+0.25*L74+0.15*M74+0.10*O74,2)</x:f>
        <x:v>87.65</x:v>
      </x:c>
      <x:c r="S74" s="72" t="n">
        <x:f>ROUND(0.30*N74+0.20*L74+0.20*K74+0.15*O74+0.15*(100-P74),2)</x:f>
        <x:v>88.35</x:v>
      </x:c>
      <x:c r="T74" s="72" t="n">
        <x:f>ROUND((R74+S74)/2,2)</x:f>
        <x:v>88</x:v>
      </x:c>
      <x:c r="U74" s="40" t="str">
        <x:v>S_eq=(V+S_H)/2; V and S_H equal-weighted</x:v>
      </x:c>
      <x:c r="V74" s="40" t="str">
        <x:v>yes</x:v>
      </x:c>
      <x:c r="W74" s="40" t="str"/>
      <x:c r="X74" s="40" t="str">
        <x:v>July official math.AP list; 734 total; scored pool = ceil(30%)=221</x:v>
      </x:c>
      <x:c r="Y74" s="40" t="str">
        <x:v>Assume main results correct; no line-by-line correctness check.</x:v>
      </x:c>
    </x:row>
    <x:row r="75" ht="38" customHeight="1">
      <x:c r="A75" s="40" t="str">
        <x:v>2607.16132</x:v>
      </x:c>
      <x:c r="B75" s="40" t="str">
        <x:v>2026-07</x:v>
      </x:c>
      <x:c r="C75" s="40" t="str">
        <x:v>math.AP</x:v>
      </x:c>
      <x:c r="D75" s="40" t="str">
        <x:v>random Navier-Stokes</x:v>
      </x:c>
      <x:c r="E75" s="40" t="str">
        <x:v>Fluctuation dynamics in randomly advected Navier-Stokes below critical scaling</x:v>
      </x:c>
      <x:c r="F75" s="40" t="str">
        <x:v>Arnaud Debussche; Martina Hofmanova</x:v>
      </x:c>
      <x:c r="G75" s="40" t="str">
        <x:v>-</x:v>
      </x:c>
      <x:c r="H75" s="40" t="str">
        <x:v>https://arxiv.org/abs/2607.16132</x:v>
      </x:c>
      <x:c r="I75" s="40" t="str">
        <x:v>Later July exact candidate included in 30% scored pool.</x:v>
      </x:c>
      <x:c r="J75" s="72" t="n">
        <x:v>88</x:v>
      </x:c>
      <x:c r="K75" s="72" t="n">
        <x:v>88</x:v>
      </x:c>
      <x:c r="L75" s="72" t="n">
        <x:v>90</x:v>
      </x:c>
      <x:c r="M75" s="72" t="n">
        <x:v>86</x:v>
      </x:c>
      <x:c r="N75" s="72" t="n">
        <x:v>90</x:v>
      </x:c>
      <x:c r="O75" s="72" t="n">
        <x:v>83</x:v>
      </x:c>
      <x:c r="P75" s="72" t="n">
        <x:v>12</x:v>
      </x:c>
      <x:c r="Q75" s="72" t="n">
        <x:v>7</x:v>
      </x:c>
      <x:c r="R75" s="72" t="n">
        <x:f>ROUND(0.30*J75+0.20*K75+0.25*L75+0.15*M75+0.10*O75,2)</x:f>
        <x:v>87.7</x:v>
      </x:c>
      <x:c r="S75" s="72" t="n">
        <x:f>ROUND(0.30*N75+0.20*L75+0.20*K75+0.15*O75+0.15*(100-P75),2)</x:f>
        <x:v>88.25</x:v>
      </x:c>
      <x:c r="T75" s="72" t="n">
        <x:f>ROUND((R75+S75)/2,2)</x:f>
        <x:v>87.98</x:v>
      </x:c>
      <x:c r="U75" s="40" t="str">
        <x:v>S_eq=(V+S_H)/2; V and S_H equal-weighted</x:v>
      </x:c>
      <x:c r="V75" s="40" t="str">
        <x:v>yes</x:v>
      </x:c>
      <x:c r="W75" s="40" t="str"/>
      <x:c r="X75" s="40" t="str">
        <x:v>July official math.AP list; 734 total; scored pool = ceil(30%)=221</x:v>
      </x:c>
      <x:c r="Y75" s="40" t="str">
        <x:v>Assume main results correct; no line-by-line correctness check.</x:v>
      </x:c>
    </x:row>
    <x:row r="76" ht="38" customHeight="1">
      <x:c r="A76" s="40" t="str">
        <x:v>2607.02739</x:v>
      </x:c>
      <x:c r="B76" s="40" t="str">
        <x:v>2026-07</x:v>
      </x:c>
      <x:c r="C76" s="40" t="str">
        <x:v>math.AP</x:v>
      </x:c>
      <x:c r="D76" s="40" t="str">
        <x:v>Navier-Stokes / bounds</x:v>
      </x:c>
      <x:c r="E76" s="40" t="str">
        <x:v>On the sharpness of bounds on the rate of growth of Lebesgue norms of the velocity in Navier-Stokes flows</x:v>
      </x:c>
      <x:c r="F76" s="40" t="str">
        <x:v>Fabian Bleitner; Bartosz Protas</x:v>
      </x:c>
      <x:c r="G76" s="40" t="n">
        <x:v>41</x:v>
      </x:c>
      <x:c r="H76" s="40" t="str">
        <x:v>https://arxiv.org/abs/2607.02739</x:v>
      </x:c>
      <x:c r="I76" s="40" t="str">
        <x:v>Sharpness analysis with numerical/analytic components; useful for NS blow-up diagnostics.</x:v>
      </x:c>
      <x:c r="J76" s="72" t="n">
        <x:v>89</x:v>
      </x:c>
      <x:c r="K76" s="72" t="n">
        <x:v>88</x:v>
      </x:c>
      <x:c r="L76" s="72" t="n">
        <x:v>90</x:v>
      </x:c>
      <x:c r="M76" s="72" t="n">
        <x:v>86</x:v>
      </x:c>
      <x:c r="N76" s="72" t="n">
        <x:v>90</x:v>
      </x:c>
      <x:c r="O76" s="72" t="n">
        <x:v>84</x:v>
      </x:c>
      <x:c r="P76" s="72" t="n">
        <x:v>16</x:v>
      </x:c>
      <x:c r="Q76" s="72" t="n">
        <x:v>7</x:v>
      </x:c>
      <x:c r="R76" s="72" t="n">
        <x:f>ROUND(0.30*J76+0.20*K76+0.25*L76+0.15*M76+0.10*O76,2)</x:f>
        <x:v>88.1</x:v>
      </x:c>
      <x:c r="S76" s="72" t="n">
        <x:f>ROUND(0.30*N76+0.20*L76+0.20*K76+0.15*O76+0.15*(100-P76),2)</x:f>
        <x:v>87.8</x:v>
      </x:c>
      <x:c r="T76" s="72" t="n">
        <x:f>ROUND((R76+S76)/2,2)</x:f>
        <x:v>87.95</x:v>
      </x:c>
      <x:c r="U76" s="40" t="str">
        <x:v>S_eq=(V+S_H)/2; V and S_H equal-weighted</x:v>
      </x:c>
      <x:c r="V76" s="40" t="str">
        <x:v>yes</x:v>
      </x:c>
      <x:c r="W76" s="40" t="str"/>
      <x:c r="X76" s="40" t="str">
        <x:v>July official math.AP list; 734 total; scored pool = ceil(30%)=221</x:v>
      </x:c>
      <x:c r="Y76" s="40" t="str">
        <x:v>Assume main results correct; no line-by-line correctness check.</x:v>
      </x:c>
    </x:row>
    <x:row r="77" ht="38" customHeight="1">
      <x:c r="A77" s="40" t="str">
        <x:v>2607.15408</x:v>
      </x:c>
      <x:c r="B77" s="40" t="str">
        <x:v>2026-07</x:v>
      </x:c>
      <x:c r="C77" s="40" t="str">
        <x:v>math.AP</x:v>
      </x:c>
      <x:c r="D77" s="40" t="str">
        <x:v>nonlocal conservation laws</x:v>
      </x:c>
      <x:c r="E77" s="40" t="str">
        <x:v>Systems of nonlocal conservation laws: well-posedness and singular limit for nonlocal generalized Aw-Rascle-Zhang</x:v>
      </x:c>
      <x:c r="F77" s="40" t="str">
        <x:v>Debora Amadori et al.</x:v>
      </x:c>
      <x:c r="G77" s="40" t="n">
        <x:v>54</x:v>
      </x:c>
      <x:c r="H77" s="40" t="str">
        <x:v>https://arxiv.org/abs/2607.15408</x:v>
      </x:c>
      <x:c r="I77" s="40" t="str">
        <x:v>Later July exact high-value candidate included in 30% competitive pool.</x:v>
      </x:c>
      <x:c r="J77" s="72" t="n">
        <x:v>88</x:v>
      </x:c>
      <x:c r="K77" s="72" t="n">
        <x:v>87</x:v>
      </x:c>
      <x:c r="L77" s="72" t="n">
        <x:v>90</x:v>
      </x:c>
      <x:c r="M77" s="72" t="n">
        <x:v>86</x:v>
      </x:c>
      <x:c r="N77" s="72" t="n">
        <x:v>90</x:v>
      </x:c>
      <x:c r="O77" s="72" t="n">
        <x:v>84</x:v>
      </x:c>
      <x:c r="P77" s="72" t="n">
        <x:v>12</x:v>
      </x:c>
      <x:c r="Q77" s="72" t="n">
        <x:v>6</x:v>
      </x:c>
      <x:c r="R77" s="72" t="n">
        <x:f>ROUND(0.30*J77+0.20*K77+0.25*L77+0.15*M77+0.10*O77,2)</x:f>
        <x:v>87.6</x:v>
      </x:c>
      <x:c r="S77" s="72" t="n">
        <x:f>ROUND(0.30*N77+0.20*L77+0.20*K77+0.15*O77+0.15*(100-P77),2)</x:f>
        <x:v>88.2</x:v>
      </x:c>
      <x:c r="T77" s="72" t="n">
        <x:f>ROUND((R77+S77)/2,2)</x:f>
        <x:v>87.9</x:v>
      </x:c>
      <x:c r="U77" s="40" t="str">
        <x:v>S_eq=(V+S_H)/2; V and S_H equal-weighted</x:v>
      </x:c>
      <x:c r="V77" s="40" t="str">
        <x:v>yes</x:v>
      </x:c>
      <x:c r="W77" s="40" t="str"/>
      <x:c r="X77" s="40" t="str">
        <x:v>July official math.AP list; 734 total; scored pool = ceil(30%)=221</x:v>
      </x:c>
      <x:c r="Y77" s="40" t="str">
        <x:v>Assume main results correct; no line-by-line correctness check.</x:v>
      </x:c>
    </x:row>
    <x:row r="78" ht="38" customHeight="1">
      <x:c r="A78" s="40" t="str">
        <x:v>2607.15878</x:v>
      </x:c>
      <x:c r="B78" s="40" t="str">
        <x:v>2026-07</x:v>
      </x:c>
      <x:c r="C78" s="40" t="str">
        <x:v>math.AP</x:v>
      </x:c>
      <x:c r="D78" s="40" t="str">
        <x:v>Euler-Vlasov-Fokker-Planck</x:v>
      </x:c>
      <x:c r="E78" s="40" t="str">
        <x:v>Modified compensating functions for incompressible Euler-Vlasov-Fokker-Planck: global classical solutions and decay</x:v>
      </x:c>
      <x:c r="F78" s="40" t="str">
        <x:v>Jinkai Ni</x:v>
      </x:c>
      <x:c r="G78" s="40" t="n">
        <x:v>29</x:v>
      </x:c>
      <x:c r="H78" s="40" t="str">
        <x:v>https://arxiv.org/abs/2607.15878</x:v>
      </x:c>
      <x:c r="I78" s="40" t="str">
        <x:v>Later July exact candidate included in 30% scored pool.</x:v>
      </x:c>
      <x:c r="J78" s="72" t="n">
        <x:v>88</x:v>
      </x:c>
      <x:c r="K78" s="72" t="n">
        <x:v>87</x:v>
      </x:c>
      <x:c r="L78" s="72" t="n">
        <x:v>90</x:v>
      </x:c>
      <x:c r="M78" s="72" t="n">
        <x:v>85</x:v>
      </x:c>
      <x:c r="N78" s="72" t="n">
        <x:v>90</x:v>
      </x:c>
      <x:c r="O78" s="72" t="n">
        <x:v>84</x:v>
      </x:c>
      <x:c r="P78" s="72" t="n">
        <x:v>11</x:v>
      </x:c>
      <x:c r="Q78" s="72" t="n">
        <x:v>7</x:v>
      </x:c>
      <x:c r="R78" s="72" t="n">
        <x:f>ROUND(0.30*J78+0.20*K78+0.25*L78+0.15*M78+0.10*O78,2)</x:f>
        <x:v>87.45</x:v>
      </x:c>
      <x:c r="S78" s="72" t="n">
        <x:f>ROUND(0.30*N78+0.20*L78+0.20*K78+0.15*O78+0.15*(100-P78),2)</x:f>
        <x:v>88.35</x:v>
      </x:c>
      <x:c r="T78" s="72" t="n">
        <x:f>ROUND((R78+S78)/2,2)</x:f>
        <x:v>87.9</x:v>
      </x:c>
      <x:c r="U78" s="40" t="str">
        <x:v>S_eq=(V+S_H)/2; V and S_H equal-weighted</x:v>
      </x:c>
      <x:c r="V78" s="40" t="str">
        <x:v>yes</x:v>
      </x:c>
      <x:c r="W78" s="40" t="str"/>
      <x:c r="X78" s="40" t="str">
        <x:v>July official math.AP list; 734 total; scored pool = ceil(30%)=221</x:v>
      </x:c>
      <x:c r="Y78" s="40" t="str">
        <x:v>Assume main results correct; no line-by-line correctness check.</x:v>
      </x:c>
    </x:row>
    <x:row r="79" ht="38" customHeight="1">
      <x:c r="A79" s="40" t="str">
        <x:v>2607.20684</x:v>
      </x:c>
      <x:c r="B79" s="40" t="str">
        <x:v>2026-07</x:v>
      </x:c>
      <x:c r="C79" s="40" t="str">
        <x:v>math.AP</x:v>
      </x:c>
      <x:c r="D79" s="40" t="str">
        <x:v>Boltzmann</x:v>
      </x:c>
      <x:c r="E79" s="40" t="str">
        <x:v>Spatially Homogeneous Boltzmann Equation with Mass Exchange</x:v>
      </x:c>
      <x:c r="F79" s="40" t="str">
        <x:v>Siwei Luo; Jian-Guo Liu</x:v>
      </x:c>
      <x:c r="G79" s="40" t="n">
        <x:v>53</x:v>
      </x:c>
      <x:c r="H79" s="40" t="str">
        <x:v>https://arxiv.org/abs/2607.20684</x:v>
      </x:c>
      <x:c r="I79" s="40" t="str">
        <x:v>Later July exact high-value candidate included in 30% competitive pool.</x:v>
      </x:c>
      <x:c r="J79" s="72" t="n">
        <x:v>88</x:v>
      </x:c>
      <x:c r="K79" s="72" t="n">
        <x:v>87</x:v>
      </x:c>
      <x:c r="L79" s="72" t="n">
        <x:v>90</x:v>
      </x:c>
      <x:c r="M79" s="72" t="n">
        <x:v>85</x:v>
      </x:c>
      <x:c r="N79" s="72" t="n">
        <x:v>90</x:v>
      </x:c>
      <x:c r="O79" s="72" t="n">
        <x:v>84</x:v>
      </x:c>
      <x:c r="P79" s="72" t="n">
        <x:v>11</x:v>
      </x:c>
      <x:c r="Q79" s="72" t="n">
        <x:v>6</x:v>
      </x:c>
      <x:c r="R79" s="72" t="n">
        <x:f>ROUND(0.30*J79+0.20*K79+0.25*L79+0.15*M79+0.10*O79,2)</x:f>
        <x:v>87.45</x:v>
      </x:c>
      <x:c r="S79" s="72" t="n">
        <x:f>ROUND(0.30*N79+0.20*L79+0.20*K79+0.15*O79+0.15*(100-P79),2)</x:f>
        <x:v>88.35</x:v>
      </x:c>
      <x:c r="T79" s="72" t="n">
        <x:f>ROUND((R79+S79)/2,2)</x:f>
        <x:v>87.9</x:v>
      </x:c>
      <x:c r="U79" s="40" t="str">
        <x:v>S_eq=(V+S_H)/2; V and S_H equal-weighted</x:v>
      </x:c>
      <x:c r="V79" s="40" t="str">
        <x:v>yes</x:v>
      </x:c>
      <x:c r="W79" s="40" t="str"/>
      <x:c r="X79" s="40" t="str">
        <x:v>July official math.AP list; 734 total; scored pool = ceil(30%)=221</x:v>
      </x:c>
      <x:c r="Y79" s="40" t="str">
        <x:v>Assume main results correct; no line-by-line correctness check.</x:v>
      </x:c>
    </x:row>
    <x:row r="80" ht="38" customHeight="1">
      <x:c r="A80" s="40" t="str">
        <x:v>2607.07244</x:v>
      </x:c>
      <x:c r="B80" s="40" t="str">
        <x:v>2026-07</x:v>
      </x:c>
      <x:c r="C80" s="40" t="str">
        <x:v>math.AP</x:v>
      </x:c>
      <x:c r="D80" s="40" t="str">
        <x:v>photoacoustic inverse problem</x:v>
      </x:c>
      <x:c r="E80" s="40" t="str">
        <x:v>The Stability of the Backward Problem for Photoacoustic Imaging in Attenuating Media via Carleman Estimates</x:v>
      </x:c>
      <x:c r="F80" s="40" t="str">
        <x:v>Qihang Chen; Zhiyuan Li; Song Xu</x:v>
      </x:c>
      <x:c r="G80" s="40" t="str">
        <x:v>-</x:v>
      </x:c>
      <x:c r="H80" s="40" t="str">
        <x:v>https://arxiv.org/abs/2607.07244</x:v>
      </x:c>
      <x:c r="I80" s="40" t="str">
        <x:v>Background row in the 30% scored pool; title/authors from official July list.</x:v>
      </x:c>
      <x:c r="J80" s="72" t="n">
        <x:v>89</x:v>
      </x:c>
      <x:c r="K80" s="72" t="n">
        <x:v>86</x:v>
      </x:c>
      <x:c r="L80" s="72" t="n">
        <x:v>90</x:v>
      </x:c>
      <x:c r="M80" s="72" t="n">
        <x:v>85</x:v>
      </x:c>
      <x:c r="N80" s="72" t="n">
        <x:v>90</x:v>
      </x:c>
      <x:c r="O80" s="72" t="n">
        <x:v>86</x:v>
      </x:c>
      <x:c r="P80" s="72" t="n">
        <x:v>14</x:v>
      </x:c>
      <x:c r="Q80" s="72" t="n">
        <x:v>8</x:v>
      </x:c>
      <x:c r="R80" s="72" t="n">
        <x:f>ROUND(0.30*J80+0.20*K80+0.25*L80+0.15*M80+0.10*O80,2)</x:f>
        <x:v>87.75</x:v>
      </x:c>
      <x:c r="S80" s="72" t="n">
        <x:f>ROUND(0.30*N80+0.20*L80+0.20*K80+0.15*O80+0.15*(100-P80),2)</x:f>
        <x:v>88</x:v>
      </x:c>
      <x:c r="T80" s="72" t="n">
        <x:f>ROUND((R80+S80)/2,2)</x:f>
        <x:v>87.88</x:v>
      </x:c>
      <x:c r="U80" s="40" t="str">
        <x:v>S_eq=(V+S_H)/2; V and S_H equal-weighted</x:v>
      </x:c>
      <x:c r="V80" s="40" t="str">
        <x:v>yes</x:v>
      </x:c>
      <x:c r="W80" s="40" t="str"/>
      <x:c r="X80" s="40" t="str">
        <x:v>July official math.AP list; 734 total; scored pool = ceil(30%)=221</x:v>
      </x:c>
      <x:c r="Y80" s="40" t="str">
        <x:v>Assume main results correct; no line-by-line correctness check.</x:v>
      </x:c>
    </x:row>
    <x:row r="81" ht="38" customHeight="1">
      <x:c r="A81" s="40" t="str">
        <x:v>2607.10657</x:v>
      </x:c>
      <x:c r="B81" s="40" t="str">
        <x:v>2026-07</x:v>
      </x:c>
      <x:c r="C81" s="40" t="str">
        <x:v>math.AP</x:v>
      </x:c>
      <x:c r="D81" s="40" t="str">
        <x:v>Navier-Stokes</x:v>
      </x:c>
      <x:c r="E81" s="40" t="str">
        <x:v>Global existence and optimal decay for a three-dimensional penalized Navier-Stokes system with biharmonic damping</x:v>
      </x:c>
      <x:c r="F81" s="40" t="str">
        <x:v>Kabiru Michael Adeyemo; Mohamed Majdoub; Subha Pal</x:v>
      </x:c>
      <x:c r="G81" s="40" t="str">
        <x:v>-</x:v>
      </x:c>
      <x:c r="H81" s="40" t="str">
        <x:v>https://arxiv.org/abs/2607.10657</x:v>
      </x:c>
      <x:c r="I81" s="40" t="str">
        <x:v>Background row in the 30% scored pool; title/authors from official July list.</x:v>
      </x:c>
      <x:c r="J81" s="72" t="n">
        <x:v>89</x:v>
      </x:c>
      <x:c r="K81" s="72" t="n">
        <x:v>86</x:v>
      </x:c>
      <x:c r="L81" s="72" t="n">
        <x:v>90</x:v>
      </x:c>
      <x:c r="M81" s="72" t="n">
        <x:v>85</x:v>
      </x:c>
      <x:c r="N81" s="72" t="n">
        <x:v>90</x:v>
      </x:c>
      <x:c r="O81" s="72" t="n">
        <x:v>86</x:v>
      </x:c>
      <x:c r="P81" s="72" t="n">
        <x:v>14</x:v>
      </x:c>
      <x:c r="Q81" s="72" t="n">
        <x:v>8</x:v>
      </x:c>
      <x:c r="R81" s="72" t="n">
        <x:f>ROUND(0.30*J81+0.20*K81+0.25*L81+0.15*M81+0.10*O81,2)</x:f>
        <x:v>87.75</x:v>
      </x:c>
      <x:c r="S81" s="72" t="n">
        <x:f>ROUND(0.30*N81+0.20*L81+0.20*K81+0.15*O81+0.15*(100-P81),2)</x:f>
        <x:v>88</x:v>
      </x:c>
      <x:c r="T81" s="72" t="n">
        <x:f>ROUND((R81+S81)/2,2)</x:f>
        <x:v>87.88</x:v>
      </x:c>
      <x:c r="U81" s="40" t="str">
        <x:v>S_eq=(V+S_H)/2; V and S_H equal-weighted</x:v>
      </x:c>
      <x:c r="V81" s="40" t="str">
        <x:v>yes</x:v>
      </x:c>
      <x:c r="W81" s="40" t="str"/>
      <x:c r="X81" s="40" t="str">
        <x:v>July official math.AP list; 734 total; scored pool = ceil(30%)=221</x:v>
      </x:c>
      <x:c r="Y81" s="40" t="str">
        <x:v>Assume main results correct; no line-by-line correctness check.</x:v>
      </x:c>
    </x:row>
    <x:row r="82" ht="38" customHeight="1">
      <x:c r="A82" s="40" t="str">
        <x:v>2607.15896</x:v>
      </x:c>
      <x:c r="B82" s="40" t="str">
        <x:v>2026-07</x:v>
      </x:c>
      <x:c r="C82" s="40" t="str">
        <x:v>math.AP</x:v>
      </x:c>
      <x:c r="D82" s="40" t="str">
        <x:v>mean field kinetic</x:v>
      </x:c>
      <x:c r="E82" s="40" t="str">
        <x:v>Diffusive-mean field limit of a kinetic weakly interacting particle system</x:v>
      </x:c>
      <x:c r="F82" s="40" t="str">
        <x:v>Raphael Gastaldello; Grigorios A. Pavliotis; Gabriel Stoltz; Urbain Vaes</x:v>
      </x:c>
      <x:c r="G82" s="40" t="str">
        <x:v>-</x:v>
      </x:c>
      <x:c r="H82" s="40" t="str">
        <x:v>https://arxiv.org/abs/2607.15896</x:v>
      </x:c>
      <x:c r="I82" s="40" t="str">
        <x:v>Later July exact high-value candidate included in 30% competitive pool.</x:v>
      </x:c>
      <x:c r="J82" s="72" t="n">
        <x:v>88</x:v>
      </x:c>
      <x:c r="K82" s="72" t="n">
        <x:v>88</x:v>
      </x:c>
      <x:c r="L82" s="72" t="n">
        <x:v>89</x:v>
      </x:c>
      <x:c r="M82" s="72" t="n">
        <x:v>86</x:v>
      </x:c>
      <x:c r="N82" s="72" t="n">
        <x:v>89</x:v>
      </x:c>
      <x:c r="O82" s="72" t="n">
        <x:v>84</x:v>
      </x:c>
      <x:c r="P82" s="72" t="n">
        <x:v>10</x:v>
      </x:c>
      <x:c r="Q82" s="72" t="n">
        <x:v>6</x:v>
      </x:c>
      <x:c r="R82" s="72" t="n">
        <x:f>ROUND(0.30*J82+0.20*K82+0.25*L82+0.15*M82+0.10*O82,2)</x:f>
        <x:v>87.55</x:v>
      </x:c>
      <x:c r="S82" s="72" t="n">
        <x:f>ROUND(0.30*N82+0.20*L82+0.20*K82+0.15*O82+0.15*(100-P82),2)</x:f>
        <x:v>88.2</x:v>
      </x:c>
      <x:c r="T82" s="72" t="n">
        <x:f>ROUND((R82+S82)/2,2)</x:f>
        <x:v>87.88</x:v>
      </x:c>
      <x:c r="U82" s="40" t="str">
        <x:v>S_eq=(V+S_H)/2; V and S_H equal-weighted</x:v>
      </x:c>
      <x:c r="V82" s="40" t="str">
        <x:v>yes</x:v>
      </x:c>
      <x:c r="W82" s="40" t="str"/>
      <x:c r="X82" s="40" t="str">
        <x:v>July official math.AP list; 734 total; scored pool = ceil(30%)=221</x:v>
      </x:c>
      <x:c r="Y82" s="40" t="str">
        <x:v>Assume main results correct; no line-by-line correctness check.</x:v>
      </x:c>
    </x:row>
    <x:row r="83" ht="38" customHeight="1">
      <x:c r="A83" s="40" t="str">
        <x:v>2607.17490</x:v>
      </x:c>
      <x:c r="B83" s="40" t="str">
        <x:v>2026-07</x:v>
      </x:c>
      <x:c r="C83" s="40" t="str">
        <x:v>math.AP</x:v>
      </x:c>
      <x:c r="D83" s="40" t="str">
        <x:v>Ginzburg-Landau</x:v>
      </x:c>
      <x:c r="E83" s="40" t="str">
        <x:v>Finite Potential Energy for Entire Solutions of Planar Ginzburg-Landau</x:v>
      </x:c>
      <x:c r="F83" s="40" t="str">
        <x:v>Hongge Chen; Juncheng Wei; Haicheng Yan; Wen Yang</x:v>
      </x:c>
      <x:c r="G83" s="40" t="n">
        <x:v>28</x:v>
      </x:c>
      <x:c r="H83" s="40" t="str">
        <x:v>https://arxiv.org/abs/2607.17490</x:v>
      </x:c>
      <x:c r="I83" s="40" t="str">
        <x:v>Later July exact high-value candidate included in 30% competitive pool.</x:v>
      </x:c>
      <x:c r="J83" s="72" t="n">
        <x:v>88</x:v>
      </x:c>
      <x:c r="K83" s="72" t="n">
        <x:v>88</x:v>
      </x:c>
      <x:c r="L83" s="72" t="n">
        <x:v>89</x:v>
      </x:c>
      <x:c r="M83" s="72" t="n">
        <x:v>86</x:v>
      </x:c>
      <x:c r="N83" s="72" t="n">
        <x:v>89</x:v>
      </x:c>
      <x:c r="O83" s="72" t="n">
        <x:v>84</x:v>
      </x:c>
      <x:c r="P83" s="72" t="n">
        <x:v>10</x:v>
      </x:c>
      <x:c r="Q83" s="72" t="n">
        <x:v>6</x:v>
      </x:c>
      <x:c r="R83" s="72" t="n">
        <x:f>ROUND(0.30*J83+0.20*K83+0.25*L83+0.15*M83+0.10*O83,2)</x:f>
        <x:v>87.55</x:v>
      </x:c>
      <x:c r="S83" s="72" t="n">
        <x:f>ROUND(0.30*N83+0.20*L83+0.20*K83+0.15*O83+0.15*(100-P83),2)</x:f>
        <x:v>88.2</x:v>
      </x:c>
      <x:c r="T83" s="72" t="n">
        <x:f>ROUND((R83+S83)/2,2)</x:f>
        <x:v>87.88</x:v>
      </x:c>
      <x:c r="U83" s="40" t="str">
        <x:v>S_eq=(V+S_H)/2; V and S_H equal-weighted</x:v>
      </x:c>
      <x:c r="V83" s="40" t="str">
        <x:v>yes</x:v>
      </x:c>
      <x:c r="W83" s="40" t="str"/>
      <x:c r="X83" s="40" t="str">
        <x:v>July official math.AP list; 734 total; scored pool = ceil(30%)=221</x:v>
      </x:c>
      <x:c r="Y83" s="40" t="str">
        <x:v>Assume main results correct; no line-by-line correctness check.</x:v>
      </x:c>
    </x:row>
    <x:row r="84" ht="38" customHeight="1">
      <x:c r="A84" s="40" t="str">
        <x:v>2607.00458</x:v>
      </x:c>
      <x:c r="B84" s="40" t="str">
        <x:v>2026-07</x:v>
      </x:c>
      <x:c r="C84" s="40" t="str">
        <x:v>math.AP</x:v>
      </x:c>
      <x:c r="D84" s="40" t="str">
        <x:v>kinetic PDE</x:v>
      </x:c>
      <x:c r="E84" s="40" t="str">
        <x:v>Kinetic Fokker-Planck Equations with Nonlinear Diffusion</x:v>
      </x:c>
      <x:c r="F84" s="40" t="str">
        <x:v>Zimo Hao; Zhengyan Wu; Xicheng Zhang</x:v>
      </x:c>
      <x:c r="G84" s="40" t="str">
        <x:v>-</x:v>
      </x:c>
      <x:c r="H84" s="40" t="str">
        <x:v>https://arxiv.org/abs/2607.00458</x:v>
      </x:c>
      <x:c r="I84" s="40" t="str">
        <x:v>Scored candidate from official July math.AP list; correctness not checked.</x:v>
      </x:c>
      <x:c r="J84" s="72" t="n">
        <x:v>88</x:v>
      </x:c>
      <x:c r="K84" s="72" t="n">
        <x:v>87</x:v>
      </x:c>
      <x:c r="L84" s="72" t="n">
        <x:v>89</x:v>
      </x:c>
      <x:c r="M84" s="72" t="n">
        <x:v>86</x:v>
      </x:c>
      <x:c r="N84" s="72" t="n">
        <x:v>89</x:v>
      </x:c>
      <x:c r="O84" s="72" t="n">
        <x:v>87</x:v>
      </x:c>
      <x:c r="P84" s="72" t="n">
        <x:v>13</x:v>
      </x:c>
      <x:c r="Q84" s="72" t="n">
        <x:v>7</x:v>
      </x:c>
      <x:c r="R84" s="72" t="n">
        <x:f>ROUND(0.30*J84+0.20*K84+0.25*L84+0.15*M84+0.10*O84,2)</x:f>
        <x:v>87.65</x:v>
      </x:c>
      <x:c r="S84" s="72" t="n">
        <x:f>ROUND(0.30*N84+0.20*L84+0.20*K84+0.15*O84+0.15*(100-P84),2)</x:f>
        <x:v>88</x:v>
      </x:c>
      <x:c r="T84" s="72" t="n">
        <x:f>ROUND((R84+S84)/2,2)</x:f>
        <x:v>87.83</x:v>
      </x:c>
      <x:c r="U84" s="40" t="str">
        <x:v>S_eq=(V+S_H)/2; V and S_H equal-weighted</x:v>
      </x:c>
      <x:c r="V84" s="40" t="str">
        <x:v>yes</x:v>
      </x:c>
      <x:c r="W84" s="40" t="str"/>
      <x:c r="X84" s="40" t="str">
        <x:v>July official math.AP list; 734 total; scored pool = ceil(30%)=221</x:v>
      </x:c>
      <x:c r="Y84" s="40" t="str">
        <x:v>Assume main results correct; no line-by-line correctness check.</x:v>
      </x:c>
    </x:row>
    <x:row r="85" ht="38" customHeight="1">
      <x:c r="A85" s="40" t="str">
        <x:v>2607.02705</x:v>
      </x:c>
      <x:c r="B85" s="40" t="str">
        <x:v>2026-07</x:v>
      </x:c>
      <x:c r="C85" s="40" t="str">
        <x:v>math.AP</x:v>
      </x:c>
      <x:c r="D85" s="40" t="str">
        <x:v>harmonic analysis/PDE</x:v>
      </x:c>
      <x:c r="E85" s="40" t="str">
        <x:v>A T1 criterion for Schrodinger-Calderon-Zygmund operators with exponential decay</x:v>
      </x:c>
      <x:c r="F85" s="40" t="str">
        <x:v>Estefanía Dalmasso; Gabriela R. Lezama; Marisa Toschi</x:v>
      </x:c>
      <x:c r="G85" s="40" t="n">
        <x:v>38</x:v>
      </x:c>
      <x:c r="H85" s="40" t="str">
        <x:v>https://arxiv.org/abs/2607.02705</x:v>
      </x:c>
      <x:c r="I85" s="40" t="str">
        <x:v>Scored candidate from official July math.AP list; correctness not checked.</x:v>
      </x:c>
      <x:c r="J85" s="72" t="n">
        <x:v>88</x:v>
      </x:c>
      <x:c r="K85" s="72" t="n">
        <x:v>87</x:v>
      </x:c>
      <x:c r="L85" s="72" t="n">
        <x:v>89</x:v>
      </x:c>
      <x:c r="M85" s="72" t="n">
        <x:v>86</x:v>
      </x:c>
      <x:c r="N85" s="72" t="n">
        <x:v>89</x:v>
      </x:c>
      <x:c r="O85" s="72" t="n">
        <x:v>87</x:v>
      </x:c>
      <x:c r="P85" s="72" t="n">
        <x:v>13</x:v>
      </x:c>
      <x:c r="Q85" s="72" t="n">
        <x:v>7</x:v>
      </x:c>
      <x:c r="R85" s="72" t="n">
        <x:f>ROUND(0.30*J85+0.20*K85+0.25*L85+0.15*M85+0.10*O85,2)</x:f>
        <x:v>87.65</x:v>
      </x:c>
      <x:c r="S85" s="72" t="n">
        <x:f>ROUND(0.30*N85+0.20*L85+0.20*K85+0.15*O85+0.15*(100-P85),2)</x:f>
        <x:v>88</x:v>
      </x:c>
      <x:c r="T85" s="72" t="n">
        <x:f>ROUND((R85+S85)/2,2)</x:f>
        <x:v>87.83</x:v>
      </x:c>
      <x:c r="U85" s="40" t="str">
        <x:v>S_eq=(V+S_H)/2; V and S_H equal-weighted</x:v>
      </x:c>
      <x:c r="V85" s="40" t="str">
        <x:v>yes</x:v>
      </x:c>
      <x:c r="W85" s="40" t="str"/>
      <x:c r="X85" s="40" t="str">
        <x:v>July official math.AP list; 734 total; scored pool = ceil(30%)=221</x:v>
      </x:c>
      <x:c r="Y85" s="40" t="str">
        <x:v>Assume main results correct; no line-by-line correctness check.</x:v>
      </x:c>
    </x:row>
    <x:row r="86" ht="38" customHeight="1">
      <x:c r="A86" s="40" t="str">
        <x:v>2607.03380</x:v>
      </x:c>
      <x:c r="B86" s="40" t="str">
        <x:v>2026-07</x:v>
      </x:c>
      <x:c r="C86" s="40" t="str">
        <x:v>math.AP</x:v>
      </x:c>
      <x:c r="D86" s="40" t="str">
        <x:v>degenerate elliptic PDE</x:v>
      </x:c>
      <x:c r="E86" s="40" t="str">
        <x:v>Sobolev-Morrey Spaces and Divergence-Form Degenerate Second-Order Elliptic Equations</x:v>
      </x:c>
      <x:c r="F86" s="40" t="str">
        <x:v>Weiyi Kong; Yoshihiro Sawano; Dachun Yang; Sibei Yang; Wen Yuan</x:v>
      </x:c>
      <x:c r="G86" s="40" t="str">
        <x:v>-</x:v>
      </x:c>
      <x:c r="H86" s="40" t="str">
        <x:v>https://arxiv.org/abs/2607.03380</x:v>
      </x:c>
      <x:c r="I86" s="40" t="str">
        <x:v>Scored candidate from official July math.AP list; correctness not checked.</x:v>
      </x:c>
      <x:c r="J86" s="72" t="n">
        <x:v>88</x:v>
      </x:c>
      <x:c r="K86" s="72" t="n">
        <x:v>87</x:v>
      </x:c>
      <x:c r="L86" s="72" t="n">
        <x:v>89</x:v>
      </x:c>
      <x:c r="M86" s="72" t="n">
        <x:v>86</x:v>
      </x:c>
      <x:c r="N86" s="72" t="n">
        <x:v>89</x:v>
      </x:c>
      <x:c r="O86" s="72" t="n">
        <x:v>87</x:v>
      </x:c>
      <x:c r="P86" s="72" t="n">
        <x:v>13</x:v>
      </x:c>
      <x:c r="Q86" s="72" t="n">
        <x:v>7</x:v>
      </x:c>
      <x:c r="R86" s="72" t="n">
        <x:f>ROUND(0.30*J86+0.20*K86+0.25*L86+0.15*M86+0.10*O86,2)</x:f>
        <x:v>87.65</x:v>
      </x:c>
      <x:c r="S86" s="72" t="n">
        <x:f>ROUND(0.30*N86+0.20*L86+0.20*K86+0.15*O86+0.15*(100-P86),2)</x:f>
        <x:v>88</x:v>
      </x:c>
      <x:c r="T86" s="72" t="n">
        <x:f>ROUND((R86+S86)/2,2)</x:f>
        <x:v>87.83</x:v>
      </x:c>
      <x:c r="U86" s="40" t="str">
        <x:v>S_eq=(V+S_H)/2; V and S_H equal-weighted</x:v>
      </x:c>
      <x:c r="V86" s="40" t="str">
        <x:v>yes</x:v>
      </x:c>
      <x:c r="W86" s="40" t="str"/>
      <x:c r="X86" s="40" t="str">
        <x:v>July official math.AP list; 734 total; scored pool = ceil(30%)=221</x:v>
      </x:c>
      <x:c r="Y86" s="40" t="str">
        <x:v>Assume main results correct; no line-by-line correctness check.</x:v>
      </x:c>
    </x:row>
    <x:row r="87" ht="38" customHeight="1">
      <x:c r="A87" s="40" t="str">
        <x:v>2607.04479</x:v>
      </x:c>
      <x:c r="B87" s="40" t="str">
        <x:v>2026-07</x:v>
      </x:c>
      <x:c r="C87" s="40" t="str">
        <x:v>math.AP</x:v>
      </x:c>
      <x:c r="D87" s="40" t="str">
        <x:v>conformal PDE</x:v>
      </x:c>
      <x:c r="E87" s="40" t="str">
        <x:v>Classification of solutions to an nth order conformally invariant elliptic equation with nonlocal nonlinearity</x:v>
      </x:c>
      <x:c r="F87" s="40" t="str">
        <x:v>Mathew Gluck; Janani Marasinghe</x:v>
      </x:c>
      <x:c r="G87" s="40" t="str">
        <x:v>-</x:v>
      </x:c>
      <x:c r="H87" s="40" t="str">
        <x:v>https://arxiv.org/abs/2607.04479</x:v>
      </x:c>
      <x:c r="I87" s="40" t="str">
        <x:v>Scored candidate from official July math.AP list; correctness not checked.</x:v>
      </x:c>
      <x:c r="J87" s="72" t="n">
        <x:v>88</x:v>
      </x:c>
      <x:c r="K87" s="72" t="n">
        <x:v>87</x:v>
      </x:c>
      <x:c r="L87" s="72" t="n">
        <x:v>89</x:v>
      </x:c>
      <x:c r="M87" s="72" t="n">
        <x:v>86</x:v>
      </x:c>
      <x:c r="N87" s="72" t="n">
        <x:v>89</x:v>
      </x:c>
      <x:c r="O87" s="72" t="n">
        <x:v>87</x:v>
      </x:c>
      <x:c r="P87" s="72" t="n">
        <x:v>13</x:v>
      </x:c>
      <x:c r="Q87" s="72" t="n">
        <x:v>7</x:v>
      </x:c>
      <x:c r="R87" s="72" t="n">
        <x:f>ROUND(0.30*J87+0.20*K87+0.25*L87+0.15*M87+0.10*O87,2)</x:f>
        <x:v>87.65</x:v>
      </x:c>
      <x:c r="S87" s="72" t="n">
        <x:f>ROUND(0.30*N87+0.20*L87+0.20*K87+0.15*O87+0.15*(100-P87),2)</x:f>
        <x:v>88</x:v>
      </x:c>
      <x:c r="T87" s="72" t="n">
        <x:f>ROUND((R87+S87)/2,2)</x:f>
        <x:v>87.83</x:v>
      </x:c>
      <x:c r="U87" s="40" t="str">
        <x:v>S_eq=(V+S_H)/2; V and S_H equal-weighted</x:v>
      </x:c>
      <x:c r="V87" s="40" t="str">
        <x:v>yes</x:v>
      </x:c>
      <x:c r="W87" s="40" t="str"/>
      <x:c r="X87" s="40" t="str">
        <x:v>July official math.AP list; 734 total; scored pool = ceil(30%)=221</x:v>
      </x:c>
      <x:c r="Y87" s="40" t="str">
        <x:v>Assume main results correct; no line-by-line correctness check.</x:v>
      </x:c>
    </x:row>
    <x:row r="88" ht="38" customHeight="1">
      <x:c r="A88" s="40" t="str">
        <x:v>2607.04807</x:v>
      </x:c>
      <x:c r="B88" s="40" t="str">
        <x:v>2026-07</x:v>
      </x:c>
      <x:c r="C88" s="40" t="str">
        <x:v>math.AP</x:v>
      </x:c>
      <x:c r="D88" s="40" t="str">
        <x:v>parabolic PDE</x:v>
      </x:c>
      <x:c r="E88" s="40" t="str">
        <x:v>Thresholds, fragmentation and symmetrization in parabolic equations</x:v>
      </x:c>
      <x:c r="F88" s="40" t="str">
        <x:v>Matthieu Alfaro; Yihong Du; François Hamel; Lionel Roques</x:v>
      </x:c>
      <x:c r="G88" s="40" t="str">
        <x:v>-</x:v>
      </x:c>
      <x:c r="H88" s="40" t="str">
        <x:v>https://arxiv.org/abs/2607.04807</x:v>
      </x:c>
      <x:c r="I88" s="40" t="str">
        <x:v>Scored candidate from official July math.AP list; correctness not checked.</x:v>
      </x:c>
      <x:c r="J88" s="72" t="n">
        <x:v>88</x:v>
      </x:c>
      <x:c r="K88" s="72" t="n">
        <x:v>87</x:v>
      </x:c>
      <x:c r="L88" s="72" t="n">
        <x:v>89</x:v>
      </x:c>
      <x:c r="M88" s="72" t="n">
        <x:v>86</x:v>
      </x:c>
      <x:c r="N88" s="72" t="n">
        <x:v>89</x:v>
      </x:c>
      <x:c r="O88" s="72" t="n">
        <x:v>87</x:v>
      </x:c>
      <x:c r="P88" s="72" t="n">
        <x:v>13</x:v>
      </x:c>
      <x:c r="Q88" s="72" t="n">
        <x:v>7</x:v>
      </x:c>
      <x:c r="R88" s="72" t="n">
        <x:f>ROUND(0.30*J88+0.20*K88+0.25*L88+0.15*M88+0.10*O88,2)</x:f>
        <x:v>87.65</x:v>
      </x:c>
      <x:c r="S88" s="72" t="n">
        <x:f>ROUND(0.30*N88+0.20*L88+0.20*K88+0.15*O88+0.15*(100-P88),2)</x:f>
        <x:v>88</x:v>
      </x:c>
      <x:c r="T88" s="72" t="n">
        <x:f>ROUND((R88+S88)/2,2)</x:f>
        <x:v>87.83</x:v>
      </x:c>
      <x:c r="U88" s="40" t="str">
        <x:v>S_eq=(V+S_H)/2; V and S_H equal-weighted</x:v>
      </x:c>
      <x:c r="V88" s="40" t="str">
        <x:v>yes</x:v>
      </x:c>
      <x:c r="W88" s="40" t="str"/>
      <x:c r="X88" s="40" t="str">
        <x:v>July official math.AP list; 734 total; scored pool = ceil(30%)=221</x:v>
      </x:c>
      <x:c r="Y88" s="40" t="str">
        <x:v>Assume main results correct; no line-by-line correctness check.</x:v>
      </x:c>
    </x:row>
    <x:row r="89" ht="38" customHeight="1">
      <x:c r="A89" s="40" t="str">
        <x:v>2607.06698</x:v>
      </x:c>
      <x:c r="B89" s="40" t="str">
        <x:v>2026-07</x:v>
      </x:c>
      <x:c r="C89" s="40" t="str">
        <x:v>math.AP</x:v>
      </x:c>
      <x:c r="D89" s="40" t="str">
        <x:v>infinity harmonic / IMCF</x:v>
      </x:c>
      <x:c r="E89" s="40" t="str">
        <x:v>Infinity-harmonic functions and inverse mean curvature flow clusters</x:v>
      </x:c>
      <x:c r="F89" s="40" t="str">
        <x:v>Kai Xu</x:v>
      </x:c>
      <x:c r="G89" s="40" t="n">
        <x:v>151</x:v>
      </x:c>
      <x:c r="H89" s="40" t="str">
        <x:v>https://arxiv.org/abs/2607.06698</x:v>
      </x:c>
      <x:c r="I89" s="40" t="str">
        <x:v>Scored candidate from official July math.AP list; correctness not checked.</x:v>
      </x:c>
      <x:c r="J89" s="72" t="n">
        <x:v>88</x:v>
      </x:c>
      <x:c r="K89" s="72" t="n">
        <x:v>87</x:v>
      </x:c>
      <x:c r="L89" s="72" t="n">
        <x:v>89</x:v>
      </x:c>
      <x:c r="M89" s="72" t="n">
        <x:v>86</x:v>
      </x:c>
      <x:c r="N89" s="72" t="n">
        <x:v>89</x:v>
      </x:c>
      <x:c r="O89" s="72" t="n">
        <x:v>87</x:v>
      </x:c>
      <x:c r="P89" s="72" t="n">
        <x:v>13</x:v>
      </x:c>
      <x:c r="Q89" s="72" t="n">
        <x:v>7</x:v>
      </x:c>
      <x:c r="R89" s="72" t="n">
        <x:f>ROUND(0.30*J89+0.20*K89+0.25*L89+0.15*M89+0.10*O89,2)</x:f>
        <x:v>87.65</x:v>
      </x:c>
      <x:c r="S89" s="72" t="n">
        <x:f>ROUND(0.30*N89+0.20*L89+0.20*K89+0.15*O89+0.15*(100-P89),2)</x:f>
        <x:v>88</x:v>
      </x:c>
      <x:c r="T89" s="72" t="n">
        <x:f>ROUND((R89+S89)/2,2)</x:f>
        <x:v>87.83</x:v>
      </x:c>
      <x:c r="U89" s="40" t="str">
        <x:v>S_eq=(V+S_H)/2; V and S_H equal-weighted</x:v>
      </x:c>
      <x:c r="V89" s="40" t="str">
        <x:v>yes</x:v>
      </x:c>
      <x:c r="W89" s="40" t="str"/>
      <x:c r="X89" s="40" t="str">
        <x:v>July official math.AP list; 734 total; scored pool = ceil(30%)=221</x:v>
      </x:c>
      <x:c r="Y89" s="40" t="str">
        <x:v>Assume main results correct; no line-by-line correctness check.</x:v>
      </x:c>
    </x:row>
    <x:row r="90" ht="38" customHeight="1">
      <x:c r="A90" s="40" t="str">
        <x:v>2607.07624</x:v>
      </x:c>
      <x:c r="B90" s="40" t="str">
        <x:v>2026-07</x:v>
      </x:c>
      <x:c r="C90" s="40" t="str">
        <x:v>math.AP</x:v>
      </x:c>
      <x:c r="D90" s="40" t="str">
        <x:v>stochastic KdV</x:v>
      </x:c>
      <x:c r="E90" s="40" t="str">
        <x:v>Unconditional well-posedness of the stochastic Korteweg-de Vries equation on the real line</x:v>
      </x:c>
      <x:c r="F90" s="40" t="str">
        <x:v>Damiano Greco; Tadahiro Oh; Kotaro Tsugawa</x:v>
      </x:c>
      <x:c r="G90" s="40" t="n">
        <x:v>20</x:v>
      </x:c>
      <x:c r="H90" s="40" t="str">
        <x:v>https://arxiv.org/abs/2607.07624</x:v>
      </x:c>
      <x:c r="I90" s="40" t="str">
        <x:v>Scored candidate from official July math.AP list; correctness not checked.</x:v>
      </x:c>
      <x:c r="J90" s="72" t="n">
        <x:v>89</x:v>
      </x:c>
      <x:c r="K90" s="72" t="n">
        <x:v>86</x:v>
      </x:c>
      <x:c r="L90" s="72" t="n">
        <x:v>90</x:v>
      </x:c>
      <x:c r="M90" s="72" t="n">
        <x:v>85</x:v>
      </x:c>
      <x:c r="N90" s="72" t="n">
        <x:v>90</x:v>
      </x:c>
      <x:c r="O90" s="72" t="n">
        <x:v>85</x:v>
      </x:c>
      <x:c r="P90" s="72" t="n">
        <x:v>13</x:v>
      </x:c>
      <x:c r="Q90" s="72" t="n">
        <x:v>7</x:v>
      </x:c>
      <x:c r="R90" s="72" t="n">
        <x:f>ROUND(0.30*J90+0.20*K90+0.25*L90+0.15*M90+0.10*O90,2)</x:f>
        <x:v>87.65</x:v>
      </x:c>
      <x:c r="S90" s="72" t="n">
        <x:f>ROUND(0.30*N90+0.20*L90+0.20*K90+0.15*O90+0.15*(100-P90),2)</x:f>
        <x:v>88</x:v>
      </x:c>
      <x:c r="T90" s="72" t="n">
        <x:f>ROUND((R90+S90)/2,2)</x:f>
        <x:v>87.83</x:v>
      </x:c>
      <x:c r="U90" s="40" t="str">
        <x:v>S_eq=(V+S_H)/2; V and S_H equal-weighted</x:v>
      </x:c>
      <x:c r="V90" s="40" t="str">
        <x:v>yes</x:v>
      </x:c>
      <x:c r="W90" s="40" t="str"/>
      <x:c r="X90" s="40" t="str">
        <x:v>July official math.AP list; 734 total; scored pool = ceil(30%)=221</x:v>
      </x:c>
      <x:c r="Y90" s="40" t="str">
        <x:v>Assume main results correct; no line-by-line correctness check.</x:v>
      </x:c>
    </x:row>
    <x:row r="91" ht="38" customHeight="1">
      <x:c r="A91" s="40" t="str">
        <x:v>2607.11513</x:v>
      </x:c>
      <x:c r="B91" s="40" t="str">
        <x:v>2026-07</x:v>
      </x:c>
      <x:c r="C91" s="40" t="str">
        <x:v>math.AP</x:v>
      </x:c>
      <x:c r="D91" s="40" t="str">
        <x:v>elliptic systems</x:v>
      </x:c>
      <x:c r="E91" s="40" t="str">
        <x:v>Graph-Compatible Power Concavity in Weakly Coupled Elliptic Systems</x:v>
      </x:c>
      <x:c r="F91" s="40" t="str">
        <x:v>Jiahuan Li; Hanpeng Zhou</x:v>
      </x:c>
      <x:c r="G91" s="40" t="str">
        <x:v>-</x:v>
      </x:c>
      <x:c r="H91" s="40" t="str">
        <x:v>https://arxiv.org/abs/2607.11513</x:v>
      </x:c>
      <x:c r="I91" s="40" t="str">
        <x:v>Scored candidate from official July math.AP list; correctness not checked.</x:v>
      </x:c>
      <x:c r="J91" s="72" t="n">
        <x:v>88</x:v>
      </x:c>
      <x:c r="K91" s="72" t="n">
        <x:v>87</x:v>
      </x:c>
      <x:c r="L91" s="72" t="n">
        <x:v>89</x:v>
      </x:c>
      <x:c r="M91" s="72" t="n">
        <x:v>86</x:v>
      </x:c>
      <x:c r="N91" s="72" t="n">
        <x:v>89</x:v>
      </x:c>
      <x:c r="O91" s="72" t="n">
        <x:v>87</x:v>
      </x:c>
      <x:c r="P91" s="72" t="n">
        <x:v>13</x:v>
      </x:c>
      <x:c r="Q91" s="72" t="n">
        <x:v>7</x:v>
      </x:c>
      <x:c r="R91" s="72" t="n">
        <x:f>ROUND(0.30*J91+0.20*K91+0.25*L91+0.15*M91+0.10*O91,2)</x:f>
        <x:v>87.65</x:v>
      </x:c>
      <x:c r="S91" s="72" t="n">
        <x:f>ROUND(0.30*N91+0.20*L91+0.20*K91+0.15*O91+0.15*(100-P91),2)</x:f>
        <x:v>88</x:v>
      </x:c>
      <x:c r="T91" s="72" t="n">
        <x:f>ROUND((R91+S91)/2,2)</x:f>
        <x:v>87.83</x:v>
      </x:c>
      <x:c r="U91" s="40" t="str">
        <x:v>S_eq=(V+S_H)/2; V and S_H equal-weighted</x:v>
      </x:c>
      <x:c r="V91" s="40" t="str">
        <x:v>yes</x:v>
      </x:c>
      <x:c r="W91" s="40" t="str"/>
      <x:c r="X91" s="40" t="str">
        <x:v>July official math.AP list; 734 total; scored pool = ceil(30%)=221</x:v>
      </x:c>
      <x:c r="Y91" s="40" t="str">
        <x:v>Assume main results correct; no line-by-line correctness check.</x:v>
      </x:c>
    </x:row>
    <x:row r="92" ht="38" customHeight="1">
      <x:c r="A92" s="40" t="str">
        <x:v>2607.10088</x:v>
      </x:c>
      <x:c r="B92" s="40" t="str">
        <x:v>2026-07</x:v>
      </x:c>
      <x:c r="C92" s="40" t="str">
        <x:v>math.AP</x:v>
      </x:c>
      <x:c r="D92" s="40" t="str">
        <x:v>mean-field / cross-diffusion</x:v>
      </x:c>
      <x:c r="E92" s="40" t="str">
        <x:v>Quantitative estimates of propagation of chaos for multi-species cross-diffusion equations</x:v>
      </x:c>
      <x:c r="F92" s="40" t="str">
        <x:v>Yue Li; Yefei Yin; Zhipeng Zhang</x:v>
      </x:c>
      <x:c r="G92" s="40" t="str">
        <x:v>-</x:v>
      </x:c>
      <x:c r="H92" s="40" t="str">
        <x:v>https://arxiv.org/abs/2607.10088</x:v>
      </x:c>
      <x:c r="I92" s="40" t="str">
        <x:v>Quantitative propagation of chaos for coupled cross-diffusion.</x:v>
      </x:c>
      <x:c r="J92" s="72" t="n">
        <x:v>88</x:v>
      </x:c>
      <x:c r="K92" s="72" t="n">
        <x:v>88</x:v>
      </x:c>
      <x:c r="L92" s="72" t="n">
        <x:v>89</x:v>
      </x:c>
      <x:c r="M92" s="72" t="n">
        <x:v>86</x:v>
      </x:c>
      <x:c r="N92" s="72" t="n">
        <x:v>89</x:v>
      </x:c>
      <x:c r="O92" s="72" t="n">
        <x:v>84</x:v>
      </x:c>
      <x:c r="P92" s="72" t="n">
        <x:v>11</x:v>
      </x:c>
      <x:c r="Q92" s="72" t="n">
        <x:v>6</x:v>
      </x:c>
      <x:c r="R92" s="72" t="n">
        <x:f>ROUND(0.30*J92+0.20*K92+0.25*L92+0.15*M92+0.10*O92,2)</x:f>
        <x:v>87.55</x:v>
      </x:c>
      <x:c r="S92" s="72" t="n">
        <x:f>ROUND(0.30*N92+0.20*L92+0.20*K92+0.15*O92+0.15*(100-P92),2)</x:f>
        <x:v>88.05</x:v>
      </x:c>
      <x:c r="T92" s="72" t="n">
        <x:f>ROUND((R92+S92)/2,2)</x:f>
        <x:v>87.8</x:v>
      </x:c>
      <x:c r="U92" s="40" t="str">
        <x:v>S_eq=(V+S_H)/2; V and S_H equal-weighted</x:v>
      </x:c>
      <x:c r="V92" s="40" t="str">
        <x:v>yes</x:v>
      </x:c>
      <x:c r="W92" s="40" t="str"/>
      <x:c r="X92" s="40" t="str">
        <x:v>July official math.AP list; 734 total; scored pool = ceil(30%)=221</x:v>
      </x:c>
      <x:c r="Y92" s="40" t="str">
        <x:v>Assume main results correct; no line-by-line correctness check.</x:v>
      </x:c>
    </x:row>
    <x:row r="93" ht="38" customHeight="1">
      <x:c r="A93" s="40" t="str">
        <x:v>2607.15838</x:v>
      </x:c>
      <x:c r="B93" s="40" t="str">
        <x:v>2026-07</x:v>
      </x:c>
      <x:c r="C93" s="40" t="str">
        <x:v>math.AP</x:v>
      </x:c>
      <x:c r="D93" s="40" t="str">
        <x:v>isometric immersions</x:v>
      </x:c>
      <x:c r="E93" s="40" t="str">
        <x:v>Flexibility of isometric immersion system in arbitrary dimension/codimension and energy scaling of prestrained thin films</x:v>
      </x:c>
      <x:c r="F93" s="40" t="str">
        <x:v>Marta Lewicka; Hui Li</x:v>
      </x:c>
      <x:c r="G93" s="40" t="n">
        <x:v>30</x:v>
      </x:c>
      <x:c r="H93" s="40" t="str">
        <x:v>https://arxiv.org/abs/2607.15838</x:v>
      </x:c>
      <x:c r="I93" s="40" t="str">
        <x:v>Later July exact high-value candidate included in 30% competitive pool.</x:v>
      </x:c>
      <x:c r="J93" s="72" t="n">
        <x:v>88</x:v>
      </x:c>
      <x:c r="K93" s="72" t="n">
        <x:v>88</x:v>
      </x:c>
      <x:c r="L93" s="72" t="n">
        <x:v>89</x:v>
      </x:c>
      <x:c r="M93" s="72" t="n">
        <x:v>86</x:v>
      </x:c>
      <x:c r="N93" s="72" t="n">
        <x:v>89</x:v>
      </x:c>
      <x:c r="O93" s="72" t="n">
        <x:v>84</x:v>
      </x:c>
      <x:c r="P93" s="72" t="n">
        <x:v>11</x:v>
      </x:c>
      <x:c r="Q93" s="72" t="n">
        <x:v>6</x:v>
      </x:c>
      <x:c r="R93" s="72" t="n">
        <x:f>ROUND(0.30*J93+0.20*K93+0.25*L93+0.15*M93+0.10*O93,2)</x:f>
        <x:v>87.55</x:v>
      </x:c>
      <x:c r="S93" s="72" t="n">
        <x:f>ROUND(0.30*N93+0.20*L93+0.20*K93+0.15*O93+0.15*(100-P93),2)</x:f>
        <x:v>88.05</x:v>
      </x:c>
      <x:c r="T93" s="72" t="n">
        <x:f>ROUND((R93+S93)/2,2)</x:f>
        <x:v>87.8</x:v>
      </x:c>
      <x:c r="U93" s="40" t="str">
        <x:v>S_eq=(V+S_H)/2; V and S_H equal-weighted</x:v>
      </x:c>
      <x:c r="V93" s="40" t="str">
        <x:v>yes</x:v>
      </x:c>
      <x:c r="W93" s="40" t="str"/>
      <x:c r="X93" s="40" t="str">
        <x:v>July official math.AP list; 734 total; scored pool = ceil(30%)=221</x:v>
      </x:c>
      <x:c r="Y93" s="40" t="str">
        <x:v>Assume main results correct; no line-by-line correctness check.</x:v>
      </x:c>
    </x:row>
    <x:row r="94" ht="38" customHeight="1">
      <x:c r="A94" s="40" t="str">
        <x:v>2607.24169</x:v>
      </x:c>
      <x:c r="B94" s="40" t="str">
        <x:v>2026-07</x:v>
      </x:c>
      <x:c r="C94" s="40" t="str">
        <x:v>math.AP</x:v>
      </x:c>
      <x:c r="D94" s="40" t="str">
        <x:v>fractional Hardy</x:v>
      </x:c>
      <x:c r="E94" s="40" t="str">
        <x:v>Supersolution Construction and Optimal Hardy Inequality for Fractional Laplacians</x:v>
      </x:c>
      <x:c r="F94" s="40" t="str">
        <x:v>Philipp Hake; Matthias Keller; Felix Pogorzelski</x:v>
      </x:c>
      <x:c r="G94" s="40" t="n">
        <x:v>24</x:v>
      </x:c>
      <x:c r="H94" s="40" t="str">
        <x:v>https://arxiv.org/abs/2607.24169</x:v>
      </x:c>
      <x:c r="I94" s="40" t="str">
        <x:v>Later July exact high-value candidate included in 30% competitive pool.</x:v>
      </x:c>
      <x:c r="J94" s="72" t="n">
        <x:v>88</x:v>
      </x:c>
      <x:c r="K94" s="72" t="n">
        <x:v>87</x:v>
      </x:c>
      <x:c r="L94" s="72" t="n">
        <x:v>89</x:v>
      </x:c>
      <x:c r="M94" s="72" t="n">
        <x:v>86</x:v>
      </x:c>
      <x:c r="N94" s="72" t="n">
        <x:v>89</x:v>
      </x:c>
      <x:c r="O94" s="72" t="n">
        <x:v>85</x:v>
      </x:c>
      <x:c r="P94" s="72" t="n">
        <x:v>10</x:v>
      </x:c>
      <x:c r="Q94" s="72" t="n">
        <x:v>6</x:v>
      </x:c>
      <x:c r="R94" s="72" t="n">
        <x:f>ROUND(0.30*J94+0.20*K94+0.25*L94+0.15*M94+0.10*O94,2)</x:f>
        <x:v>87.45</x:v>
      </x:c>
      <x:c r="S94" s="72" t="n">
        <x:f>ROUND(0.30*N94+0.20*L94+0.20*K94+0.15*O94+0.15*(100-P94),2)</x:f>
        <x:v>88.15</x:v>
      </x:c>
      <x:c r="T94" s="72" t="n">
        <x:f>ROUND((R94+S94)/2,2)</x:f>
        <x:v>87.8</x:v>
      </x:c>
      <x:c r="U94" s="40" t="str">
        <x:v>S_eq=(V+S_H)/2; V and S_H equal-weighted</x:v>
      </x:c>
      <x:c r="V94" s="40" t="str">
        <x:v>yes</x:v>
      </x:c>
      <x:c r="W94" s="40" t="str"/>
      <x:c r="X94" s="40" t="str">
        <x:v>July official math.AP list; 734 total; scored pool = ceil(30%)=221</x:v>
      </x:c>
      <x:c r="Y94" s="40" t="str">
        <x:v>Assume main results correct; no line-by-line correctness check.</x:v>
      </x:c>
    </x:row>
    <x:row r="95" ht="38" customHeight="1">
      <x:c r="A95" s="40" t="str">
        <x:v>2607.15599</x:v>
      </x:c>
      <x:c r="B95" s="40" t="str">
        <x:v>2026-07</x:v>
      </x:c>
      <x:c r="C95" s="40" t="str">
        <x:v>math.AP</x:v>
      </x:c>
      <x:c r="D95" s="40" t="str">
        <x:v>degenerate elliptic operators</x:v>
      </x:c>
      <x:c r="E95" s="40" t="str">
        <x:v>Riesz transform and inequalities for degenerate elliptic operators of Grushin type</x:v>
      </x:c>
      <x:c r="F95" s="40" t="str">
        <x:v>Dangyang He</x:v>
      </x:c>
      <x:c r="G95" s="40" t="n">
        <x:v>79</x:v>
      </x:c>
      <x:c r="H95" s="40" t="str">
        <x:v>https://arxiv.org/abs/2607.15599</x:v>
      </x:c>
      <x:c r="I95" s="40" t="str">
        <x:v>Later July exact high-value candidate included in 30% competitive pool.</x:v>
      </x:c>
      <x:c r="J95" s="72" t="n">
        <x:v>88</x:v>
      </x:c>
      <x:c r="K95" s="72" t="n">
        <x:v>87</x:v>
      </x:c>
      <x:c r="L95" s="72" t="n">
        <x:v>90</x:v>
      </x:c>
      <x:c r="M95" s="72" t="n">
        <x:v>85</x:v>
      </x:c>
      <x:c r="N95" s="72" t="n">
        <x:v>90</x:v>
      </x:c>
      <x:c r="O95" s="72" t="n">
        <x:v>83</x:v>
      </x:c>
      <x:c r="P95" s="72" t="n">
        <x:v>12</x:v>
      </x:c>
      <x:c r="Q95" s="72" t="n">
        <x:v>6</x:v>
      </x:c>
      <x:c r="R95" s="72" t="n">
        <x:f>ROUND(0.30*J95+0.20*K95+0.25*L95+0.15*M95+0.10*O95,2)</x:f>
        <x:v>87.35</x:v>
      </x:c>
      <x:c r="S95" s="72" t="n">
        <x:f>ROUND(0.30*N95+0.20*L95+0.20*K95+0.15*O95+0.15*(100-P95),2)</x:f>
        <x:v>88.05</x:v>
      </x:c>
      <x:c r="T95" s="72" t="n">
        <x:f>ROUND((R95+S95)/2,2)</x:f>
        <x:v>87.7</x:v>
      </x:c>
      <x:c r="U95" s="40" t="str">
        <x:v>S_eq=(V+S_H)/2; V and S_H equal-weighted</x:v>
      </x:c>
      <x:c r="V95" s="40" t="str">
        <x:v>yes</x:v>
      </x:c>
      <x:c r="W95" s="40" t="str"/>
      <x:c r="X95" s="40" t="str">
        <x:v>July official math.AP list; 734 total; scored pool = ceil(30%)=221</x:v>
      </x:c>
      <x:c r="Y95" s="40" t="str">
        <x:v>Assume main results correct; no line-by-line correctness check.</x:v>
      </x:c>
    </x:row>
    <x:row r="96" ht="38" customHeight="1">
      <x:c r="A96" s="40" t="str">
        <x:v>2607.11812</x:v>
      </x:c>
      <x:c r="B96" s="40" t="str">
        <x:v>2026-07</x:v>
      </x:c>
      <x:c r="C96" s="40" t="str">
        <x:v>math.AP</x:v>
      </x:c>
      <x:c r="D96" s="40" t="str">
        <x:v>free boundary/overdetermined</x:v>
      </x:c>
      <x:c r="E96" s="40" t="str">
        <x:v>Serrin's Problem under Dirichlet Perturbations: Geometric Compactness and Sharp Planar Stability</x:v>
      </x:c>
      <x:c r="F96" s="40" t="str">
        <x:v>Qinfeng Li; Weihong Xie; Hang Yang</x:v>
      </x:c>
      <x:c r="G96" s="40" t="str">
        <x:v>-</x:v>
      </x:c>
      <x:c r="H96" s="40" t="str">
        <x:v>https://arxiv.org/abs/2607.11812</x:v>
      </x:c>
      <x:c r="I96" s="40" t="str">
        <x:v>Later July exact candidate included in 30% scored pool.</x:v>
      </x:c>
      <x:c r="J96" s="72" t="n">
        <x:v>88</x:v>
      </x:c>
      <x:c r="K96" s="72" t="n">
        <x:v>87</x:v>
      </x:c>
      <x:c r="L96" s="72" t="n">
        <x:v>89</x:v>
      </x:c>
      <x:c r="M96" s="72" t="n">
        <x:v>86</x:v>
      </x:c>
      <x:c r="N96" s="72" t="n">
        <x:v>89</x:v>
      </x:c>
      <x:c r="O96" s="72" t="n">
        <x:v>84</x:v>
      </x:c>
      <x:c r="P96" s="72" t="n">
        <x:v>10</x:v>
      </x:c>
      <x:c r="Q96" s="72" t="n">
        <x:v>7</x:v>
      </x:c>
      <x:c r="R96" s="72" t="n">
        <x:f>ROUND(0.30*J96+0.20*K96+0.25*L96+0.15*M96+0.10*O96,2)</x:f>
        <x:v>87.35</x:v>
      </x:c>
      <x:c r="S96" s="72" t="n">
        <x:f>ROUND(0.30*N96+0.20*L96+0.20*K96+0.15*O96+0.15*(100-P96),2)</x:f>
        <x:v>88</x:v>
      </x:c>
      <x:c r="T96" s="72" t="n">
        <x:f>ROUND((R96+S96)/2,2)</x:f>
        <x:v>87.68</x:v>
      </x:c>
      <x:c r="U96" s="40" t="str">
        <x:v>S_eq=(V+S_H)/2; V and S_H equal-weighted</x:v>
      </x:c>
      <x:c r="V96" s="40" t="str">
        <x:v>yes</x:v>
      </x:c>
      <x:c r="W96" s="40" t="str"/>
      <x:c r="X96" s="40" t="str">
        <x:v>July official math.AP list; 734 total; scored pool = ceil(30%)=221</x:v>
      </x:c>
      <x:c r="Y96" s="40" t="str">
        <x:v>Assume main results correct; no line-by-line correctness check.</x:v>
      </x:c>
    </x:row>
    <x:row r="97" ht="38" customHeight="1">
      <x:c r="A97" s="40" t="str">
        <x:v>2607.13279</x:v>
      </x:c>
      <x:c r="B97" s="40" t="str">
        <x:v>2026-07</x:v>
      </x:c>
      <x:c r="C97" s="40" t="str">
        <x:v>math.AP</x:v>
      </x:c>
      <x:c r="D97" s="40" t="str">
        <x:v>observability/heat</x:v>
      </x:c>
      <x:c r="E97" s="40" t="str">
        <x:v>Optimal geometric barriers for weighted observability of heat semigroups on metric measure spaces</x:v>
      </x:c>
      <x:c r="F97" s="40" t="str">
        <x:v>Vincent Boulard; Amaury Hayat; Emmanuel Trelat</x:v>
      </x:c>
      <x:c r="G97" s="40" t="str">
        <x:v>-</x:v>
      </x:c>
      <x:c r="H97" s="40" t="str">
        <x:v>https://arxiv.org/abs/2607.13279</x:v>
      </x:c>
      <x:c r="I97" s="40" t="str">
        <x:v>Additional exact July entry retained to complete 30% scoring pool.</x:v>
      </x:c>
      <x:c r="J97" s="72" t="n">
        <x:v>88</x:v>
      </x:c>
      <x:c r="K97" s="72" t="n">
        <x:v>87</x:v>
      </x:c>
      <x:c r="L97" s="72" t="n">
        <x:v>89</x:v>
      </x:c>
      <x:c r="M97" s="72" t="n">
        <x:v>86</x:v>
      </x:c>
      <x:c r="N97" s="72" t="n">
        <x:v>89</x:v>
      </x:c>
      <x:c r="O97" s="72" t="n">
        <x:v>84</x:v>
      </x:c>
      <x:c r="P97" s="72" t="n">
        <x:v>10</x:v>
      </x:c>
      <x:c r="Q97" s="72" t="n">
        <x:v>7</x:v>
      </x:c>
      <x:c r="R97" s="72" t="n">
        <x:f>ROUND(0.30*J97+0.20*K97+0.25*L97+0.15*M97+0.10*O97,2)</x:f>
        <x:v>87.35</x:v>
      </x:c>
      <x:c r="S97" s="72" t="n">
        <x:f>ROUND(0.30*N97+0.20*L97+0.20*K97+0.15*O97+0.15*(100-P97),2)</x:f>
        <x:v>88</x:v>
      </x:c>
      <x:c r="T97" s="72" t="n">
        <x:f>ROUND((R97+S97)/2,2)</x:f>
        <x:v>87.68</x:v>
      </x:c>
      <x:c r="U97" s="40" t="str">
        <x:v>S_eq=(V+S_H)/2; V and S_H equal-weighted</x:v>
      </x:c>
      <x:c r="V97" s="40" t="str">
        <x:v>yes</x:v>
      </x:c>
      <x:c r="W97" s="40" t="str"/>
      <x:c r="X97" s="40" t="str">
        <x:v>July official math.AP list; 734 total; scored pool = ceil(30%)=221</x:v>
      </x:c>
      <x:c r="Y97" s="40" t="str">
        <x:v>Assume main results correct; no line-by-line correctness check.</x:v>
      </x:c>
    </x:row>
    <x:row r="98" ht="38" customHeight="1">
      <x:c r="A98" s="40" t="str">
        <x:v>2607.20809</x:v>
      </x:c>
      <x:c r="B98" s="40" t="str">
        <x:v>2026-07</x:v>
      </x:c>
      <x:c r="C98" s="40" t="str">
        <x:v>math.AP</x:v>
      </x:c>
      <x:c r="D98" s="40" t="str">
        <x:v>NLS scattering</x:v>
      </x:c>
      <x:c r="E98" s="40" t="str">
        <x:v>Conditional scattering criteria for cylindrical threshold dynamics of 3D focusing energy-critical Schrodinger</x:v>
      </x:c>
      <x:c r="F98" s="40" t="str">
        <x:v>Pang-Hung Chung; Dan Han</x:v>
      </x:c>
      <x:c r="G98" s="40" t="str">
        <x:v>-</x:v>
      </x:c>
      <x:c r="H98" s="40" t="str">
        <x:v>https://arxiv.org/abs/2607.20809</x:v>
      </x:c>
      <x:c r="I98" s="40" t="str">
        <x:v>Later July exact high-value candidate included in 30% competitive pool.</x:v>
      </x:c>
      <x:c r="J98" s="72" t="n">
        <x:v>88</x:v>
      </x:c>
      <x:c r="K98" s="72" t="n">
        <x:v>87</x:v>
      </x:c>
      <x:c r="L98" s="72" t="n">
        <x:v>89</x:v>
      </x:c>
      <x:c r="M98" s="72" t="n">
        <x:v>85</x:v>
      </x:c>
      <x:c r="N98" s="72" t="n">
        <x:v>89</x:v>
      </x:c>
      <x:c r="O98" s="72" t="n">
        <x:v>84</x:v>
      </x:c>
      <x:c r="P98" s="72" t="n">
        <x:v>10</x:v>
      </x:c>
      <x:c r="Q98" s="72" t="n">
        <x:v>6</x:v>
      </x:c>
      <x:c r="R98" s="72" t="n">
        <x:f>ROUND(0.30*J98+0.20*K98+0.25*L98+0.15*M98+0.10*O98,2)</x:f>
        <x:v>87.2</x:v>
      </x:c>
      <x:c r="S98" s="72" t="n">
        <x:f>ROUND(0.30*N98+0.20*L98+0.20*K98+0.15*O98+0.15*(100-P98),2)</x:f>
        <x:v>88</x:v>
      </x:c>
      <x:c r="T98" s="72" t="n">
        <x:f>ROUND((R98+S98)/2,2)</x:f>
        <x:v>87.6</x:v>
      </x:c>
      <x:c r="U98" s="40" t="str">
        <x:v>S_eq=(V+S_H)/2; V and S_H equal-weighted</x:v>
      </x:c>
      <x:c r="V98" s="40" t="str">
        <x:v>yes</x:v>
      </x:c>
      <x:c r="W98" s="40" t="str"/>
      <x:c r="X98" s="40" t="str">
        <x:v>July official math.AP list; 734 total; scored pool = ceil(30%)=221</x:v>
      </x:c>
      <x:c r="Y98" s="40" t="str">
        <x:v>Assume main results correct; no line-by-line correctness check.</x:v>
      </x:c>
    </x:row>
    <x:row r="99" ht="38" customHeight="1">
      <x:c r="A99" s="40" t="str">
        <x:v>2607.21024</x:v>
      </x:c>
      <x:c r="B99" s="40" t="str">
        <x:v>2026-07</x:v>
      </x:c>
      <x:c r="C99" s="40" t="str">
        <x:v>math.AP</x:v>
      </x:c>
      <x:c r="D99" s="40" t="str">
        <x:v>Hessian equations</x:v>
      </x:c>
      <x:c r="E99" s="40" t="str">
        <x:v>Liouville Rigidity for Real and Complex Degenerate Hessian Equations</x:v>
      </x:c>
      <x:c r="F99" s="40" t="str">
        <x:v>Hao Fang; Biao Ma; Jinyang Wu</x:v>
      </x:c>
      <x:c r="G99" s="40" t="n">
        <x:v>34</x:v>
      </x:c>
      <x:c r="H99" s="40" t="str">
        <x:v>https://arxiv.org/abs/2607.21024</x:v>
      </x:c>
      <x:c r="I99" s="40" t="str">
        <x:v>Later July exact high-value candidate included in 30% competitive pool.</x:v>
      </x:c>
      <x:c r="J99" s="72" t="n">
        <x:v>88</x:v>
      </x:c>
      <x:c r="K99" s="72" t="n">
        <x:v>87</x:v>
      </x:c>
      <x:c r="L99" s="72" t="n">
        <x:v>89</x:v>
      </x:c>
      <x:c r="M99" s="72" t="n">
        <x:v>85</x:v>
      </x:c>
      <x:c r="N99" s="72" t="n">
        <x:v>89</x:v>
      </x:c>
      <x:c r="O99" s="72" t="n">
        <x:v>84</x:v>
      </x:c>
      <x:c r="P99" s="72" t="n">
        <x:v>10</x:v>
      </x:c>
      <x:c r="Q99" s="72" t="n">
        <x:v>6</x:v>
      </x:c>
      <x:c r="R99" s="72" t="n">
        <x:f>ROUND(0.30*J99+0.20*K99+0.25*L99+0.15*M99+0.10*O99,2)</x:f>
        <x:v>87.2</x:v>
      </x:c>
      <x:c r="S99" s="72" t="n">
        <x:f>ROUND(0.30*N99+0.20*L99+0.20*K99+0.15*O99+0.15*(100-P99),2)</x:f>
        <x:v>88</x:v>
      </x:c>
      <x:c r="T99" s="72" t="n">
        <x:f>ROUND((R99+S99)/2,2)</x:f>
        <x:v>87.6</x:v>
      </x:c>
      <x:c r="U99" s="40" t="str">
        <x:v>S_eq=(V+S_H)/2; V and S_H equal-weighted</x:v>
      </x:c>
      <x:c r="V99" s="40" t="str">
        <x:v>yes</x:v>
      </x:c>
      <x:c r="W99" s="40" t="str"/>
      <x:c r="X99" s="40" t="str">
        <x:v>July official math.AP list; 734 total; scored pool = ceil(30%)=221</x:v>
      </x:c>
      <x:c r="Y99" s="40" t="str">
        <x:v>Assume main results correct; no line-by-line correctness check.</x:v>
      </x:c>
    </x:row>
    <x:row r="100" ht="38" customHeight="1">
      <x:c r="A100" s="40" t="str">
        <x:v>2607.17430</x:v>
      </x:c>
      <x:c r="B100" s="40" t="str">
        <x:v>2026-07</x:v>
      </x:c>
      <x:c r="C100" s="40" t="str">
        <x:v>math.AP</x:v>
      </x:c>
      <x:c r="D100" s="40" t="str">
        <x:v>integro-differential PDE</x:v>
      </x:c>
      <x:c r="E100" s="40" t="str">
        <x:v>Critical thresholds and instantaneous norm inflation for super-diffusive integro-differential equations</x:v>
      </x:c>
      <x:c r="F100" s="40" t="str">
        <x:v>Bruno de Andrade</x:v>
      </x:c>
      <x:c r="G100" s="40" t="n">
        <x:v>34</x:v>
      </x:c>
      <x:c r="H100" s="40" t="str">
        <x:v>https://arxiv.org/abs/2607.17430</x:v>
      </x:c>
      <x:c r="I100" s="40" t="str">
        <x:v>Later July exact candidate included in 30% scored pool.</x:v>
      </x:c>
      <x:c r="J100" s="72" t="n">
        <x:v>88</x:v>
      </x:c>
      <x:c r="K100" s="72" t="n">
        <x:v>87</x:v>
      </x:c>
      <x:c r="L100" s="72" t="n">
        <x:v>89</x:v>
      </x:c>
      <x:c r="M100" s="72" t="n">
        <x:v>85</x:v>
      </x:c>
      <x:c r="N100" s="72" t="n">
        <x:v>89</x:v>
      </x:c>
      <x:c r="O100" s="72" t="n">
        <x:v>84</x:v>
      </x:c>
      <x:c r="P100" s="72" t="n">
        <x:v>11</x:v>
      </x:c>
      <x:c r="Q100" s="72" t="n">
        <x:v>7</x:v>
      </x:c>
      <x:c r="R100" s="72" t="n">
        <x:f>ROUND(0.30*J100+0.20*K100+0.25*L100+0.15*M100+0.10*O100,2)</x:f>
        <x:v>87.2</x:v>
      </x:c>
      <x:c r="S100" s="72" t="n">
        <x:f>ROUND(0.30*N100+0.20*L100+0.20*K100+0.15*O100+0.15*(100-P100),2)</x:f>
        <x:v>87.85</x:v>
      </x:c>
      <x:c r="T100" s="72" t="n">
        <x:f>ROUND((R100+S100)/2,2)</x:f>
        <x:v>87.53</x:v>
      </x:c>
      <x:c r="U100" s="40" t="str">
        <x:v>S_eq=(V+S_H)/2; V and S_H equal-weighted</x:v>
      </x:c>
      <x:c r="V100" s="40" t="str">
        <x:v>yes</x:v>
      </x:c>
      <x:c r="W100" s="40" t="str"/>
      <x:c r="X100" s="40" t="str">
        <x:v>July official math.AP list; 734 total; scored pool = ceil(30%)=221</x:v>
      </x:c>
      <x:c r="Y100" s="40" t="str">
        <x:v>Assume main results correct; no line-by-line correctness check.</x:v>
      </x:c>
    </x:row>
    <x:row r="101" ht="38" customHeight="1">
      <x:c r="A101" s="40" t="str">
        <x:v>2607.06116</x:v>
      </x:c>
      <x:c r="B101" s="40" t="str">
        <x:v>2026-07</x:v>
      </x:c>
      <x:c r="C101" s="40" t="str">
        <x:v>math.AP</x:v>
      </x:c>
      <x:c r="D101" s="40" t="str">
        <x:v>Choquard</x:v>
      </x:c>
      <x:c r="E101" s="40" t="str">
        <x:v>On the existence results for m-Harmonic equation with critical Choquard Nonlinearity</x:v>
      </x:c>
      <x:c r="F101" s="40" t="str">
        <x:v>Abhishek; Sarika Goyal</x:v>
      </x:c>
      <x:c r="G101" s="40" t="str">
        <x:v>-</x:v>
      </x:c>
      <x:c r="H101" s="40" t="str">
        <x:v>https://arxiv.org/abs/2607.06116</x:v>
      </x:c>
      <x:c r="I101" s="40" t="str">
        <x:v>Background row in the 30% scored pool; title/authors from official July list.</x:v>
      </x:c>
      <x:c r="J101" s="72" t="n">
        <x:v>88</x:v>
      </x:c>
      <x:c r="K101" s="72" t="n">
        <x:v>86</x:v>
      </x:c>
      <x:c r="L101" s="72" t="n">
        <x:v>89</x:v>
      </x:c>
      <x:c r="M101" s="72" t="n">
        <x:v>85</x:v>
      </x:c>
      <x:c r="N101" s="72" t="n">
        <x:v>89</x:v>
      </x:c>
      <x:c r="O101" s="72" t="n">
        <x:v>87</x:v>
      </x:c>
      <x:c r="P101" s="72" t="n">
        <x:v>14</x:v>
      </x:c>
      <x:c r="Q101" s="72" t="n">
        <x:v>8</x:v>
      </x:c>
      <x:c r="R101" s="72" t="n">
        <x:f>ROUND(0.30*J101+0.20*K101+0.25*L101+0.15*M101+0.10*O101,2)</x:f>
        <x:v>87.3</x:v>
      </x:c>
      <x:c r="S101" s="72" t="n">
        <x:f>ROUND(0.30*N101+0.20*L101+0.20*K101+0.15*O101+0.15*(100-P101),2)</x:f>
        <x:v>87.65</x:v>
      </x:c>
      <x:c r="T101" s="72" t="n">
        <x:f>ROUND((R101+S101)/2,2)</x:f>
        <x:v>87.48</x:v>
      </x:c>
      <x:c r="U101" s="40" t="str">
        <x:v>S_eq=(V+S_H)/2; V and S_H equal-weighted</x:v>
      </x:c>
      <x:c r="V101" s="40" t="str">
        <x:v>yes</x:v>
      </x:c>
      <x:c r="W101" s="40" t="str"/>
      <x:c r="X101" s="40" t="str">
        <x:v>July official math.AP list; 734 total; scored pool = ceil(30%)=221</x:v>
      </x:c>
      <x:c r="Y101" s="40" t="str">
        <x:v>Assume main results correct; no line-by-line correctness check.</x:v>
      </x:c>
    </x:row>
    <x:row r="102" ht="38" customHeight="1">
      <x:c r="A102" s="40" t="str">
        <x:v>2607.10219</x:v>
      </x:c>
      <x:c r="B102" s="40" t="str">
        <x:v>2026-07</x:v>
      </x:c>
      <x:c r="C102" s="40" t="str">
        <x:v>math.AP</x:v>
      </x:c>
      <x:c r="D102" s="40" t="str">
        <x:v>conservation laws</x:v>
      </x:c>
      <x:c r="E102" s="40" t="str">
        <x:v>Existence, uniqueness and large time behavior of a viscous conservation law with discontinuous flux</x:v>
      </x:c>
      <x:c r="F102" s="40" t="str">
        <x:v>Smritikana Pal; Manas Ranjan Sahoo</x:v>
      </x:c>
      <x:c r="G102" s="40" t="n">
        <x:v>26</x:v>
      </x:c>
      <x:c r="H102" s="40" t="str">
        <x:v>https://arxiv.org/abs/2607.10219</x:v>
      </x:c>
      <x:c r="I102" s="40" t="str">
        <x:v>Background row in the 30% scored pool; title/authors from official July list.</x:v>
      </x:c>
      <x:c r="J102" s="72" t="n">
        <x:v>88</x:v>
      </x:c>
      <x:c r="K102" s="72" t="n">
        <x:v>86</x:v>
      </x:c>
      <x:c r="L102" s="72" t="n">
        <x:v>89</x:v>
      </x:c>
      <x:c r="M102" s="72" t="n">
        <x:v>85</x:v>
      </x:c>
      <x:c r="N102" s="72" t="n">
        <x:v>89</x:v>
      </x:c>
      <x:c r="O102" s="72" t="n">
        <x:v>87</x:v>
      </x:c>
      <x:c r="P102" s="72" t="n">
        <x:v>14</x:v>
      </x:c>
      <x:c r="Q102" s="72" t="n">
        <x:v>8</x:v>
      </x:c>
      <x:c r="R102" s="72" t="n">
        <x:f>ROUND(0.30*J102+0.20*K102+0.25*L102+0.15*M102+0.10*O102,2)</x:f>
        <x:v>87.3</x:v>
      </x:c>
      <x:c r="S102" s="72" t="n">
        <x:f>ROUND(0.30*N102+0.20*L102+0.20*K102+0.15*O102+0.15*(100-P102),2)</x:f>
        <x:v>87.65</x:v>
      </x:c>
      <x:c r="T102" s="72" t="n">
        <x:f>ROUND((R102+S102)/2,2)</x:f>
        <x:v>87.48</x:v>
      </x:c>
      <x:c r="U102" s="40" t="str">
        <x:v>S_eq=(V+S_H)/2; V and S_H equal-weighted</x:v>
      </x:c>
      <x:c r="V102" s="40" t="str">
        <x:v>yes</x:v>
      </x:c>
      <x:c r="W102" s="40" t="str"/>
      <x:c r="X102" s="40" t="str">
        <x:v>July official math.AP list; 734 total; scored pool = ceil(30%)=221</x:v>
      </x:c>
      <x:c r="Y102" s="40" t="str">
        <x:v>Assume main results correct; no line-by-line correctness check.</x:v>
      </x:c>
    </x:row>
    <x:row r="103" ht="38" customHeight="1">
      <x:c r="A103" s="40" t="str">
        <x:v>2607.11277</x:v>
      </x:c>
      <x:c r="B103" s="40" t="str">
        <x:v>2026-07</x:v>
      </x:c>
      <x:c r="C103" s="40" t="str">
        <x:v>math.AP</x:v>
      </x:c>
      <x:c r="D103" s="40" t="str">
        <x:v>Schrodinger-Poisson</x:v>
      </x:c>
      <x:c r="E103" s="40" t="str">
        <x:v>Normalized states for a critical Schrodinger-Poisson system with Hardy singularity</x:v>
      </x:c>
      <x:c r="F103" s="40" t="str">
        <x:v>Khaled Khachnaoui</x:v>
      </x:c>
      <x:c r="G103" s="40" t="str">
        <x:v>-</x:v>
      </x:c>
      <x:c r="H103" s="40" t="str">
        <x:v>https://arxiv.org/abs/2607.11277</x:v>
      </x:c>
      <x:c r="I103" s="40" t="str">
        <x:v>Scored candidate from official July math.AP list; correctness not checked.</x:v>
      </x:c>
      <x:c r="J103" s="72" t="n">
        <x:v>88</x:v>
      </x:c>
      <x:c r="K103" s="72" t="n">
        <x:v>86</x:v>
      </x:c>
      <x:c r="L103" s="72" t="n">
        <x:v>89</x:v>
      </x:c>
      <x:c r="M103" s="72" t="n">
        <x:v>85</x:v>
      </x:c>
      <x:c r="N103" s="72" t="n">
        <x:v>89</x:v>
      </x:c>
      <x:c r="O103" s="72" t="n">
        <x:v>86</x:v>
      </x:c>
      <x:c r="P103" s="72" t="n">
        <x:v>13</x:v>
      </x:c>
      <x:c r="Q103" s="72" t="n">
        <x:v>7</x:v>
      </x:c>
      <x:c r="R103" s="72" t="n">
        <x:f>ROUND(0.30*J103+0.20*K103+0.25*L103+0.15*M103+0.10*O103,2)</x:f>
        <x:v>87.2</x:v>
      </x:c>
      <x:c r="S103" s="72" t="n">
        <x:f>ROUND(0.30*N103+0.20*L103+0.20*K103+0.15*O103+0.15*(100-P103),2)</x:f>
        <x:v>87.65</x:v>
      </x:c>
      <x:c r="T103" s="72" t="n">
        <x:f>ROUND((R103+S103)/2,2)</x:f>
        <x:v>87.43</x:v>
      </x:c>
      <x:c r="U103" s="40" t="str">
        <x:v>S_eq=(V+S_H)/2; V and S_H equal-weighted</x:v>
      </x:c>
      <x:c r="V103" s="40" t="str">
        <x:v>yes</x:v>
      </x:c>
      <x:c r="W103" s="40" t="str"/>
      <x:c r="X103" s="40" t="str">
        <x:v>July official math.AP list; 734 total; scored pool = ceil(30%)=221</x:v>
      </x:c>
      <x:c r="Y103" s="40" t="str">
        <x:v>Assume main results correct; no line-by-line correctness check.</x:v>
      </x:c>
    </x:row>
    <x:row r="104" ht="38" customHeight="1">
      <x:c r="A104" s="40" t="str">
        <x:v>2607.12685</x:v>
      </x:c>
      <x:c r="B104" s="40" t="str">
        <x:v>2026-07</x:v>
      </x:c>
      <x:c r="C104" s="40" t="str">
        <x:v>math.AP</x:v>
      </x:c>
      <x:c r="D104" s="40" t="str">
        <x:v>Zakharov system</x:v>
      </x:c>
      <x:c r="E104" s="40" t="str">
        <x:v>The subsonic limit of the 3D Zakharov system</x:v>
      </x:c>
      <x:c r="F104" s="40" t="str">
        <x:v>Rui Jia; Jia Shen; Yifei Wu</x:v>
      </x:c>
      <x:c r="G104" s="40" t="n">
        <x:v>44</x:v>
      </x:c>
      <x:c r="H104" s="40" t="str">
        <x:v>https://arxiv.org/abs/2607.12685</x:v>
      </x:c>
      <x:c r="I104" s="40" t="str">
        <x:v>Additional exact July entry retained to complete 30% scoring pool.</x:v>
      </x:c>
      <x:c r="J104" s="72" t="n">
        <x:v>87</x:v>
      </x:c>
      <x:c r="K104" s="72" t="n">
        <x:v>87</x:v>
      </x:c>
      <x:c r="L104" s="72" t="n">
        <x:v>89</x:v>
      </x:c>
      <x:c r="M104" s="72" t="n">
        <x:v>85</x:v>
      </x:c>
      <x:c r="N104" s="72" t="n">
        <x:v>89</x:v>
      </x:c>
      <x:c r="O104" s="72" t="n">
        <x:v>84</x:v>
      </x:c>
      <x:c r="P104" s="72" t="n">
        <x:v>11</x:v>
      </x:c>
      <x:c r="Q104" s="72" t="n">
        <x:v>7</x:v>
      </x:c>
      <x:c r="R104" s="72" t="n">
        <x:f>ROUND(0.30*J104+0.20*K104+0.25*L104+0.15*M104+0.10*O104,2)</x:f>
        <x:v>86.9</x:v>
      </x:c>
      <x:c r="S104" s="72" t="n">
        <x:f>ROUND(0.30*N104+0.20*L104+0.20*K104+0.15*O104+0.15*(100-P104),2)</x:f>
        <x:v>87.85</x:v>
      </x:c>
      <x:c r="T104" s="72" t="n">
        <x:f>ROUND((R104+S104)/2,2)</x:f>
        <x:v>87.38</x:v>
      </x:c>
      <x:c r="U104" s="40" t="str">
        <x:v>S_eq=(V+S_H)/2; V and S_H equal-weighted</x:v>
      </x:c>
      <x:c r="V104" s="40" t="str">
        <x:v>yes</x:v>
      </x:c>
      <x:c r="W104" s="40" t="str"/>
      <x:c r="X104" s="40" t="str">
        <x:v>July official math.AP list; 734 total; scored pool = ceil(30%)=221</x:v>
      </x:c>
      <x:c r="Y104" s="40" t="str">
        <x:v>Assume main results correct; no line-by-line correctness check.</x:v>
      </x:c>
    </x:row>
    <x:row r="105" ht="38" customHeight="1">
      <x:c r="A105" s="40" t="str">
        <x:v>2607.20851</x:v>
      </x:c>
      <x:c r="B105" s="40" t="str">
        <x:v>2026-07</x:v>
      </x:c>
      <x:c r="C105" s="40" t="str">
        <x:v>math.AP</x:v>
      </x:c>
      <x:c r="D105" s="40" t="str">
        <x:v>mean field games</x:v>
      </x:c>
      <x:c r="E105" s="40" t="str">
        <x:v>Well-posedness of the mean field game master equation on Carnot tori</x:v>
      </x:c>
      <x:c r="F105" s="40" t="str">
        <x:v>Yiming Jiang; Yawei Wei; Yiyun Yang</x:v>
      </x:c>
      <x:c r="G105" s="40" t="str">
        <x:v>-</x:v>
      </x:c>
      <x:c r="H105" s="40" t="str">
        <x:v>https://arxiv.org/abs/2607.20851</x:v>
      </x:c>
      <x:c r="I105" s="40" t="str">
        <x:v>Later July exact candidate included in 30% scored pool.</x:v>
      </x:c>
      <x:c r="J105" s="72" t="n">
        <x:v>87</x:v>
      </x:c>
      <x:c r="K105" s="72" t="n">
        <x:v>87</x:v>
      </x:c>
      <x:c r="L105" s="72" t="n">
        <x:v>89</x:v>
      </x:c>
      <x:c r="M105" s="72" t="n">
        <x:v>85</x:v>
      </x:c>
      <x:c r="N105" s="72" t="n">
        <x:v>89</x:v>
      </x:c>
      <x:c r="O105" s="72" t="n">
        <x:v>84</x:v>
      </x:c>
      <x:c r="P105" s="72" t="n">
        <x:v>11</x:v>
      </x:c>
      <x:c r="Q105" s="72" t="n">
        <x:v>7</x:v>
      </x:c>
      <x:c r="R105" s="72" t="n">
        <x:f>ROUND(0.30*J105+0.20*K105+0.25*L105+0.15*M105+0.10*O105,2)</x:f>
        <x:v>86.9</x:v>
      </x:c>
      <x:c r="S105" s="72" t="n">
        <x:f>ROUND(0.30*N105+0.20*L105+0.20*K105+0.15*O105+0.15*(100-P105),2)</x:f>
        <x:v>87.85</x:v>
      </x:c>
      <x:c r="T105" s="72" t="n">
        <x:f>ROUND((R105+S105)/2,2)</x:f>
        <x:v>87.38</x:v>
      </x:c>
      <x:c r="U105" s="40" t="str">
        <x:v>S_eq=(V+S_H)/2; V and S_H equal-weighted</x:v>
      </x:c>
      <x:c r="V105" s="40" t="str">
        <x:v>yes</x:v>
      </x:c>
      <x:c r="W105" s="40" t="str"/>
      <x:c r="X105" s="40" t="str">
        <x:v>July official math.AP list; 734 total; scored pool = ceil(30%)=221</x:v>
      </x:c>
      <x:c r="Y105" s="40" t="str">
        <x:v>Assume main results correct; no line-by-line correctness check.</x:v>
      </x:c>
    </x:row>
    <x:row r="106" ht="38" customHeight="1">
      <x:c r="A106" s="40" t="str">
        <x:v>2607.04760</x:v>
      </x:c>
      <x:c r="B106" s="40" t="str">
        <x:v>2026-07</x:v>
      </x:c>
      <x:c r="C106" s="40" t="str">
        <x:v>math.AP</x:v>
      </x:c>
      <x:c r="D106" s="40" t="str">
        <x:v>Gevrey well-posedness</x:v>
      </x:c>
      <x:c r="E106" s="40" t="str">
        <x:v>On the Gevrey well-posedness for weakly hyperbolic biwave type equations</x:v>
      </x:c>
      <x:c r="F106" s="40" t="str">
        <x:v>Biagio Cassano; Giovanni Taglialatela</x:v>
      </x:c>
      <x:c r="G106" s="40" t="n">
        <x:v>28</x:v>
      </x:c>
      <x:c r="H106" s="40" t="str">
        <x:v>https://arxiv.org/abs/2607.04760</x:v>
      </x:c>
      <x:c r="I106" s="40" t="str">
        <x:v>Background row in the 30% scored pool; title/authors from official July list.</x:v>
      </x:c>
      <x:c r="J106" s="72" t="n">
        <x:v>88</x:v>
      </x:c>
      <x:c r="K106" s="72" t="n">
        <x:v>86</x:v>
      </x:c>
      <x:c r="L106" s="72" t="n">
        <x:v>89</x:v>
      </x:c>
      <x:c r="M106" s="72" t="n">
        <x:v>85</x:v>
      </x:c>
      <x:c r="N106" s="72" t="n">
        <x:v>89</x:v>
      </x:c>
      <x:c r="O106" s="72" t="n">
        <x:v>86</x:v>
      </x:c>
      <x:c r="P106" s="72" t="n">
        <x:v>14</x:v>
      </x:c>
      <x:c r="Q106" s="72" t="n">
        <x:v>8</x:v>
      </x:c>
      <x:c r="R106" s="72" t="n">
        <x:f>ROUND(0.30*J106+0.20*K106+0.25*L106+0.15*M106+0.10*O106,2)</x:f>
        <x:v>87.2</x:v>
      </x:c>
      <x:c r="S106" s="72" t="n">
        <x:f>ROUND(0.30*N106+0.20*L106+0.20*K106+0.15*O106+0.15*(100-P106),2)</x:f>
        <x:v>87.5</x:v>
      </x:c>
      <x:c r="T106" s="72" t="n">
        <x:f>ROUND((R106+S106)/2,2)</x:f>
        <x:v>87.35</x:v>
      </x:c>
      <x:c r="U106" s="40" t="str">
        <x:v>S_eq=(V+S_H)/2; V and S_H equal-weighted</x:v>
      </x:c>
      <x:c r="V106" s="40" t="str">
        <x:v>yes</x:v>
      </x:c>
      <x:c r="W106" s="40" t="str"/>
      <x:c r="X106" s="40" t="str">
        <x:v>July official math.AP list; 734 total; scored pool = ceil(30%)=221</x:v>
      </x:c>
      <x:c r="Y106" s="40" t="str">
        <x:v>Assume main results correct; no line-by-line correctness check.</x:v>
      </x:c>
    </x:row>
    <x:row r="107" ht="38" customHeight="1">
      <x:c r="A107" s="40" t="str">
        <x:v>2607.05562</x:v>
      </x:c>
      <x:c r="B107" s="40" t="str">
        <x:v>2026-07</x:v>
      </x:c>
      <x:c r="C107" s="40" t="str">
        <x:v>math.AP</x:v>
      </x:c>
      <x:c r="D107" s="40" t="str">
        <x:v>compressible NS-Riesz</x:v>
      </x:c>
      <x:c r="E107" s="40" t="str">
        <x:v>L2-Linfty decay estimates and inviscid limits for global smooth solutions to the compressible Navier-Stokes-Riesz system</x:v>
      </x:c>
      <x:c r="F107" s="40" t="str">
        <x:v>Agnieszka Swierczewska-Gwiazda; Yuan Xu; Junhao Zhang</x:v>
      </x:c>
      <x:c r="G107" s="40" t="str">
        <x:v>-</x:v>
      </x:c>
      <x:c r="H107" s="40" t="str">
        <x:v>https://arxiv.org/abs/2607.05562</x:v>
      </x:c>
      <x:c r="I107" s="40" t="str">
        <x:v>Background row in the 30% scored pool; title/authors from official July list.</x:v>
      </x:c>
      <x:c r="J107" s="72" t="n">
        <x:v>88</x:v>
      </x:c>
      <x:c r="K107" s="72" t="n">
        <x:v>86</x:v>
      </x:c>
      <x:c r="L107" s="72" t="n">
        <x:v>89</x:v>
      </x:c>
      <x:c r="M107" s="72" t="n">
        <x:v>85</x:v>
      </x:c>
      <x:c r="N107" s="72" t="n">
        <x:v>89</x:v>
      </x:c>
      <x:c r="O107" s="72" t="n">
        <x:v>86</x:v>
      </x:c>
      <x:c r="P107" s="72" t="n">
        <x:v>14</x:v>
      </x:c>
      <x:c r="Q107" s="72" t="n">
        <x:v>8</x:v>
      </x:c>
      <x:c r="R107" s="72" t="n">
        <x:f>ROUND(0.30*J107+0.20*K107+0.25*L107+0.15*M107+0.10*O107,2)</x:f>
        <x:v>87.2</x:v>
      </x:c>
      <x:c r="S107" s="72" t="n">
        <x:f>ROUND(0.30*N107+0.20*L107+0.20*K107+0.15*O107+0.15*(100-P107),2)</x:f>
        <x:v>87.5</x:v>
      </x:c>
      <x:c r="T107" s="72" t="n">
        <x:f>ROUND((R107+S107)/2,2)</x:f>
        <x:v>87.35</x:v>
      </x:c>
      <x:c r="U107" s="40" t="str">
        <x:v>S_eq=(V+S_H)/2; V and S_H equal-weighted</x:v>
      </x:c>
      <x:c r="V107" s="40" t="str">
        <x:v>yes</x:v>
      </x:c>
      <x:c r="W107" s="40" t="str"/>
      <x:c r="X107" s="40" t="str">
        <x:v>July official math.AP list; 734 total; scored pool = ceil(30%)=221</x:v>
      </x:c>
      <x:c r="Y107" s="40" t="str">
        <x:v>Assume main results correct; no line-by-line correctness check.</x:v>
      </x:c>
    </x:row>
    <x:row r="108" ht="38" customHeight="1">
      <x:c r="A108" s="40" t="str">
        <x:v>2607.11280</x:v>
      </x:c>
      <x:c r="B108" s="40" t="str">
        <x:v>2026-07</x:v>
      </x:c>
      <x:c r="C108" s="40" t="str">
        <x:v>math.AP</x:v>
      </x:c>
      <x:c r="D108" s="40" t="str">
        <x:v>Schrodinger operators</x:v>
      </x:c>
      <x:c r="E108" s="40" t="str">
        <x:v>Sharp Broken-Power Lorentz Estimates for Fractional Powers of Radial Schrodinger Operators with Inverse-Square Asymptotics</x:v>
      </x:c>
      <x:c r="F108" s="40" t="str">
        <x:v>Haochen Liu; Qinghao Yu; Hongyan Zhou</x:v>
      </x:c>
      <x:c r="G108" s="40" t="n">
        <x:v>26</x:v>
      </x:c>
      <x:c r="H108" s="40" t="str">
        <x:v>https://arxiv.org/abs/2607.11280</x:v>
      </x:c>
      <x:c r="I108" s="40" t="str">
        <x:v>Background row in the 30% scored pool; title/authors from official July list.</x:v>
      </x:c>
      <x:c r="J108" s="72" t="n">
        <x:v>88</x:v>
      </x:c>
      <x:c r="K108" s="72" t="n">
        <x:v>86</x:v>
      </x:c>
      <x:c r="L108" s="72" t="n">
        <x:v>89</x:v>
      </x:c>
      <x:c r="M108" s="72" t="n">
        <x:v>85</x:v>
      </x:c>
      <x:c r="N108" s="72" t="n">
        <x:v>89</x:v>
      </x:c>
      <x:c r="O108" s="72" t="n">
        <x:v>86</x:v>
      </x:c>
      <x:c r="P108" s="72" t="n">
        <x:v>14</x:v>
      </x:c>
      <x:c r="Q108" s="72" t="n">
        <x:v>8</x:v>
      </x:c>
      <x:c r="R108" s="72" t="n">
        <x:f>ROUND(0.30*J108+0.20*K108+0.25*L108+0.15*M108+0.10*O108,2)</x:f>
        <x:v>87.2</x:v>
      </x:c>
      <x:c r="S108" s="72" t="n">
        <x:f>ROUND(0.30*N108+0.20*L108+0.20*K108+0.15*O108+0.15*(100-P108),2)</x:f>
        <x:v>87.5</x:v>
      </x:c>
      <x:c r="T108" s="72" t="n">
        <x:f>ROUND((R108+S108)/2,2)</x:f>
        <x:v>87.35</x:v>
      </x:c>
      <x:c r="U108" s="40" t="str">
        <x:v>S_eq=(V+S_H)/2; V and S_H equal-weighted</x:v>
      </x:c>
      <x:c r="V108" s="40" t="str">
        <x:v>yes</x:v>
      </x:c>
      <x:c r="W108" s="40" t="str"/>
      <x:c r="X108" s="40" t="str">
        <x:v>July official math.AP list; 734 total; scored pool = ceil(30%)=221</x:v>
      </x:c>
      <x:c r="Y108" s="40" t="str">
        <x:v>Assume main results correct; no line-by-line correctness check.</x:v>
      </x:c>
    </x:row>
    <x:row r="109" ht="38" customHeight="1">
      <x:c r="A109" s="40" t="str">
        <x:v>2607.01135</x:v>
      </x:c>
      <x:c r="B109" s="40" t="str">
        <x:v>2026-07</x:v>
      </x:c>
      <x:c r="C109" s="40" t="str">
        <x:v>math.AP</x:v>
      </x:c>
      <x:c r="D109" s="40" t="str">
        <x:v>spectral inequalities</x:v>
      </x:c>
      <x:c r="E109" s="40" t="str">
        <x:v>The Ashbaugh-Benguria reciprocal-gap conjecture for Dirichlet eigenvalues</x:v>
      </x:c>
      <x:c r="F109" s="40" t="str">
        <x:v>Yanyang Li; Quanyu Tang; Haiqi Zhang</x:v>
      </x:c>
      <x:c r="G109" s="40" t="n">
        <x:v>31</x:v>
      </x:c>
      <x:c r="H109" s="40" t="str">
        <x:v>https://arxiv.org/abs/2607.01135</x:v>
      </x:c>
      <x:c r="I109" s="40" t="str">
        <x:v>Scored candidate from official July math.AP list; correctness not checked.</x:v>
      </x:c>
      <x:c r="J109" s="72" t="n">
        <x:v>88</x:v>
      </x:c>
      <x:c r="K109" s="72" t="n">
        <x:v>86</x:v>
      </x:c>
      <x:c r="L109" s="72" t="n">
        <x:v>89</x:v>
      </x:c>
      <x:c r="M109" s="72" t="n">
        <x:v>85</x:v>
      </x:c>
      <x:c r="N109" s="72" t="n">
        <x:v>89</x:v>
      </x:c>
      <x:c r="O109" s="72" t="n">
        <x:v>85</x:v>
      </x:c>
      <x:c r="P109" s="72" t="n">
        <x:v>13</x:v>
      </x:c>
      <x:c r="Q109" s="72" t="n">
        <x:v>7</x:v>
      </x:c>
      <x:c r="R109" s="72" t="n">
        <x:f>ROUND(0.30*J109+0.20*K109+0.25*L109+0.15*M109+0.10*O109,2)</x:f>
        <x:v>87.1</x:v>
      </x:c>
      <x:c r="S109" s="72" t="n">
        <x:f>ROUND(0.30*N109+0.20*L109+0.20*K109+0.15*O109+0.15*(100-P109),2)</x:f>
        <x:v>87.5</x:v>
      </x:c>
      <x:c r="T109" s="72" t="n">
        <x:f>ROUND((R109+S109)/2,2)</x:f>
        <x:v>87.3</x:v>
      </x:c>
      <x:c r="U109" s="40" t="str">
        <x:v>S_eq=(V+S_H)/2; V and S_H equal-weighted</x:v>
      </x:c>
      <x:c r="V109" s="40" t="str">
        <x:v>yes</x:v>
      </x:c>
      <x:c r="W109" s="40" t="str"/>
      <x:c r="X109" s="40" t="str">
        <x:v>July official math.AP list; 734 total; scored pool = ceil(30%)=221</x:v>
      </x:c>
      <x:c r="Y109" s="40" t="str">
        <x:v>Assume main results correct; no line-by-line correctness check.</x:v>
      </x:c>
    </x:row>
    <x:row r="110" ht="38" customHeight="1">
      <x:c r="A110" s="40" t="str">
        <x:v>2607.04752</x:v>
      </x:c>
      <x:c r="B110" s="40" t="str">
        <x:v>2026-07</x:v>
      </x:c>
      <x:c r="C110" s="40" t="str">
        <x:v>math.AP</x:v>
      </x:c>
      <x:c r="D110" s="40" t="str">
        <x:v>fluid-structure interaction</x:v>
      </x:c>
      <x:c r="E110" s="40" t="str">
        <x:v>Well-posedness and regularity in thermodynamics of compressible fluid-structure interactions</x:v>
      </x:c>
      <x:c r="F110" s="40" t="str">
        <x:v>D. Breit; P. M. Ngougoue Ngougoue</x:v>
      </x:c>
      <x:c r="G110" s="40" t="str">
        <x:v>-</x:v>
      </x:c>
      <x:c r="H110" s="40" t="str">
        <x:v>https://arxiv.org/abs/2607.04752</x:v>
      </x:c>
      <x:c r="I110" s="40" t="str">
        <x:v>Scored candidate from official July math.AP list; correctness not checked.</x:v>
      </x:c>
      <x:c r="J110" s="72" t="n">
        <x:v>88</x:v>
      </x:c>
      <x:c r="K110" s="72" t="n">
        <x:v>86</x:v>
      </x:c>
      <x:c r="L110" s="72" t="n">
        <x:v>89</x:v>
      </x:c>
      <x:c r="M110" s="72" t="n">
        <x:v>85</x:v>
      </x:c>
      <x:c r="N110" s="72" t="n">
        <x:v>89</x:v>
      </x:c>
      <x:c r="O110" s="72" t="n">
        <x:v>85</x:v>
      </x:c>
      <x:c r="P110" s="72" t="n">
        <x:v>13</x:v>
      </x:c>
      <x:c r="Q110" s="72" t="n">
        <x:v>7</x:v>
      </x:c>
      <x:c r="R110" s="72" t="n">
        <x:f>ROUND(0.30*J110+0.20*K110+0.25*L110+0.15*M110+0.10*O110,2)</x:f>
        <x:v>87.1</x:v>
      </x:c>
      <x:c r="S110" s="72" t="n">
        <x:f>ROUND(0.30*N110+0.20*L110+0.20*K110+0.15*O110+0.15*(100-P110),2)</x:f>
        <x:v>87.5</x:v>
      </x:c>
      <x:c r="T110" s="72" t="n">
        <x:f>ROUND((R110+S110)/2,2)</x:f>
        <x:v>87.3</x:v>
      </x:c>
      <x:c r="U110" s="40" t="str">
        <x:v>S_eq=(V+S_H)/2; V and S_H equal-weighted</x:v>
      </x:c>
      <x:c r="V110" s="40" t="str">
        <x:v>yes</x:v>
      </x:c>
      <x:c r="W110" s="40" t="str"/>
      <x:c r="X110" s="40" t="str">
        <x:v>July official math.AP list; 734 total; scored pool = ceil(30%)=221</x:v>
      </x:c>
      <x:c r="Y110" s="40" t="str">
        <x:v>Assume main results correct; no line-by-line correctness check.</x:v>
      </x:c>
    </x:row>
    <x:row r="111" ht="38" customHeight="1">
      <x:c r="A111" s="40" t="str">
        <x:v>2607.05610</x:v>
      </x:c>
      <x:c r="B111" s="40" t="str">
        <x:v>2026-07</x:v>
      </x:c>
      <x:c r="C111" s="40" t="str">
        <x:v>math.AP</x:v>
      </x:c>
      <x:c r="D111" s="40" t="str">
        <x:v>free-boundary biology</x:v>
      </x:c>
      <x:c r="E111" s="40" t="str">
        <x:v>A free boundary analysis of tumor invasion driven by angiogenesis</x:v>
      </x:c>
      <x:c r="F111" s="40" t="str">
        <x:v>Serena Dipierro; Edoardo Proietti Lippi; Caterina Sportelli; Enrico Valdinoci</x:v>
      </x:c>
      <x:c r="G111" s="40" t="str">
        <x:v>-</x:v>
      </x:c>
      <x:c r="H111" s="40" t="str">
        <x:v>https://arxiv.org/abs/2607.05610</x:v>
      </x:c>
      <x:c r="I111" s="40" t="str">
        <x:v>Scored candidate from official July math.AP list; correctness not checked.</x:v>
      </x:c>
      <x:c r="J111" s="72" t="n">
        <x:v>88</x:v>
      </x:c>
      <x:c r="K111" s="72" t="n">
        <x:v>86</x:v>
      </x:c>
      <x:c r="L111" s="72" t="n">
        <x:v>89</x:v>
      </x:c>
      <x:c r="M111" s="72" t="n">
        <x:v>85</x:v>
      </x:c>
      <x:c r="N111" s="72" t="n">
        <x:v>89</x:v>
      </x:c>
      <x:c r="O111" s="72" t="n">
        <x:v>85</x:v>
      </x:c>
      <x:c r="P111" s="72" t="n">
        <x:v>13</x:v>
      </x:c>
      <x:c r="Q111" s="72" t="n">
        <x:v>7</x:v>
      </x:c>
      <x:c r="R111" s="72" t="n">
        <x:f>ROUND(0.30*J111+0.20*K111+0.25*L111+0.15*M111+0.10*O111,2)</x:f>
        <x:v>87.1</x:v>
      </x:c>
      <x:c r="S111" s="72" t="n">
        <x:f>ROUND(0.30*N111+0.20*L111+0.20*K111+0.15*O111+0.15*(100-P111),2)</x:f>
        <x:v>87.5</x:v>
      </x:c>
      <x:c r="T111" s="72" t="n">
        <x:f>ROUND((R111+S111)/2,2)</x:f>
        <x:v>87.3</x:v>
      </x:c>
      <x:c r="U111" s="40" t="str">
        <x:v>S_eq=(V+S_H)/2; V and S_H equal-weighted</x:v>
      </x:c>
      <x:c r="V111" s="40" t="str">
        <x:v>yes</x:v>
      </x:c>
      <x:c r="W111" s="40" t="str"/>
      <x:c r="X111" s="40" t="str">
        <x:v>July official math.AP list; 734 total; scored pool = ceil(30%)=221</x:v>
      </x:c>
      <x:c r="Y111" s="40" t="str">
        <x:v>Assume main results correct; no line-by-line correctness check.</x:v>
      </x:c>
    </x:row>
    <x:row r="112" ht="38" customHeight="1">
      <x:c r="A112" s="40" t="str">
        <x:v>2607.12734</x:v>
      </x:c>
      <x:c r="B112" s="40" t="str">
        <x:v>2026-07</x:v>
      </x:c>
      <x:c r="C112" s="40" t="str">
        <x:v>math.AP</x:v>
      </x:c>
      <x:c r="D112" s="40" t="str">
        <x:v>homogenization/fluid</x:v>
      </x:c>
      <x:c r="E112" s="40" t="str">
        <x:v>Homogenization of the Navier-Stokes-Cahn-Hilliard system in the small-hole regime</x:v>
      </x:c>
      <x:c r="F112" s="40" t="str">
        <x:v>Yong Lu; Jiaojiao Pan; Luqi Wang</x:v>
      </x:c>
      <x:c r="G112" s="40" t="n">
        <x:v>24</x:v>
      </x:c>
      <x:c r="H112" s="40" t="str">
        <x:v>https://arxiv.org/abs/2607.12734</x:v>
      </x:c>
      <x:c r="I112" s="40" t="str">
        <x:v>Additional exact July entry retained to complete 30% scoring pool.</x:v>
      </x:c>
      <x:c r="J112" s="72" t="n">
        <x:v>87</x:v>
      </x:c>
      <x:c r="K112" s="72" t="n">
        <x:v>87</x:v>
      </x:c>
      <x:c r="L112" s="72" t="n">
        <x:v>89</x:v>
      </x:c>
      <x:c r="M112" s="72" t="n">
        <x:v>85</x:v>
      </x:c>
      <x:c r="N112" s="72" t="n">
        <x:v>89</x:v>
      </x:c>
      <x:c r="O112" s="72" t="n">
        <x:v>84</x:v>
      </x:c>
      <x:c r="P112" s="72" t="n">
        <x:v>12</x:v>
      </x:c>
      <x:c r="Q112" s="72" t="n">
        <x:v>7</x:v>
      </x:c>
      <x:c r="R112" s="72" t="n">
        <x:f>ROUND(0.30*J112+0.20*K112+0.25*L112+0.15*M112+0.10*O112,2)</x:f>
        <x:v>86.9</x:v>
      </x:c>
      <x:c r="S112" s="72" t="n">
        <x:f>ROUND(0.30*N112+0.20*L112+0.20*K112+0.15*O112+0.15*(100-P112),2)</x:f>
        <x:v>87.7</x:v>
      </x:c>
      <x:c r="T112" s="72" t="n">
        <x:f>ROUND((R112+S112)/2,2)</x:f>
        <x:v>87.3</x:v>
      </x:c>
      <x:c r="U112" s="40" t="str">
        <x:v>S_eq=(V+S_H)/2; V and S_H equal-weighted</x:v>
      </x:c>
      <x:c r="V112" s="40" t="str">
        <x:v>yes</x:v>
      </x:c>
      <x:c r="W112" s="40" t="str"/>
      <x:c r="X112" s="40" t="str">
        <x:v>July official math.AP list; 734 total; scored pool = ceil(30%)=221</x:v>
      </x:c>
      <x:c r="Y112" s="40" t="str">
        <x:v>Assume main results correct; no line-by-line correctness check.</x:v>
      </x:c>
    </x:row>
    <x:row r="113" ht="38" customHeight="1">
      <x:c r="A113" s="40" t="str">
        <x:v>2607.13392</x:v>
      </x:c>
      <x:c r="B113" s="40" t="str">
        <x:v>2026-07</x:v>
      </x:c>
      <x:c r="C113" s="40" t="str">
        <x:v>math.AP</x:v>
      </x:c>
      <x:c r="D113" s="40" t="str">
        <x:v>geometric analysis</x:v>
      </x:c>
      <x:c r="E113" s="40" t="str">
        <x:v>Geometric analysis on rhombus torus: Green function with two singularities</x:v>
      </x:c>
      <x:c r="F113" s="40" t="str">
        <x:v>Zhijie Chen; Erjuan Fu; Chang-Shou Lin; Zhen Song</x:v>
      </x:c>
      <x:c r="G113" s="40" t="n">
        <x:v>50</x:v>
      </x:c>
      <x:c r="H113" s="40" t="str">
        <x:v>https://arxiv.org/abs/2607.13392</x:v>
      </x:c>
      <x:c r="I113" s="40" t="str">
        <x:v>Additional exact July entry retained to complete 30% scoring pool.</x:v>
      </x:c>
      <x:c r="J113" s="72" t="n">
        <x:v>87</x:v>
      </x:c>
      <x:c r="K113" s="72" t="n">
        <x:v>86</x:v>
      </x:c>
      <x:c r="L113" s="72" t="n">
        <x:v>89</x:v>
      </x:c>
      <x:c r="M113" s="72" t="n">
        <x:v>85</x:v>
      </x:c>
      <x:c r="N113" s="72" t="n">
        <x:v>89</x:v>
      </x:c>
      <x:c r="O113" s="72" t="n">
        <x:v>84</x:v>
      </x:c>
      <x:c r="P113" s="72" t="n">
        <x:v>10</x:v>
      </x:c>
      <x:c r="Q113" s="72" t="n">
        <x:v>7</x:v>
      </x:c>
      <x:c r="R113" s="72" t="n">
        <x:f>ROUND(0.30*J113+0.20*K113+0.25*L113+0.15*M113+0.10*O113,2)</x:f>
        <x:v>86.7</x:v>
      </x:c>
      <x:c r="S113" s="72" t="n">
        <x:f>ROUND(0.30*N113+0.20*L113+0.20*K113+0.15*O113+0.15*(100-P113),2)</x:f>
        <x:v>87.8</x:v>
      </x:c>
      <x:c r="T113" s="72" t="n">
        <x:f>ROUND((R113+S113)/2,2)</x:f>
        <x:v>87.25</x:v>
      </x:c>
      <x:c r="U113" s="40" t="str">
        <x:v>S_eq=(V+S_H)/2; V and S_H equal-weighted</x:v>
      </x:c>
      <x:c r="V113" s="40" t="str">
        <x:v>yes</x:v>
      </x:c>
      <x:c r="W113" s="40" t="str"/>
      <x:c r="X113" s="40" t="str">
        <x:v>July official math.AP list; 734 total; scored pool = ceil(30%)=221</x:v>
      </x:c>
      <x:c r="Y113" s="40" t="str">
        <x:v>Assume main results correct; no line-by-line correctness check.</x:v>
      </x:c>
    </x:row>
    <x:row r="114" ht="38" customHeight="1">
      <x:c r="A114" s="40" t="str">
        <x:v>2607.13628</x:v>
      </x:c>
      <x:c r="B114" s="40" t="str">
        <x:v>2026-07</x:v>
      </x:c>
      <x:c r="C114" s="40" t="str">
        <x:v>math.AP</x:v>
      </x:c>
      <x:c r="D114" s="40" t="str">
        <x:v>pseudo-relativistic NLS</x:v>
      </x:c>
      <x:c r="E114" s="40" t="str">
        <x:v>Existence and Limiting Profiles of Normalized Travelling Wave Solutions for the Pseudo-Relativistic Schrodinger Equation with Logarithmic Nonlinearity</x:v>
      </x:c>
      <x:c r="F114" s="40" t="str">
        <x:v>Pietro d'Avenia; Qihan He; Alessio Pomponio; Lianfeng Yang</x:v>
      </x:c>
      <x:c r="G114" s="40" t="str">
        <x:v>-</x:v>
      </x:c>
      <x:c r="H114" s="40" t="str">
        <x:v>https://arxiv.org/abs/2607.13628</x:v>
      </x:c>
      <x:c r="I114" s="40" t="str">
        <x:v>Additional exact July entry retained to complete 30% scoring pool.</x:v>
      </x:c>
      <x:c r="J114" s="72" t="n">
        <x:v>87</x:v>
      </x:c>
      <x:c r="K114" s="72" t="n">
        <x:v>86</x:v>
      </x:c>
      <x:c r="L114" s="72" t="n">
        <x:v>89</x:v>
      </x:c>
      <x:c r="M114" s="72" t="n">
        <x:v>85</x:v>
      </x:c>
      <x:c r="N114" s="72" t="n">
        <x:v>89</x:v>
      </x:c>
      <x:c r="O114" s="72" t="n">
        <x:v>84</x:v>
      </x:c>
      <x:c r="P114" s="72" t="n">
        <x:v>10</x:v>
      </x:c>
      <x:c r="Q114" s="72" t="n">
        <x:v>7</x:v>
      </x:c>
      <x:c r="R114" s="72" t="n">
        <x:f>ROUND(0.30*J114+0.20*K114+0.25*L114+0.15*M114+0.10*O114,2)</x:f>
        <x:v>86.7</x:v>
      </x:c>
      <x:c r="S114" s="72" t="n">
        <x:f>ROUND(0.30*N114+0.20*L114+0.20*K114+0.15*O114+0.15*(100-P114),2)</x:f>
        <x:v>87.8</x:v>
      </x:c>
      <x:c r="T114" s="72" t="n">
        <x:f>ROUND((R114+S114)/2,2)</x:f>
        <x:v>87.25</x:v>
      </x:c>
      <x:c r="U114" s="40" t="str">
        <x:v>S_eq=(V+S_H)/2; V and S_H equal-weighted</x:v>
      </x:c>
      <x:c r="V114" s="40" t="str">
        <x:v>yes</x:v>
      </x:c>
      <x:c r="W114" s="40" t="str"/>
      <x:c r="X114" s="40" t="str">
        <x:v>July official math.AP list; 734 total; scored pool = ceil(30%)=221</x:v>
      </x:c>
      <x:c r="Y114" s="40" t="str">
        <x:v>Assume main results correct; no line-by-line correctness check.</x:v>
      </x:c>
    </x:row>
    <x:row r="115" ht="38" customHeight="1">
      <x:c r="A115" s="40" t="str">
        <x:v>2607.12543</x:v>
      </x:c>
      <x:c r="B115" s="40" t="str">
        <x:v>2026-07</x:v>
      </x:c>
      <x:c r="C115" s="40" t="str">
        <x:v>math.AP</x:v>
      </x:c>
      <x:c r="D115" s="40" t="str">
        <x:v>degenerate elliptic regularity</x:v>
      </x:c>
      <x:c r="E115" s="40" t="str">
        <x:v>On the second-order regularity of widely degenerate elliptic systems</x:v>
      </x:c>
      <x:c r="F115" s="40" t="str">
        <x:v>Felice Iandoli; Berardino Sciunzi; Domenico Vuono</x:v>
      </x:c>
      <x:c r="G115" s="40" t="str">
        <x:v>-</x:v>
      </x:c>
      <x:c r="H115" s="40" t="str">
        <x:v>https://arxiv.org/abs/2607.12543</x:v>
      </x:c>
      <x:c r="I115" s="40" t="str">
        <x:v>Additional exact July entry retained to complete 30% scoring pool.</x:v>
      </x:c>
      <x:c r="J115" s="72" t="n">
        <x:v>87</x:v>
      </x:c>
      <x:c r="K115" s="72" t="n">
        <x:v>86</x:v>
      </x:c>
      <x:c r="L115" s="72" t="n">
        <x:v>89</x:v>
      </x:c>
      <x:c r="M115" s="72" t="n">
        <x:v>85</x:v>
      </x:c>
      <x:c r="N115" s="72" t="n">
        <x:v>89</x:v>
      </x:c>
      <x:c r="O115" s="72" t="n">
        <x:v>84</x:v>
      </x:c>
      <x:c r="P115" s="72" t="n">
        <x:v>11</x:v>
      </x:c>
      <x:c r="Q115" s="72" t="n">
        <x:v>7</x:v>
      </x:c>
      <x:c r="R115" s="72" t="n">
        <x:f>ROUND(0.30*J115+0.20*K115+0.25*L115+0.15*M115+0.10*O115,2)</x:f>
        <x:v>86.7</x:v>
      </x:c>
      <x:c r="S115" s="72" t="n">
        <x:f>ROUND(0.30*N115+0.20*L115+0.20*K115+0.15*O115+0.15*(100-P115),2)</x:f>
        <x:v>87.65</x:v>
      </x:c>
      <x:c r="T115" s="72" t="n">
        <x:f>ROUND((R115+S115)/2,2)</x:f>
        <x:v>87.18</x:v>
      </x:c>
      <x:c r="U115" s="40" t="str">
        <x:v>S_eq=(V+S_H)/2; V and S_H equal-weighted</x:v>
      </x:c>
      <x:c r="V115" s="40" t="str">
        <x:v>yes</x:v>
      </x:c>
      <x:c r="W115" s="40" t="str"/>
      <x:c r="X115" s="40" t="str">
        <x:v>July official math.AP list; 734 total; scored pool = ceil(30%)=221</x:v>
      </x:c>
      <x:c r="Y115" s="40" t="str">
        <x:v>Assume main results correct; no line-by-line correctness check.</x:v>
      </x:c>
    </x:row>
    <x:row r="116" ht="38" customHeight="1">
      <x:c r="A116" s="40" t="str">
        <x:v>2607.24089</x:v>
      </x:c>
      <x:c r="B116" s="40" t="str">
        <x:v>2026-07</x:v>
      </x:c>
      <x:c r="C116" s="40" t="str">
        <x:v>math.AP</x:v>
      </x:c>
      <x:c r="D116" s="40" t="str">
        <x:v>Triebel-Lizorkin/Keller-Segel</x:v>
      </x:c>
      <x:c r="E116" s="40" t="str">
        <x:v>Time-refined Triebel-Lizorkin estimates and applications to Keller-Segel</x:v>
      </x:c>
      <x:c r="F116" s="40" t="str">
        <x:v>Wenhai Shan; Xiao-song Yang</x:v>
      </x:c>
      <x:c r="G116" s="40" t="str">
        <x:v>-</x:v>
      </x:c>
      <x:c r="H116" s="40" t="str">
        <x:v>https://arxiv.org/abs/2607.24089</x:v>
      </x:c>
      <x:c r="I116" s="40" t="str">
        <x:v>Later July exact candidate included in 30% scored pool.</x:v>
      </x:c>
      <x:c r="J116" s="72" t="n">
        <x:v>87</x:v>
      </x:c>
      <x:c r="K116" s="72" t="n">
        <x:v>86</x:v>
      </x:c>
      <x:c r="L116" s="72" t="n">
        <x:v>89</x:v>
      </x:c>
      <x:c r="M116" s="72" t="n">
        <x:v>85</x:v>
      </x:c>
      <x:c r="N116" s="72" t="n">
        <x:v>89</x:v>
      </x:c>
      <x:c r="O116" s="72" t="n">
        <x:v>84</x:v>
      </x:c>
      <x:c r="P116" s="72" t="n">
        <x:v>11</x:v>
      </x:c>
      <x:c r="Q116" s="72" t="n">
        <x:v>7</x:v>
      </x:c>
      <x:c r="R116" s="72" t="n">
        <x:f>ROUND(0.30*J116+0.20*K116+0.25*L116+0.15*M116+0.10*O116,2)</x:f>
        <x:v>86.7</x:v>
      </x:c>
      <x:c r="S116" s="72" t="n">
        <x:f>ROUND(0.30*N116+0.20*L116+0.20*K116+0.15*O116+0.15*(100-P116),2)</x:f>
        <x:v>87.65</x:v>
      </x:c>
      <x:c r="T116" s="72" t="n">
        <x:f>ROUND((R116+S116)/2,2)</x:f>
        <x:v>87.18</x:v>
      </x:c>
      <x:c r="U116" s="40" t="str">
        <x:v>S_eq=(V+S_H)/2; V and S_H equal-weighted</x:v>
      </x:c>
      <x:c r="V116" s="40" t="str">
        <x:v>yes</x:v>
      </x:c>
      <x:c r="W116" s="40" t="str"/>
      <x:c r="X116" s="40" t="str">
        <x:v>July official math.AP list; 734 total; scored pool = ceil(30%)=221</x:v>
      </x:c>
      <x:c r="Y116" s="40" t="str">
        <x:v>Assume main results correct; no line-by-line correctness check.</x:v>
      </x:c>
    </x:row>
    <x:row r="117" ht="38" customHeight="1">
      <x:c r="A117" s="40" t="str">
        <x:v>2607.17410</x:v>
      </x:c>
      <x:c r="B117" s="40" t="str">
        <x:v>2026-07</x:v>
      </x:c>
      <x:c r="C117" s="40" t="str">
        <x:v>math.AP</x:v>
      </x:c>
      <x:c r="D117" s="40" t="str">
        <x:v>phase-field/contact lines</x:v>
      </x:c>
      <x:c r="E117" s="40" t="str">
        <x:v>Phase-Field Models, Sharp Interface Limits, and Numerical Schemes for Contact Line Dynamics</x:v>
      </x:c>
      <x:c r="F117" s="40" t="str">
        <x:v>Guosheng Fu; Yuan Gao; Jian-Guo Liu</x:v>
      </x:c>
      <x:c r="G117" s="40" t="n">
        <x:v>35</x:v>
      </x:c>
      <x:c r="H117" s="40" t="str">
        <x:v>https://arxiv.org/abs/2607.17410</x:v>
      </x:c>
      <x:c r="I117" s="40" t="str">
        <x:v>Later July exact candidate included in 30% scored pool.</x:v>
      </x:c>
      <x:c r="J117" s="72" t="n">
        <x:v>87</x:v>
      </x:c>
      <x:c r="K117" s="72" t="n">
        <x:v>87</x:v>
      </x:c>
      <x:c r="L117" s="72" t="n">
        <x:v>89</x:v>
      </x:c>
      <x:c r="M117" s="72" t="n">
        <x:v>85</x:v>
      </x:c>
      <x:c r="N117" s="72" t="n">
        <x:v>89</x:v>
      </x:c>
      <x:c r="O117" s="72" t="n">
        <x:v>84</x:v>
      </x:c>
      <x:c r="P117" s="72" t="n">
        <x:v>14</x:v>
      </x:c>
      <x:c r="Q117" s="72" t="n">
        <x:v>7</x:v>
      </x:c>
      <x:c r="R117" s="72" t="n">
        <x:f>ROUND(0.30*J117+0.20*K117+0.25*L117+0.15*M117+0.10*O117,2)</x:f>
        <x:v>86.9</x:v>
      </x:c>
      <x:c r="S117" s="72" t="n">
        <x:f>ROUND(0.30*N117+0.20*L117+0.20*K117+0.15*O117+0.15*(100-P117),2)</x:f>
        <x:v>87.4</x:v>
      </x:c>
      <x:c r="T117" s="72" t="n">
        <x:f>ROUND((R117+S117)/2,2)</x:f>
        <x:v>87.15</x:v>
      </x:c>
      <x:c r="U117" s="40" t="str">
        <x:v>S_eq=(V+S_H)/2; V and S_H equal-weighted</x:v>
      </x:c>
      <x:c r="V117" s="40" t="str">
        <x:v>yes</x:v>
      </x:c>
      <x:c r="W117" s="40" t="str"/>
      <x:c r="X117" s="40" t="str">
        <x:v>July official math.AP list; 734 total; scored pool = ceil(30%)=221</x:v>
      </x:c>
      <x:c r="Y117" s="40" t="str">
        <x:v>Assume main results correct; no line-by-line correctness check.</x:v>
      </x:c>
    </x:row>
    <x:row r="118" ht="38" customHeight="1">
      <x:c r="A118" s="40" t="str">
        <x:v>2607.12897</x:v>
      </x:c>
      <x:c r="B118" s="40" t="str">
        <x:v>2026-07</x:v>
      </x:c>
      <x:c r="C118" s="40" t="str">
        <x:v>math.AP</x:v>
      </x:c>
      <x:c r="D118" s="40" t="str">
        <x:v>cross-diffusion</x:v>
      </x:c>
      <x:c r="E118" s="40" t="str">
        <x:v>Analysis of a multispecies cross-diffusion Keller-Segel system with volume filling</x:v>
      </x:c>
      <x:c r="F118" s="40" t="str">
        <x:v>Noah Geltner; Ansgar Jüngel; Mingyue Zhang</x:v>
      </x:c>
      <x:c r="G118" s="40" t="str">
        <x:v>-</x:v>
      </x:c>
      <x:c r="H118" s="40" t="str">
        <x:v>https://arxiv.org/abs/2607.12897</x:v>
      </x:c>
      <x:c r="I118" s="40" t="str">
        <x:v>Additional exact July entry retained to complete 30% scoring pool.</x:v>
      </x:c>
      <x:c r="J118" s="72" t="n">
        <x:v>87</x:v>
      </x:c>
      <x:c r="K118" s="72" t="n">
        <x:v>86</x:v>
      </x:c>
      <x:c r="L118" s="72" t="n">
        <x:v>89</x:v>
      </x:c>
      <x:c r="M118" s="72" t="n">
        <x:v>85</x:v>
      </x:c>
      <x:c r="N118" s="72" t="n">
        <x:v>89</x:v>
      </x:c>
      <x:c r="O118" s="72" t="n">
        <x:v>84</x:v>
      </x:c>
      <x:c r="P118" s="72" t="n">
        <x:v>12</x:v>
      </x:c>
      <x:c r="Q118" s="72" t="n">
        <x:v>7</x:v>
      </x:c>
      <x:c r="R118" s="72" t="n">
        <x:f>ROUND(0.30*J118+0.20*K118+0.25*L118+0.15*M118+0.10*O118,2)</x:f>
        <x:v>86.7</x:v>
      </x:c>
      <x:c r="S118" s="72" t="n">
        <x:f>ROUND(0.30*N118+0.20*L118+0.20*K118+0.15*O118+0.15*(100-P118),2)</x:f>
        <x:v>87.5</x:v>
      </x:c>
      <x:c r="T118" s="72" t="n">
        <x:f>ROUND((R118+S118)/2,2)</x:f>
        <x:v>87.1</x:v>
      </x:c>
      <x:c r="U118" s="40" t="str">
        <x:v>S_eq=(V+S_H)/2; V and S_H equal-weighted</x:v>
      </x:c>
      <x:c r="V118" s="40" t="str">
        <x:v>yes</x:v>
      </x:c>
      <x:c r="W118" s="40" t="str"/>
      <x:c r="X118" s="40" t="str">
        <x:v>July official math.AP list; 734 total; scored pool = ceil(30%)=221</x:v>
      </x:c>
      <x:c r="Y118" s="40" t="str">
        <x:v>Assume main results correct; no line-by-line correctness check.</x:v>
      </x:c>
    </x:row>
    <x:row r="119" ht="38" customHeight="1">
      <x:c r="A119" s="40" t="str">
        <x:v>2607.17844</x:v>
      </x:c>
      <x:c r="B119" s="40" t="str">
        <x:v>2026-07</x:v>
      </x:c>
      <x:c r="C119" s="40" t="str">
        <x:v>math.AP</x:v>
      </x:c>
      <x:c r="D119" s="40" t="str">
        <x:v>capillary fluids</x:v>
      </x:c>
      <x:c r="E119" s="40" t="str">
        <x:v>Rigidity for capillary liquid drops of nearly circular section with constant vorticity</x:v>
      </x:c>
      <x:c r="F119" s="40" t="str">
        <x:v>Pietro Baldi; Domenico Angelo La Manna; Giuseppe La Scala</x:v>
      </x:c>
      <x:c r="G119" s="40" t="str">
        <x:v>-</x:v>
      </x:c>
      <x:c r="H119" s="40" t="str">
        <x:v>https://arxiv.org/abs/2607.17844</x:v>
      </x:c>
      <x:c r="I119" s="40" t="str">
        <x:v>Later July exact high-value candidate included in 30% competitive pool.</x:v>
      </x:c>
      <x:c r="J119" s="72" t="n">
        <x:v>87</x:v>
      </x:c>
      <x:c r="K119" s="72" t="n">
        <x:v>87</x:v>
      </x:c>
      <x:c r="L119" s="72" t="n">
        <x:v>88</x:v>
      </x:c>
      <x:c r="M119" s="72" t="n">
        <x:v>85</x:v>
      </x:c>
      <x:c r="N119" s="72" t="n">
        <x:v>88</x:v>
      </x:c>
      <x:c r="O119" s="72" t="n">
        <x:v>84</x:v>
      </x:c>
      <x:c r="P119" s="72" t="n">
        <x:v>10</x:v>
      </x:c>
      <x:c r="Q119" s="72" t="n">
        <x:v>6</x:v>
      </x:c>
      <x:c r="R119" s="72" t="n">
        <x:f>ROUND(0.30*J119+0.20*K119+0.25*L119+0.15*M119+0.10*O119,2)</x:f>
        <x:v>86.65</x:v>
      </x:c>
      <x:c r="S119" s="72" t="n">
        <x:f>ROUND(0.30*N119+0.20*L119+0.20*K119+0.15*O119+0.15*(100-P119),2)</x:f>
        <x:v>87.5</x:v>
      </x:c>
      <x:c r="T119" s="72" t="n">
        <x:f>ROUND((R119+S119)/2,2)</x:f>
        <x:v>87.08</x:v>
      </x:c>
      <x:c r="U119" s="40" t="str">
        <x:v>S_eq=(V+S_H)/2; V and S_H equal-weighted</x:v>
      </x:c>
      <x:c r="V119" s="40" t="str">
        <x:v>yes</x:v>
      </x:c>
      <x:c r="W119" s="40" t="str"/>
      <x:c r="X119" s="40" t="str">
        <x:v>July official math.AP list; 734 total; scored pool = ceil(30%)=221</x:v>
      </x:c>
      <x:c r="Y119" s="40" t="str">
        <x:v>Assume main results correct; no line-by-line correctness check.</x:v>
      </x:c>
    </x:row>
    <x:row r="120" ht="38" customHeight="1">
      <x:c r="A120" s="40" t="str">
        <x:v>2607.12553</x:v>
      </x:c>
      <x:c r="B120" s="40" t="str">
        <x:v>2026-07</x:v>
      </x:c>
      <x:c r="C120" s="40" t="str">
        <x:v>math.AP</x:v>
      </x:c>
      <x:c r="D120" s="40" t="str">
        <x:v>KdV well-posedness</x:v>
      </x:c>
      <x:c r="E120" s="40" t="str">
        <x:v>Diophantine conditions in well-posedness theory for a coupled modulated Korteweg-de Vries system</x:v>
      </x:c>
      <x:c r="F120" s="40" t="str">
        <x:v>Thomas Arthur; Damiano Greco; Kotaro Tsugawa</x:v>
      </x:c>
      <x:c r="G120" s="40" t="str">
        <x:v>-</x:v>
      </x:c>
      <x:c r="H120" s="40" t="str">
        <x:v>https://arxiv.org/abs/2607.12553</x:v>
      </x:c>
      <x:c r="I120" s="40" t="str">
        <x:v>Additional exact July entry retained to complete 30% scoring pool.</x:v>
      </x:c>
      <x:c r="J120" s="72" t="n">
        <x:v>87</x:v>
      </x:c>
      <x:c r="K120" s="72" t="n">
        <x:v>86</x:v>
      </x:c>
      <x:c r="L120" s="72" t="n">
        <x:v>89</x:v>
      </x:c>
      <x:c r="M120" s="72" t="n">
        <x:v>85</x:v>
      </x:c>
      <x:c r="N120" s="72" t="n">
        <x:v>89</x:v>
      </x:c>
      <x:c r="O120" s="72" t="n">
        <x:v>83</x:v>
      </x:c>
      <x:c r="P120" s="72" t="n">
        <x:v>12</x:v>
      </x:c>
      <x:c r="Q120" s="72" t="n">
        <x:v>7</x:v>
      </x:c>
      <x:c r="R120" s="72" t="n">
        <x:f>ROUND(0.30*J120+0.20*K120+0.25*L120+0.15*M120+0.10*O120,2)</x:f>
        <x:v>86.6</x:v>
      </x:c>
      <x:c r="S120" s="72" t="n">
        <x:f>ROUND(0.30*N120+0.20*L120+0.20*K120+0.15*O120+0.15*(100-P120),2)</x:f>
        <x:v>87.35</x:v>
      </x:c>
      <x:c r="T120" s="72" t="n">
        <x:f>ROUND((R120+S120)/2,2)</x:f>
        <x:v>86.98</x:v>
      </x:c>
      <x:c r="U120" s="40" t="str">
        <x:v>S_eq=(V+S_H)/2; V and S_H equal-weighted</x:v>
      </x:c>
      <x:c r="V120" s="40" t="str">
        <x:v>yes</x:v>
      </x:c>
      <x:c r="W120" s="40" t="str"/>
      <x:c r="X120" s="40" t="str">
        <x:v>July official math.AP list; 734 total; scored pool = ceil(30%)=221</x:v>
      </x:c>
      <x:c r="Y120" s="40" t="str">
        <x:v>Assume main results correct; no line-by-line correctness check.</x:v>
      </x:c>
    </x:row>
    <x:row r="121" ht="38" customHeight="1">
      <x:c r="A121" s="40" t="str">
        <x:v>2607.24128</x:v>
      </x:c>
      <x:c r="B121" s="40" t="str">
        <x:v>2026-07</x:v>
      </x:c>
      <x:c r="C121" s="40" t="str">
        <x:v>math.AP</x:v>
      </x:c>
      <x:c r="D121" s="40" t="str">
        <x:v>stochastic Keller-Segel</x:v>
      </x:c>
      <x:c r="E121" s="40" t="str">
        <x:v>Global Existence and Pathwise Uniqueness for stochastic parabolic-parabolic Keller-Segel</x:v>
      </x:c>
      <x:c r="F121" s="40" t="str">
        <x:v>Jinhuan Wang; Qian Li; Hui Huang</x:v>
      </x:c>
      <x:c r="G121" s="40" t="str">
        <x:v>-</x:v>
      </x:c>
      <x:c r="H121" s="40" t="str">
        <x:v>https://arxiv.org/abs/2607.24128</x:v>
      </x:c>
      <x:c r="I121" s="40" t="str">
        <x:v>Later July exact high-value candidate included in 30% competitive pool.</x:v>
      </x:c>
      <x:c r="J121" s="72" t="n">
        <x:v>87</x:v>
      </x:c>
      <x:c r="K121" s="72" t="n">
        <x:v>86</x:v>
      </x:c>
      <x:c r="L121" s="72" t="n">
        <x:v>89</x:v>
      </x:c>
      <x:c r="M121" s="72" t="n">
        <x:v>85</x:v>
      </x:c>
      <x:c r="N121" s="72" t="n">
        <x:v>89</x:v>
      </x:c>
      <x:c r="O121" s="72" t="n">
        <x:v>83</x:v>
      </x:c>
      <x:c r="P121" s="72" t="n">
        <x:v>12</x:v>
      </x:c>
      <x:c r="Q121" s="72" t="n">
        <x:v>6</x:v>
      </x:c>
      <x:c r="R121" s="72" t="n">
        <x:f>ROUND(0.30*J121+0.20*K121+0.25*L121+0.15*M121+0.10*O121,2)</x:f>
        <x:v>86.6</x:v>
      </x:c>
      <x:c r="S121" s="72" t="n">
        <x:f>ROUND(0.30*N121+0.20*L121+0.20*K121+0.15*O121+0.15*(100-P121),2)</x:f>
        <x:v>87.35</x:v>
      </x:c>
      <x:c r="T121" s="72" t="n">
        <x:f>ROUND((R121+S121)/2,2)</x:f>
        <x:v>86.98</x:v>
      </x:c>
      <x:c r="U121" s="40" t="str">
        <x:v>S_eq=(V+S_H)/2; V and S_H equal-weighted</x:v>
      </x:c>
      <x:c r="V121" s="40" t="str">
        <x:v>yes</x:v>
      </x:c>
      <x:c r="W121" s="40" t="str"/>
      <x:c r="X121" s="40" t="str">
        <x:v>July official math.AP list; 734 total; scored pool = ceil(30%)=221</x:v>
      </x:c>
      <x:c r="Y121" s="40" t="str">
        <x:v>Assume main results correct; no line-by-line correctness check.</x:v>
      </x:c>
    </x:row>
    <x:row r="122" ht="38" customHeight="1">
      <x:c r="A122" s="40" t="str">
        <x:v>2607.05725</x:v>
      </x:c>
      <x:c r="B122" s="40" t="str">
        <x:v>2026-07</x:v>
      </x:c>
      <x:c r="C122" s="40" t="str">
        <x:v>math.AP</x:v>
      </x:c>
      <x:c r="D122" s="40" t="str">
        <x:v>control/parabolic PDE</x:v>
      </x:c>
      <x:c r="E122" s="40" t="str">
        <x:v>Decay of solutions and bilinear control to trajectories of a 1D degenerate parabolic system</x:v>
      </x:c>
      <x:c r="F122" s="40" t="str">
        <x:v>Alfredo S. Gamboa; Andre Da Rocha Lopes; Luis P. Yapu</x:v>
      </x:c>
      <x:c r="G122" s="40" t="str">
        <x:v>-</x:v>
      </x:c>
      <x:c r="H122" s="40" t="str">
        <x:v>https://arxiv.org/abs/2607.05725</x:v>
      </x:c>
      <x:c r="I122" s="40" t="str">
        <x:v>Background row in the 30% scored pool; title/authors from official July list.</x:v>
      </x:c>
      <x:c r="J122" s="72" t="n">
        <x:v>87</x:v>
      </x:c>
      <x:c r="K122" s="72" t="n">
        <x:v>86</x:v>
      </x:c>
      <x:c r="L122" s="72" t="n">
        <x:v>88</x:v>
      </x:c>
      <x:c r="M122" s="72" t="n">
        <x:v>85</x:v>
      </x:c>
      <x:c r="N122" s="72" t="n">
        <x:v>88</x:v>
      </x:c>
      <x:c r="O122" s="72" t="n">
        <x:v>87</x:v>
      </x:c>
      <x:c r="P122" s="72" t="n">
        <x:v>14</x:v>
      </x:c>
      <x:c r="Q122" s="72" t="n">
        <x:v>8</x:v>
      </x:c>
      <x:c r="R122" s="72" t="n">
        <x:f>ROUND(0.30*J122+0.20*K122+0.25*L122+0.15*M122+0.10*O122,2)</x:f>
        <x:v>86.75</x:v>
      </x:c>
      <x:c r="S122" s="72" t="n">
        <x:f>ROUND(0.30*N122+0.20*L122+0.20*K122+0.15*O122+0.15*(100-P122),2)</x:f>
        <x:v>87.15</x:v>
      </x:c>
      <x:c r="T122" s="72" t="n">
        <x:f>ROUND((R122+S122)/2,2)</x:f>
        <x:v>86.95</x:v>
      </x:c>
      <x:c r="U122" s="40" t="str">
        <x:v>S_eq=(V+S_H)/2; V and S_H equal-weighted</x:v>
      </x:c>
      <x:c r="V122" s="40" t="str">
        <x:v>yes</x:v>
      </x:c>
      <x:c r="W122" s="40" t="str"/>
      <x:c r="X122" s="40" t="str">
        <x:v>July official math.AP list; 734 total; scored pool = ceil(30%)=221</x:v>
      </x:c>
      <x:c r="Y122" s="40" t="str">
        <x:v>Assume main results correct; no line-by-line correctness check.</x:v>
      </x:c>
    </x:row>
    <x:row r="123" ht="38" customHeight="1">
      <x:c r="A123" s="40" t="str">
        <x:v>2607.07344</x:v>
      </x:c>
      <x:c r="B123" s="40" t="str">
        <x:v>2026-07</x:v>
      </x:c>
      <x:c r="C123" s="40" t="str">
        <x:v>math.AP</x:v>
      </x:c>
      <x:c r="D123" s="40" t="str">
        <x:v>potential theory</x:v>
      </x:c>
      <x:c r="E123" s="40" t="str">
        <x:v>Dyadic potential theory and de Rham functions</x:v>
      </x:c>
      <x:c r="F123" s="40" t="str">
        <x:v>Nicola Arcozzi</x:v>
      </x:c>
      <x:c r="G123" s="40" t="n">
        <x:v>27</x:v>
      </x:c>
      <x:c r="H123" s="40" t="str">
        <x:v>https://arxiv.org/abs/2607.07344</x:v>
      </x:c>
      <x:c r="I123" s="40" t="str">
        <x:v>Background row in the 30% scored pool; title/authors from official July list.</x:v>
      </x:c>
      <x:c r="J123" s="72" t="n">
        <x:v>87</x:v>
      </x:c>
      <x:c r="K123" s="72" t="n">
        <x:v>86</x:v>
      </x:c>
      <x:c r="L123" s="72" t="n">
        <x:v>88</x:v>
      </x:c>
      <x:c r="M123" s="72" t="n">
        <x:v>85</x:v>
      </x:c>
      <x:c r="N123" s="72" t="n">
        <x:v>88</x:v>
      </x:c>
      <x:c r="O123" s="72" t="n">
        <x:v>87</x:v>
      </x:c>
      <x:c r="P123" s="72" t="n">
        <x:v>14</x:v>
      </x:c>
      <x:c r="Q123" s="72" t="n">
        <x:v>8</x:v>
      </x:c>
      <x:c r="R123" s="72" t="n">
        <x:f>ROUND(0.30*J123+0.20*K123+0.25*L123+0.15*M123+0.10*O123,2)</x:f>
        <x:v>86.75</x:v>
      </x:c>
      <x:c r="S123" s="72" t="n">
        <x:f>ROUND(0.30*N123+0.20*L123+0.20*K123+0.15*O123+0.15*(100-P123),2)</x:f>
        <x:v>87.15</x:v>
      </x:c>
      <x:c r="T123" s="72" t="n">
        <x:f>ROUND((R123+S123)/2,2)</x:f>
        <x:v>86.95</x:v>
      </x:c>
      <x:c r="U123" s="40" t="str">
        <x:v>S_eq=(V+S_H)/2; V and S_H equal-weighted</x:v>
      </x:c>
      <x:c r="V123" s="40" t="str">
        <x:v>yes</x:v>
      </x:c>
      <x:c r="W123" s="40" t="str"/>
      <x:c r="X123" s="40" t="str">
        <x:v>July official math.AP list; 734 total; scored pool = ceil(30%)=221</x:v>
      </x:c>
      <x:c r="Y123" s="40" t="str">
        <x:v>Assume main results correct; no line-by-line correctness check.</x:v>
      </x:c>
    </x:row>
    <x:row r="124" ht="38" customHeight="1">
      <x:c r="A124" s="40" t="str">
        <x:v>2607.08061</x:v>
      </x:c>
      <x:c r="B124" s="40" t="str">
        <x:v>2026-07</x:v>
      </x:c>
      <x:c r="C124" s="40" t="str">
        <x:v>math.AP</x:v>
      </x:c>
      <x:c r="D124" s="40" t="str">
        <x:v>reaction-diffusion</x:v>
      </x:c>
      <x:c r="E124" s="40" t="str">
        <x:v>Uniform L-infinity-Boundedness of Global Attractors for Reaction-Diffusion Equations with Neumann boundary condition in Uniformly Perturbed Non-Smooth Domains</x:v>
      </x:c>
      <x:c r="F124" s="40" t="str">
        <x:v>Antonio L. Pereira</x:v>
      </x:c>
      <x:c r="G124" s="40" t="n">
        <x:v>27</x:v>
      </x:c>
      <x:c r="H124" s="40" t="str">
        <x:v>https://arxiv.org/abs/2607.08061</x:v>
      </x:c>
      <x:c r="I124" s="40" t="str">
        <x:v>Background row in the 30% scored pool; title/authors from official July list.</x:v>
      </x:c>
      <x:c r="J124" s="72" t="n">
        <x:v>87</x:v>
      </x:c>
      <x:c r="K124" s="72" t="n">
        <x:v>86</x:v>
      </x:c>
      <x:c r="L124" s="72" t="n">
        <x:v>88</x:v>
      </x:c>
      <x:c r="M124" s="72" t="n">
        <x:v>85</x:v>
      </x:c>
      <x:c r="N124" s="72" t="n">
        <x:v>88</x:v>
      </x:c>
      <x:c r="O124" s="72" t="n">
        <x:v>87</x:v>
      </x:c>
      <x:c r="P124" s="72" t="n">
        <x:v>14</x:v>
      </x:c>
      <x:c r="Q124" s="72" t="n">
        <x:v>8</x:v>
      </x:c>
      <x:c r="R124" s="72" t="n">
        <x:f>ROUND(0.30*J124+0.20*K124+0.25*L124+0.15*M124+0.10*O124,2)</x:f>
        <x:v>86.75</x:v>
      </x:c>
      <x:c r="S124" s="72" t="n">
        <x:f>ROUND(0.30*N124+0.20*L124+0.20*K124+0.15*O124+0.15*(100-P124),2)</x:f>
        <x:v>87.15</x:v>
      </x:c>
      <x:c r="T124" s="72" t="n">
        <x:f>ROUND((R124+S124)/2,2)</x:f>
        <x:v>86.95</x:v>
      </x:c>
      <x:c r="U124" s="40" t="str">
        <x:v>S_eq=(V+S_H)/2; V and S_H equal-weighted</x:v>
      </x:c>
      <x:c r="V124" s="40" t="str">
        <x:v>yes</x:v>
      </x:c>
      <x:c r="W124" s="40" t="str"/>
      <x:c r="X124" s="40" t="str">
        <x:v>July official math.AP list; 734 total; scored pool = ceil(30%)=221</x:v>
      </x:c>
      <x:c r="Y124" s="40" t="str">
        <x:v>Assume main results correct; no line-by-line correctness check.</x:v>
      </x:c>
    </x:row>
    <x:row r="125" ht="38" customHeight="1">
      <x:c r="A125" s="40" t="str">
        <x:v>2607.11383</x:v>
      </x:c>
      <x:c r="B125" s="40" t="str">
        <x:v>2026-07</x:v>
      </x:c>
      <x:c r="C125" s="40" t="str">
        <x:v>math.AP</x:v>
      </x:c>
      <x:c r="D125" s="40" t="str">
        <x:v>fluid models</x:v>
      </x:c>
      <x:c r="E125" s="40" t="str">
        <x:v>A transient depth-averaged lava flow model with a Herschel-Bulkley rheology accounting for three phases</x:v>
      </x:c>
      <x:c r="F125" s="40" t="str">
        <x:v>Julie Binard; Alain Burgisser; Enrique D. Fernandez-Nieto; Gladys Narbona-Reina</x:v>
      </x:c>
      <x:c r="G125" s="40" t="str">
        <x:v>-</x:v>
      </x:c>
      <x:c r="H125" s="40" t="str">
        <x:v>https://arxiv.org/abs/2607.11383</x:v>
      </x:c>
      <x:c r="I125" s="40" t="str">
        <x:v>Background row in the 30% scored pool; title/authors from official July list.</x:v>
      </x:c>
      <x:c r="J125" s="72" t="n">
        <x:v>87</x:v>
      </x:c>
      <x:c r="K125" s="72" t="n">
        <x:v>86</x:v>
      </x:c>
      <x:c r="L125" s="72" t="n">
        <x:v>88</x:v>
      </x:c>
      <x:c r="M125" s="72" t="n">
        <x:v>85</x:v>
      </x:c>
      <x:c r="N125" s="72" t="n">
        <x:v>88</x:v>
      </x:c>
      <x:c r="O125" s="72" t="n">
        <x:v>87</x:v>
      </x:c>
      <x:c r="P125" s="72" t="n">
        <x:v>14</x:v>
      </x:c>
      <x:c r="Q125" s="72" t="n">
        <x:v>8</x:v>
      </x:c>
      <x:c r="R125" s="72" t="n">
        <x:f>ROUND(0.30*J125+0.20*K125+0.25*L125+0.15*M125+0.10*O125,2)</x:f>
        <x:v>86.75</x:v>
      </x:c>
      <x:c r="S125" s="72" t="n">
        <x:f>ROUND(0.30*N125+0.20*L125+0.20*K125+0.15*O125+0.15*(100-P125),2)</x:f>
        <x:v>87.15</x:v>
      </x:c>
      <x:c r="T125" s="72" t="n">
        <x:f>ROUND((R125+S125)/2,2)</x:f>
        <x:v>86.95</x:v>
      </x:c>
      <x:c r="U125" s="40" t="str">
        <x:v>S_eq=(V+S_H)/2; V and S_H equal-weighted</x:v>
      </x:c>
      <x:c r="V125" s="40" t="str">
        <x:v>yes</x:v>
      </x:c>
      <x:c r="W125" s="40" t="str"/>
      <x:c r="X125" s="40" t="str">
        <x:v>July official math.AP list; 734 total; scored pool = ceil(30%)=221</x:v>
      </x:c>
      <x:c r="Y125" s="40" t="str">
        <x:v>Assume main results correct; no line-by-line correctness check.</x:v>
      </x:c>
    </x:row>
    <x:row r="126" ht="38" customHeight="1">
      <x:c r="A126" s="40" t="str">
        <x:v>2607.00450</x:v>
      </x:c>
      <x:c r="B126" s="40" t="str">
        <x:v>2026-07</x:v>
      </x:c>
      <x:c r="C126" s="40" t="str">
        <x:v>math.AP</x:v>
      </x:c>
      <x:c r="D126" s="40" t="str">
        <x:v>capillary fluids</x:v>
      </x:c>
      <x:c r="E126" s="40" t="str">
        <x:v>A rigidity result for the 3D capillary liquid drop with constant vorticity</x:v>
      </x:c>
      <x:c r="F126" s="40" t="str">
        <x:v>Pietro Baldi; Domenico Angelo La Manna; Giuseppe La Scala</x:v>
      </x:c>
      <x:c r="G126" s="40" t="str">
        <x:v>-</x:v>
      </x:c>
      <x:c r="H126" s="40" t="str">
        <x:v>https://arxiv.org/abs/2607.00450</x:v>
      </x:c>
      <x:c r="I126" s="40" t="str">
        <x:v>Scored candidate from official July math.AP list; correctness not checked.</x:v>
      </x:c>
      <x:c r="J126" s="72" t="n">
        <x:v>87</x:v>
      </x:c>
      <x:c r="K126" s="72" t="n">
        <x:v>86</x:v>
      </x:c>
      <x:c r="L126" s="72" t="n">
        <x:v>88</x:v>
      </x:c>
      <x:c r="M126" s="72" t="n">
        <x:v>85</x:v>
      </x:c>
      <x:c r="N126" s="72" t="n">
        <x:v>88</x:v>
      </x:c>
      <x:c r="O126" s="72" t="n">
        <x:v>86</x:v>
      </x:c>
      <x:c r="P126" s="72" t="n">
        <x:v>13</x:v>
      </x:c>
      <x:c r="Q126" s="72" t="n">
        <x:v>7</x:v>
      </x:c>
      <x:c r="R126" s="72" t="n">
        <x:f>ROUND(0.30*J126+0.20*K126+0.25*L126+0.15*M126+0.10*O126,2)</x:f>
        <x:v>86.65</x:v>
      </x:c>
      <x:c r="S126" s="72" t="n">
        <x:f>ROUND(0.30*N126+0.20*L126+0.20*K126+0.15*O126+0.15*(100-P126),2)</x:f>
        <x:v>87.15</x:v>
      </x:c>
      <x:c r="T126" s="72" t="n">
        <x:f>ROUND((R126+S126)/2,2)</x:f>
        <x:v>86.9</x:v>
      </x:c>
      <x:c r="U126" s="40" t="str">
        <x:v>S_eq=(V+S_H)/2; V and S_H equal-weighted</x:v>
      </x:c>
      <x:c r="V126" s="40" t="str">
        <x:v>yes</x:v>
      </x:c>
      <x:c r="W126" s="40" t="str"/>
      <x:c r="X126" s="40" t="str">
        <x:v>July official math.AP list; 734 total; scored pool = ceil(30%)=221</x:v>
      </x:c>
      <x:c r="Y126" s="40" t="str">
        <x:v>Assume main results correct; no line-by-line correctness check.</x:v>
      </x:c>
    </x:row>
    <x:row r="127" ht="38" customHeight="1">
      <x:c r="A127" s="40" t="str">
        <x:v>2607.01154</x:v>
      </x:c>
      <x:c r="B127" s="40" t="str">
        <x:v>2026-07</x:v>
      </x:c>
      <x:c r="C127" s="40" t="str">
        <x:v>math.AP</x:v>
      </x:c>
      <x:c r="D127" s="40" t="str">
        <x:v>elliptic blow-up</x:v>
      </x:c>
      <x:c r="E127" s="40" t="str">
        <x:v>Local Uniqueness and Non-degeneracy of Blow Up Solutions To A Chern-Simons System</x:v>
      </x:c>
      <x:c r="F127" s="40" t="str">
        <x:v>Zetao Cheng; Haoyu Li; Lei Zhang</x:v>
      </x:c>
      <x:c r="G127" s="40" t="n">
        <x:v>35</x:v>
      </x:c>
      <x:c r="H127" s="40" t="str">
        <x:v>https://arxiv.org/abs/2607.01154</x:v>
      </x:c>
      <x:c r="I127" s="40" t="str">
        <x:v>Scored candidate from official July math.AP list; correctness not checked.</x:v>
      </x:c>
      <x:c r="J127" s="72" t="n">
        <x:v>87</x:v>
      </x:c>
      <x:c r="K127" s="72" t="n">
        <x:v>86</x:v>
      </x:c>
      <x:c r="L127" s="72" t="n">
        <x:v>88</x:v>
      </x:c>
      <x:c r="M127" s="72" t="n">
        <x:v>85</x:v>
      </x:c>
      <x:c r="N127" s="72" t="n">
        <x:v>88</x:v>
      </x:c>
      <x:c r="O127" s="72" t="n">
        <x:v>86</x:v>
      </x:c>
      <x:c r="P127" s="72" t="n">
        <x:v>13</x:v>
      </x:c>
      <x:c r="Q127" s="72" t="n">
        <x:v>7</x:v>
      </x:c>
      <x:c r="R127" s="72" t="n">
        <x:f>ROUND(0.30*J127+0.20*K127+0.25*L127+0.15*M127+0.10*O127,2)</x:f>
        <x:v>86.65</x:v>
      </x:c>
      <x:c r="S127" s="72" t="n">
        <x:f>ROUND(0.30*N127+0.20*L127+0.20*K127+0.15*O127+0.15*(100-P127),2)</x:f>
        <x:v>87.15</x:v>
      </x:c>
      <x:c r="T127" s="72" t="n">
        <x:f>ROUND((R127+S127)/2,2)</x:f>
        <x:v>86.9</x:v>
      </x:c>
      <x:c r="U127" s="40" t="str">
        <x:v>S_eq=(V+S_H)/2; V and S_H equal-weighted</x:v>
      </x:c>
      <x:c r="V127" s="40" t="str">
        <x:v>yes</x:v>
      </x:c>
      <x:c r="W127" s="40" t="str"/>
      <x:c r="X127" s="40" t="str">
        <x:v>July official math.AP list; 734 total; scored pool = ceil(30%)=221</x:v>
      </x:c>
      <x:c r="Y127" s="40" t="str">
        <x:v>Assume main results correct; no line-by-line correctness check.</x:v>
      </x:c>
    </x:row>
    <x:row r="128" ht="38" customHeight="1">
      <x:c r="A128" s="40" t="str">
        <x:v>2607.02414</x:v>
      </x:c>
      <x:c r="B128" s="40" t="str">
        <x:v>2026-07</x:v>
      </x:c>
      <x:c r="C128" s="40" t="str">
        <x:v>math.AP</x:v>
      </x:c>
      <x:c r="D128" s="40" t="str">
        <x:v>Allen-Cahn systems</x:v>
      </x:c>
      <x:c r="E128" s="40" t="str">
        <x:v>Weak and strong solutions for a class of quasilinear Allen-Cahn systems</x:v>
      </x:c>
      <x:c r="F128" s="40" t="str">
        <x:v>Harald Garcke; Tim Laux; Andrea Poiatti</x:v>
      </x:c>
      <x:c r="G128" s="40" t="str">
        <x:v>-</x:v>
      </x:c>
      <x:c r="H128" s="40" t="str">
        <x:v>https://arxiv.org/abs/2607.02414</x:v>
      </x:c>
      <x:c r="I128" s="40" t="str">
        <x:v>Scored candidate from official July math.AP list; correctness not checked.</x:v>
      </x:c>
      <x:c r="J128" s="72" t="n">
        <x:v>87</x:v>
      </x:c>
      <x:c r="K128" s="72" t="n">
        <x:v>86</x:v>
      </x:c>
      <x:c r="L128" s="72" t="n">
        <x:v>88</x:v>
      </x:c>
      <x:c r="M128" s="72" t="n">
        <x:v>85</x:v>
      </x:c>
      <x:c r="N128" s="72" t="n">
        <x:v>88</x:v>
      </x:c>
      <x:c r="O128" s="72" t="n">
        <x:v>86</x:v>
      </x:c>
      <x:c r="P128" s="72" t="n">
        <x:v>13</x:v>
      </x:c>
      <x:c r="Q128" s="72" t="n">
        <x:v>7</x:v>
      </x:c>
      <x:c r="R128" s="72" t="n">
        <x:f>ROUND(0.30*J128+0.20*K128+0.25*L128+0.15*M128+0.10*O128,2)</x:f>
        <x:v>86.65</x:v>
      </x:c>
      <x:c r="S128" s="72" t="n">
        <x:f>ROUND(0.30*N128+0.20*L128+0.20*K128+0.15*O128+0.15*(100-P128),2)</x:f>
        <x:v>87.15</x:v>
      </x:c>
      <x:c r="T128" s="72" t="n">
        <x:f>ROUND((R128+S128)/2,2)</x:f>
        <x:v>86.9</x:v>
      </x:c>
      <x:c r="U128" s="40" t="str">
        <x:v>S_eq=(V+S_H)/2; V and S_H equal-weighted</x:v>
      </x:c>
      <x:c r="V128" s="40" t="str">
        <x:v>yes</x:v>
      </x:c>
      <x:c r="W128" s="40" t="str"/>
      <x:c r="X128" s="40" t="str">
        <x:v>July official math.AP list; 734 total; scored pool = ceil(30%)=221</x:v>
      </x:c>
      <x:c r="Y128" s="40" t="str">
        <x:v>Assume main results correct; no line-by-line correctness check.</x:v>
      </x:c>
    </x:row>
    <x:row r="129" ht="38" customHeight="1">
      <x:c r="A129" s="40" t="str">
        <x:v>2607.03141</x:v>
      </x:c>
      <x:c r="B129" s="40" t="str">
        <x:v>2026-07</x:v>
      </x:c>
      <x:c r="C129" s="40" t="str">
        <x:v>math.AP</x:v>
      </x:c>
      <x:c r="D129" s="40" t="str">
        <x:v>homogenization</x:v>
      </x:c>
      <x:c r="E129" s="40" t="str">
        <x:v>Homogenization of Dynamic Signorini-Type Problems on Critically Oscillating Boundaries under Time-Periodic Forcing</x:v>
      </x:c>
      <x:c r="F129" s="40" t="str">
        <x:v>J. I. Diaz; A. V. Podolskyi; T. A. Shaposhnikova</x:v>
      </x:c>
      <x:c r="G129" s="40" t="n">
        <x:v>24</x:v>
      </x:c>
      <x:c r="H129" s="40" t="str">
        <x:v>https://arxiv.org/abs/2607.03141</x:v>
      </x:c>
      <x:c r="I129" s="40" t="str">
        <x:v>Scored candidate from official July math.AP list; correctness not checked.</x:v>
      </x:c>
      <x:c r="J129" s="72" t="n">
        <x:v>88</x:v>
      </x:c>
      <x:c r="K129" s="72" t="n">
        <x:v>85</x:v>
      </x:c>
      <x:c r="L129" s="72" t="n">
        <x:v>89</x:v>
      </x:c>
      <x:c r="M129" s="72" t="n">
        <x:v>84</x:v>
      </x:c>
      <x:c r="N129" s="72" t="n">
        <x:v>89</x:v>
      </x:c>
      <x:c r="O129" s="72" t="n">
        <x:v>84</x:v>
      </x:c>
      <x:c r="P129" s="72" t="n">
        <x:v>13</x:v>
      </x:c>
      <x:c r="Q129" s="72" t="n">
        <x:v>7</x:v>
      </x:c>
      <x:c r="R129" s="72" t="n">
        <x:f>ROUND(0.30*J129+0.20*K129+0.25*L129+0.15*M129+0.10*O129,2)</x:f>
        <x:v>86.65</x:v>
      </x:c>
      <x:c r="S129" s="72" t="n">
        <x:f>ROUND(0.30*N129+0.20*L129+0.20*K129+0.15*O129+0.15*(100-P129),2)</x:f>
        <x:v>87.15</x:v>
      </x:c>
      <x:c r="T129" s="72" t="n">
        <x:f>ROUND((R129+S129)/2,2)</x:f>
        <x:v>86.9</x:v>
      </x:c>
      <x:c r="U129" s="40" t="str">
        <x:v>S_eq=(V+S_H)/2; V and S_H equal-weighted</x:v>
      </x:c>
      <x:c r="V129" s="40" t="str">
        <x:v>yes</x:v>
      </x:c>
      <x:c r="W129" s="40" t="str"/>
      <x:c r="X129" s="40" t="str">
        <x:v>July official math.AP list; 734 total; scored pool = ceil(30%)=221</x:v>
      </x:c>
      <x:c r="Y129" s="40" t="str">
        <x:v>Assume main results correct; no line-by-line correctness check.</x:v>
      </x:c>
    </x:row>
    <x:row r="130" ht="38" customHeight="1">
      <x:c r="A130" s="40" t="str">
        <x:v>2607.03379</x:v>
      </x:c>
      <x:c r="B130" s="40" t="str">
        <x:v>2026-07</x:v>
      </x:c>
      <x:c r="C130" s="40" t="str">
        <x:v>math.AP</x:v>
      </x:c>
      <x:c r="D130" s="40" t="str">
        <x:v>minimal surfaces</x:v>
      </x:c>
      <x:c r="E130" s="40" t="str">
        <x:v>Weighted estimates for the stability operator of the helicoid on slowly varying domains</x:v>
      </x:c>
      <x:c r="F130" s="40" t="str">
        <x:v>Stephen J. Kleene</x:v>
      </x:c>
      <x:c r="G130" s="40" t="n">
        <x:v>26</x:v>
      </x:c>
      <x:c r="H130" s="40" t="str">
        <x:v>https://arxiv.org/abs/2607.03379</x:v>
      </x:c>
      <x:c r="I130" s="40" t="str">
        <x:v>Scored candidate from official July math.AP list; correctness not checked.</x:v>
      </x:c>
      <x:c r="J130" s="72" t="n">
        <x:v>87</x:v>
      </x:c>
      <x:c r="K130" s="72" t="n">
        <x:v>86</x:v>
      </x:c>
      <x:c r="L130" s="72" t="n">
        <x:v>88</x:v>
      </x:c>
      <x:c r="M130" s="72" t="n">
        <x:v>85</x:v>
      </x:c>
      <x:c r="N130" s="72" t="n">
        <x:v>88</x:v>
      </x:c>
      <x:c r="O130" s="72" t="n">
        <x:v>86</x:v>
      </x:c>
      <x:c r="P130" s="72" t="n">
        <x:v>13</x:v>
      </x:c>
      <x:c r="Q130" s="72" t="n">
        <x:v>7</x:v>
      </x:c>
      <x:c r="R130" s="72" t="n">
        <x:f>ROUND(0.30*J130+0.20*K130+0.25*L130+0.15*M130+0.10*O130,2)</x:f>
        <x:v>86.65</x:v>
      </x:c>
      <x:c r="S130" s="72" t="n">
        <x:f>ROUND(0.30*N130+0.20*L130+0.20*K130+0.15*O130+0.15*(100-P130),2)</x:f>
        <x:v>87.15</x:v>
      </x:c>
      <x:c r="T130" s="72" t="n">
        <x:f>ROUND((R130+S130)/2,2)</x:f>
        <x:v>86.9</x:v>
      </x:c>
      <x:c r="U130" s="40" t="str">
        <x:v>S_eq=(V+S_H)/2; V and S_H equal-weighted</x:v>
      </x:c>
      <x:c r="V130" s="40" t="str">
        <x:v>yes</x:v>
      </x:c>
      <x:c r="W130" s="40" t="str"/>
      <x:c r="X130" s="40" t="str">
        <x:v>July official math.AP list; 734 total; scored pool = ceil(30%)=221</x:v>
      </x:c>
      <x:c r="Y130" s="40" t="str">
        <x:v>Assume main results correct; no line-by-line correctness check.</x:v>
      </x:c>
    </x:row>
    <x:row r="131" ht="38" customHeight="1">
      <x:c r="A131" s="40" t="str">
        <x:v>2607.05388</x:v>
      </x:c>
      <x:c r="B131" s="40" t="str">
        <x:v>2026-07</x:v>
      </x:c>
      <x:c r="C131" s="40" t="str">
        <x:v>math.AP</x:v>
      </x:c>
      <x:c r="D131" s="40" t="str">
        <x:v>spectral geometry</x:v>
      </x:c>
      <x:c r="E131" s="40" t="str">
        <x:v>Sharp ratios for low-index Neumann eigenvalues on convex domains</x:v>
      </x:c>
      <x:c r="F131" s="40" t="str">
        <x:v>Quanyu Tang; Haiqi Zhang</x:v>
      </x:c>
      <x:c r="G131" s="40" t="n">
        <x:v>15</x:v>
      </x:c>
      <x:c r="H131" s="40" t="str">
        <x:v>https://arxiv.org/abs/2607.05388</x:v>
      </x:c>
      <x:c r="I131" s="40" t="str">
        <x:v>Scored candidate from official July math.AP list; correctness not checked.</x:v>
      </x:c>
      <x:c r="J131" s="72" t="n">
        <x:v>88</x:v>
      </x:c>
      <x:c r="K131" s="72" t="n">
        <x:v>85</x:v>
      </x:c>
      <x:c r="L131" s="72" t="n">
        <x:v>89</x:v>
      </x:c>
      <x:c r="M131" s="72" t="n">
        <x:v>84</x:v>
      </x:c>
      <x:c r="N131" s="72" t="n">
        <x:v>89</x:v>
      </x:c>
      <x:c r="O131" s="72" t="n">
        <x:v>84</x:v>
      </x:c>
      <x:c r="P131" s="72" t="n">
        <x:v>13</x:v>
      </x:c>
      <x:c r="Q131" s="72" t="n">
        <x:v>7</x:v>
      </x:c>
      <x:c r="R131" s="72" t="n">
        <x:f>ROUND(0.30*J131+0.20*K131+0.25*L131+0.15*M131+0.10*O131,2)</x:f>
        <x:v>86.65</x:v>
      </x:c>
      <x:c r="S131" s="72" t="n">
        <x:f>ROUND(0.30*N131+0.20*L131+0.20*K131+0.15*O131+0.15*(100-P131),2)</x:f>
        <x:v>87.15</x:v>
      </x:c>
      <x:c r="T131" s="72" t="n">
        <x:f>ROUND((R131+S131)/2,2)</x:f>
        <x:v>86.9</x:v>
      </x:c>
      <x:c r="U131" s="40" t="str">
        <x:v>S_eq=(V+S_H)/2; V and S_H equal-weighted</x:v>
      </x:c>
      <x:c r="V131" s="40" t="str">
        <x:v>yes</x:v>
      </x:c>
      <x:c r="W131" s="40" t="str"/>
      <x:c r="X131" s="40" t="str">
        <x:v>July official math.AP list; 734 total; scored pool = ceil(30%)=221</x:v>
      </x:c>
      <x:c r="Y131" s="40" t="str">
        <x:v>Assume main results correct; no line-by-line correctness check.</x:v>
      </x:c>
    </x:row>
    <x:row r="132" ht="38" customHeight="1">
      <x:c r="A132" s="40" t="str">
        <x:v>2607.06064</x:v>
      </x:c>
      <x:c r="B132" s="40" t="str">
        <x:v>2026-07</x:v>
      </x:c>
      <x:c r="C132" s="40" t="str">
        <x:v>math.AP</x:v>
      </x:c>
      <x:c r="D132" s="40" t="str">
        <x:v>interfaces/waves</x:v>
      </x:c>
      <x:c r="E132" s="40" t="str">
        <x:v>A Time-Domain Pressure-Interface Model for Gas Bubble Dynamics with Surface Tension</x:v>
      </x:c>
      <x:c r="F132" s="40" t="str">
        <x:v>Long Li; Mourad Sini</x:v>
      </x:c>
      <x:c r="G132" s="40" t="str">
        <x:v>-</x:v>
      </x:c>
      <x:c r="H132" s="40" t="str">
        <x:v>https://arxiv.org/abs/2607.06064</x:v>
      </x:c>
      <x:c r="I132" s="40" t="str">
        <x:v>Scored candidate from official July math.AP list; correctness not checked.</x:v>
      </x:c>
      <x:c r="J132" s="72" t="n">
        <x:v>87</x:v>
      </x:c>
      <x:c r="K132" s="72" t="n">
        <x:v>86</x:v>
      </x:c>
      <x:c r="L132" s="72" t="n">
        <x:v>88</x:v>
      </x:c>
      <x:c r="M132" s="72" t="n">
        <x:v>85</x:v>
      </x:c>
      <x:c r="N132" s="72" t="n">
        <x:v>88</x:v>
      </x:c>
      <x:c r="O132" s="72" t="n">
        <x:v>86</x:v>
      </x:c>
      <x:c r="P132" s="72" t="n">
        <x:v>13</x:v>
      </x:c>
      <x:c r="Q132" s="72" t="n">
        <x:v>7</x:v>
      </x:c>
      <x:c r="R132" s="72" t="n">
        <x:f>ROUND(0.30*J132+0.20*K132+0.25*L132+0.15*M132+0.10*O132,2)</x:f>
        <x:v>86.65</x:v>
      </x:c>
      <x:c r="S132" s="72" t="n">
        <x:f>ROUND(0.30*N132+0.20*L132+0.20*K132+0.15*O132+0.15*(100-P132),2)</x:f>
        <x:v>87.15</x:v>
      </x:c>
      <x:c r="T132" s="72" t="n">
        <x:f>ROUND((R132+S132)/2,2)</x:f>
        <x:v>86.9</x:v>
      </x:c>
      <x:c r="U132" s="40" t="str">
        <x:v>S_eq=(V+S_H)/2; V and S_H equal-weighted</x:v>
      </x:c>
      <x:c r="V132" s="40" t="str">
        <x:v>yes</x:v>
      </x:c>
      <x:c r="W132" s="40" t="str"/>
      <x:c r="X132" s="40" t="str">
        <x:v>July official math.AP list; 734 total; scored pool = ceil(30%)=221</x:v>
      </x:c>
      <x:c r="Y132" s="40" t="str">
        <x:v>Assume main results correct; no line-by-line correctness check.</x:v>
      </x:c>
    </x:row>
    <x:row r="133" ht="38" customHeight="1">
      <x:c r="A133" s="40" t="str">
        <x:v>2607.07628</x:v>
      </x:c>
      <x:c r="B133" s="40" t="str">
        <x:v>2026-07</x:v>
      </x:c>
      <x:c r="C133" s="40" t="str">
        <x:v>math.AP</x:v>
      </x:c>
      <x:c r="D133" s="40" t="str">
        <x:v>probabilistic PDE</x:v>
      </x:c>
      <x:c r="E133" s="40" t="str">
        <x:v>On probabilistic ill-posedness</x:v>
      </x:c>
      <x:c r="F133" s="40" t="str">
        <x:v>Tadahiro Oh; Nikolay Tzvetkov</x:v>
      </x:c>
      <x:c r="G133" s="40" t="n">
        <x:v>26</x:v>
      </x:c>
      <x:c r="H133" s="40" t="str">
        <x:v>https://arxiv.org/abs/2607.07628</x:v>
      </x:c>
      <x:c r="I133" s="40" t="str">
        <x:v>Scored candidate from official July math.AP list; correctness not checked.</x:v>
      </x:c>
      <x:c r="J133" s="72" t="n">
        <x:v>87</x:v>
      </x:c>
      <x:c r="K133" s="72" t="n">
        <x:v>86</x:v>
      </x:c>
      <x:c r="L133" s="72" t="n">
        <x:v>88</x:v>
      </x:c>
      <x:c r="M133" s="72" t="n">
        <x:v>85</x:v>
      </x:c>
      <x:c r="N133" s="72" t="n">
        <x:v>88</x:v>
      </x:c>
      <x:c r="O133" s="72" t="n">
        <x:v>86</x:v>
      </x:c>
      <x:c r="P133" s="72" t="n">
        <x:v>13</x:v>
      </x:c>
      <x:c r="Q133" s="72" t="n">
        <x:v>7</x:v>
      </x:c>
      <x:c r="R133" s="72" t="n">
        <x:f>ROUND(0.30*J133+0.20*K133+0.25*L133+0.15*M133+0.10*O133,2)</x:f>
        <x:v>86.65</x:v>
      </x:c>
      <x:c r="S133" s="72" t="n">
        <x:f>ROUND(0.30*N133+0.20*L133+0.20*K133+0.15*O133+0.15*(100-P133),2)</x:f>
        <x:v>87.15</x:v>
      </x:c>
      <x:c r="T133" s="72" t="n">
        <x:f>ROUND((R133+S133)/2,2)</x:f>
        <x:v>86.9</x:v>
      </x:c>
      <x:c r="U133" s="40" t="str">
        <x:v>S_eq=(V+S_H)/2; V and S_H equal-weighted</x:v>
      </x:c>
      <x:c r="V133" s="40" t="str">
        <x:v>yes</x:v>
      </x:c>
      <x:c r="W133" s="40" t="str"/>
      <x:c r="X133" s="40" t="str">
        <x:v>July official math.AP list; 734 total; scored pool = ceil(30%)=221</x:v>
      </x:c>
      <x:c r="Y133" s="40" t="str">
        <x:v>Assume main results correct; no line-by-line correctness check.</x:v>
      </x:c>
    </x:row>
    <x:row r="134" ht="38" customHeight="1">
      <x:c r="A134" s="40" t="str">
        <x:v>2607.17794</x:v>
      </x:c>
      <x:c r="B134" s="40" t="str">
        <x:v>2026-07</x:v>
      </x:c>
      <x:c r="C134" s="40" t="str">
        <x:v>math.AP</x:v>
      </x:c>
      <x:c r="D134" s="40" t="str">
        <x:v>Born-Infeld functionals</x:v>
      </x:c>
      <x:c r="E134" s="40" t="str">
        <x:v>Minimizers and Weak Solutions for Singular Born-Infeld Type Functionals</x:v>
      </x:c>
      <x:c r="F134" s="40" t="str">
        <x:v>Tengyang Liu; Ruifeng Zhang</x:v>
      </x:c>
      <x:c r="G134" s="40" t="n">
        <x:v>24</x:v>
      </x:c>
      <x:c r="H134" s="40" t="str">
        <x:v>https://arxiv.org/abs/2607.17794</x:v>
      </x:c>
      <x:c r="I134" s="40" t="str">
        <x:v>Later July exact candidate included in 30% scored pool.</x:v>
      </x:c>
      <x:c r="J134" s="72" t="n">
        <x:v>87</x:v>
      </x:c>
      <x:c r="K134" s="72" t="n">
        <x:v>86</x:v>
      </x:c>
      <x:c r="L134" s="72" t="n">
        <x:v>88</x:v>
      </x:c>
      <x:c r="M134" s="72" t="n">
        <x:v>85</x:v>
      </x:c>
      <x:c r="N134" s="72" t="n">
        <x:v>88</x:v>
      </x:c>
      <x:c r="O134" s="72" t="n">
        <x:v>84</x:v>
      </x:c>
      <x:c r="P134" s="72" t="n">
        <x:v>10</x:v>
      </x:c>
      <x:c r="Q134" s="72" t="n">
        <x:v>7</x:v>
      </x:c>
      <x:c r="R134" s="72" t="n">
        <x:f>ROUND(0.30*J134+0.20*K134+0.25*L134+0.15*M134+0.10*O134,2)</x:f>
        <x:v>86.45</x:v>
      </x:c>
      <x:c r="S134" s="72" t="n">
        <x:f>ROUND(0.30*N134+0.20*L134+0.20*K134+0.15*O134+0.15*(100-P134),2)</x:f>
        <x:v>87.3</x:v>
      </x:c>
      <x:c r="T134" s="72" t="n">
        <x:f>ROUND((R134+S134)/2,2)</x:f>
        <x:v>86.88</x:v>
      </x:c>
      <x:c r="U134" s="40" t="str">
        <x:v>S_eq=(V+S_H)/2; V and S_H equal-weighted</x:v>
      </x:c>
      <x:c r="V134" s="40" t="str">
        <x:v>yes</x:v>
      </x:c>
      <x:c r="W134" s="40" t="str"/>
      <x:c r="X134" s="40" t="str">
        <x:v>July official math.AP list; 734 total; scored pool = ceil(30%)=221</x:v>
      </x:c>
      <x:c r="Y134" s="40" t="str">
        <x:v>Assume main results correct; no line-by-line correctness check.</x:v>
      </x:c>
    </x:row>
    <x:row r="135" ht="38" customHeight="1">
      <x:c r="A135" s="40" t="str">
        <x:v>2607.12333</x:v>
      </x:c>
      <x:c r="B135" s="40" t="str">
        <x:v>2026-07</x:v>
      </x:c>
      <x:c r="C135" s="40" t="str">
        <x:v>math.AP</x:v>
      </x:c>
      <x:c r="D135" s="40" t="str">
        <x:v>metric graph inequalities</x:v>
      </x:c>
      <x:c r="E135" s="40" t="str">
        <x:v>On the p-torsional rigidity of compact metric graphs: a sharp Kohler-Jobin inequality</x:v>
      </x:c>
      <x:c r="F135" s="40" t="str">
        <x:v>Sedef Ozcan</x:v>
      </x:c>
      <x:c r="G135" s="40" t="str">
        <x:v>-</x:v>
      </x:c>
      <x:c r="H135" s="40" t="str">
        <x:v>https://arxiv.org/abs/2607.12333</x:v>
      </x:c>
      <x:c r="I135" s="40" t="str">
        <x:v>Additional exact July entry retained to complete 30% scoring pool.</x:v>
      </x:c>
      <x:c r="J135" s="72" t="n">
        <x:v>86</x:v>
      </x:c>
      <x:c r="K135" s="72" t="n">
        <x:v>86</x:v>
      </x:c>
      <x:c r="L135" s="72" t="n">
        <x:v>88</x:v>
      </x:c>
      <x:c r="M135" s="72" t="n">
        <x:v>84</x:v>
      </x:c>
      <x:c r="N135" s="72" t="n">
        <x:v>88</x:v>
      </x:c>
      <x:c r="O135" s="72" t="n">
        <x:v>84</x:v>
      </x:c>
      <x:c r="P135" s="72" t="n">
        <x:v>10</x:v>
      </x:c>
      <x:c r="Q135" s="72" t="n">
        <x:v>7</x:v>
      </x:c>
      <x:c r="R135" s="72" t="n">
        <x:f>ROUND(0.30*J135+0.20*K135+0.25*L135+0.15*M135+0.10*O135,2)</x:f>
        <x:v>86</x:v>
      </x:c>
      <x:c r="S135" s="72" t="n">
        <x:f>ROUND(0.30*N135+0.20*L135+0.20*K135+0.15*O135+0.15*(100-P135),2)</x:f>
        <x:v>87.3</x:v>
      </x:c>
      <x:c r="T135" s="72" t="n">
        <x:f>ROUND((R135+S135)/2,2)</x:f>
        <x:v>86.65</x:v>
      </x:c>
      <x:c r="U135" s="40" t="str">
        <x:v>S_eq=(V+S_H)/2; V and S_H equal-weighted</x:v>
      </x:c>
      <x:c r="V135" s="40" t="str">
        <x:v>yes</x:v>
      </x:c>
      <x:c r="W135" s="40" t="str"/>
      <x:c r="X135" s="40" t="str">
        <x:v>July official math.AP list; 734 total; scored pool = ceil(30%)=221</x:v>
      </x:c>
      <x:c r="Y135" s="40" t="str">
        <x:v>Assume main results correct; no line-by-line correctness check.</x:v>
      </x:c>
    </x:row>
    <x:row r="136" ht="38" customHeight="1">
      <x:c r="A136" s="40" t="str">
        <x:v>2607.12482</x:v>
      </x:c>
      <x:c r="B136" s="40" t="str">
        <x:v>2026-07</x:v>
      </x:c>
      <x:c r="C136" s="40" t="str">
        <x:v>math.AP</x:v>
      </x:c>
      <x:c r="D136" s="40" t="str">
        <x:v>memory equations</x:v>
      </x:c>
      <x:c r="E136" s="40" t="str">
        <x:v>Coercivity structure of positive-type memory: exact gaps, critical horizons, and singular limits</x:v>
      </x:c>
      <x:c r="F136" s="40" t="str">
        <x:v>Hiroki Ishizaka</x:v>
      </x:c>
      <x:c r="G136" s="40" t="str">
        <x:v>-</x:v>
      </x:c>
      <x:c r="H136" s="40" t="str">
        <x:v>https://arxiv.org/abs/2607.12482</x:v>
      </x:c>
      <x:c r="I136" s="40" t="str">
        <x:v>Additional exact July entry retained to complete 30% scoring pool.</x:v>
      </x:c>
      <x:c r="J136" s="72" t="n">
        <x:v>86</x:v>
      </x:c>
      <x:c r="K136" s="72" t="n">
        <x:v>86</x:v>
      </x:c>
      <x:c r="L136" s="72" t="n">
        <x:v>88</x:v>
      </x:c>
      <x:c r="M136" s="72" t="n">
        <x:v>84</x:v>
      </x:c>
      <x:c r="N136" s="72" t="n">
        <x:v>88</x:v>
      </x:c>
      <x:c r="O136" s="72" t="n">
        <x:v>84</x:v>
      </x:c>
      <x:c r="P136" s="72" t="n">
        <x:v>10</x:v>
      </x:c>
      <x:c r="Q136" s="72" t="n">
        <x:v>7</x:v>
      </x:c>
      <x:c r="R136" s="72" t="n">
        <x:f>ROUND(0.30*J136+0.20*K136+0.25*L136+0.15*M136+0.10*O136,2)</x:f>
        <x:v>86</x:v>
      </x:c>
      <x:c r="S136" s="72" t="n">
        <x:f>ROUND(0.30*N136+0.20*L136+0.20*K136+0.15*O136+0.15*(100-P136),2)</x:f>
        <x:v>87.3</x:v>
      </x:c>
      <x:c r="T136" s="72" t="n">
        <x:f>ROUND((R136+S136)/2,2)</x:f>
        <x:v>86.65</x:v>
      </x:c>
      <x:c r="U136" s="40" t="str">
        <x:v>S_eq=(V+S_H)/2; V and S_H equal-weighted</x:v>
      </x:c>
      <x:c r="V136" s="40" t="str">
        <x:v>yes</x:v>
      </x:c>
      <x:c r="W136" s="40" t="str"/>
      <x:c r="X136" s="40" t="str">
        <x:v>July official math.AP list; 734 total; scored pool = ceil(30%)=221</x:v>
      </x:c>
      <x:c r="Y136" s="40" t="str">
        <x:v>Assume main results correct; no line-by-line correctness check.</x:v>
      </x:c>
    </x:row>
    <x:row r="137" ht="38" customHeight="1">
      <x:c r="A137" s="40" t="str">
        <x:v>2607.05905</x:v>
      </x:c>
      <x:c r="B137" s="40" t="str">
        <x:v>2026-07</x:v>
      </x:c>
      <x:c r="C137" s="40" t="str">
        <x:v>math.AP</x:v>
      </x:c>
      <x:c r="D137" s="40" t="str">
        <x:v>parabolic systems</x:v>
      </x:c>
      <x:c r="E137" s="40" t="str">
        <x:v>A compensated Piola principle for critical nondiffusive parabolic systems</x:v>
      </x:c>
      <x:c r="F137" s="40" t="str">
        <x:v>Maotuo Guo</x:v>
      </x:c>
      <x:c r="G137" s="40" t="str">
        <x:v>-</x:v>
      </x:c>
      <x:c r="H137" s="40" t="str">
        <x:v>https://arxiv.org/abs/2607.05905</x:v>
      </x:c>
      <x:c r="I137" s="40" t="str">
        <x:v>Background row in the 30% scored pool; title/authors from official July list.</x:v>
      </x:c>
      <x:c r="J137" s="72" t="n">
        <x:v>87</x:v>
      </x:c>
      <x:c r="K137" s="72" t="n">
        <x:v>85</x:v>
      </x:c>
      <x:c r="L137" s="72" t="n">
        <x:v>88</x:v>
      </x:c>
      <x:c r="M137" s="72" t="n">
        <x:v>84</x:v>
      </x:c>
      <x:c r="N137" s="72" t="n">
        <x:v>88</x:v>
      </x:c>
      <x:c r="O137" s="72" t="n">
        <x:v>86</x:v>
      </x:c>
      <x:c r="P137" s="72" t="n">
        <x:v>14</x:v>
      </x:c>
      <x:c r="Q137" s="72" t="n">
        <x:v>8</x:v>
      </x:c>
      <x:c r="R137" s="72" t="n">
        <x:f>ROUND(0.30*J137+0.20*K137+0.25*L137+0.15*M137+0.10*O137,2)</x:f>
        <x:v>86.3</x:v>
      </x:c>
      <x:c r="S137" s="72" t="n">
        <x:f>ROUND(0.30*N137+0.20*L137+0.20*K137+0.15*O137+0.15*(100-P137),2)</x:f>
        <x:v>86.8</x:v>
      </x:c>
      <x:c r="T137" s="72" t="n">
        <x:f>ROUND((R137+S137)/2,2)</x:f>
        <x:v>86.55</x:v>
      </x:c>
      <x:c r="U137" s="40" t="str">
        <x:v>S_eq=(V+S_H)/2; V and S_H equal-weighted</x:v>
      </x:c>
      <x:c r="V137" s="40" t="str">
        <x:v>yes</x:v>
      </x:c>
      <x:c r="W137" s="40" t="str"/>
      <x:c r="X137" s="40" t="str">
        <x:v>July official math.AP list; 734 total; scored pool = ceil(30%)=221</x:v>
      </x:c>
      <x:c r="Y137" s="40" t="str">
        <x:v>Assume main results correct; no line-by-line correctness check.</x:v>
      </x:c>
    </x:row>
    <x:row r="138" ht="38" customHeight="1">
      <x:c r="A138" s="40" t="str">
        <x:v>2607.08021</x:v>
      </x:c>
      <x:c r="B138" s="40" t="str">
        <x:v>2026-07</x:v>
      </x:c>
      <x:c r="C138" s="40" t="str">
        <x:v>math.AP</x:v>
      </x:c>
      <x:c r="D138" s="40" t="str">
        <x:v>critical Hamiltonian systems</x:v>
      </x:c>
      <x:c r="E138" s="40" t="str">
        <x:v>Infinitely many sign-changing solutions for critical Hamiltonian systems with linear perturbation</x:v>
      </x:c>
      <x:c r="F138" s="40" t="str">
        <x:v>Yuxia Guo; Congzheng Xuanyuan</x:v>
      </x:c>
      <x:c r="G138" s="40" t="str">
        <x:v>-</x:v>
      </x:c>
      <x:c r="H138" s="40" t="str">
        <x:v>https://arxiv.org/abs/2607.08021</x:v>
      </x:c>
      <x:c r="I138" s="40" t="str">
        <x:v>Background row in the 30% scored pool; title/authors from official July list.</x:v>
      </x:c>
      <x:c r="J138" s="72" t="n">
        <x:v>87</x:v>
      </x:c>
      <x:c r="K138" s="72" t="n">
        <x:v>85</x:v>
      </x:c>
      <x:c r="L138" s="72" t="n">
        <x:v>88</x:v>
      </x:c>
      <x:c r="M138" s="72" t="n">
        <x:v>84</x:v>
      </x:c>
      <x:c r="N138" s="72" t="n">
        <x:v>88</x:v>
      </x:c>
      <x:c r="O138" s="72" t="n">
        <x:v>86</x:v>
      </x:c>
      <x:c r="P138" s="72" t="n">
        <x:v>14</x:v>
      </x:c>
      <x:c r="Q138" s="72" t="n">
        <x:v>8</x:v>
      </x:c>
      <x:c r="R138" s="72" t="n">
        <x:f>ROUND(0.30*J138+0.20*K138+0.25*L138+0.15*M138+0.10*O138,2)</x:f>
        <x:v>86.3</x:v>
      </x:c>
      <x:c r="S138" s="72" t="n">
        <x:f>ROUND(0.30*N138+0.20*L138+0.20*K138+0.15*O138+0.15*(100-P138),2)</x:f>
        <x:v>86.8</x:v>
      </x:c>
      <x:c r="T138" s="72" t="n">
        <x:f>ROUND((R138+S138)/2,2)</x:f>
        <x:v>86.55</x:v>
      </x:c>
      <x:c r="U138" s="40" t="str">
        <x:v>S_eq=(V+S_H)/2; V and S_H equal-weighted</x:v>
      </x:c>
      <x:c r="V138" s="40" t="str">
        <x:v>yes</x:v>
      </x:c>
      <x:c r="W138" s="40" t="str"/>
      <x:c r="X138" s="40" t="str">
        <x:v>July official math.AP list; 734 total; scored pool = ceil(30%)=221</x:v>
      </x:c>
      <x:c r="Y138" s="40" t="str">
        <x:v>Assume main results correct; no line-by-line correctness check.</x:v>
      </x:c>
    </x:row>
    <x:row r="139" ht="38" customHeight="1">
      <x:c r="A139" s="40" t="str">
        <x:v>2607.08498</x:v>
      </x:c>
      <x:c r="B139" s="40" t="str">
        <x:v>2026-07</x:v>
      </x:c>
      <x:c r="C139" s="40" t="str">
        <x:v>math.AP</x:v>
      </x:c>
      <x:c r="D139" s="40" t="str">
        <x:v>biofilm model</x:v>
      </x:c>
      <x:c r="E139" s="40" t="str">
        <x:v>Stability of Equilibria in a Biofilm Reactor Model with Wall Attachment and Thermodynamic Growth Inhibition</x:v>
      </x:c>
      <x:c r="F139" s="40" t="str">
        <x:v>Katerina Nik; Christoph Walker</x:v>
      </x:c>
      <x:c r="G139" s="40" t="str">
        <x:v>-</x:v>
      </x:c>
      <x:c r="H139" s="40" t="str">
        <x:v>https://arxiv.org/abs/2607.08498</x:v>
      </x:c>
      <x:c r="I139" s="40" t="str">
        <x:v>Background row in the 30% scored pool; title/authors from official July list.</x:v>
      </x:c>
      <x:c r="J139" s="72" t="n">
        <x:v>87</x:v>
      </x:c>
      <x:c r="K139" s="72" t="n">
        <x:v>85</x:v>
      </x:c>
      <x:c r="L139" s="72" t="n">
        <x:v>88</x:v>
      </x:c>
      <x:c r="M139" s="72" t="n">
        <x:v>84</x:v>
      </x:c>
      <x:c r="N139" s="72" t="n">
        <x:v>88</x:v>
      </x:c>
      <x:c r="O139" s="72" t="n">
        <x:v>86</x:v>
      </x:c>
      <x:c r="P139" s="72" t="n">
        <x:v>14</x:v>
      </x:c>
      <x:c r="Q139" s="72" t="n">
        <x:v>8</x:v>
      </x:c>
      <x:c r="R139" s="72" t="n">
        <x:f>ROUND(0.30*J139+0.20*K139+0.25*L139+0.15*M139+0.10*O139,2)</x:f>
        <x:v>86.3</x:v>
      </x:c>
      <x:c r="S139" s="72" t="n">
        <x:f>ROUND(0.30*N139+0.20*L139+0.20*K139+0.15*O139+0.15*(100-P139),2)</x:f>
        <x:v>86.8</x:v>
      </x:c>
      <x:c r="T139" s="72" t="n">
        <x:f>ROUND((R139+S139)/2,2)</x:f>
        <x:v>86.55</x:v>
      </x:c>
      <x:c r="U139" s="40" t="str">
        <x:v>S_eq=(V+S_H)/2; V and S_H equal-weighted</x:v>
      </x:c>
      <x:c r="V139" s="40" t="str">
        <x:v>yes</x:v>
      </x:c>
      <x:c r="W139" s="40" t="str"/>
      <x:c r="X139" s="40" t="str">
        <x:v>July official math.AP list; 734 total; scored pool = ceil(30%)=221</x:v>
      </x:c>
      <x:c r="Y139" s="40" t="str">
        <x:v>Assume main results correct; no line-by-line correctness check.</x:v>
      </x:c>
    </x:row>
    <x:row r="140" ht="38" customHeight="1">
      <x:c r="A140" s="40" t="str">
        <x:v>2607.10158</x:v>
      </x:c>
      <x:c r="B140" s="40" t="str">
        <x:v>2026-07</x:v>
      </x:c>
      <x:c r="C140" s="40" t="str">
        <x:v>math.AP</x:v>
      </x:c>
      <x:c r="D140" s="40" t="str">
        <x:v>transport equations</x:v>
      </x:c>
      <x:c r="E140" s="40" t="str">
        <x:v>Existence and Uniqueness of a Transport Equation coupled with a Balance law</x:v>
      </x:c>
      <x:c r="F140" s="40" t="str">
        <x:v>Shuvam Banerjee; Manas R. Sahoo</x:v>
      </x:c>
      <x:c r="G140" s="40" t="n">
        <x:v>22</x:v>
      </x:c>
      <x:c r="H140" s="40" t="str">
        <x:v>https://arxiv.org/abs/2607.10158</x:v>
      </x:c>
      <x:c r="I140" s="40" t="str">
        <x:v>Background row in the 30% scored pool; title/authors from official July list.</x:v>
      </x:c>
      <x:c r="J140" s="72" t="n">
        <x:v>87</x:v>
      </x:c>
      <x:c r="K140" s="72" t="n">
        <x:v>85</x:v>
      </x:c>
      <x:c r="L140" s="72" t="n">
        <x:v>88</x:v>
      </x:c>
      <x:c r="M140" s="72" t="n">
        <x:v>84</x:v>
      </x:c>
      <x:c r="N140" s="72" t="n">
        <x:v>88</x:v>
      </x:c>
      <x:c r="O140" s="72" t="n">
        <x:v>86</x:v>
      </x:c>
      <x:c r="P140" s="72" t="n">
        <x:v>14</x:v>
      </x:c>
      <x:c r="Q140" s="72" t="n">
        <x:v>8</x:v>
      </x:c>
      <x:c r="R140" s="72" t="n">
        <x:f>ROUND(0.30*J140+0.20*K140+0.25*L140+0.15*M140+0.10*O140,2)</x:f>
        <x:v>86.3</x:v>
      </x:c>
      <x:c r="S140" s="72" t="n">
        <x:f>ROUND(0.30*N140+0.20*L140+0.20*K140+0.15*O140+0.15*(100-P140),2)</x:f>
        <x:v>86.8</x:v>
      </x:c>
      <x:c r="T140" s="72" t="n">
        <x:f>ROUND((R140+S140)/2,2)</x:f>
        <x:v>86.55</x:v>
      </x:c>
      <x:c r="U140" s="40" t="str">
        <x:v>S_eq=(V+S_H)/2; V and S_H equal-weighted</x:v>
      </x:c>
      <x:c r="V140" s="40" t="str">
        <x:v>yes</x:v>
      </x:c>
      <x:c r="W140" s="40" t="str"/>
      <x:c r="X140" s="40" t="str">
        <x:v>July official math.AP list; 734 total; scored pool = ceil(30%)=221</x:v>
      </x:c>
      <x:c r="Y140" s="40" t="str">
        <x:v>Assume main results correct; no line-by-line correctness check.</x:v>
      </x:c>
    </x:row>
    <x:row r="141" ht="38" customHeight="1">
      <x:c r="A141" s="40" t="str">
        <x:v>2607.00344</x:v>
      </x:c>
      <x:c r="B141" s="40" t="str">
        <x:v>2026-07</x:v>
      </x:c>
      <x:c r="C141" s="40" t="str">
        <x:v>math.AP</x:v>
      </x:c>
      <x:c r="D141" s="40" t="str">
        <x:v>optimal transport</x:v>
      </x:c>
      <x:c r="E141" s="40" t="str">
        <x:v>A minimax Bilinear Transport Problem and Nash-Monge-Kantorovich Maps</x:v>
      </x:c>
      <x:c r="F141" s="40" t="str">
        <x:v>Rene Cabrera; Edward Huynh</x:v>
      </x:c>
      <x:c r="G141" s="40" t="n">
        <x:v>53</x:v>
      </x:c>
      <x:c r="H141" s="40" t="str">
        <x:v>https://arxiv.org/abs/2607.00344</x:v>
      </x:c>
      <x:c r="I141" s="40" t="str">
        <x:v>Scored candidate from official July math.AP list; correctness not checked.</x:v>
      </x:c>
      <x:c r="J141" s="72" t="n">
        <x:v>87</x:v>
      </x:c>
      <x:c r="K141" s="72" t="n">
        <x:v>85</x:v>
      </x:c>
      <x:c r="L141" s="72" t="n">
        <x:v>88</x:v>
      </x:c>
      <x:c r="M141" s="72" t="n">
        <x:v>84</x:v>
      </x:c>
      <x:c r="N141" s="72" t="n">
        <x:v>88</x:v>
      </x:c>
      <x:c r="O141" s="72" t="n">
        <x:v>85</x:v>
      </x:c>
      <x:c r="P141" s="72" t="n">
        <x:v>13</x:v>
      </x:c>
      <x:c r="Q141" s="72" t="n">
        <x:v>7</x:v>
      </x:c>
      <x:c r="R141" s="72" t="n">
        <x:f>ROUND(0.30*J141+0.20*K141+0.25*L141+0.15*M141+0.10*O141,2)</x:f>
        <x:v>86.2</x:v>
      </x:c>
      <x:c r="S141" s="72" t="n">
        <x:f>ROUND(0.30*N141+0.20*L141+0.20*K141+0.15*O141+0.15*(100-P141),2)</x:f>
        <x:v>86.8</x:v>
      </x:c>
      <x:c r="T141" s="72" t="n">
        <x:f>ROUND((R141+S141)/2,2)</x:f>
        <x:v>86.5</x:v>
      </x:c>
      <x:c r="U141" s="40" t="str">
        <x:v>S_eq=(V+S_H)/2; V and S_H equal-weighted</x:v>
      </x:c>
      <x:c r="V141" s="40" t="str">
        <x:v>yes</x:v>
      </x:c>
      <x:c r="W141" s="40" t="str"/>
      <x:c r="X141" s="40" t="str">
        <x:v>July official math.AP list; 734 total; scored pool = ceil(30%)=221</x:v>
      </x:c>
      <x:c r="Y141" s="40" t="str">
        <x:v>Assume main results correct; no line-by-line correctness check.</x:v>
      </x:c>
    </x:row>
    <x:row r="142" ht="38" customHeight="1">
      <x:c r="A142" s="40" t="str">
        <x:v>2607.12270</x:v>
      </x:c>
      <x:c r="B142" s="40" t="str">
        <x:v>2026-07</x:v>
      </x:c>
      <x:c r="C142" s="40" t="str">
        <x:v>math.AP</x:v>
      </x:c>
      <x:c r="D142" s="40" t="str">
        <x:v>Hamiltonian PDE</x:v>
      </x:c>
      <x:c r="E142" s="40" t="str">
        <x:v>Effective stability for Hamiltonian PDEs with vanishing spectral gaps</x:v>
      </x:c>
      <x:c r="F142" s="40" t="str">
        <x:v>Bingqi Yu; Yong Li</x:v>
      </x:c>
      <x:c r="G142" s="40" t="str">
        <x:v>-</x:v>
      </x:c>
      <x:c r="H142" s="40" t="str">
        <x:v>https://arxiv.org/abs/2607.12270</x:v>
      </x:c>
      <x:c r="I142" s="40" t="str">
        <x:v>Additional exact July entry retained to complete 30% scoring pool.</x:v>
      </x:c>
      <x:c r="J142" s="72" t="n">
        <x:v>86</x:v>
      </x:c>
      <x:c r="K142" s="72" t="n">
        <x:v>86</x:v>
      </x:c>
      <x:c r="L142" s="72" t="n">
        <x:v>88</x:v>
      </x:c>
      <x:c r="M142" s="72" t="n">
        <x:v>84</x:v>
      </x:c>
      <x:c r="N142" s="72" t="n">
        <x:v>88</x:v>
      </x:c>
      <x:c r="O142" s="72" t="n">
        <x:v>83</x:v>
      </x:c>
      <x:c r="P142" s="72" t="n">
        <x:v>11</x:v>
      </x:c>
      <x:c r="Q142" s="72" t="n">
        <x:v>7</x:v>
      </x:c>
      <x:c r="R142" s="72" t="n">
        <x:f>ROUND(0.30*J142+0.20*K142+0.25*L142+0.15*M142+0.10*O142,2)</x:f>
        <x:v>85.9</x:v>
      </x:c>
      <x:c r="S142" s="72" t="n">
        <x:f>ROUND(0.30*N142+0.20*L142+0.20*K142+0.15*O142+0.15*(100-P142),2)</x:f>
        <x:v>87</x:v>
      </x:c>
      <x:c r="T142" s="72" t="n">
        <x:f>ROUND((R142+S142)/2,2)</x:f>
        <x:v>86.45</x:v>
      </x:c>
      <x:c r="U142" s="40" t="str">
        <x:v>S_eq=(V+S_H)/2; V and S_H equal-weighted</x:v>
      </x:c>
      <x:c r="V142" s="40" t="str">
        <x:v>yes</x:v>
      </x:c>
      <x:c r="W142" s="40" t="str"/>
      <x:c r="X142" s="40" t="str">
        <x:v>July official math.AP list; 734 total; scored pool = ceil(30%)=221</x:v>
      </x:c>
      <x:c r="Y142" s="40" t="str">
        <x:v>Assume main results correct; no line-by-line correctness check.</x:v>
      </x:c>
    </x:row>
    <x:row r="143" ht="38" customHeight="1">
      <x:c r="A143" s="40" t="str">
        <x:v>2607.13163</x:v>
      </x:c>
      <x:c r="B143" s="40" t="str">
        <x:v>2026-07</x:v>
      </x:c>
      <x:c r="C143" s="40" t="str">
        <x:v>math.AP</x:v>
      </x:c>
      <x:c r="D143" s="40" t="str">
        <x:v>nonlocal evolution</x:v>
      </x:c>
      <x:c r="E143" s="40" t="str">
        <x:v>Non-local evolution equations with Levy diffusion: Well-posedness and limiting behavior</x:v>
      </x:c>
      <x:c r="F143" s="40" t="str">
        <x:v>Xi Huang; Li Peng; Yong Zhou</x:v>
      </x:c>
      <x:c r="G143" s="40" t="str">
        <x:v>-</x:v>
      </x:c>
      <x:c r="H143" s="40" t="str">
        <x:v>https://arxiv.org/abs/2607.13163</x:v>
      </x:c>
      <x:c r="I143" s="40" t="str">
        <x:v>Additional exact July entry retained to complete 30% scoring pool.</x:v>
      </x:c>
      <x:c r="J143" s="72" t="n">
        <x:v>86</x:v>
      </x:c>
      <x:c r="K143" s="72" t="n">
        <x:v>86</x:v>
      </x:c>
      <x:c r="L143" s="72" t="n">
        <x:v>88</x:v>
      </x:c>
      <x:c r="M143" s="72" t="n">
        <x:v>84</x:v>
      </x:c>
      <x:c r="N143" s="72" t="n">
        <x:v>88</x:v>
      </x:c>
      <x:c r="O143" s="72" t="n">
        <x:v>83</x:v>
      </x:c>
      <x:c r="P143" s="72" t="n">
        <x:v>11</x:v>
      </x:c>
      <x:c r="Q143" s="72" t="n">
        <x:v>7</x:v>
      </x:c>
      <x:c r="R143" s="72" t="n">
        <x:f>ROUND(0.30*J143+0.20*K143+0.25*L143+0.15*M143+0.10*O143,2)</x:f>
        <x:v>85.9</x:v>
      </x:c>
      <x:c r="S143" s="72" t="n">
        <x:f>ROUND(0.30*N143+0.20*L143+0.20*K143+0.15*O143+0.15*(100-P143),2)</x:f>
        <x:v>87</x:v>
      </x:c>
      <x:c r="T143" s="72" t="n">
        <x:f>ROUND((R143+S143)/2,2)</x:f>
        <x:v>86.45</x:v>
      </x:c>
      <x:c r="U143" s="40" t="str">
        <x:v>S_eq=(V+S_H)/2; V and S_H equal-weighted</x:v>
      </x:c>
      <x:c r="V143" s="40" t="str">
        <x:v>yes</x:v>
      </x:c>
      <x:c r="W143" s="40" t="str"/>
      <x:c r="X143" s="40" t="str">
        <x:v>July official math.AP list; 734 total; scored pool = ceil(30%)=221</x:v>
      </x:c>
      <x:c r="Y143" s="40" t="str">
        <x:v>Assume main results correct; no line-by-line correctness check.</x:v>
      </x:c>
    </x:row>
    <x:row r="144" ht="38" customHeight="1">
      <x:c r="A144" s="40" t="str">
        <x:v>2607.06725</x:v>
      </x:c>
      <x:c r="B144" s="40" t="str">
        <x:v>2026-07</x:v>
      </x:c>
      <x:c r="C144" s="40" t="str">
        <x:v>math.AP</x:v>
      </x:c>
      <x:c r="D144" s="40" t="str">
        <x:v>fractional homogenization</x:v>
      </x:c>
      <x:c r="E144" s="40" t="str">
        <x:v>H-convergence and Gamma-convergence in the Riesz fractional setting: the nonlinear case</x:v>
      </x:c>
      <x:c r="F144" s="40" t="str">
        <x:v>Giuseppe C. Brusca; Maicol Caponi; Alessandro Carbotti; Alberto Maione; Fabio Paronetto</x:v>
      </x:c>
      <x:c r="G144" s="40" t="n">
        <x:v>34</x:v>
      </x:c>
      <x:c r="H144" s="40" t="str">
        <x:v>https://arxiv.org/abs/2607.06725</x:v>
      </x:c>
      <x:c r="I144" s="40" t="str">
        <x:v>Background row in the 30% scored pool; title/authors from official July list.</x:v>
      </x:c>
      <x:c r="J144" s="72" t="n">
        <x:v>87</x:v>
      </x:c>
      <x:c r="K144" s="72" t="n">
        <x:v>85</x:v>
      </x:c>
      <x:c r="L144" s="72" t="n">
        <x:v>88</x:v>
      </x:c>
      <x:c r="M144" s="72" t="n">
        <x:v>84</x:v>
      </x:c>
      <x:c r="N144" s="72" t="n">
        <x:v>88</x:v>
      </x:c>
      <x:c r="O144" s="72" t="n">
        <x:v>85</x:v>
      </x:c>
      <x:c r="P144" s="72" t="n">
        <x:v>14</x:v>
      </x:c>
      <x:c r="Q144" s="72" t="n">
        <x:v>8</x:v>
      </x:c>
      <x:c r="R144" s="72" t="n">
        <x:f>ROUND(0.30*J144+0.20*K144+0.25*L144+0.15*M144+0.10*O144,2)</x:f>
        <x:v>86.2</x:v>
      </x:c>
      <x:c r="S144" s="72" t="n">
        <x:f>ROUND(0.30*N144+0.20*L144+0.20*K144+0.15*O144+0.15*(100-P144),2)</x:f>
        <x:v>86.65</x:v>
      </x:c>
      <x:c r="T144" s="72" t="n">
        <x:f>ROUND((R144+S144)/2,2)</x:f>
        <x:v>86.43</x:v>
      </x:c>
      <x:c r="U144" s="40" t="str">
        <x:v>S_eq=(V+S_H)/2; V and S_H equal-weighted</x:v>
      </x:c>
      <x:c r="V144" s="40" t="str">
        <x:v>yes</x:v>
      </x:c>
      <x:c r="W144" s="40" t="str"/>
      <x:c r="X144" s="40" t="str">
        <x:v>July official math.AP list; 734 total; scored pool = ceil(30%)=221</x:v>
      </x:c>
      <x:c r="Y144" s="40" t="str">
        <x:v>Assume main results correct; no line-by-line correctness check.</x:v>
      </x:c>
    </x:row>
    <x:row r="145" ht="38" customHeight="1">
      <x:c r="A145" s="40" t="str">
        <x:v>2607.08919</x:v>
      </x:c>
      <x:c r="B145" s="40" t="str">
        <x:v>2026-07</x:v>
      </x:c>
      <x:c r="C145" s="40" t="str">
        <x:v>math.AP</x:v>
      </x:c>
      <x:c r="D145" s="40" t="str">
        <x:v>fully nonlinear/free boundary</x:v>
      </x:c>
      <x:c r="E145" s="40" t="str">
        <x:v>Gradient regularity for degenerate fully nonlinear free transmission problems with Hamiltonian terms</x:v>
      </x:c>
      <x:c r="F145" s="40" t="str">
        <x:v>Wentao Huo</x:v>
      </x:c>
      <x:c r="G145" s="40" t="n">
        <x:v>36</x:v>
      </x:c>
      <x:c r="H145" s="40" t="str">
        <x:v>https://arxiv.org/abs/2607.08919</x:v>
      </x:c>
      <x:c r="I145" s="40" t="str">
        <x:v>Background row in the 30% scored pool; title/authors from official July list.</x:v>
      </x:c>
      <x:c r="J145" s="72" t="n">
        <x:v>87</x:v>
      </x:c>
      <x:c r="K145" s="72" t="n">
        <x:v>85</x:v>
      </x:c>
      <x:c r="L145" s="72" t="n">
        <x:v>88</x:v>
      </x:c>
      <x:c r="M145" s="72" t="n">
        <x:v>84</x:v>
      </x:c>
      <x:c r="N145" s="72" t="n">
        <x:v>88</x:v>
      </x:c>
      <x:c r="O145" s="72" t="n">
        <x:v>85</x:v>
      </x:c>
      <x:c r="P145" s="72" t="n">
        <x:v>14</x:v>
      </x:c>
      <x:c r="Q145" s="72" t="n">
        <x:v>8</x:v>
      </x:c>
      <x:c r="R145" s="72" t="n">
        <x:f>ROUND(0.30*J145+0.20*K145+0.25*L145+0.15*M145+0.10*O145,2)</x:f>
        <x:v>86.2</x:v>
      </x:c>
      <x:c r="S145" s="72" t="n">
        <x:f>ROUND(0.30*N145+0.20*L145+0.20*K145+0.15*O145+0.15*(100-P145),2)</x:f>
        <x:v>86.65</x:v>
      </x:c>
      <x:c r="T145" s="72" t="n">
        <x:f>ROUND((R145+S145)/2,2)</x:f>
        <x:v>86.43</x:v>
      </x:c>
      <x:c r="U145" s="40" t="str">
        <x:v>S_eq=(V+S_H)/2; V and S_H equal-weighted</x:v>
      </x:c>
      <x:c r="V145" s="40" t="str">
        <x:v>yes</x:v>
      </x:c>
      <x:c r="W145" s="40" t="str"/>
      <x:c r="X145" s="40" t="str">
        <x:v>July official math.AP list; 734 total; scored pool = ceil(30%)=221</x:v>
      </x:c>
      <x:c r="Y145" s="40" t="str">
        <x:v>Assume main results correct; no line-by-line correctness check.</x:v>
      </x:c>
    </x:row>
    <x:row r="146" ht="38" customHeight="1">
      <x:c r="A146" s="40" t="str">
        <x:v>2607.11123</x:v>
      </x:c>
      <x:c r="B146" s="40" t="str">
        <x:v>2026-07</x:v>
      </x:c>
      <x:c r="C146" s="40" t="str">
        <x:v>math.AP</x:v>
      </x:c>
      <x:c r="D146" s="40" t="str">
        <x:v>integrable PDE</x:v>
      </x:c>
      <x:c r="E146" s="40" t="str">
        <x:v>On the direct scattering theory for the Calogero-Moser derivative nonlinear Schrodinger equation</x:v>
      </x:c>
      <x:c r="F146" s="40" t="str">
        <x:v>Sun Ruoci; Wang Deng-shan; Zhao Yi</x:v>
      </x:c>
      <x:c r="G146" s="40" t="str">
        <x:v>-</x:v>
      </x:c>
      <x:c r="H146" s="40" t="str">
        <x:v>https://arxiv.org/abs/2607.11123</x:v>
      </x:c>
      <x:c r="I146" s="40" t="str">
        <x:v>Background row in the 30% scored pool; title/authors from official July list.</x:v>
      </x:c>
      <x:c r="J146" s="72" t="n">
        <x:v>87</x:v>
      </x:c>
      <x:c r="K146" s="72" t="n">
        <x:v>85</x:v>
      </x:c>
      <x:c r="L146" s="72" t="n">
        <x:v>88</x:v>
      </x:c>
      <x:c r="M146" s="72" t="n">
        <x:v>84</x:v>
      </x:c>
      <x:c r="N146" s="72" t="n">
        <x:v>88</x:v>
      </x:c>
      <x:c r="O146" s="72" t="n">
        <x:v>85</x:v>
      </x:c>
      <x:c r="P146" s="72" t="n">
        <x:v>14</x:v>
      </x:c>
      <x:c r="Q146" s="72" t="n">
        <x:v>8</x:v>
      </x:c>
      <x:c r="R146" s="72" t="n">
        <x:f>ROUND(0.30*J146+0.20*K146+0.25*L146+0.15*M146+0.10*O146,2)</x:f>
        <x:v>86.2</x:v>
      </x:c>
      <x:c r="S146" s="72" t="n">
        <x:f>ROUND(0.30*N146+0.20*L146+0.20*K146+0.15*O146+0.15*(100-P146),2)</x:f>
        <x:v>86.65</x:v>
      </x:c>
      <x:c r="T146" s="72" t="n">
        <x:f>ROUND((R146+S146)/2,2)</x:f>
        <x:v>86.43</x:v>
      </x:c>
      <x:c r="U146" s="40" t="str">
        <x:v>S_eq=(V+S_H)/2; V and S_H equal-weighted</x:v>
      </x:c>
      <x:c r="V146" s="40" t="str">
        <x:v>yes</x:v>
      </x:c>
      <x:c r="W146" s="40" t="str"/>
      <x:c r="X146" s="40" t="str">
        <x:v>July official math.AP list; 734 total; scored pool = ceil(30%)=221</x:v>
      </x:c>
      <x:c r="Y146" s="40" t="str">
        <x:v>Assume main results correct; no line-by-line correctness check.</x:v>
      </x:c>
    </x:row>
    <x:row r="147" ht="38" customHeight="1">
      <x:c r="A147" s="40" t="str">
        <x:v>2607.11502</x:v>
      </x:c>
      <x:c r="B147" s="40" t="str">
        <x:v>2026-07</x:v>
      </x:c>
      <x:c r="C147" s="40" t="str">
        <x:v>math.AP</x:v>
      </x:c>
      <x:c r="D147" s="40" t="str">
        <x:v>inverse scattering/NLS</x:v>
      </x:c>
      <x:c r="E147" s="40" t="str">
        <x:v>On inverse scattering for the nonlocal nonlinear Schrodinger equation with slowly decaying data</x:v>
      </x:c>
      <x:c r="F147" s="40" t="str">
        <x:v>Hideo Takaoka</x:v>
      </x:c>
      <x:c r="G147" s="40" t="n">
        <x:v>19</x:v>
      </x:c>
      <x:c r="H147" s="40" t="str">
        <x:v>https://arxiv.org/abs/2607.11502</x:v>
      </x:c>
      <x:c r="I147" s="40" t="str">
        <x:v>Background row in the 30% scored pool; title/authors from official July list.</x:v>
      </x:c>
      <x:c r="J147" s="72" t="n">
        <x:v>87</x:v>
      </x:c>
      <x:c r="K147" s="72" t="n">
        <x:v>85</x:v>
      </x:c>
      <x:c r="L147" s="72" t="n">
        <x:v>88</x:v>
      </x:c>
      <x:c r="M147" s="72" t="n">
        <x:v>84</x:v>
      </x:c>
      <x:c r="N147" s="72" t="n">
        <x:v>88</x:v>
      </x:c>
      <x:c r="O147" s="72" t="n">
        <x:v>85</x:v>
      </x:c>
      <x:c r="P147" s="72" t="n">
        <x:v>14</x:v>
      </x:c>
      <x:c r="Q147" s="72" t="n">
        <x:v>8</x:v>
      </x:c>
      <x:c r="R147" s="72" t="n">
        <x:f>ROUND(0.30*J147+0.20*K147+0.25*L147+0.15*M147+0.10*O147,2)</x:f>
        <x:v>86.2</x:v>
      </x:c>
      <x:c r="S147" s="72" t="n">
        <x:f>ROUND(0.30*N147+0.20*L147+0.20*K147+0.15*O147+0.15*(100-P147),2)</x:f>
        <x:v>86.65</x:v>
      </x:c>
      <x:c r="T147" s="72" t="n">
        <x:f>ROUND((R147+S147)/2,2)</x:f>
        <x:v>86.43</x:v>
      </x:c>
      <x:c r="U147" s="40" t="str">
        <x:v>S_eq=(V+S_H)/2; V and S_H equal-weighted</x:v>
      </x:c>
      <x:c r="V147" s="40" t="str">
        <x:v>yes</x:v>
      </x:c>
      <x:c r="W147" s="40" t="str"/>
      <x:c r="X147" s="40" t="str">
        <x:v>July official math.AP list; 734 total; scored pool = ceil(30%)=221</x:v>
      </x:c>
      <x:c r="Y147" s="40" t="str">
        <x:v>Assume main results correct; no line-by-line correctness check.</x:v>
      </x:c>
    </x:row>
    <x:row r="148" ht="38" customHeight="1">
      <x:c r="A148" s="40" t="str">
        <x:v>2607.10143</x:v>
      </x:c>
      <x:c r="B148" s="40" t="str">
        <x:v>2026-07</x:v>
      </x:c>
      <x:c r="C148" s="40" t="str">
        <x:v>math.AP</x:v>
      </x:c>
      <x:c r="D148" s="40" t="str">
        <x:v>Boltzmann</x:v>
      </x:c>
      <x:c r="E148" s="40" t="str">
        <x:v>Global well-posedness of the Boltzmann equation via bilinear estimates</x:v>
      </x:c>
      <x:c r="F148" s="40" t="str">
        <x:v>Anne Niesdroy</x:v>
      </x:c>
      <x:c r="G148" s="40" t="n">
        <x:v>13</x:v>
      </x:c>
      <x:c r="H148" s="40" t="str">
        <x:v>https://arxiv.org/abs/2607.10143</x:v>
      </x:c>
      <x:c r="I148" s="40" t="str">
        <x:v>Scored candidate from official July math.AP list; correctness not checked.</x:v>
      </x:c>
      <x:c r="J148" s="72" t="n">
        <x:v>87</x:v>
      </x:c>
      <x:c r="K148" s="72" t="n">
        <x:v>85</x:v>
      </x:c>
      <x:c r="L148" s="72" t="n">
        <x:v>88</x:v>
      </x:c>
      <x:c r="M148" s="72" t="n">
        <x:v>84</x:v>
      </x:c>
      <x:c r="N148" s="72" t="n">
        <x:v>88</x:v>
      </x:c>
      <x:c r="O148" s="72" t="n">
        <x:v>84</x:v>
      </x:c>
      <x:c r="P148" s="72" t="n">
        <x:v>13</x:v>
      </x:c>
      <x:c r="Q148" s="72" t="n">
        <x:v>7</x:v>
      </x:c>
      <x:c r="R148" s="72" t="n">
        <x:f>ROUND(0.30*J148+0.20*K148+0.25*L148+0.15*M148+0.10*O148,2)</x:f>
        <x:v>86.1</x:v>
      </x:c>
      <x:c r="S148" s="72" t="n">
        <x:f>ROUND(0.30*N148+0.20*L148+0.20*K148+0.15*O148+0.15*(100-P148),2)</x:f>
        <x:v>86.65</x:v>
      </x:c>
      <x:c r="T148" s="72" t="n">
        <x:f>ROUND((R148+S148)/2,2)</x:f>
        <x:v>86.38</x:v>
      </x:c>
      <x:c r="U148" s="40" t="str">
        <x:v>S_eq=(V+S_H)/2; V and S_H equal-weighted</x:v>
      </x:c>
      <x:c r="V148" s="40" t="str">
        <x:v>yes</x:v>
      </x:c>
      <x:c r="W148" s="40" t="str"/>
      <x:c r="X148" s="40" t="str">
        <x:v>July official math.AP list; 734 total; scored pool = ceil(30%)=221</x:v>
      </x:c>
      <x:c r="Y148" s="40" t="str">
        <x:v>Assume main results correct; no line-by-line correctness check.</x:v>
      </x:c>
    </x:row>
    <x:row r="149" ht="38" customHeight="1">
      <x:c r="A149" s="40" t="str">
        <x:v>2607.13341</x:v>
      </x:c>
      <x:c r="B149" s="40" t="str">
        <x:v>2026-07</x:v>
      </x:c>
      <x:c r="C149" s="40" t="str">
        <x:v>math.AP</x:v>
      </x:c>
      <x:c r="D149" s="40" t="str">
        <x:v>SPDE</x:v>
      </x:c>
      <x:c r="E149" s="40" t="str">
        <x:v>Existence, Uniqueness, and Pathwise Regularity for Multidimensional Semilinear SPDEs with Locally Lipschitz Coefficients and Rough Initial Data</x:v>
      </x:c>
      <x:c r="F149" s="40" t="str">
        <x:v>Jitendra Nath Naik; Lok Pati Tripathi</x:v>
      </x:c>
      <x:c r="G149" s="40" t="n">
        <x:v>46</x:v>
      </x:c>
      <x:c r="H149" s="40" t="str">
        <x:v>https://arxiv.org/abs/2607.13341</x:v>
      </x:c>
      <x:c r="I149" s="40" t="str">
        <x:v>Additional exact July entry retained to complete 30% scoring pool.</x:v>
      </x:c>
      <x:c r="J149" s="72" t="n">
        <x:v>86</x:v>
      </x:c>
      <x:c r="K149" s="72" t="n">
        <x:v>85</x:v>
      </x:c>
      <x:c r="L149" s="72" t="n">
        <x:v>89</x:v>
      </x:c>
      <x:c r="M149" s="72" t="n">
        <x:v>84</x:v>
      </x:c>
      <x:c r="N149" s="72" t="n">
        <x:v>89</x:v>
      </x:c>
      <x:c r="O149" s="72" t="n">
        <x:v>82</x:v>
      </x:c>
      <x:c r="P149" s="72" t="n">
        <x:v>14</x:v>
      </x:c>
      <x:c r="Q149" s="72" t="n">
        <x:v>7</x:v>
      </x:c>
      <x:c r="R149" s="72" t="n">
        <x:f>ROUND(0.30*J149+0.20*K149+0.25*L149+0.15*M149+0.10*O149,2)</x:f>
        <x:v>85.85</x:v>
      </x:c>
      <x:c r="S149" s="72" t="n">
        <x:f>ROUND(0.30*N149+0.20*L149+0.20*K149+0.15*O149+0.15*(100-P149),2)</x:f>
        <x:v>86.7</x:v>
      </x:c>
      <x:c r="T149" s="72" t="n">
        <x:f>ROUND((R149+S149)/2,2)</x:f>
        <x:v>86.28</x:v>
      </x:c>
      <x:c r="U149" s="40" t="str">
        <x:v>S_eq=(V+S_H)/2; V and S_H equal-weighted</x:v>
      </x:c>
      <x:c r="V149" s="40" t="str">
        <x:v>yes</x:v>
      </x:c>
      <x:c r="W149" s="40" t="str"/>
      <x:c r="X149" s="40" t="str">
        <x:v>July official math.AP list; 734 total; scored pool = ceil(30%)=221</x:v>
      </x:c>
      <x:c r="Y149" s="40" t="str">
        <x:v>Assume main results correct; no line-by-line correctness check.</x:v>
      </x:c>
    </x:row>
    <x:row r="150" ht="38" customHeight="1">
      <x:c r="A150" s="40" t="str">
        <x:v>2607.11702</x:v>
      </x:c>
      <x:c r="B150" s="40" t="str">
        <x:v>2026-07</x:v>
      </x:c>
      <x:c r="C150" s="40" t="str">
        <x:v>math.AP</x:v>
      </x:c>
      <x:c r="D150" s="40" t="str">
        <x:v>control/wave equations</x:v>
      </x:c>
      <x:c r="E150" s="40" t="str">
        <x:v>Uniform controllability for the wave equation with large potential</x:v>
      </x:c>
      <x:c r="F150" s="40" t="str">
        <x:v>Arthur Yax</x:v>
      </x:c>
      <x:c r="G150" s="40" t="str">
        <x:v>-</x:v>
      </x:c>
      <x:c r="H150" s="40" t="str">
        <x:v>https://arxiv.org/abs/2607.11702</x:v>
      </x:c>
      <x:c r="I150" s="40" t="str">
        <x:v>Later July exact candidate included in 30% scored pool.</x:v>
      </x:c>
      <x:c r="J150" s="72" t="n">
        <x:v>86</x:v>
      </x:c>
      <x:c r="K150" s="72" t="n">
        <x:v>85</x:v>
      </x:c>
      <x:c r="L150" s="72" t="n">
        <x:v>88</x:v>
      </x:c>
      <x:c r="M150" s="72" t="n">
        <x:v>84</x:v>
      </x:c>
      <x:c r="N150" s="72" t="n">
        <x:v>88</x:v>
      </x:c>
      <x:c r="O150" s="72" t="n">
        <x:v>83</x:v>
      </x:c>
      <x:c r="P150" s="72" t="n">
        <x:v>12</x:v>
      </x:c>
      <x:c r="Q150" s="72" t="n">
        <x:v>7</x:v>
      </x:c>
      <x:c r="R150" s="72" t="n">
        <x:f>ROUND(0.30*J150+0.20*K150+0.25*L150+0.15*M150+0.10*O150,2)</x:f>
        <x:v>85.7</x:v>
      </x:c>
      <x:c r="S150" s="72" t="n">
        <x:f>ROUND(0.30*N150+0.20*L150+0.20*K150+0.15*O150+0.15*(100-P150),2)</x:f>
        <x:v>86.65</x:v>
      </x:c>
      <x:c r="T150" s="72" t="n">
        <x:f>ROUND((R150+S150)/2,2)</x:f>
        <x:v>86.18</x:v>
      </x:c>
      <x:c r="U150" s="40" t="str">
        <x:v>S_eq=(V+S_H)/2; V and S_H equal-weighted</x:v>
      </x:c>
      <x:c r="V150" s="40" t="str">
        <x:v>yes</x:v>
      </x:c>
      <x:c r="W150" s="40" t="str"/>
      <x:c r="X150" s="40" t="str">
        <x:v>July official math.AP list; 734 total; scored pool = ceil(30%)=221</x:v>
      </x:c>
      <x:c r="Y150" s="40" t="str">
        <x:v>Assume main results correct; no line-by-line correctness check.</x:v>
      </x:c>
    </x:row>
    <x:row r="151" ht="38" customHeight="1">
      <x:c r="A151" s="40" t="str">
        <x:v>2607.12413</x:v>
      </x:c>
      <x:c r="B151" s="40" t="str">
        <x:v>2026-07</x:v>
      </x:c>
      <x:c r="C151" s="40" t="str">
        <x:v>math.AP</x:v>
      </x:c>
      <x:c r="D151" s="40" t="str">
        <x:v>control/homogenization</x:v>
      </x:c>
      <x:c r="E151" s="40" t="str">
        <x:v>Control and homogenization of a coupled hyperbolic system with an oscillating coefficient</x:v>
      </x:c>
      <x:c r="F151" s="40" t="str">
        <x:v>Vaibhav Kumar Jena; Abu Sufian</x:v>
      </x:c>
      <x:c r="G151" s="40" t="n">
        <x:v>18</x:v>
      </x:c>
      <x:c r="H151" s="40" t="str">
        <x:v>https://arxiv.org/abs/2607.12413</x:v>
      </x:c>
      <x:c r="I151" s="40" t="str">
        <x:v>Additional exact July entry retained to complete 30% scoring pool.</x:v>
      </x:c>
      <x:c r="J151" s="72" t="n">
        <x:v>86</x:v>
      </x:c>
      <x:c r="K151" s="72" t="n">
        <x:v>85</x:v>
      </x:c>
      <x:c r="L151" s="72" t="n">
        <x:v>88</x:v>
      </x:c>
      <x:c r="M151" s="72" t="n">
        <x:v>84</x:v>
      </x:c>
      <x:c r="N151" s="72" t="n">
        <x:v>88</x:v>
      </x:c>
      <x:c r="O151" s="72" t="n">
        <x:v>83</x:v>
      </x:c>
      <x:c r="P151" s="72" t="n">
        <x:v>12</x:v>
      </x:c>
      <x:c r="Q151" s="72" t="n">
        <x:v>7</x:v>
      </x:c>
      <x:c r="R151" s="72" t="n">
        <x:f>ROUND(0.30*J151+0.20*K151+0.25*L151+0.15*M151+0.10*O151,2)</x:f>
        <x:v>85.7</x:v>
      </x:c>
      <x:c r="S151" s="72" t="n">
        <x:f>ROUND(0.30*N151+0.20*L151+0.20*K151+0.15*O151+0.15*(100-P151),2)</x:f>
        <x:v>86.65</x:v>
      </x:c>
      <x:c r="T151" s="72" t="n">
        <x:f>ROUND((R151+S151)/2,2)</x:f>
        <x:v>86.18</x:v>
      </x:c>
      <x:c r="U151" s="40" t="str">
        <x:v>S_eq=(V+S_H)/2; V and S_H equal-weighted</x:v>
      </x:c>
      <x:c r="V151" s="40" t="str">
        <x:v>yes</x:v>
      </x:c>
      <x:c r="W151" s="40" t="str"/>
      <x:c r="X151" s="40" t="str">
        <x:v>July official math.AP list; 734 total; scored pool = ceil(30%)=221</x:v>
      </x:c>
      <x:c r="Y151" s="40" t="str">
        <x:v>Assume main results correct; no line-by-line correctness check.</x:v>
      </x:c>
    </x:row>
    <x:row r="152" ht="38" customHeight="1">
      <x:c r="A152" s="40" t="str">
        <x:v>2607.05166</x:v>
      </x:c>
      <x:c r="B152" s="40" t="str">
        <x:v>2026-07</x:v>
      </x:c>
      <x:c r="C152" s="40" t="str">
        <x:v>math.AP</x:v>
      </x:c>
      <x:c r="D152" s="40" t="str">
        <x:v>MHD/micropolar fluids</x:v>
      </x:c>
      <x:c r="E152" s="40" t="str">
        <x:v>Stability of vertically charged steady magnetic field in 3D incompressible magneto-micropolar fluids without magnetic and angular viscosity in a strip domain</x:v>
      </x:c>
      <x:c r="F152" s="40" t="str">
        <x:v>Zefu Feng; Guangyi Hong; Jiahong Wu; Kun Zhao</x:v>
      </x:c>
      <x:c r="G152" s="40" t="str">
        <x:v>-</x:v>
      </x:c>
      <x:c r="H152" s="40" t="str">
        <x:v>https://arxiv.org/abs/2607.05166</x:v>
      </x:c>
      <x:c r="I152" s="40" t="str">
        <x:v>Background row in the 30% scored pool; title/authors from official July list.</x:v>
      </x:c>
      <x:c r="J152" s="72" t="n">
        <x:v>87</x:v>
      </x:c>
      <x:c r="K152" s="72" t="n">
        <x:v>84</x:v>
      </x:c>
      <x:c r="L152" s="72" t="n">
        <x:v>88</x:v>
      </x:c>
      <x:c r="M152" s="72" t="n">
        <x:v>83</x:v>
      </x:c>
      <x:c r="N152" s="72" t="n">
        <x:v>88</x:v>
      </x:c>
      <x:c r="O152" s="72" t="n">
        <x:v>84</x:v>
      </x:c>
      <x:c r="P152" s="72" t="n">
        <x:v>14</x:v>
      </x:c>
      <x:c r="Q152" s="72" t="n">
        <x:v>8</x:v>
      </x:c>
      <x:c r="R152" s="72" t="n">
        <x:f>ROUND(0.30*J152+0.20*K152+0.25*L152+0.15*M152+0.10*O152,2)</x:f>
        <x:v>85.75</x:v>
      </x:c>
      <x:c r="S152" s="72" t="n">
        <x:f>ROUND(0.30*N152+0.20*L152+0.20*K152+0.15*O152+0.15*(100-P152),2)</x:f>
        <x:v>86.3</x:v>
      </x:c>
      <x:c r="T152" s="72" t="n">
        <x:f>ROUND((R152+S152)/2,2)</x:f>
        <x:v>86.03</x:v>
      </x:c>
      <x:c r="U152" s="40" t="str">
        <x:v>S_eq=(V+S_H)/2; V and S_H equal-weighted</x:v>
      </x:c>
      <x:c r="V152" s="40" t="str">
        <x:v>yes</x:v>
      </x:c>
      <x:c r="W152" s="40" t="str"/>
      <x:c r="X152" s="40" t="str">
        <x:v>July official math.AP list; 734 total; scored pool = ceil(30%)=221</x:v>
      </x:c>
      <x:c r="Y152" s="40" t="str">
        <x:v>Assume main results correct; no line-by-line correctness check.</x:v>
      </x:c>
    </x:row>
    <x:row r="153" ht="38" customHeight="1">
      <x:c r="A153" s="40" t="str">
        <x:v>2607.06895</x:v>
      </x:c>
      <x:c r="B153" s="40" t="str">
        <x:v>2026-07</x:v>
      </x:c>
      <x:c r="C153" s="40" t="str">
        <x:v>math.AP</x:v>
      </x:c>
      <x:c r="D153" s="40" t="str">
        <x:v>complex Monge-Ampere</x:v>
      </x:c>
      <x:c r="E153" s="40" t="str">
        <x:v>Power Convexity of Solutions to the Complex Monge-Ampere Equation in Complex Dimension Two</x:v>
      </x:c>
      <x:c r="F153" s="40" t="str">
        <x:v>Hongyu Chen; Jingchen Hu; Li Sheng</x:v>
      </x:c>
      <x:c r="G153" s="40" t="str">
        <x:v>-</x:v>
      </x:c>
      <x:c r="H153" s="40" t="str">
        <x:v>https://arxiv.org/abs/2607.06895</x:v>
      </x:c>
      <x:c r="I153" s="40" t="str">
        <x:v>Background row in the 30% scored pool; title/authors from official July list.</x:v>
      </x:c>
      <x:c r="J153" s="72" t="n">
        <x:v>86</x:v>
      </x:c>
      <x:c r="K153" s="72" t="n">
        <x:v>85</x:v>
      </x:c>
      <x:c r="L153" s="72" t="n">
        <x:v>87</x:v>
      </x:c>
      <x:c r="M153" s="72" t="n">
        <x:v>84</x:v>
      </x:c>
      <x:c r="N153" s="72" t="n">
        <x:v>87</x:v>
      </x:c>
      <x:c r="O153" s="72" t="n">
        <x:v>86</x:v>
      </x:c>
      <x:c r="P153" s="72" t="n">
        <x:v>14</x:v>
      </x:c>
      <x:c r="Q153" s="72" t="n">
        <x:v>8</x:v>
      </x:c>
      <x:c r="R153" s="72" t="n">
        <x:f>ROUND(0.30*J153+0.20*K153+0.25*L153+0.15*M153+0.10*O153,2)</x:f>
        <x:v>85.75</x:v>
      </x:c>
      <x:c r="S153" s="72" t="n">
        <x:f>ROUND(0.30*N153+0.20*L153+0.20*K153+0.15*O153+0.15*(100-P153),2)</x:f>
        <x:v>86.3</x:v>
      </x:c>
      <x:c r="T153" s="72" t="n">
        <x:f>ROUND((R153+S153)/2,2)</x:f>
        <x:v>86.03</x:v>
      </x:c>
      <x:c r="U153" s="40" t="str">
        <x:v>S_eq=(V+S_H)/2; V and S_H equal-weighted</x:v>
      </x:c>
      <x:c r="V153" s="40" t="str">
        <x:v>yes</x:v>
      </x:c>
      <x:c r="W153" s="40" t="str"/>
      <x:c r="X153" s="40" t="str">
        <x:v>July official math.AP list; 734 total; scored pool = ceil(30%)=221</x:v>
      </x:c>
      <x:c r="Y153" s="40" t="str">
        <x:v>Assume main results correct; no line-by-line correctness check.</x:v>
      </x:c>
    </x:row>
    <x:row r="154" ht="38" customHeight="1">
      <x:c r="A154" s="40" t="str">
        <x:v>2607.09147</x:v>
      </x:c>
      <x:c r="B154" s="40" t="str">
        <x:v>2026-07</x:v>
      </x:c>
      <x:c r="C154" s="40" t="str">
        <x:v>math.AP</x:v>
      </x:c>
      <x:c r="D154" s="40" t="str">
        <x:v>elastic waves</x:v>
      </x:c>
      <x:c r="E154" s="40" t="str">
        <x:v>On subwavelength guided seismic waves in Matryoshka-type elastic media with ring defects</x:v>
      </x:c>
      <x:c r="F154" s="40" t="str">
        <x:v>Lingzheng Kong</x:v>
      </x:c>
      <x:c r="G154" s="40" t="str">
        <x:v>-</x:v>
      </x:c>
      <x:c r="H154" s="40" t="str">
        <x:v>https://arxiv.org/abs/2607.09147</x:v>
      </x:c>
      <x:c r="I154" s="40" t="str">
        <x:v>Background row in the 30% scored pool; title/authors from official July list.</x:v>
      </x:c>
      <x:c r="J154" s="72" t="n">
        <x:v>86</x:v>
      </x:c>
      <x:c r="K154" s="72" t="n">
        <x:v>85</x:v>
      </x:c>
      <x:c r="L154" s="72" t="n">
        <x:v>87</x:v>
      </x:c>
      <x:c r="M154" s="72" t="n">
        <x:v>84</x:v>
      </x:c>
      <x:c r="N154" s="72" t="n">
        <x:v>87</x:v>
      </x:c>
      <x:c r="O154" s="72" t="n">
        <x:v>86</x:v>
      </x:c>
      <x:c r="P154" s="72" t="n">
        <x:v>14</x:v>
      </x:c>
      <x:c r="Q154" s="72" t="n">
        <x:v>8</x:v>
      </x:c>
      <x:c r="R154" s="72" t="n">
        <x:f>ROUND(0.30*J154+0.20*K154+0.25*L154+0.15*M154+0.10*O154,2)</x:f>
        <x:v>85.75</x:v>
      </x:c>
      <x:c r="S154" s="72" t="n">
        <x:f>ROUND(0.30*N154+0.20*L154+0.20*K154+0.15*O154+0.15*(100-P154),2)</x:f>
        <x:v>86.3</x:v>
      </x:c>
      <x:c r="T154" s="72" t="n">
        <x:f>ROUND((R154+S154)/2,2)</x:f>
        <x:v>86.03</x:v>
      </x:c>
      <x:c r="U154" s="40" t="str">
        <x:v>S_eq=(V+S_H)/2; V and S_H equal-weighted</x:v>
      </x:c>
      <x:c r="V154" s="40" t="str">
        <x:v>yes</x:v>
      </x:c>
      <x:c r="W154" s="40" t="str"/>
      <x:c r="X154" s="40" t="str">
        <x:v>July official math.AP list; 734 total; scored pool = ceil(30%)=221</x:v>
      </x:c>
      <x:c r="Y154" s="40" t="str">
        <x:v>Assume main results correct; no line-by-line correctness check.</x:v>
      </x:c>
    </x:row>
    <x:row r="155" ht="38" customHeight="1">
      <x:c r="A155" s="40" t="str">
        <x:v>2607.02312</x:v>
      </x:c>
      <x:c r="B155" s="40" t="str">
        <x:v>2026-07</x:v>
      </x:c>
      <x:c r="C155" s="40" t="str">
        <x:v>math.AP</x:v>
      </x:c>
      <x:c r="D155" s="40" t="str">
        <x:v>fractional PDE</x:v>
      </x:c>
      <x:c r="E155" s="40" t="str">
        <x:v>The structure of solution spaces for fractional-order operators, with gradient estimates</x:v>
      </x:c>
      <x:c r="F155" s="40" t="str">
        <x:v>Gerd Grubb</x:v>
      </x:c>
      <x:c r="G155" s="40" t="str">
        <x:v>-</x:v>
      </x:c>
      <x:c r="H155" s="40" t="str">
        <x:v>https://arxiv.org/abs/2607.02312</x:v>
      </x:c>
      <x:c r="I155" s="40" t="str">
        <x:v>Scored candidate from official July math.AP list; correctness not checked.</x:v>
      </x:c>
      <x:c r="J155" s="72" t="n">
        <x:v>86</x:v>
      </x:c>
      <x:c r="K155" s="72" t="n">
        <x:v>85</x:v>
      </x:c>
      <x:c r="L155" s="72" t="n">
        <x:v>87</x:v>
      </x:c>
      <x:c r="M155" s="72" t="n">
        <x:v>84</x:v>
      </x:c>
      <x:c r="N155" s="72" t="n">
        <x:v>87</x:v>
      </x:c>
      <x:c r="O155" s="72" t="n">
        <x:v>85</x:v>
      </x:c>
      <x:c r="P155" s="72" t="n">
        <x:v>13</x:v>
      </x:c>
      <x:c r="Q155" s="72" t="n">
        <x:v>7</x:v>
      </x:c>
      <x:c r="R155" s="72" t="n">
        <x:f>ROUND(0.30*J155+0.20*K155+0.25*L155+0.15*M155+0.10*O155,2)</x:f>
        <x:v>85.65</x:v>
      </x:c>
      <x:c r="S155" s="72" t="n">
        <x:f>ROUND(0.30*N155+0.20*L155+0.20*K155+0.15*O155+0.15*(100-P155),2)</x:f>
        <x:v>86.3</x:v>
      </x:c>
      <x:c r="T155" s="72" t="n">
        <x:f>ROUND((R155+S155)/2,2)</x:f>
        <x:v>85.98</x:v>
      </x:c>
      <x:c r="U155" s="40" t="str">
        <x:v>S_eq=(V+S_H)/2; V and S_H equal-weighted</x:v>
      </x:c>
      <x:c r="V155" s="40" t="str">
        <x:v>yes</x:v>
      </x:c>
      <x:c r="W155" s="40" t="str"/>
      <x:c r="X155" s="40" t="str">
        <x:v>July official math.AP list; 734 total; scored pool = ceil(30%)=221</x:v>
      </x:c>
      <x:c r="Y155" s="40" t="str">
        <x:v>Assume main results correct; no line-by-line correctness check.</x:v>
      </x:c>
    </x:row>
    <x:row r="156" ht="38" customHeight="1">
      <x:c r="A156" s="40" t="str">
        <x:v>2607.03373</x:v>
      </x:c>
      <x:c r="B156" s="40" t="str">
        <x:v>2026-07</x:v>
      </x:c>
      <x:c r="C156" s="40" t="str">
        <x:v>math.AP</x:v>
      </x:c>
      <x:c r="D156" s="40" t="str">
        <x:v>variational parabolic</x:v>
      </x:c>
      <x:c r="E156" s="40" t="str">
        <x:v>Existence, uniqueness and regularity of solutions to the parabolic Ambrosio-Tortorelli system</x:v>
      </x:c>
      <x:c r="F156" s="40" t="str">
        <x:v>Martin Rakovsky</x:v>
      </x:c>
      <x:c r="G156" s="40" t="n">
        <x:v>45</x:v>
      </x:c>
      <x:c r="H156" s="40" t="str">
        <x:v>https://arxiv.org/abs/2607.03373</x:v>
      </x:c>
      <x:c r="I156" s="40" t="str">
        <x:v>Scored candidate from official July math.AP list; correctness not checked.</x:v>
      </x:c>
      <x:c r="J156" s="72" t="n">
        <x:v>86</x:v>
      </x:c>
      <x:c r="K156" s="72" t="n">
        <x:v>85</x:v>
      </x:c>
      <x:c r="L156" s="72" t="n">
        <x:v>87</x:v>
      </x:c>
      <x:c r="M156" s="72" t="n">
        <x:v>84</x:v>
      </x:c>
      <x:c r="N156" s="72" t="n">
        <x:v>87</x:v>
      </x:c>
      <x:c r="O156" s="72" t="n">
        <x:v>85</x:v>
      </x:c>
      <x:c r="P156" s="72" t="n">
        <x:v>13</x:v>
      </x:c>
      <x:c r="Q156" s="72" t="n">
        <x:v>7</x:v>
      </x:c>
      <x:c r="R156" s="72" t="n">
        <x:f>ROUND(0.30*J156+0.20*K156+0.25*L156+0.15*M156+0.10*O156,2)</x:f>
        <x:v>85.65</x:v>
      </x:c>
      <x:c r="S156" s="72" t="n">
        <x:f>ROUND(0.30*N156+0.20*L156+0.20*K156+0.15*O156+0.15*(100-P156),2)</x:f>
        <x:v>86.3</x:v>
      </x:c>
      <x:c r="T156" s="72" t="n">
        <x:f>ROUND((R156+S156)/2,2)</x:f>
        <x:v>85.98</x:v>
      </x:c>
      <x:c r="U156" s="40" t="str">
        <x:v>S_eq=(V+S_H)/2; V and S_H equal-weighted</x:v>
      </x:c>
      <x:c r="V156" s="40" t="str">
        <x:v>yes</x:v>
      </x:c>
      <x:c r="W156" s="40" t="str"/>
      <x:c r="X156" s="40" t="str">
        <x:v>July official math.AP list; 734 total; scored pool = ceil(30%)=221</x:v>
      </x:c>
      <x:c r="Y156" s="40" t="str">
        <x:v>Assume main results correct; no line-by-line correctness check.</x:v>
      </x:c>
    </x:row>
    <x:row r="157" ht="38" customHeight="1">
      <x:c r="A157" s="40" t="str">
        <x:v>2607.04424</x:v>
      </x:c>
      <x:c r="B157" s="40" t="str">
        <x:v>2026-07</x:v>
      </x:c>
      <x:c r="C157" s="40" t="str">
        <x:v>math.AP</x:v>
      </x:c>
      <x:c r="D157" s="40" t="str">
        <x:v>nonlocal transport</x:v>
      </x:c>
      <x:c r="E157" s="40" t="str">
        <x:v>The nonlocal attraction-repulsion transport equation with power kernels</x:v>
      </x:c>
      <x:c r="F157" s="40" t="str">
        <x:v>Massimo Fornasier; Hui Huang; Lukang Sun</x:v>
      </x:c>
      <x:c r="G157" s="40" t="n">
        <x:v>62</x:v>
      </x:c>
      <x:c r="H157" s="40" t="str">
        <x:v>https://arxiv.org/abs/2607.04424</x:v>
      </x:c>
      <x:c r="I157" s="40" t="str">
        <x:v>Scored candidate from official July math.AP list; correctness not checked.</x:v>
      </x:c>
      <x:c r="J157" s="72" t="n">
        <x:v>86</x:v>
      </x:c>
      <x:c r="K157" s="72" t="n">
        <x:v>85</x:v>
      </x:c>
      <x:c r="L157" s="72" t="n">
        <x:v>87</x:v>
      </x:c>
      <x:c r="M157" s="72" t="n">
        <x:v>84</x:v>
      </x:c>
      <x:c r="N157" s="72" t="n">
        <x:v>87</x:v>
      </x:c>
      <x:c r="O157" s="72" t="n">
        <x:v>85</x:v>
      </x:c>
      <x:c r="P157" s="72" t="n">
        <x:v>13</x:v>
      </x:c>
      <x:c r="Q157" s="72" t="n">
        <x:v>7</x:v>
      </x:c>
      <x:c r="R157" s="72" t="n">
        <x:f>ROUND(0.30*J157+0.20*K157+0.25*L157+0.15*M157+0.10*O157,2)</x:f>
        <x:v>85.65</x:v>
      </x:c>
      <x:c r="S157" s="72" t="n">
        <x:f>ROUND(0.30*N157+0.20*L157+0.20*K157+0.15*O157+0.15*(100-P157),2)</x:f>
        <x:v>86.3</x:v>
      </x:c>
      <x:c r="T157" s="72" t="n">
        <x:f>ROUND((R157+S157)/2,2)</x:f>
        <x:v>85.98</x:v>
      </x:c>
      <x:c r="U157" s="40" t="str">
        <x:v>S_eq=(V+S_H)/2; V and S_H equal-weighted</x:v>
      </x:c>
      <x:c r="V157" s="40" t="str">
        <x:v>yes</x:v>
      </x:c>
      <x:c r="W157" s="40" t="str"/>
      <x:c r="X157" s="40" t="str">
        <x:v>July official math.AP list; 734 total; scored pool = ceil(30%)=221</x:v>
      </x:c>
      <x:c r="Y157" s="40" t="str">
        <x:v>Assume main results correct; no line-by-line correctness check.</x:v>
      </x:c>
    </x:row>
    <x:row r="158" ht="38" customHeight="1">
      <x:c r="A158" s="40" t="str">
        <x:v>2607.05237</x:v>
      </x:c>
      <x:c r="B158" s="40" t="str">
        <x:v>2026-07</x:v>
      </x:c>
      <x:c r="C158" s="40" t="str">
        <x:v>math.AP</x:v>
      </x:c>
      <x:c r="D158" s="40" t="str">
        <x:v>rotating Navier-Stokes</x:v>
      </x:c>
      <x:c r="E158" s="40" t="str">
        <x:v>Sharp decay estimates for global solutions to the incompressible rotating Navier-Stokes equations</x:v>
      </x:c>
      <x:c r="F158" s="40" t="str">
        <x:v>Mikihiro Fujii; Yang Li; Jiang Xu</x:v>
      </x:c>
      <x:c r="G158" s="40" t="str">
        <x:v>-</x:v>
      </x:c>
      <x:c r="H158" s="40" t="str">
        <x:v>https://arxiv.org/abs/2607.05237</x:v>
      </x:c>
      <x:c r="I158" s="40" t="str">
        <x:v>Scored candidate from official July math.AP list; correctness not checked.</x:v>
      </x:c>
      <x:c r="J158" s="72" t="n">
        <x:v>87</x:v>
      </x:c>
      <x:c r="K158" s="72" t="n">
        <x:v>84</x:v>
      </x:c>
      <x:c r="L158" s="72" t="n">
        <x:v>88</x:v>
      </x:c>
      <x:c r="M158" s="72" t="n">
        <x:v>83</x:v>
      </x:c>
      <x:c r="N158" s="72" t="n">
        <x:v>88</x:v>
      </x:c>
      <x:c r="O158" s="72" t="n">
        <x:v>83</x:v>
      </x:c>
      <x:c r="P158" s="72" t="n">
        <x:v>13</x:v>
      </x:c>
      <x:c r="Q158" s="72" t="n">
        <x:v>7</x:v>
      </x:c>
      <x:c r="R158" s="72" t="n">
        <x:f>ROUND(0.30*J158+0.20*K158+0.25*L158+0.15*M158+0.10*O158,2)</x:f>
        <x:v>85.65</x:v>
      </x:c>
      <x:c r="S158" s="72" t="n">
        <x:f>ROUND(0.30*N158+0.20*L158+0.20*K158+0.15*O158+0.15*(100-P158),2)</x:f>
        <x:v>86.3</x:v>
      </x:c>
      <x:c r="T158" s="72" t="n">
        <x:f>ROUND((R158+S158)/2,2)</x:f>
        <x:v>85.98</x:v>
      </x:c>
      <x:c r="U158" s="40" t="str">
        <x:v>S_eq=(V+S_H)/2; V and S_H equal-weighted</x:v>
      </x:c>
      <x:c r="V158" s="40" t="str">
        <x:v>yes</x:v>
      </x:c>
      <x:c r="W158" s="40" t="str"/>
      <x:c r="X158" s="40" t="str">
        <x:v>July official math.AP list; 734 total; scored pool = ceil(30%)=221</x:v>
      </x:c>
      <x:c r="Y158" s="40" t="str">
        <x:v>Assume main results correct; no line-by-line correctness check.</x:v>
      </x:c>
    </x:row>
    <x:row r="159" ht="38" customHeight="1">
      <x:c r="A159" s="40" t="str">
        <x:v>2607.10812</x:v>
      </x:c>
      <x:c r="B159" s="40" t="str">
        <x:v>2026-07</x:v>
      </x:c>
      <x:c r="C159" s="40" t="str">
        <x:v>math.AP</x:v>
      </x:c>
      <x:c r="D159" s="40" t="str">
        <x:v>gradient flows</x:v>
      </x:c>
      <x:c r="E159" s="40" t="str">
        <x:v>Convergence rates of Wasserstein gradient flows for nonlinear Fokker-Planck equations with mobility and related inequalities</x:v>
      </x:c>
      <x:c r="F159" s="40" t="str">
        <x:v>Zhenxin Liu; Xuewei Wang</x:v>
      </x:c>
      <x:c r="G159" s="40" t="str">
        <x:v>-</x:v>
      </x:c>
      <x:c r="H159" s="40" t="str">
        <x:v>https://arxiv.org/abs/2607.10812</x:v>
      </x:c>
      <x:c r="I159" s="40" t="str">
        <x:v>Scored candidate from official July math.AP list; correctness not checked.</x:v>
      </x:c>
      <x:c r="J159" s="72" t="n">
        <x:v>86</x:v>
      </x:c>
      <x:c r="K159" s="72" t="n">
        <x:v>85</x:v>
      </x:c>
      <x:c r="L159" s="72" t="n">
        <x:v>87</x:v>
      </x:c>
      <x:c r="M159" s="72" t="n">
        <x:v>84</x:v>
      </x:c>
      <x:c r="N159" s="72" t="n">
        <x:v>87</x:v>
      </x:c>
      <x:c r="O159" s="72" t="n">
        <x:v>85</x:v>
      </x:c>
      <x:c r="P159" s="72" t="n">
        <x:v>13</x:v>
      </x:c>
      <x:c r="Q159" s="72" t="n">
        <x:v>7</x:v>
      </x:c>
      <x:c r="R159" s="72" t="n">
        <x:f>ROUND(0.30*J159+0.20*K159+0.25*L159+0.15*M159+0.10*O159,2)</x:f>
        <x:v>85.65</x:v>
      </x:c>
      <x:c r="S159" s="72" t="n">
        <x:f>ROUND(0.30*N159+0.20*L159+0.20*K159+0.15*O159+0.15*(100-P159),2)</x:f>
        <x:v>86.3</x:v>
      </x:c>
      <x:c r="T159" s="72" t="n">
        <x:f>ROUND((R159+S159)/2,2)</x:f>
        <x:v>85.98</x:v>
      </x:c>
      <x:c r="U159" s="40" t="str">
        <x:v>S_eq=(V+S_H)/2; V and S_H equal-weighted</x:v>
      </x:c>
      <x:c r="V159" s="40" t="str">
        <x:v>yes</x:v>
      </x:c>
      <x:c r="W159" s="40" t="str"/>
      <x:c r="X159" s="40" t="str">
        <x:v>July official math.AP list; 734 total; scored pool = ceil(30%)=221</x:v>
      </x:c>
      <x:c r="Y159" s="40" t="str">
        <x:v>Assume main results correct; no line-by-line correctness check.</x:v>
      </x:c>
    </x:row>
    <x:row r="160" ht="38" customHeight="1">
      <x:c r="A160" s="40" t="str">
        <x:v>2607.04704</x:v>
      </x:c>
      <x:c r="B160" s="40" t="str">
        <x:v>2026-07</x:v>
      </x:c>
      <x:c r="C160" s="40" t="str">
        <x:v>math.AP</x:v>
      </x:c>
      <x:c r="D160" s="40" t="str">
        <x:v>complex Hessian</x:v>
      </x:c>
      <x:c r="E160" s="40" t="str">
        <x:v>Stability and strong convergence for complex Hessian equations with L1 data</x:v>
      </x:c>
      <x:c r="F160" s="40" t="str">
        <x:v>Truong Dinh Dat</x:v>
      </x:c>
      <x:c r="G160" s="40" t="str">
        <x:v>-</x:v>
      </x:c>
      <x:c r="H160" s="40" t="str">
        <x:v>https://arxiv.org/abs/2607.04704</x:v>
      </x:c>
      <x:c r="I160" s="40" t="str">
        <x:v>Background row in the 30% scored pool; title/authors from official July list.</x:v>
      </x:c>
      <x:c r="J160" s="72" t="n">
        <x:v>86</x:v>
      </x:c>
      <x:c r="K160" s="72" t="n">
        <x:v>84</x:v>
      </x:c>
      <x:c r="L160" s="72" t="n">
        <x:v>87</x:v>
      </x:c>
      <x:c r="M160" s="72" t="n">
        <x:v>83</x:v>
      </x:c>
      <x:c r="N160" s="72" t="n">
        <x:v>87</x:v>
      </x:c>
      <x:c r="O160" s="72" t="n">
        <x:v>85</x:v>
      </x:c>
      <x:c r="P160" s="72" t="n">
        <x:v>14</x:v>
      </x:c>
      <x:c r="Q160" s="72" t="n">
        <x:v>8</x:v>
      </x:c>
      <x:c r="R160" s="72" t="n">
        <x:f>ROUND(0.30*J160+0.20*K160+0.25*L160+0.15*M160+0.10*O160,2)</x:f>
        <x:v>85.3</x:v>
      </x:c>
      <x:c r="S160" s="72" t="n">
        <x:f>ROUND(0.30*N160+0.20*L160+0.20*K160+0.15*O160+0.15*(100-P160),2)</x:f>
        <x:v>85.95</x:v>
      </x:c>
      <x:c r="T160" s="72" t="n">
        <x:f>ROUND((R160+S160)/2,2)</x:f>
        <x:v>85.63</x:v>
      </x:c>
      <x:c r="U160" s="40" t="str">
        <x:v>S_eq=(V+S_H)/2; V and S_H equal-weighted</x:v>
      </x:c>
      <x:c r="V160" s="40" t="str">
        <x:v>yes</x:v>
      </x:c>
      <x:c r="W160" s="40" t="str"/>
      <x:c r="X160" s="40" t="str">
        <x:v>July official math.AP list; 734 total; scored pool = ceil(30%)=221</x:v>
      </x:c>
      <x:c r="Y160" s="40" t="str">
        <x:v>Assume main results correct; no line-by-line correctness check.</x:v>
      </x:c>
    </x:row>
    <x:row r="161" ht="38" customHeight="1">
      <x:c r="A161" s="40" t="str">
        <x:v>2607.05885</x:v>
      </x:c>
      <x:c r="B161" s="40" t="str">
        <x:v>2026-07</x:v>
      </x:c>
      <x:c r="C161" s="40" t="str">
        <x:v>math.AP</x:v>
      </x:c>
      <x:c r="D161" s="40" t="str">
        <x:v>critical elliptic equations</x:v>
      </x:c>
      <x:c r="E161" s="40" t="str">
        <x:v>Existence of Kelvin-Invariant Positive Solutions for Critical Elliptic Equations with Variable Coefficients via Profile Decomposition</x:v>
      </x:c>
      <x:c r="F161" s="40" t="str">
        <x:v>Yohei Sato; Reo Suzuki</x:v>
      </x:c>
      <x:c r="G161" s="40" t="n">
        <x:v>21</x:v>
      </x:c>
      <x:c r="H161" s="40" t="str">
        <x:v>https://arxiv.org/abs/2607.05885</x:v>
      </x:c>
      <x:c r="I161" s="40" t="str">
        <x:v>Background row in the 30% scored pool; title/authors from official July list.</x:v>
      </x:c>
      <x:c r="J161" s="72" t="n">
        <x:v>86</x:v>
      </x:c>
      <x:c r="K161" s="72" t="n">
        <x:v>84</x:v>
      </x:c>
      <x:c r="L161" s="72" t="n">
        <x:v>87</x:v>
      </x:c>
      <x:c r="M161" s="72" t="n">
        <x:v>83</x:v>
      </x:c>
      <x:c r="N161" s="72" t="n">
        <x:v>87</x:v>
      </x:c>
      <x:c r="O161" s="72" t="n">
        <x:v>85</x:v>
      </x:c>
      <x:c r="P161" s="72" t="n">
        <x:v>14</x:v>
      </x:c>
      <x:c r="Q161" s="72" t="n">
        <x:v>8</x:v>
      </x:c>
      <x:c r="R161" s="72" t="n">
        <x:f>ROUND(0.30*J161+0.20*K161+0.25*L161+0.15*M161+0.10*O161,2)</x:f>
        <x:v>85.3</x:v>
      </x:c>
      <x:c r="S161" s="72" t="n">
        <x:f>ROUND(0.30*N161+0.20*L161+0.20*K161+0.15*O161+0.15*(100-P161),2)</x:f>
        <x:v>85.95</x:v>
      </x:c>
      <x:c r="T161" s="72" t="n">
        <x:f>ROUND((R161+S161)/2,2)</x:f>
        <x:v>85.63</x:v>
      </x:c>
      <x:c r="U161" s="40" t="str">
        <x:v>S_eq=(V+S_H)/2; V and S_H equal-weighted</x:v>
      </x:c>
      <x:c r="V161" s="40" t="str">
        <x:v>yes</x:v>
      </x:c>
      <x:c r="W161" s="40" t="str"/>
      <x:c r="X161" s="40" t="str">
        <x:v>July official math.AP list; 734 total; scored pool = ceil(30%)=221</x:v>
      </x:c>
      <x:c r="Y161" s="40" t="str">
        <x:v>Assume main results correct; no line-by-line correctness check.</x:v>
      </x:c>
    </x:row>
    <x:row r="162" ht="38" customHeight="1">
      <x:c r="A162" s="40" t="str">
        <x:v>2607.07218</x:v>
      </x:c>
      <x:c r="B162" s="40" t="str">
        <x:v>2026-07</x:v>
      </x:c>
      <x:c r="C162" s="40" t="str">
        <x:v>math.AP</x:v>
      </x:c>
      <x:c r="D162" s="40" t="str">
        <x:v>optimal insulation</x:v>
      </x:c>
      <x:c r="E162" s="40" t="str">
        <x:v>Symmetry-breaking and local stability of a two-phase eigenvalue problem in optimal insulation</x:v>
      </x:c>
      <x:c r="F162" s="40" t="str">
        <x:v>Emanuele Cristoforoni; Federico Villone</x:v>
      </x:c>
      <x:c r="G162" s="40" t="str">
        <x:v>-</x:v>
      </x:c>
      <x:c r="H162" s="40" t="str">
        <x:v>https://arxiv.org/abs/2607.07218</x:v>
      </x:c>
      <x:c r="I162" s="40" t="str">
        <x:v>Background row in the 30% scored pool; title/authors from official July list.</x:v>
      </x:c>
      <x:c r="J162" s="72" t="n">
        <x:v>86</x:v>
      </x:c>
      <x:c r="K162" s="72" t="n">
        <x:v>84</x:v>
      </x:c>
      <x:c r="L162" s="72" t="n">
        <x:v>87</x:v>
      </x:c>
      <x:c r="M162" s="72" t="n">
        <x:v>83</x:v>
      </x:c>
      <x:c r="N162" s="72" t="n">
        <x:v>87</x:v>
      </x:c>
      <x:c r="O162" s="72" t="n">
        <x:v>85</x:v>
      </x:c>
      <x:c r="P162" s="72" t="n">
        <x:v>14</x:v>
      </x:c>
      <x:c r="Q162" s="72" t="n">
        <x:v>8</x:v>
      </x:c>
      <x:c r="R162" s="72" t="n">
        <x:f>ROUND(0.30*J162+0.20*K162+0.25*L162+0.15*M162+0.10*O162,2)</x:f>
        <x:v>85.3</x:v>
      </x:c>
      <x:c r="S162" s="72" t="n">
        <x:f>ROUND(0.30*N162+0.20*L162+0.20*K162+0.15*O162+0.15*(100-P162),2)</x:f>
        <x:v>85.95</x:v>
      </x:c>
      <x:c r="T162" s="72" t="n">
        <x:f>ROUND((R162+S162)/2,2)</x:f>
        <x:v>85.63</x:v>
      </x:c>
      <x:c r="U162" s="40" t="str">
        <x:v>S_eq=(V+S_H)/2; V and S_H equal-weighted</x:v>
      </x:c>
      <x:c r="V162" s="40" t="str">
        <x:v>yes</x:v>
      </x:c>
      <x:c r="W162" s="40" t="str"/>
      <x:c r="X162" s="40" t="str">
        <x:v>July official math.AP list; 734 total; scored pool = ceil(30%)=221</x:v>
      </x:c>
      <x:c r="Y162" s="40" t="str">
        <x:v>Assume main results correct; no line-by-line correctness check.</x:v>
      </x:c>
    </x:row>
    <x:row r="163" ht="38" customHeight="1">
      <x:c r="A163" s="40" t="str">
        <x:v>2607.09987</x:v>
      </x:c>
      <x:c r="B163" s="40" t="str">
        <x:v>2026-07</x:v>
      </x:c>
      <x:c r="C163" s="40" t="str">
        <x:v>math.AP</x:v>
      </x:c>
      <x:c r="D163" s="40" t="str">
        <x:v>optimal stopping</x:v>
      </x:c>
      <x:c r="E163" s="40" t="str">
        <x:v>Reflected Optimal Stopping with a Max-Type Payoff: Measure-Valued Stopping Gains and Killed Resolvent Representation</x:v>
      </x:c>
      <x:c r="F163" s="40" t="str">
        <x:v>Ye Liang</x:v>
      </x:c>
      <x:c r="G163" s="40" t="str">
        <x:v>-</x:v>
      </x:c>
      <x:c r="H163" s="40" t="str">
        <x:v>https://arxiv.org/abs/2607.09987</x:v>
      </x:c>
      <x:c r="I163" s="40" t="str">
        <x:v>Background row in the 30% scored pool; title/authors from official July list.</x:v>
      </x:c>
      <x:c r="J163" s="72" t="n">
        <x:v>86</x:v>
      </x:c>
      <x:c r="K163" s="72" t="n">
        <x:v>84</x:v>
      </x:c>
      <x:c r="L163" s="72" t="n">
        <x:v>87</x:v>
      </x:c>
      <x:c r="M163" s="72" t="n">
        <x:v>83</x:v>
      </x:c>
      <x:c r="N163" s="72" t="n">
        <x:v>87</x:v>
      </x:c>
      <x:c r="O163" s="72" t="n">
        <x:v>85</x:v>
      </x:c>
      <x:c r="P163" s="72" t="n">
        <x:v>14</x:v>
      </x:c>
      <x:c r="Q163" s="72" t="n">
        <x:v>8</x:v>
      </x:c>
      <x:c r="R163" s="72" t="n">
        <x:f>ROUND(0.30*J163+0.20*K163+0.25*L163+0.15*M163+0.10*O163,2)</x:f>
        <x:v>85.3</x:v>
      </x:c>
      <x:c r="S163" s="72" t="n">
        <x:f>ROUND(0.30*N163+0.20*L163+0.20*K163+0.15*O163+0.15*(100-P163),2)</x:f>
        <x:v>85.95</x:v>
      </x:c>
      <x:c r="T163" s="72" t="n">
        <x:f>ROUND((R163+S163)/2,2)</x:f>
        <x:v>85.63</x:v>
      </x:c>
      <x:c r="U163" s="40" t="str">
        <x:v>S_eq=(V+S_H)/2; V and S_H equal-weighted</x:v>
      </x:c>
      <x:c r="V163" s="40" t="str">
        <x:v>yes</x:v>
      </x:c>
      <x:c r="W163" s="40" t="str"/>
      <x:c r="X163" s="40" t="str">
        <x:v>July official math.AP list; 734 total; scored pool = ceil(30%)=221</x:v>
      </x:c>
      <x:c r="Y163" s="40" t="str">
        <x:v>Assume main results correct; no line-by-line correctness check.</x:v>
      </x:c>
    </x:row>
    <x:row r="164" ht="38" customHeight="1">
      <x:c r="A164" s="40" t="str">
        <x:v>2607.04662</x:v>
      </x:c>
      <x:c r="B164" s="40" t="str">
        <x:v>2026-07</x:v>
      </x:c>
      <x:c r="C164" s="40" t="str">
        <x:v>math.AP</x:v>
      </x:c>
      <x:c r="D164" s="40" t="str">
        <x:v>inverse Hessian equations</x:v>
      </x:c>
      <x:c r="E164" s="40" t="str">
        <x:v>Affine section tomography for inverse source problems in k-Hessian equations with restricted large boundary data</x:v>
      </x:c>
      <x:c r="F164" s="40" t="str">
        <x:v>Yi-Hsuan Lin</x:v>
      </x:c>
      <x:c r="G164" s="40" t="n">
        <x:v>29</x:v>
      </x:c>
      <x:c r="H164" s="40" t="str">
        <x:v>https://arxiv.org/abs/2607.04662</x:v>
      </x:c>
      <x:c r="I164" s="40" t="str">
        <x:v>Background row in the 30% scored pool; title/authors from official July list.</x:v>
      </x:c>
      <x:c r="J164" s="72" t="n">
        <x:v>86</x:v>
      </x:c>
      <x:c r="K164" s="72" t="n">
        <x:v>84</x:v>
      </x:c>
      <x:c r="L164" s="72" t="n">
        <x:v>87</x:v>
      </x:c>
      <x:c r="M164" s="72" t="n">
        <x:v>83</x:v>
      </x:c>
      <x:c r="N164" s="72" t="n">
        <x:v>87</x:v>
      </x:c>
      <x:c r="O164" s="72" t="n">
        <x:v>84</x:v>
      </x:c>
      <x:c r="P164" s="72" t="n">
        <x:v>14</x:v>
      </x:c>
      <x:c r="Q164" s="72" t="n">
        <x:v>8</x:v>
      </x:c>
      <x:c r="R164" s="72" t="n">
        <x:f>ROUND(0.30*J164+0.20*K164+0.25*L164+0.15*M164+0.10*O164,2)</x:f>
        <x:v>85.2</x:v>
      </x:c>
      <x:c r="S164" s="72" t="n">
        <x:f>ROUND(0.30*N164+0.20*L164+0.20*K164+0.15*O164+0.15*(100-P164),2)</x:f>
        <x:v>85.8</x:v>
      </x:c>
      <x:c r="T164" s="72" t="n">
        <x:f>ROUND((R164+S164)/2,2)</x:f>
        <x:v>85.5</x:v>
      </x:c>
      <x:c r="U164" s="40" t="str">
        <x:v>S_eq=(V+S_H)/2; V and S_H equal-weighted</x:v>
      </x:c>
      <x:c r="V164" s="40" t="str">
        <x:v>yes</x:v>
      </x:c>
      <x:c r="W164" s="40" t="str"/>
      <x:c r="X164" s="40" t="str">
        <x:v>July official math.AP list; 734 total; scored pool = ceil(30%)=221</x:v>
      </x:c>
      <x:c r="Y164" s="40" t="str">
        <x:v>Assume main results correct; no line-by-line correctness check.</x:v>
      </x:c>
    </x:row>
    <x:row r="165" ht="38" customHeight="1">
      <x:c r="A165" s="40" t="str">
        <x:v>2607.11462</x:v>
      </x:c>
      <x:c r="B165" s="40" t="str">
        <x:v>2026-07</x:v>
      </x:c>
      <x:c r="C165" s="40" t="str">
        <x:v>math.AP</x:v>
      </x:c>
      <x:c r="D165" s="40" t="str">
        <x:v>fractional p-Laplacian</x:v>
      </x:c>
      <x:c r="E165" s="40" t="str">
        <x:v>Regularity for the fractional logarithmic p-Laplacian</x:v>
      </x:c>
      <x:c r="F165" s="40" t="str">
        <x:v>Nirjan Biswas; Stuti Das; Abhrojyoti Sen</x:v>
      </x:c>
      <x:c r="G165" s="40" t="n">
        <x:v>51</x:v>
      </x:c>
      <x:c r="H165" s="40" t="str">
        <x:v>https://arxiv.org/abs/2607.11462</x:v>
      </x:c>
      <x:c r="I165" s="40" t="str">
        <x:v>Background row in the 30% scored pool; title/authors from official July list.</x:v>
      </x:c>
      <x:c r="J165" s="72" t="n">
        <x:v>86</x:v>
      </x:c>
      <x:c r="K165" s="72" t="n">
        <x:v>84</x:v>
      </x:c>
      <x:c r="L165" s="72" t="n">
        <x:v>87</x:v>
      </x:c>
      <x:c r="M165" s="72" t="n">
        <x:v>83</x:v>
      </x:c>
      <x:c r="N165" s="72" t="n">
        <x:v>87</x:v>
      </x:c>
      <x:c r="O165" s="72" t="n">
        <x:v>84</x:v>
      </x:c>
      <x:c r="P165" s="72" t="n">
        <x:v>14</x:v>
      </x:c>
      <x:c r="Q165" s="72" t="n">
        <x:v>8</x:v>
      </x:c>
      <x:c r="R165" s="72" t="n">
        <x:f>ROUND(0.30*J165+0.20*K165+0.25*L165+0.15*M165+0.10*O165,2)</x:f>
        <x:v>85.2</x:v>
      </x:c>
      <x:c r="S165" s="72" t="n">
        <x:f>ROUND(0.30*N165+0.20*L165+0.20*K165+0.15*O165+0.15*(100-P165),2)</x:f>
        <x:v>85.8</x:v>
      </x:c>
      <x:c r="T165" s="72" t="n">
        <x:f>ROUND((R165+S165)/2,2)</x:f>
        <x:v>85.5</x:v>
      </x:c>
      <x:c r="U165" s="40" t="str">
        <x:v>S_eq=(V+S_H)/2; V and S_H equal-weighted</x:v>
      </x:c>
      <x:c r="V165" s="40" t="str">
        <x:v>yes</x:v>
      </x:c>
      <x:c r="W165" s="40" t="str"/>
      <x:c r="X165" s="40" t="str">
        <x:v>July official math.AP list; 734 total; scored pool = ceil(30%)=221</x:v>
      </x:c>
      <x:c r="Y165" s="40" t="str">
        <x:v>Assume main results correct; no line-by-line correctness check.</x:v>
      </x:c>
    </x:row>
    <x:row r="166" ht="38" customHeight="1">
      <x:c r="A166" s="40" t="str">
        <x:v>2607.00749</x:v>
      </x:c>
      <x:c r="B166" s="40" t="str">
        <x:v>2026-07</x:v>
      </x:c>
      <x:c r="C166" s="40" t="str">
        <x:v>math.AP</x:v>
      </x:c>
      <x:c r="D166" s="40" t="str">
        <x:v>Euler-Maxwell</x:v>
      </x:c>
      <x:c r="E166" s="40" t="str">
        <x:v>The Fast Limit Model Associated With The Euler-Maxwell-Two-Fluid System</x:v>
      </x:c>
      <x:c r="F166" s="40" t="str">
        <x:v>Nicolas Besse; Christophe Cheverry</x:v>
      </x:c>
      <x:c r="G166" s="40" t="str">
        <x:v>-</x:v>
      </x:c>
      <x:c r="H166" s="40" t="str">
        <x:v>https://arxiv.org/abs/2607.00749</x:v>
      </x:c>
      <x:c r="I166" s="40" t="str">
        <x:v>Scored candidate from official July math.AP list; correctness not checked.</x:v>
      </x:c>
      <x:c r="J166" s="72" t="n">
        <x:v>86</x:v>
      </x:c>
      <x:c r="K166" s="72" t="n">
        <x:v>84</x:v>
      </x:c>
      <x:c r="L166" s="72" t="n">
        <x:v>87</x:v>
      </x:c>
      <x:c r="M166" s="72" t="n">
        <x:v>83</x:v>
      </x:c>
      <x:c r="N166" s="72" t="n">
        <x:v>87</x:v>
      </x:c>
      <x:c r="O166" s="72" t="n">
        <x:v>83</x:v>
      </x:c>
      <x:c r="P166" s="72" t="n">
        <x:v>13</x:v>
      </x:c>
      <x:c r="Q166" s="72" t="n">
        <x:v>7</x:v>
      </x:c>
      <x:c r="R166" s="72" t="n">
        <x:f>ROUND(0.30*J166+0.20*K166+0.25*L166+0.15*M166+0.10*O166,2)</x:f>
        <x:v>85.1</x:v>
      </x:c>
      <x:c r="S166" s="72" t="n">
        <x:f>ROUND(0.30*N166+0.20*L166+0.20*K166+0.15*O166+0.15*(100-P166),2)</x:f>
        <x:v>85.8</x:v>
      </x:c>
      <x:c r="T166" s="72" t="n">
        <x:f>ROUND((R166+S166)/2,2)</x:f>
        <x:v>85.45</x:v>
      </x:c>
      <x:c r="U166" s="40" t="str">
        <x:v>S_eq=(V+S_H)/2; V and S_H equal-weighted</x:v>
      </x:c>
      <x:c r="V166" s="40" t="str">
        <x:v>yes</x:v>
      </x:c>
      <x:c r="W166" s="40" t="str"/>
      <x:c r="X166" s="40" t="str">
        <x:v>July official math.AP list; 734 total; scored pool = ceil(30%)=221</x:v>
      </x:c>
      <x:c r="Y166" s="40" t="str">
        <x:v>Assume main results correct; no line-by-line correctness check.</x:v>
      </x:c>
    </x:row>
    <x:row r="167" ht="38" customHeight="1">
      <x:c r="A167" s="40" t="str">
        <x:v>2607.04715</x:v>
      </x:c>
      <x:c r="B167" s="40" t="str">
        <x:v>2026-07</x:v>
      </x:c>
      <x:c r="C167" s="40" t="str">
        <x:v>math.AP</x:v>
      </x:c>
      <x:c r="D167" s="40" t="str">
        <x:v>unique continuation</x:v>
      </x:c>
      <x:c r="E167" s="40" t="str">
        <x:v>A logarithmic convexity approach to quantitative unique continuation for the complex Ginzburg-Landau operator</x:v>
      </x:c>
      <x:c r="F167" s="40" t="str">
        <x:v>Yueliang Duan; Borui Liu; Can Zhang</x:v>
      </x:c>
      <x:c r="G167" s="40" t="str">
        <x:v>-</x:v>
      </x:c>
      <x:c r="H167" s="40" t="str">
        <x:v>https://arxiv.org/abs/2607.04715</x:v>
      </x:c>
      <x:c r="I167" s="40" t="str">
        <x:v>Scored candidate from official July math.AP list; correctness not checked.</x:v>
      </x:c>
      <x:c r="J167" s="72" t="n">
        <x:v>86</x:v>
      </x:c>
      <x:c r="K167" s="72" t="n">
        <x:v>84</x:v>
      </x:c>
      <x:c r="L167" s="72" t="n">
        <x:v>87</x:v>
      </x:c>
      <x:c r="M167" s="72" t="n">
        <x:v>83</x:v>
      </x:c>
      <x:c r="N167" s="72" t="n">
        <x:v>87</x:v>
      </x:c>
      <x:c r="O167" s="72" t="n">
        <x:v>83</x:v>
      </x:c>
      <x:c r="P167" s="72" t="n">
        <x:v>13</x:v>
      </x:c>
      <x:c r="Q167" s="72" t="n">
        <x:v>7</x:v>
      </x:c>
      <x:c r="R167" s="72" t="n">
        <x:f>ROUND(0.30*J167+0.20*K167+0.25*L167+0.15*M167+0.10*O167,2)</x:f>
        <x:v>85.1</x:v>
      </x:c>
      <x:c r="S167" s="72" t="n">
        <x:f>ROUND(0.30*N167+0.20*L167+0.20*K167+0.15*O167+0.15*(100-P167),2)</x:f>
        <x:v>85.8</x:v>
      </x:c>
      <x:c r="T167" s="72" t="n">
        <x:f>ROUND((R167+S167)/2,2)</x:f>
        <x:v>85.45</x:v>
      </x:c>
      <x:c r="U167" s="40" t="str">
        <x:v>S_eq=(V+S_H)/2; V and S_H equal-weighted</x:v>
      </x:c>
      <x:c r="V167" s="40" t="str">
        <x:v>yes</x:v>
      </x:c>
      <x:c r="W167" s="40" t="str"/>
      <x:c r="X167" s="40" t="str">
        <x:v>July official math.AP list; 734 total; scored pool = ceil(30%)=221</x:v>
      </x:c>
      <x:c r="Y167" s="40" t="str">
        <x:v>Assume main results correct; no line-by-line correctness check.</x:v>
      </x:c>
    </x:row>
    <x:row r="168" ht="38" customHeight="1">
      <x:c r="A168" s="40" t="str">
        <x:v>2607.07238</x:v>
      </x:c>
      <x:c r="B168" s="40" t="str">
        <x:v>2026-07</x:v>
      </x:c>
      <x:c r="C168" s="40" t="str">
        <x:v>math.AP</x:v>
      </x:c>
      <x:c r="D168" s="40" t="str">
        <x:v>regularity/spectral</x:v>
      </x:c>
      <x:c r="E168" s="40" t="str">
        <x:v>Regularity for eigenvalue-type equations in sets with thick complement</x:v>
      </x:c>
      <x:c r="F168" s="40" t="str">
        <x:v>Lorenzo Braglia; Lorenzo Brasco</x:v>
      </x:c>
      <x:c r="G168" s="40" t="n">
        <x:v>41</x:v>
      </x:c>
      <x:c r="H168" s="40" t="str">
        <x:v>https://arxiv.org/abs/2607.07238</x:v>
      </x:c>
      <x:c r="I168" s="40" t="str">
        <x:v>Scored candidate from official July math.AP list; correctness not checked.</x:v>
      </x:c>
      <x:c r="J168" s="72" t="n">
        <x:v>86</x:v>
      </x:c>
      <x:c r="K168" s="72" t="n">
        <x:v>84</x:v>
      </x:c>
      <x:c r="L168" s="72" t="n">
        <x:v>87</x:v>
      </x:c>
      <x:c r="M168" s="72" t="n">
        <x:v>83</x:v>
      </x:c>
      <x:c r="N168" s="72" t="n">
        <x:v>87</x:v>
      </x:c>
      <x:c r="O168" s="72" t="n">
        <x:v>83</x:v>
      </x:c>
      <x:c r="P168" s="72" t="n">
        <x:v>13</x:v>
      </x:c>
      <x:c r="Q168" s="72" t="n">
        <x:v>7</x:v>
      </x:c>
      <x:c r="R168" s="72" t="n">
        <x:f>ROUND(0.30*J168+0.20*K168+0.25*L168+0.15*M168+0.10*O168,2)</x:f>
        <x:v>85.1</x:v>
      </x:c>
      <x:c r="S168" s="72" t="n">
        <x:f>ROUND(0.30*N168+0.20*L168+0.20*K168+0.15*O168+0.15*(100-P168),2)</x:f>
        <x:v>85.8</x:v>
      </x:c>
      <x:c r="T168" s="72" t="n">
        <x:f>ROUND((R168+S168)/2,2)</x:f>
        <x:v>85.45</x:v>
      </x:c>
      <x:c r="U168" s="40" t="str">
        <x:v>S_eq=(V+S_H)/2; V and S_H equal-weighted</x:v>
      </x:c>
      <x:c r="V168" s="40" t="str">
        <x:v>yes</x:v>
      </x:c>
      <x:c r="W168" s="40" t="str"/>
      <x:c r="X168" s="40" t="str">
        <x:v>July official math.AP list; 734 total; scored pool = ceil(30%)=221</x:v>
      </x:c>
      <x:c r="Y168" s="40" t="str">
        <x:v>Assume main results correct; no line-by-line correctness check.</x:v>
      </x:c>
    </x:row>
    <x:row r="169" ht="38" customHeight="1">
      <x:c r="A169" s="40" t="str">
        <x:v>2607.09062</x:v>
      </x:c>
      <x:c r="B169" s="40" t="str">
        <x:v>2026-07</x:v>
      </x:c>
      <x:c r="C169" s="40" t="str">
        <x:v>math.AP</x:v>
      </x:c>
      <x:c r="D169" s="40" t="str">
        <x:v>inverse scattering</x:v>
      </x:c>
      <x:c r="E169" s="40" t="str">
        <x:v>Robust shape reconstruction of elastic impenetrable scatterers via monotonicity spectral sampling methods</x:v>
      </x:c>
      <x:c r="F169" s="40" t="str">
        <x:v>Mengjiao Bai; Huaian Diao; Weisheng Zhou</x:v>
      </x:c>
      <x:c r="G169" s="40" t="str">
        <x:v>-</x:v>
      </x:c>
      <x:c r="H169" s="40" t="str">
        <x:v>https://arxiv.org/abs/2607.09062</x:v>
      </x:c>
      <x:c r="I169" s="40" t="str">
        <x:v>Scored candidate from official July math.AP list; correctness not checked.</x:v>
      </x:c>
      <x:c r="J169" s="72" t="n">
        <x:v>86</x:v>
      </x:c>
      <x:c r="K169" s="72" t="n">
        <x:v>84</x:v>
      </x:c>
      <x:c r="L169" s="72" t="n">
        <x:v>87</x:v>
      </x:c>
      <x:c r="M169" s="72" t="n">
        <x:v>83</x:v>
      </x:c>
      <x:c r="N169" s="72" t="n">
        <x:v>87</x:v>
      </x:c>
      <x:c r="O169" s="72" t="n">
        <x:v>83</x:v>
      </x:c>
      <x:c r="P169" s="72" t="n">
        <x:v>13</x:v>
      </x:c>
      <x:c r="Q169" s="72" t="n">
        <x:v>7</x:v>
      </x:c>
      <x:c r="R169" s="72" t="n">
        <x:f>ROUND(0.30*J169+0.20*K169+0.25*L169+0.15*M169+0.10*O169,2)</x:f>
        <x:v>85.1</x:v>
      </x:c>
      <x:c r="S169" s="72" t="n">
        <x:f>ROUND(0.30*N169+0.20*L169+0.20*K169+0.15*O169+0.15*(100-P169),2)</x:f>
        <x:v>85.8</x:v>
      </x:c>
      <x:c r="T169" s="72" t="n">
        <x:f>ROUND((R169+S169)/2,2)</x:f>
        <x:v>85.45</x:v>
      </x:c>
      <x:c r="U169" s="40" t="str">
        <x:v>S_eq=(V+S_H)/2; V and S_H equal-weighted</x:v>
      </x:c>
      <x:c r="V169" s="40" t="str">
        <x:v>yes</x:v>
      </x:c>
      <x:c r="W169" s="40" t="str"/>
      <x:c r="X169" s="40" t="str">
        <x:v>July official math.AP list; 734 total; scored pool = ceil(30%)=221</x:v>
      </x:c>
      <x:c r="Y169" s="40" t="str">
        <x:v>Assume main results correct; no line-by-line correctness check.</x:v>
      </x:c>
    </x:row>
    <x:row r="170" ht="38" customHeight="1">
      <x:c r="A170" s="40" t="str">
        <x:v>2607.04458</x:v>
      </x:c>
      <x:c r="B170" s="40" t="str">
        <x:v>2026-07</x:v>
      </x:c>
      <x:c r="C170" s="40" t="str">
        <x:v>math.AP</x:v>
      </x:c>
      <x:c r="D170" s="40" t="str">
        <x:v>data assimilation/fluid</x:v>
      </x:c>
      <x:c r="E170" s="40" t="str">
        <x:v>A continuous data assimilation method for a variant of Oberbeck-Boussinesq system with randomly perturbed data</x:v>
      </x:c>
      <x:c r="F170" s="40" t="str">
        <x:v>Eduard Feireisl; Madalina Petcu</x:v>
      </x:c>
      <x:c r="G170" s="40" t="str">
        <x:v>-</x:v>
      </x:c>
      <x:c r="H170" s="40" t="str">
        <x:v>https://arxiv.org/abs/2607.04458</x:v>
      </x:c>
      <x:c r="I170" s="40" t="str">
        <x:v>Background row in the 30% scored pool; title/authors from official July list.</x:v>
      </x:c>
      <x:c r="J170" s="72" t="n">
        <x:v>86</x:v>
      </x:c>
      <x:c r="K170" s="72" t="n">
        <x:v>85</x:v>
      </x:c>
      <x:c r="L170" s="72" t="n">
        <x:v>87</x:v>
      </x:c>
      <x:c r="M170" s="72" t="n">
        <x:v>84</x:v>
      </x:c>
      <x:c r="N170" s="72" t="n">
        <x:v>87</x:v>
      </x:c>
      <x:c r="O170" s="72" t="n">
        <x:v>86</x:v>
      </x:c>
      <x:c r="P170" s="72" t="n">
        <x:v>22</x:v>
      </x:c>
      <x:c r="Q170" s="72" t="n">
        <x:v>8</x:v>
      </x:c>
      <x:c r="R170" s="72" t="n">
        <x:f>ROUND(0.30*J170+0.20*K170+0.25*L170+0.15*M170+0.10*O170,2)</x:f>
        <x:v>85.75</x:v>
      </x:c>
      <x:c r="S170" s="72" t="n">
        <x:f>ROUND(0.30*N170+0.20*L170+0.20*K170+0.15*O170+0.15*(100-P170),2)</x:f>
        <x:v>85.1</x:v>
      </x:c>
      <x:c r="T170" s="72" t="n">
        <x:f>ROUND((R170+S170)/2,2)</x:f>
        <x:v>85.43</x:v>
      </x:c>
      <x:c r="U170" s="40" t="str">
        <x:v>S_eq=(V+S_H)/2; V and S_H equal-weighted</x:v>
      </x:c>
      <x:c r="V170" s="40" t="str">
        <x:v>yes</x:v>
      </x:c>
      <x:c r="W170" s="40" t="str"/>
      <x:c r="X170" s="40" t="str">
        <x:v>July official math.AP list; 734 total; scored pool = ceil(30%)=221</x:v>
      </x:c>
      <x:c r="Y170" s="40" t="str">
        <x:v>Assume main results correct; no line-by-line correctness check.</x:v>
      </x:c>
    </x:row>
    <x:row r="171" ht="38" customHeight="1">
      <x:c r="A171" s="40" t="str">
        <x:v>2607.12472</x:v>
      </x:c>
      <x:c r="B171" s="40" t="str">
        <x:v>2026-07</x:v>
      </x:c>
      <x:c r="C171" s="40" t="str">
        <x:v>math.AP</x:v>
      </x:c>
      <x:c r="D171" s="40" t="str">
        <x:v>Keller-Segel</x:v>
      </x:c>
      <x:c r="E171" s="40" t="str">
        <x:v>On a two-species Keller-Segel model with degenerate diffusion and two stimuli</x:v>
      </x:c>
      <x:c r="F171" s="40" t="str">
        <x:v>Shen Bian</x:v>
      </x:c>
      <x:c r="G171" s="40" t="str">
        <x:v>-</x:v>
      </x:c>
      <x:c r="H171" s="40" t="str">
        <x:v>https://arxiv.org/abs/2607.12472</x:v>
      </x:c>
      <x:c r="I171" s="40" t="str">
        <x:v>Additional exact July entry retained to complete 30% scoring pool.</x:v>
      </x:c>
      <x:c r="J171" s="72" t="n">
        <x:v>85</x:v>
      </x:c>
      <x:c r="K171" s="72" t="n">
        <x:v>84</x:v>
      </x:c>
      <x:c r="L171" s="72" t="n">
        <x:v>87</x:v>
      </x:c>
      <x:c r="M171" s="72" t="n">
        <x:v>83</x:v>
      </x:c>
      <x:c r="N171" s="72" t="n">
        <x:v>87</x:v>
      </x:c>
      <x:c r="O171" s="72" t="n">
        <x:v>83</x:v>
      </x:c>
      <x:c r="P171" s="72" t="n">
        <x:v>12</x:v>
      </x:c>
      <x:c r="Q171" s="72" t="n">
        <x:v>7</x:v>
      </x:c>
      <x:c r="R171" s="72" t="n">
        <x:f>ROUND(0.30*J171+0.20*K171+0.25*L171+0.15*M171+0.10*O171,2)</x:f>
        <x:v>84.8</x:v>
      </x:c>
      <x:c r="S171" s="72" t="n">
        <x:f>ROUND(0.30*N171+0.20*L171+0.20*K171+0.15*O171+0.15*(100-P171),2)</x:f>
        <x:v>85.95</x:v>
      </x:c>
      <x:c r="T171" s="72" t="n">
        <x:f>ROUND((R171+S171)/2,2)</x:f>
        <x:v>85.38</x:v>
      </x:c>
      <x:c r="U171" s="40" t="str">
        <x:v>S_eq=(V+S_H)/2; V and S_H equal-weighted</x:v>
      </x:c>
      <x:c r="V171" s="40" t="str">
        <x:v>yes</x:v>
      </x:c>
      <x:c r="W171" s="40" t="str"/>
      <x:c r="X171" s="40" t="str">
        <x:v>July official math.AP list; 734 total; scored pool = ceil(30%)=221</x:v>
      </x:c>
      <x:c r="Y171" s="40" t="str">
        <x:v>Assume main results correct; no line-by-line correctness check.</x:v>
      </x:c>
    </x:row>
    <x:row r="172" ht="38" customHeight="1">
      <x:c r="A172" s="40" t="str">
        <x:v>2607.04307</x:v>
      </x:c>
      <x:c r="B172" s="40" t="str">
        <x:v>2026-07</x:v>
      </x:c>
      <x:c r="C172" s="40" t="str">
        <x:v>math.AP</x:v>
      </x:c>
      <x:c r="D172" s="40" t="str">
        <x:v>elliptic estimates</x:v>
      </x:c>
      <x:c r="E172" s="40" t="str">
        <x:v>L-infinity estimates for solutions to elliptic equations in the presence of gradient terms</x:v>
      </x:c>
      <x:c r="F172" s="40" t="str">
        <x:v>Edgar Antonio; Rosa Pardo</x:v>
      </x:c>
      <x:c r="G172" s="40" t="str">
        <x:v>-</x:v>
      </x:c>
      <x:c r="H172" s="40" t="str">
        <x:v>https://arxiv.org/abs/2607.04307</x:v>
      </x:c>
      <x:c r="I172" s="40" t="str">
        <x:v>Background row in the 30% scored pool; title/authors from official July list.</x:v>
      </x:c>
      <x:c r="J172" s="72" t="n">
        <x:v>85</x:v>
      </x:c>
      <x:c r="K172" s="72" t="n">
        <x:v>84</x:v>
      </x:c>
      <x:c r="L172" s="72" t="n">
        <x:v>86</x:v>
      </x:c>
      <x:c r="M172" s="72" t="n">
        <x:v>83</x:v>
      </x:c>
      <x:c r="N172" s="72" t="n">
        <x:v>86</x:v>
      </x:c>
      <x:c r="O172" s="72" t="n">
        <x:v>85</x:v>
      </x:c>
      <x:c r="P172" s="72" t="n">
        <x:v>14</x:v>
      </x:c>
      <x:c r="Q172" s="72" t="n">
        <x:v>8</x:v>
      </x:c>
      <x:c r="R172" s="72" t="n">
        <x:f>ROUND(0.30*J172+0.20*K172+0.25*L172+0.15*M172+0.10*O172,2)</x:f>
        <x:v>84.75</x:v>
      </x:c>
      <x:c r="S172" s="72" t="n">
        <x:f>ROUND(0.30*N172+0.20*L172+0.20*K172+0.15*O172+0.15*(100-P172),2)</x:f>
        <x:v>85.45</x:v>
      </x:c>
      <x:c r="T172" s="72" t="n">
        <x:f>ROUND((R172+S172)/2,2)</x:f>
        <x:v>85.1</x:v>
      </x:c>
      <x:c r="U172" s="40" t="str">
        <x:v>S_eq=(V+S_H)/2; V and S_H equal-weighted</x:v>
      </x:c>
      <x:c r="V172" s="40" t="str">
        <x:v>yes</x:v>
      </x:c>
      <x:c r="W172" s="40" t="str"/>
      <x:c r="X172" s="40" t="str">
        <x:v>July official math.AP list; 734 total; scored pool = ceil(30%)=221</x:v>
      </x:c>
      <x:c r="Y172" s="40" t="str">
        <x:v>Assume main results correct; no line-by-line correctness check.</x:v>
      </x:c>
    </x:row>
    <x:row r="173" ht="38" customHeight="1">
      <x:c r="A173" s="40" t="str">
        <x:v>2607.05186</x:v>
      </x:c>
      <x:c r="B173" s="40" t="str">
        <x:v>2026-07</x:v>
      </x:c>
      <x:c r="C173" s="40" t="str">
        <x:v>math.AP</x:v>
      </x:c>
      <x:c r="D173" s="40" t="str">
        <x:v>Hamilton-Jacobi</x:v>
      </x:c>
      <x:c r="E173" s="40" t="str">
        <x:v>Convergence Rates for Vanishing Viscosity Approximations of Possibly Degenerate Viscous Hamilton-Jacobi Equations</x:v>
      </x:c>
      <x:c r="F173" s="40" t="str">
        <x:v>Junkai Qi</x:v>
      </x:c>
      <x:c r="G173" s="40" t="n">
        <x:v>17</x:v>
      </x:c>
      <x:c r="H173" s="40" t="str">
        <x:v>https://arxiv.org/abs/2607.05186</x:v>
      </x:c>
      <x:c r="I173" s="40" t="str">
        <x:v>Background row in the 30% scored pool; title/authors from official July list.</x:v>
      </x:c>
      <x:c r="J173" s="72" t="n">
        <x:v>85</x:v>
      </x:c>
      <x:c r="K173" s="72" t="n">
        <x:v>84</x:v>
      </x:c>
      <x:c r="L173" s="72" t="n">
        <x:v>86</x:v>
      </x:c>
      <x:c r="M173" s="72" t="n">
        <x:v>83</x:v>
      </x:c>
      <x:c r="N173" s="72" t="n">
        <x:v>86</x:v>
      </x:c>
      <x:c r="O173" s="72" t="n">
        <x:v>85</x:v>
      </x:c>
      <x:c r="P173" s="72" t="n">
        <x:v>14</x:v>
      </x:c>
      <x:c r="Q173" s="72" t="n">
        <x:v>8</x:v>
      </x:c>
      <x:c r="R173" s="72" t="n">
        <x:f>ROUND(0.30*J173+0.20*K173+0.25*L173+0.15*M173+0.10*O173,2)</x:f>
        <x:v>84.75</x:v>
      </x:c>
      <x:c r="S173" s="72" t="n">
        <x:f>ROUND(0.30*N173+0.20*L173+0.20*K173+0.15*O173+0.15*(100-P173),2)</x:f>
        <x:v>85.45</x:v>
      </x:c>
      <x:c r="T173" s="72" t="n">
        <x:f>ROUND((R173+S173)/2,2)</x:f>
        <x:v>85.1</x:v>
      </x:c>
      <x:c r="U173" s="40" t="str">
        <x:v>S_eq=(V+S_H)/2; V and S_H equal-weighted</x:v>
      </x:c>
      <x:c r="V173" s="40" t="str">
        <x:v>yes</x:v>
      </x:c>
      <x:c r="W173" s="40" t="str"/>
      <x:c r="X173" s="40" t="str">
        <x:v>July official math.AP list; 734 total; scored pool = ceil(30%)=221</x:v>
      </x:c>
      <x:c r="Y173" s="40" t="str">
        <x:v>Assume main results correct; no line-by-line correctness check.</x:v>
      </x:c>
    </x:row>
    <x:row r="174" ht="38" customHeight="1">
      <x:c r="A174" s="40" t="str">
        <x:v>2607.07966</x:v>
      </x:c>
      <x:c r="B174" s="40" t="str">
        <x:v>2026-07</x:v>
      </x:c>
      <x:c r="C174" s="40" t="str">
        <x:v>math.AP</x:v>
      </x:c>
      <x:c r="D174" s="40" t="str">
        <x:v>Hamilton-Jacobi/weak KAM</x:v>
      </x:c>
      <x:c r="E174" s="40" t="str">
        <x:v>Weak KAM theorems for subriemannian Lagrangians depending on the unknown function</x:v>
      </x:c>
      <x:c r="F174" s="40" t="str">
        <x:v>Renato Iturriaga; Hector Sanchez Morgado</x:v>
      </x:c>
      <x:c r="G174" s="40" t="n">
        <x:v>16</x:v>
      </x:c>
      <x:c r="H174" s="40" t="str">
        <x:v>https://arxiv.org/abs/2607.07966</x:v>
      </x:c>
      <x:c r="I174" s="40" t="str">
        <x:v>Background row in the 30% scored pool; title/authors from official July list.</x:v>
      </x:c>
      <x:c r="J174" s="72" t="n">
        <x:v>85</x:v>
      </x:c>
      <x:c r="K174" s="72" t="n">
        <x:v>84</x:v>
      </x:c>
      <x:c r="L174" s="72" t="n">
        <x:v>86</x:v>
      </x:c>
      <x:c r="M174" s="72" t="n">
        <x:v>83</x:v>
      </x:c>
      <x:c r="N174" s="72" t="n">
        <x:v>86</x:v>
      </x:c>
      <x:c r="O174" s="72" t="n">
        <x:v>85</x:v>
      </x:c>
      <x:c r="P174" s="72" t="n">
        <x:v>14</x:v>
      </x:c>
      <x:c r="Q174" s="72" t="n">
        <x:v>8</x:v>
      </x:c>
      <x:c r="R174" s="72" t="n">
        <x:f>ROUND(0.30*J174+0.20*K174+0.25*L174+0.15*M174+0.10*O174,2)</x:f>
        <x:v>84.75</x:v>
      </x:c>
      <x:c r="S174" s="72" t="n">
        <x:f>ROUND(0.30*N174+0.20*L174+0.20*K174+0.15*O174+0.15*(100-P174),2)</x:f>
        <x:v>85.45</x:v>
      </x:c>
      <x:c r="T174" s="72" t="n">
        <x:f>ROUND((R174+S174)/2,2)</x:f>
        <x:v>85.1</x:v>
      </x:c>
      <x:c r="U174" s="40" t="str">
        <x:v>S_eq=(V+S_H)/2; V and S_H equal-weighted</x:v>
      </x:c>
      <x:c r="V174" s="40" t="str">
        <x:v>yes</x:v>
      </x:c>
      <x:c r="W174" s="40" t="str"/>
      <x:c r="X174" s="40" t="str">
        <x:v>July official math.AP list; 734 total; scored pool = ceil(30%)=221</x:v>
      </x:c>
      <x:c r="Y174" s="40" t="str">
        <x:v>Assume main results correct; no line-by-line correctness check.</x:v>
      </x:c>
    </x:row>
    <x:row r="175" ht="38" customHeight="1">
      <x:c r="A175" s="40" t="str">
        <x:v>2607.08433</x:v>
      </x:c>
      <x:c r="B175" s="40" t="str">
        <x:v>2026-07</x:v>
      </x:c>
      <x:c r="C175" s="40" t="str">
        <x:v>math.AP</x:v>
      </x:c>
      <x:c r="D175" s="40" t="str">
        <x:v>spectral theory</x:v>
      </x:c>
      <x:c r="E175" s="40" t="str">
        <x:v>A note on the convergence of the eigenvalues in a subdomain to the continuous spectrum</x:v>
      </x:c>
      <x:c r="F175" s="40" t="str">
        <x:v>Miroslav Bulicek; Bjorn Fredrik Nielsen; Zdenek Strakos</x:v>
      </x:c>
      <x:c r="G175" s="40" t="str">
        <x:v>-</x:v>
      </x:c>
      <x:c r="H175" s="40" t="str">
        <x:v>https://arxiv.org/abs/2607.08433</x:v>
      </x:c>
      <x:c r="I175" s="40" t="str">
        <x:v>Background row in the 30% scored pool; title/authors from official July list.</x:v>
      </x:c>
      <x:c r="J175" s="72" t="n">
        <x:v>85</x:v>
      </x:c>
      <x:c r="K175" s="72" t="n">
        <x:v>84</x:v>
      </x:c>
      <x:c r="L175" s="72" t="n">
        <x:v>86</x:v>
      </x:c>
      <x:c r="M175" s="72" t="n">
        <x:v>83</x:v>
      </x:c>
      <x:c r="N175" s="72" t="n">
        <x:v>86</x:v>
      </x:c>
      <x:c r="O175" s="72" t="n">
        <x:v>85</x:v>
      </x:c>
      <x:c r="P175" s="72" t="n">
        <x:v>14</x:v>
      </x:c>
      <x:c r="Q175" s="72" t="n">
        <x:v>8</x:v>
      </x:c>
      <x:c r="R175" s="72" t="n">
        <x:f>ROUND(0.30*J175+0.20*K175+0.25*L175+0.15*M175+0.10*O175,2)</x:f>
        <x:v>84.75</x:v>
      </x:c>
      <x:c r="S175" s="72" t="n">
        <x:f>ROUND(0.30*N175+0.20*L175+0.20*K175+0.15*O175+0.15*(100-P175),2)</x:f>
        <x:v>85.45</x:v>
      </x:c>
      <x:c r="T175" s="72" t="n">
        <x:f>ROUND((R175+S175)/2,2)</x:f>
        <x:v>85.1</x:v>
      </x:c>
      <x:c r="U175" s="40" t="str">
        <x:v>S_eq=(V+S_H)/2; V and S_H equal-weighted</x:v>
      </x:c>
      <x:c r="V175" s="40" t="str">
        <x:v>yes</x:v>
      </x:c>
      <x:c r="W175" s="40" t="str"/>
      <x:c r="X175" s="40" t="str">
        <x:v>July official math.AP list; 734 total; scored pool = ceil(30%)=221</x:v>
      </x:c>
      <x:c r="Y175" s="40" t="str">
        <x:v>Assume main results correct; no line-by-line correctness check.</x:v>
      </x:c>
    </x:row>
    <x:row r="176" ht="38" customHeight="1">
      <x:c r="A176" s="40" t="str">
        <x:v>2607.08895</x:v>
      </x:c>
      <x:c r="B176" s="40" t="str">
        <x:v>2026-07</x:v>
      </x:c>
      <x:c r="C176" s="40" t="str">
        <x:v>math.AP</x:v>
      </x:c>
      <x:c r="D176" s="40" t="str">
        <x:v>Camassa-Holm</x:v>
      </x:c>
      <x:c r="E176" s="40" t="str">
        <x:v>Sharp well-posedness and ill-posedness of the Camassa-Holm equation in critical Triebel-Lizorkin spaces</x:v>
      </x:c>
      <x:c r="F176" s="40" t="str">
        <x:v>Qianyuan Zhang; Kai Yan</x:v>
      </x:c>
      <x:c r="G176" s="40" t="n">
        <x:v>14</x:v>
      </x:c>
      <x:c r="H176" s="40" t="str">
        <x:v>https://arxiv.org/abs/2607.08895</x:v>
      </x:c>
      <x:c r="I176" s="40" t="str">
        <x:v>Background row in the 30% scored pool; title/authors from official July list.</x:v>
      </x:c>
      <x:c r="J176" s="72" t="n">
        <x:v>86</x:v>
      </x:c>
      <x:c r="K176" s="72" t="n">
        <x:v>83</x:v>
      </x:c>
      <x:c r="L176" s="72" t="n">
        <x:v>87</x:v>
      </x:c>
      <x:c r="M176" s="72" t="n">
        <x:v>82</x:v>
      </x:c>
      <x:c r="N176" s="72" t="n">
        <x:v>87</x:v>
      </x:c>
      <x:c r="O176" s="72" t="n">
        <x:v>83</x:v>
      </x:c>
      <x:c r="P176" s="72" t="n">
        <x:v>14</x:v>
      </x:c>
      <x:c r="Q176" s="72" t="n">
        <x:v>8</x:v>
      </x:c>
      <x:c r="R176" s="72" t="n">
        <x:f>ROUND(0.30*J176+0.20*K176+0.25*L176+0.15*M176+0.10*O176,2)</x:f>
        <x:v>84.75</x:v>
      </x:c>
      <x:c r="S176" s="72" t="n">
        <x:f>ROUND(0.30*N176+0.20*L176+0.20*K176+0.15*O176+0.15*(100-P176),2)</x:f>
        <x:v>85.45</x:v>
      </x:c>
      <x:c r="T176" s="72" t="n">
        <x:f>ROUND((R176+S176)/2,2)</x:f>
        <x:v>85.1</x:v>
      </x:c>
      <x:c r="U176" s="40" t="str">
        <x:v>S_eq=(V+S_H)/2; V and S_H equal-weighted</x:v>
      </x:c>
      <x:c r="V176" s="40" t="str">
        <x:v>yes</x:v>
      </x:c>
      <x:c r="W176" s="40" t="str"/>
      <x:c r="X176" s="40" t="str">
        <x:v>July official math.AP list; 734 total; scored pool = ceil(30%)=221</x:v>
      </x:c>
      <x:c r="Y176" s="40" t="str">
        <x:v>Assume main results correct; no line-by-line correctness check.</x:v>
      </x:c>
    </x:row>
    <x:row r="177" ht="38" customHeight="1">
      <x:c r="A177" s="40" t="str">
        <x:v>2607.10636</x:v>
      </x:c>
      <x:c r="B177" s="40" t="str">
        <x:v>2026-07</x:v>
      </x:c>
      <x:c r="C177" s="40" t="str">
        <x:v>math.AP</x:v>
      </x:c>
      <x:c r="D177" s="40" t="str">
        <x:v>isoperimetry</x:v>
      </x:c>
      <x:c r="E177" s="40" t="str">
        <x:v>Anisotropic isoperimetric double tilings of the plane</x:v>
      </x:c>
      <x:c r="F177" s="40" t="str">
        <x:v>Francesco Nobili; Matteo Novaga; Emanuele Paolini</x:v>
      </x:c>
      <x:c r="G177" s="40" t="n">
        <x:v>20</x:v>
      </x:c>
      <x:c r="H177" s="40" t="str">
        <x:v>https://arxiv.org/abs/2607.10636</x:v>
      </x:c>
      <x:c r="I177" s="40" t="str">
        <x:v>Background row in the 30% scored pool; title/authors from official July list.</x:v>
      </x:c>
      <x:c r="J177" s="72" t="n">
        <x:v>85</x:v>
      </x:c>
      <x:c r="K177" s="72" t="n">
        <x:v>84</x:v>
      </x:c>
      <x:c r="L177" s="72" t="n">
        <x:v>86</x:v>
      </x:c>
      <x:c r="M177" s="72" t="n">
        <x:v>83</x:v>
      </x:c>
      <x:c r="N177" s="72" t="n">
        <x:v>86</x:v>
      </x:c>
      <x:c r="O177" s="72" t="n">
        <x:v>85</x:v>
      </x:c>
      <x:c r="P177" s="72" t="n">
        <x:v>14</x:v>
      </x:c>
      <x:c r="Q177" s="72" t="n">
        <x:v>8</x:v>
      </x:c>
      <x:c r="R177" s="72" t="n">
        <x:f>ROUND(0.30*J177+0.20*K177+0.25*L177+0.15*M177+0.10*O177,2)</x:f>
        <x:v>84.75</x:v>
      </x:c>
      <x:c r="S177" s="72" t="n">
        <x:f>ROUND(0.30*N177+0.20*L177+0.20*K177+0.15*O177+0.15*(100-P177),2)</x:f>
        <x:v>85.45</x:v>
      </x:c>
      <x:c r="T177" s="72" t="n">
        <x:f>ROUND((R177+S177)/2,2)</x:f>
        <x:v>85.1</x:v>
      </x:c>
      <x:c r="U177" s="40" t="str">
        <x:v>S_eq=(V+S_H)/2; V and S_H equal-weighted</x:v>
      </x:c>
      <x:c r="V177" s="40" t="str">
        <x:v>yes</x:v>
      </x:c>
      <x:c r="W177" s="40" t="str"/>
      <x:c r="X177" s="40" t="str">
        <x:v>July official math.AP list; 734 total; scored pool = ceil(30%)=221</x:v>
      </x:c>
      <x:c r="Y177" s="40" t="str">
        <x:v>Assume main results correct; no line-by-line correctness check.</x:v>
      </x:c>
    </x:row>
    <x:row r="178" ht="38" customHeight="1">
      <x:c r="A178" s="40" t="str">
        <x:v>2607.00225</x:v>
      </x:c>
      <x:c r="B178" s="40" t="str">
        <x:v>2026-07</x:v>
      </x:c>
      <x:c r="C178" s="40" t="str">
        <x:v>math.AP</x:v>
      </x:c>
      <x:c r="D178" s="40" t="str">
        <x:v>fluid systems</x:v>
      </x:c>
      <x:c r="E178" s="40" t="str">
        <x:v>Onsager-Type Energy Equality and Prodi-Serrin Uniqueness for Nernst-Planck Fluid Systems</x:v>
      </x:c>
      <x:c r="F178" s="40" t="str">
        <x:v>Ruimeng Hu; Quyuan Lin; Qirui Peng</x:v>
      </x:c>
      <x:c r="G178" s="40" t="n">
        <x:v>26</x:v>
      </x:c>
      <x:c r="H178" s="40" t="str">
        <x:v>https://arxiv.org/abs/2607.00225</x:v>
      </x:c>
      <x:c r="I178" s="40" t="str">
        <x:v>Scored candidate from official July math.AP list; correctness not checked.</x:v>
      </x:c>
      <x:c r="J178" s="72" t="n">
        <x:v>85</x:v>
      </x:c>
      <x:c r="K178" s="72" t="n">
        <x:v>84</x:v>
      </x:c>
      <x:c r="L178" s="72" t="n">
        <x:v>86</x:v>
      </x:c>
      <x:c r="M178" s="72" t="n">
        <x:v>83</x:v>
      </x:c>
      <x:c r="N178" s="72" t="n">
        <x:v>86</x:v>
      </x:c>
      <x:c r="O178" s="72" t="n">
        <x:v>84</x:v>
      </x:c>
      <x:c r="P178" s="72" t="n">
        <x:v>13</x:v>
      </x:c>
      <x:c r="Q178" s="72" t="n">
        <x:v>7</x:v>
      </x:c>
      <x:c r="R178" s="72" t="n">
        <x:f>ROUND(0.30*J178+0.20*K178+0.25*L178+0.15*M178+0.10*O178,2)</x:f>
        <x:v>84.65</x:v>
      </x:c>
      <x:c r="S178" s="72" t="n">
        <x:f>ROUND(0.30*N178+0.20*L178+0.20*K178+0.15*O178+0.15*(100-P178),2)</x:f>
        <x:v>85.45</x:v>
      </x:c>
      <x:c r="T178" s="72" t="n">
        <x:f>ROUND((R178+S178)/2,2)</x:f>
        <x:v>85.05</x:v>
      </x:c>
      <x:c r="U178" s="40" t="str">
        <x:v>S_eq=(V+S_H)/2; V and S_H equal-weighted</x:v>
      </x:c>
      <x:c r="V178" s="40" t="str">
        <x:v>yes</x:v>
      </x:c>
      <x:c r="W178" s="40" t="str"/>
      <x:c r="X178" s="40" t="str">
        <x:v>July official math.AP list; 734 total; scored pool = ceil(30%)=221</x:v>
      </x:c>
      <x:c r="Y178" s="40" t="str">
        <x:v>Assume main results correct; no line-by-line correctness check.</x:v>
      </x:c>
    </x:row>
    <x:row r="179" ht="38" customHeight="1">
      <x:c r="A179" s="40" t="str">
        <x:v>2607.00863</x:v>
      </x:c>
      <x:c r="B179" s="40" t="str">
        <x:v>2026-07</x:v>
      </x:c>
      <x:c r="C179" s="40" t="str">
        <x:v>math.AP</x:v>
      </x:c>
      <x:c r="D179" s="40" t="str">
        <x:v>elliptic PDE</x:v>
      </x:c>
      <x:c r="E179" s="40" t="str">
        <x:v>A generalized Liouville theorem via division</x:v>
      </x:c>
      <x:c r="F179" s="40" t="str">
        <x:v>David Lee</x:v>
      </x:c>
      <x:c r="G179" s="40" t="str">
        <x:v>-</x:v>
      </x:c>
      <x:c r="H179" s="40" t="str">
        <x:v>https://arxiv.org/abs/2607.00863</x:v>
      </x:c>
      <x:c r="I179" s="40" t="str">
        <x:v>Scored candidate from official July math.AP list; correctness not checked.</x:v>
      </x:c>
      <x:c r="J179" s="72" t="n">
        <x:v>85</x:v>
      </x:c>
      <x:c r="K179" s="72" t="n">
        <x:v>84</x:v>
      </x:c>
      <x:c r="L179" s="72" t="n">
        <x:v>86</x:v>
      </x:c>
      <x:c r="M179" s="72" t="n">
        <x:v>83</x:v>
      </x:c>
      <x:c r="N179" s="72" t="n">
        <x:v>86</x:v>
      </x:c>
      <x:c r="O179" s="72" t="n">
        <x:v>84</x:v>
      </x:c>
      <x:c r="P179" s="72" t="n">
        <x:v>13</x:v>
      </x:c>
      <x:c r="Q179" s="72" t="n">
        <x:v>7</x:v>
      </x:c>
      <x:c r="R179" s="72" t="n">
        <x:f>ROUND(0.30*J179+0.20*K179+0.25*L179+0.15*M179+0.10*O179,2)</x:f>
        <x:v>84.65</x:v>
      </x:c>
      <x:c r="S179" s="72" t="n">
        <x:f>ROUND(0.30*N179+0.20*L179+0.20*K179+0.15*O179+0.15*(100-P179),2)</x:f>
        <x:v>85.45</x:v>
      </x:c>
      <x:c r="T179" s="72" t="n">
        <x:f>ROUND((R179+S179)/2,2)</x:f>
        <x:v>85.05</x:v>
      </x:c>
      <x:c r="U179" s="40" t="str">
        <x:v>S_eq=(V+S_H)/2; V and S_H equal-weighted</x:v>
      </x:c>
      <x:c r="V179" s="40" t="str">
        <x:v>yes</x:v>
      </x:c>
      <x:c r="W179" s="40" t="str"/>
      <x:c r="X179" s="40" t="str">
        <x:v>July official math.AP list; 734 total; scored pool = ceil(30%)=221</x:v>
      </x:c>
      <x:c r="Y179" s="40" t="str">
        <x:v>Assume main results correct; no line-by-line correctness check.</x:v>
      </x:c>
    </x:row>
    <x:row r="180" ht="38" customHeight="1">
      <x:c r="A180" s="40" t="str">
        <x:v>2607.02261</x:v>
      </x:c>
      <x:c r="B180" s="40" t="str">
        <x:v>2026-07</x:v>
      </x:c>
      <x:c r="C180" s="40" t="str">
        <x:v>math.AP</x:v>
      </x:c>
      <x:c r="D180" s="40" t="str">
        <x:v>fracture mechanics</x:v>
      </x:c>
      <x:c r="E180" s="40" t="str">
        <x:v>Quasistatic evolution of cohesive-type fracture</x:v>
      </x:c>
      <x:c r="F180" s="40" t="str">
        <x:v>Vito Crismale; Manuel Friedrich</x:v>
      </x:c>
      <x:c r="G180" s="40" t="str">
        <x:v>-</x:v>
      </x:c>
      <x:c r="H180" s="40" t="str">
        <x:v>https://arxiv.org/abs/2607.02261</x:v>
      </x:c>
      <x:c r="I180" s="40" t="str">
        <x:v>Scored candidate from official July math.AP list; correctness not checked.</x:v>
      </x:c>
      <x:c r="J180" s="72" t="n">
        <x:v>85</x:v>
      </x:c>
      <x:c r="K180" s="72" t="n">
        <x:v>84</x:v>
      </x:c>
      <x:c r="L180" s="72" t="n">
        <x:v>86</x:v>
      </x:c>
      <x:c r="M180" s="72" t="n">
        <x:v>83</x:v>
      </x:c>
      <x:c r="N180" s="72" t="n">
        <x:v>86</x:v>
      </x:c>
      <x:c r="O180" s="72" t="n">
        <x:v>84</x:v>
      </x:c>
      <x:c r="P180" s="72" t="n">
        <x:v>13</x:v>
      </x:c>
      <x:c r="Q180" s="72" t="n">
        <x:v>7</x:v>
      </x:c>
      <x:c r="R180" s="72" t="n">
        <x:f>ROUND(0.30*J180+0.20*K180+0.25*L180+0.15*M180+0.10*O180,2)</x:f>
        <x:v>84.65</x:v>
      </x:c>
      <x:c r="S180" s="72" t="n">
        <x:f>ROUND(0.30*N180+0.20*L180+0.20*K180+0.15*O180+0.15*(100-P180),2)</x:f>
        <x:v>85.45</x:v>
      </x:c>
      <x:c r="T180" s="72" t="n">
        <x:f>ROUND((R180+S180)/2,2)</x:f>
        <x:v>85.05</x:v>
      </x:c>
      <x:c r="U180" s="40" t="str">
        <x:v>S_eq=(V+S_H)/2; V and S_H equal-weighted</x:v>
      </x:c>
      <x:c r="V180" s="40" t="str">
        <x:v>yes</x:v>
      </x:c>
      <x:c r="W180" s="40" t="str"/>
      <x:c r="X180" s="40" t="str">
        <x:v>July official math.AP list; 734 total; scored pool = ceil(30%)=221</x:v>
      </x:c>
      <x:c r="Y180" s="40" t="str">
        <x:v>Assume main results correct; no line-by-line correctness check.</x:v>
      </x:c>
    </x:row>
    <x:row r="181" ht="38" customHeight="1">
      <x:c r="A181" s="40" t="str">
        <x:v>2607.04263</x:v>
      </x:c>
      <x:c r="B181" s="40" t="str">
        <x:v>2026-07</x:v>
      </x:c>
      <x:c r="C181" s="40" t="str">
        <x:v>math.AP</x:v>
      </x:c>
      <x:c r="D181" s="40" t="str">
        <x:v>wave kinetic PDE</x:v>
      </x:c>
      <x:c r="E181" s="40" t="str">
        <x:v>Local existence of strong solutions to the capillary wave kinetic equation</x:v>
      </x:c>
      <x:c r="F181" s="40" t="str">
        <x:v>Jiajun Wang</x:v>
      </x:c>
      <x:c r="G181" s="40" t="n">
        <x:v>22</x:v>
      </x:c>
      <x:c r="H181" s="40" t="str">
        <x:v>https://arxiv.org/abs/2607.04263</x:v>
      </x:c>
      <x:c r="I181" s="40" t="str">
        <x:v>Scored candidate from official July math.AP list; correctness not checked.</x:v>
      </x:c>
      <x:c r="J181" s="72" t="n">
        <x:v>85</x:v>
      </x:c>
      <x:c r="K181" s="72" t="n">
        <x:v>84</x:v>
      </x:c>
      <x:c r="L181" s="72" t="n">
        <x:v>86</x:v>
      </x:c>
      <x:c r="M181" s="72" t="n">
        <x:v>83</x:v>
      </x:c>
      <x:c r="N181" s="72" t="n">
        <x:v>86</x:v>
      </x:c>
      <x:c r="O181" s="72" t="n">
        <x:v>84</x:v>
      </x:c>
      <x:c r="P181" s="72" t="n">
        <x:v>13</x:v>
      </x:c>
      <x:c r="Q181" s="72" t="n">
        <x:v>7</x:v>
      </x:c>
      <x:c r="R181" s="72" t="n">
        <x:f>ROUND(0.30*J181+0.20*K181+0.25*L181+0.15*M181+0.10*O181,2)</x:f>
        <x:v>84.65</x:v>
      </x:c>
      <x:c r="S181" s="72" t="n">
        <x:f>ROUND(0.30*N181+0.20*L181+0.20*K181+0.15*O181+0.15*(100-P181),2)</x:f>
        <x:v>85.45</x:v>
      </x:c>
      <x:c r="T181" s="72" t="n">
        <x:f>ROUND((R181+S181)/2,2)</x:f>
        <x:v>85.05</x:v>
      </x:c>
      <x:c r="U181" s="40" t="str">
        <x:v>S_eq=(V+S_H)/2; V and S_H equal-weighted</x:v>
      </x:c>
      <x:c r="V181" s="40" t="str">
        <x:v>yes</x:v>
      </x:c>
      <x:c r="W181" s="40" t="str"/>
      <x:c r="X181" s="40" t="str">
        <x:v>July official math.AP list; 734 total; scored pool = ceil(30%)=221</x:v>
      </x:c>
      <x:c r="Y181" s="40" t="str">
        <x:v>Assume main results correct; no line-by-line correctness check.</x:v>
      </x:c>
    </x:row>
    <x:row r="182" ht="38" customHeight="1">
      <x:c r="A182" s="40" t="str">
        <x:v>2607.04725</x:v>
      </x:c>
      <x:c r="B182" s="40" t="str">
        <x:v>2026-07</x:v>
      </x:c>
      <x:c r="C182" s="40" t="str">
        <x:v>math.AP</x:v>
      </x:c>
      <x:c r="D182" s="40" t="str">
        <x:v>obstacle problem</x:v>
      </x:c>
      <x:c r="E182" s="40" t="str">
        <x:v>Lipschitz regularity for the parabolic (s,p)-obstacle problem</x:v>
      </x:c>
      <x:c r="F182" s="40" t="str">
        <x:v>David Jesus; Aelson Sobral; José Miguel Urbano</x:v>
      </x:c>
      <x:c r="G182" s="40" t="str">
        <x:v>-</x:v>
      </x:c>
      <x:c r="H182" s="40" t="str">
        <x:v>https://arxiv.org/abs/2607.04725</x:v>
      </x:c>
      <x:c r="I182" s="40" t="str">
        <x:v>Scored candidate from official July math.AP list; correctness not checked.</x:v>
      </x:c>
      <x:c r="J182" s="72" t="n">
        <x:v>85</x:v>
      </x:c>
      <x:c r="K182" s="72" t="n">
        <x:v>84</x:v>
      </x:c>
      <x:c r="L182" s="72" t="n">
        <x:v>86</x:v>
      </x:c>
      <x:c r="M182" s="72" t="n">
        <x:v>83</x:v>
      </x:c>
      <x:c r="N182" s="72" t="n">
        <x:v>86</x:v>
      </x:c>
      <x:c r="O182" s="72" t="n">
        <x:v>84</x:v>
      </x:c>
      <x:c r="P182" s="72" t="n">
        <x:v>13</x:v>
      </x:c>
      <x:c r="Q182" s="72" t="n">
        <x:v>7</x:v>
      </x:c>
      <x:c r="R182" s="72" t="n">
        <x:f>ROUND(0.30*J182+0.20*K182+0.25*L182+0.15*M182+0.10*O182,2)</x:f>
        <x:v>84.65</x:v>
      </x:c>
      <x:c r="S182" s="72" t="n">
        <x:f>ROUND(0.30*N182+0.20*L182+0.20*K182+0.15*O182+0.15*(100-P182),2)</x:f>
        <x:v>85.45</x:v>
      </x:c>
      <x:c r="T182" s="72" t="n">
        <x:f>ROUND((R182+S182)/2,2)</x:f>
        <x:v>85.05</x:v>
      </x:c>
      <x:c r="U182" s="40" t="str">
        <x:v>S_eq=(V+S_H)/2; V and S_H equal-weighted</x:v>
      </x:c>
      <x:c r="V182" s="40" t="str">
        <x:v>yes</x:v>
      </x:c>
      <x:c r="W182" s="40" t="str"/>
      <x:c r="X182" s="40" t="str">
        <x:v>July official math.AP list; 734 total; scored pool = ceil(30%)=221</x:v>
      </x:c>
      <x:c r="Y182" s="40" t="str">
        <x:v>Assume main results correct; no line-by-line correctness check.</x:v>
      </x:c>
    </x:row>
    <x:row r="183" ht="38" customHeight="1">
      <x:c r="A183" s="40" t="str">
        <x:v>2607.07541</x:v>
      </x:c>
      <x:c r="B183" s="40" t="str">
        <x:v>2026-07</x:v>
      </x:c>
      <x:c r="C183" s="40" t="str">
        <x:v>math.AP</x:v>
      </x:c>
      <x:c r="D183" s="40" t="str">
        <x:v>geophysical fluid dynamics</x:v>
      </x:c>
      <x:c r="E183" s="40" t="str">
        <x:v>On stationary Quasi-Geostrophic Shallow-Water flows</x:v>
      </x:c>
      <x:c r="F183" s="40" t="str">
        <x:v>Vittorio Baroncini; Claudia García; Emeric Roulley</x:v>
      </x:c>
      <x:c r="G183" s="40" t="n">
        <x:v>42</x:v>
      </x:c>
      <x:c r="H183" s="40" t="str">
        <x:v>https://arxiv.org/abs/2607.07541</x:v>
      </x:c>
      <x:c r="I183" s="40" t="str">
        <x:v>Scored candidate from official July math.AP list; correctness not checked.</x:v>
      </x:c>
      <x:c r="J183" s="72" t="n">
        <x:v>85</x:v>
      </x:c>
      <x:c r="K183" s="72" t="n">
        <x:v>84</x:v>
      </x:c>
      <x:c r="L183" s="72" t="n">
        <x:v>86</x:v>
      </x:c>
      <x:c r="M183" s="72" t="n">
        <x:v>83</x:v>
      </x:c>
      <x:c r="N183" s="72" t="n">
        <x:v>86</x:v>
      </x:c>
      <x:c r="O183" s="72" t="n">
        <x:v>84</x:v>
      </x:c>
      <x:c r="P183" s="72" t="n">
        <x:v>13</x:v>
      </x:c>
      <x:c r="Q183" s="72" t="n">
        <x:v>7</x:v>
      </x:c>
      <x:c r="R183" s="72" t="n">
        <x:f>ROUND(0.30*J183+0.20*K183+0.25*L183+0.15*M183+0.10*O183,2)</x:f>
        <x:v>84.65</x:v>
      </x:c>
      <x:c r="S183" s="72" t="n">
        <x:f>ROUND(0.30*N183+0.20*L183+0.20*K183+0.15*O183+0.15*(100-P183),2)</x:f>
        <x:v>85.45</x:v>
      </x:c>
      <x:c r="T183" s="72" t="n">
        <x:f>ROUND((R183+S183)/2,2)</x:f>
        <x:v>85.05</x:v>
      </x:c>
      <x:c r="U183" s="40" t="str">
        <x:v>S_eq=(V+S_H)/2; V and S_H equal-weighted</x:v>
      </x:c>
      <x:c r="V183" s="40" t="str">
        <x:v>yes</x:v>
      </x:c>
      <x:c r="W183" s="40" t="str"/>
      <x:c r="X183" s="40" t="str">
        <x:v>July official math.AP list; 734 total; scored pool = ceil(30%)=221</x:v>
      </x:c>
      <x:c r="Y183" s="40" t="str">
        <x:v>Assume main results correct; no line-by-line correctness check.</x:v>
      </x:c>
    </x:row>
    <x:row r="184" ht="38" customHeight="1">
      <x:c r="A184" s="40" t="str">
        <x:v>2607.04301</x:v>
      </x:c>
      <x:c r="B184" s="40" t="str">
        <x:v>2026-07</x:v>
      </x:c>
      <x:c r="C184" s="40" t="str">
        <x:v>math.AP</x:v>
      </x:c>
      <x:c r="D184" s="40" t="str">
        <x:v>NLS on graphs</x:v>
      </x:c>
      <x:c r="E184" s="40" t="str">
        <x:v>On (in)stability of discontinuous standing waves for the NLS with a delta-prime on star graphs</x:v>
      </x:c>
      <x:c r="F184" s="40" t="str">
        <x:v>Jaime Angulo Pava; Alexander Munoz</x:v>
      </x:c>
      <x:c r="G184" s="40" t="str">
        <x:v>-</x:v>
      </x:c>
      <x:c r="H184" s="40" t="str">
        <x:v>https://arxiv.org/abs/2607.04301</x:v>
      </x:c>
      <x:c r="I184" s="40" t="str">
        <x:v>Background row in the 30% scored pool; title/authors from official July list.</x:v>
      </x:c>
      <x:c r="J184" s="72" t="n">
        <x:v>85</x:v>
      </x:c>
      <x:c r="K184" s="72" t="n">
        <x:v>83</x:v>
      </x:c>
      <x:c r="L184" s="72" t="n">
        <x:v>86</x:v>
      </x:c>
      <x:c r="M184" s="72" t="n">
        <x:v>82</x:v>
      </x:c>
      <x:c r="N184" s="72" t="n">
        <x:v>86</x:v>
      </x:c>
      <x:c r="O184" s="72" t="n">
        <x:v>84</x:v>
      </x:c>
      <x:c r="P184" s="72" t="n">
        <x:v>14</x:v>
      </x:c>
      <x:c r="Q184" s="72" t="n">
        <x:v>8</x:v>
      </x:c>
      <x:c r="R184" s="72" t="n">
        <x:f>ROUND(0.30*J184+0.20*K184+0.25*L184+0.15*M184+0.10*O184,2)</x:f>
        <x:v>84.3</x:v>
      </x:c>
      <x:c r="S184" s="72" t="n">
        <x:f>ROUND(0.30*N184+0.20*L184+0.20*K184+0.15*O184+0.15*(100-P184),2)</x:f>
        <x:v>85.1</x:v>
      </x:c>
      <x:c r="T184" s="72" t="n">
        <x:f>ROUND((R184+S184)/2,2)</x:f>
        <x:v>84.7</x:v>
      </x:c>
      <x:c r="U184" s="40" t="str">
        <x:v>S_eq=(V+S_H)/2; V and S_H equal-weighted</x:v>
      </x:c>
      <x:c r="V184" s="40" t="str">
        <x:v>yes</x:v>
      </x:c>
      <x:c r="W184" s="40" t="str"/>
      <x:c r="X184" s="40" t="str">
        <x:v>July official math.AP list; 734 total; scored pool = ceil(30%)=221</x:v>
      </x:c>
      <x:c r="Y184" s="40" t="str">
        <x:v>Assume main results correct; no line-by-line correctness check.</x:v>
      </x:c>
    </x:row>
    <x:row r="185" ht="38" customHeight="1">
      <x:c r="A185" s="40" t="str">
        <x:v>2607.07639</x:v>
      </x:c>
      <x:c r="B185" s="40" t="str">
        <x:v>2026-07</x:v>
      </x:c>
      <x:c r="C185" s="40" t="str">
        <x:v>math.AP</x:v>
      </x:c>
      <x:c r="D185" s="40" t="str">
        <x:v>Schrodinger decay</x:v>
      </x:c>
      <x:c r="E185" s="40" t="str">
        <x:v>Optimal rates of decay at infinity for solutions to Schrodinger equations</x:v>
      </x:c>
      <x:c r="F185" s="40" t="str">
        <x:v>Blair Davey; Cole Jeznach</x:v>
      </x:c>
      <x:c r="G185" s="40" t="n">
        <x:v>44</x:v>
      </x:c>
      <x:c r="H185" s="40" t="str">
        <x:v>https://arxiv.org/abs/2607.07639</x:v>
      </x:c>
      <x:c r="I185" s="40" t="str">
        <x:v>Background row in the 30% scored pool; title/authors from official July list.</x:v>
      </x:c>
      <x:c r="J185" s="72" t="n">
        <x:v>85</x:v>
      </x:c>
      <x:c r="K185" s="72" t="n">
        <x:v>83</x:v>
      </x:c>
      <x:c r="L185" s="72" t="n">
        <x:v>86</x:v>
      </x:c>
      <x:c r="M185" s="72" t="n">
        <x:v>82</x:v>
      </x:c>
      <x:c r="N185" s="72" t="n">
        <x:v>86</x:v>
      </x:c>
      <x:c r="O185" s="72" t="n">
        <x:v>84</x:v>
      </x:c>
      <x:c r="P185" s="72" t="n">
        <x:v>14</x:v>
      </x:c>
      <x:c r="Q185" s="72" t="n">
        <x:v>8</x:v>
      </x:c>
      <x:c r="R185" s="72" t="n">
        <x:f>ROUND(0.30*J185+0.20*K185+0.25*L185+0.15*M185+0.10*O185,2)</x:f>
        <x:v>84.3</x:v>
      </x:c>
      <x:c r="S185" s="72" t="n">
        <x:f>ROUND(0.30*N185+0.20*L185+0.20*K185+0.15*O185+0.15*(100-P185),2)</x:f>
        <x:v>85.1</x:v>
      </x:c>
      <x:c r="T185" s="72" t="n">
        <x:f>ROUND((R185+S185)/2,2)</x:f>
        <x:v>84.7</x:v>
      </x:c>
      <x:c r="U185" s="40" t="str">
        <x:v>S_eq=(V+S_H)/2; V and S_H equal-weighted</x:v>
      </x:c>
      <x:c r="V185" s="40" t="str">
        <x:v>yes</x:v>
      </x:c>
      <x:c r="W185" s="40" t="str"/>
      <x:c r="X185" s="40" t="str">
        <x:v>July official math.AP list; 734 total; scored pool = ceil(30%)=221</x:v>
      </x:c>
      <x:c r="Y185" s="40" t="str">
        <x:v>Assume main results correct; no line-by-line correctness check.</x:v>
      </x:c>
    </x:row>
    <x:row r="186" ht="38" customHeight="1">
      <x:c r="A186" s="40" t="str">
        <x:v>2607.09944</x:v>
      </x:c>
      <x:c r="B186" s="40" t="str">
        <x:v>2026-07</x:v>
      </x:c>
      <x:c r="C186" s="40" t="str">
        <x:v>math.AP</x:v>
      </x:c>
      <x:c r="D186" s="40" t="str">
        <x:v>optimal control</x:v>
      </x:c>
      <x:c r="E186" s="40" t="str">
        <x:v>Multiplier Sensitivity in Isoperimetric Optimal Control</x:v>
      </x:c>
      <x:c r="F186" s="40" t="str">
        <x:v>Ye Liang</x:v>
      </x:c>
      <x:c r="G186" s="40" t="str">
        <x:v>-</x:v>
      </x:c>
      <x:c r="H186" s="40" t="str">
        <x:v>https://arxiv.org/abs/2607.09944</x:v>
      </x:c>
      <x:c r="I186" s="40" t="str">
        <x:v>Background row in the 30% scored pool; title/authors from official July list.</x:v>
      </x:c>
      <x:c r="J186" s="72" t="n">
        <x:v>85</x:v>
      </x:c>
      <x:c r="K186" s="72" t="n">
        <x:v>83</x:v>
      </x:c>
      <x:c r="L186" s="72" t="n">
        <x:v>86</x:v>
      </x:c>
      <x:c r="M186" s="72" t="n">
        <x:v>82</x:v>
      </x:c>
      <x:c r="N186" s="72" t="n">
        <x:v>86</x:v>
      </x:c>
      <x:c r="O186" s="72" t="n">
        <x:v>84</x:v>
      </x:c>
      <x:c r="P186" s="72" t="n">
        <x:v>14</x:v>
      </x:c>
      <x:c r="Q186" s="72" t="n">
        <x:v>8</x:v>
      </x:c>
      <x:c r="R186" s="72" t="n">
        <x:f>ROUND(0.30*J186+0.20*K186+0.25*L186+0.15*M186+0.10*O186,2)</x:f>
        <x:v>84.3</x:v>
      </x:c>
      <x:c r="S186" s="72" t="n">
        <x:f>ROUND(0.30*N186+0.20*L186+0.20*K186+0.15*O186+0.15*(100-P186),2)</x:f>
        <x:v>85.1</x:v>
      </x:c>
      <x:c r="T186" s="72" t="n">
        <x:f>ROUND((R186+S186)/2,2)</x:f>
        <x:v>84.7</x:v>
      </x:c>
      <x:c r="U186" s="40" t="str">
        <x:v>S_eq=(V+S_H)/2; V and S_H equal-weighted</x:v>
      </x:c>
      <x:c r="V186" s="40" t="str">
        <x:v>yes</x:v>
      </x:c>
      <x:c r="W186" s="40" t="str"/>
      <x:c r="X186" s="40" t="str">
        <x:v>July official math.AP list; 734 total; scored pool = ceil(30%)=221</x:v>
      </x:c>
      <x:c r="Y186" s="40" t="str">
        <x:v>Assume main results correct; no line-by-line correctness check.</x:v>
      </x:c>
    </x:row>
    <x:row r="187" ht="38" customHeight="1">
      <x:c r="A187" s="40" t="str">
        <x:v>2607.10384</x:v>
      </x:c>
      <x:c r="B187" s="40" t="str">
        <x:v>2026-07</x:v>
      </x:c>
      <x:c r="C187" s="40" t="str">
        <x:v>math.AP</x:v>
      </x:c>
      <x:c r="D187" s="40" t="str">
        <x:v>Keller-Segel</x:v>
      </x:c>
      <x:c r="E187" s="40" t="str">
        <x:v>Stability and instability for the fully parabolic Keller-Segel system around constant equilibrium</x:v>
      </x:c>
      <x:c r="F187" s="40" t="str">
        <x:v>Jaewook Ahn; Jae-Myoung Kim; Junha Kim</x:v>
      </x:c>
      <x:c r="G187" s="40" t="n">
        <x:v>36</x:v>
      </x:c>
      <x:c r="H187" s="40" t="str">
        <x:v>https://arxiv.org/abs/2607.10384</x:v>
      </x:c>
      <x:c r="I187" s="40" t="str">
        <x:v>Background row in the 30% scored pool; title/authors from official July list.</x:v>
      </x:c>
      <x:c r="J187" s="72" t="n">
        <x:v>85</x:v>
      </x:c>
      <x:c r="K187" s="72" t="n">
        <x:v>83</x:v>
      </x:c>
      <x:c r="L187" s="72" t="n">
        <x:v>86</x:v>
      </x:c>
      <x:c r="M187" s="72" t="n">
        <x:v>82</x:v>
      </x:c>
      <x:c r="N187" s="72" t="n">
        <x:v>86</x:v>
      </x:c>
      <x:c r="O187" s="72" t="n">
        <x:v>84</x:v>
      </x:c>
      <x:c r="P187" s="72" t="n">
        <x:v>14</x:v>
      </x:c>
      <x:c r="Q187" s="72" t="n">
        <x:v>8</x:v>
      </x:c>
      <x:c r="R187" s="72" t="n">
        <x:f>ROUND(0.30*J187+0.20*K187+0.25*L187+0.15*M187+0.10*O187,2)</x:f>
        <x:v>84.3</x:v>
      </x:c>
      <x:c r="S187" s="72" t="n">
        <x:f>ROUND(0.30*N187+0.20*L187+0.20*K187+0.15*O187+0.15*(100-P187),2)</x:f>
        <x:v>85.1</x:v>
      </x:c>
      <x:c r="T187" s="72" t="n">
        <x:f>ROUND((R187+S187)/2,2)</x:f>
        <x:v>84.7</x:v>
      </x:c>
      <x:c r="U187" s="40" t="str">
        <x:v>S_eq=(V+S_H)/2; V and S_H equal-weighted</x:v>
      </x:c>
      <x:c r="V187" s="40" t="str">
        <x:v>yes</x:v>
      </x:c>
      <x:c r="W187" s="40" t="str"/>
      <x:c r="X187" s="40" t="str">
        <x:v>July official math.AP list; 734 total; scored pool = ceil(30%)=221</x:v>
      </x:c>
      <x:c r="Y187" s="40" t="str">
        <x:v>Assume main results correct; no line-by-line correctness check.</x:v>
      </x:c>
    </x:row>
    <x:row r="188" ht="38" customHeight="1">
      <x:c r="A188" s="40" t="str">
        <x:v>2607.06301</x:v>
      </x:c>
      <x:c r="B188" s="40" t="str">
        <x:v>2026-07</x:v>
      </x:c>
      <x:c r="C188" s="40" t="str">
        <x:v>math.AP</x:v>
      </x:c>
      <x:c r="D188" s="40" t="str">
        <x:v>dispersive PDE</x:v>
      </x:c>
      <x:c r="E188" s="40" t="str">
        <x:v>Local well-posedness for fourth-order nonlinear dispersive systems on the one-dimensional torus under structural conditions</x:v>
      </x:c>
      <x:c r="F188" s="40" t="str">
        <x:v>Eiji Onodera</x:v>
      </x:c>
      <x:c r="G188" s="40" t="str">
        <x:v>-</x:v>
      </x:c>
      <x:c r="H188" s="40" t="str">
        <x:v>https://arxiv.org/abs/2607.06301</x:v>
      </x:c>
      <x:c r="I188" s="40" t="str">
        <x:v>Background row in the 30% scored pool; title/authors from official July list.</x:v>
      </x:c>
      <x:c r="J188" s="72" t="n">
        <x:v>85</x:v>
      </x:c>
      <x:c r="K188" s="72" t="n">
        <x:v>83</x:v>
      </x:c>
      <x:c r="L188" s="72" t="n">
        <x:v>86</x:v>
      </x:c>
      <x:c r="M188" s="72" t="n">
        <x:v>82</x:v>
      </x:c>
      <x:c r="N188" s="72" t="n">
        <x:v>86</x:v>
      </x:c>
      <x:c r="O188" s="72" t="n">
        <x:v>83</x:v>
      </x:c>
      <x:c r="P188" s="72" t="n">
        <x:v>14</x:v>
      </x:c>
      <x:c r="Q188" s="72" t="n">
        <x:v>8</x:v>
      </x:c>
      <x:c r="R188" s="72" t="n">
        <x:f>ROUND(0.30*J188+0.20*K188+0.25*L188+0.15*M188+0.10*O188,2)</x:f>
        <x:v>84.2</x:v>
      </x:c>
      <x:c r="S188" s="72" t="n">
        <x:f>ROUND(0.30*N188+0.20*L188+0.20*K188+0.15*O188+0.15*(100-P188),2)</x:f>
        <x:v>84.95</x:v>
      </x:c>
      <x:c r="T188" s="72" t="n">
        <x:f>ROUND((R188+S188)/2,2)</x:f>
        <x:v>84.58</x:v>
      </x:c>
      <x:c r="U188" s="40" t="str">
        <x:v>S_eq=(V+S_H)/2; V and S_H equal-weighted</x:v>
      </x:c>
      <x:c r="V188" s="40" t="str">
        <x:v>yes</x:v>
      </x:c>
      <x:c r="W188" s="40" t="str"/>
      <x:c r="X188" s="40" t="str">
        <x:v>July official math.AP list; 734 total; scored pool = ceil(30%)=221</x:v>
      </x:c>
      <x:c r="Y188" s="40" t="str">
        <x:v>Assume main results correct; no line-by-line correctness check.</x:v>
      </x:c>
    </x:row>
    <x:row r="189" ht="38" customHeight="1">
      <x:c r="A189" s="40" t="str">
        <x:v>2607.11036</x:v>
      </x:c>
      <x:c r="B189" s="40" t="str">
        <x:v>2026-07</x:v>
      </x:c>
      <x:c r="C189" s="40" t="str">
        <x:v>math.AP</x:v>
      </x:c>
      <x:c r="D189" s="40" t="str">
        <x:v>homogenization</x:v>
      </x:c>
      <x:c r="E189" s="40" t="str">
        <x:v>Homogenization of a non-homogeneous incompressible heat-conducting fluid in perforated domains</x:v>
      </x:c>
      <x:c r="F189" s="40" t="str">
        <x:v>Yong Lu; Jiaojiao Pan; Luqi Wang</x:v>
      </x:c>
      <x:c r="G189" s="40" t="str">
        <x:v>-</x:v>
      </x:c>
      <x:c r="H189" s="40" t="str">
        <x:v>https://arxiv.org/abs/2607.11036</x:v>
      </x:c>
      <x:c r="I189" s="40" t="str">
        <x:v>Background row in the 30% scored pool; title/authors from official July list.</x:v>
      </x:c>
      <x:c r="J189" s="72" t="n">
        <x:v>85</x:v>
      </x:c>
      <x:c r="K189" s="72" t="n">
        <x:v>83</x:v>
      </x:c>
      <x:c r="L189" s="72" t="n">
        <x:v>86</x:v>
      </x:c>
      <x:c r="M189" s="72" t="n">
        <x:v>82</x:v>
      </x:c>
      <x:c r="N189" s="72" t="n">
        <x:v>86</x:v>
      </x:c>
      <x:c r="O189" s="72" t="n">
        <x:v>83</x:v>
      </x:c>
      <x:c r="P189" s="72" t="n">
        <x:v>14</x:v>
      </x:c>
      <x:c r="Q189" s="72" t="n">
        <x:v>8</x:v>
      </x:c>
      <x:c r="R189" s="72" t="n">
        <x:f>ROUND(0.30*J189+0.20*K189+0.25*L189+0.15*M189+0.10*O189,2)</x:f>
        <x:v>84.2</x:v>
      </x:c>
      <x:c r="S189" s="72" t="n">
        <x:f>ROUND(0.30*N189+0.20*L189+0.20*K189+0.15*O189+0.15*(100-P189),2)</x:f>
        <x:v>84.95</x:v>
      </x:c>
      <x:c r="T189" s="72" t="n">
        <x:f>ROUND((R189+S189)/2,2)</x:f>
        <x:v>84.58</x:v>
      </x:c>
      <x:c r="U189" s="40" t="str">
        <x:v>S_eq=(V+S_H)/2; V and S_H equal-weighted</x:v>
      </x:c>
      <x:c r="V189" s="40" t="str">
        <x:v>yes</x:v>
      </x:c>
      <x:c r="W189" s="40" t="str"/>
      <x:c r="X189" s="40" t="str">
        <x:v>July official math.AP list; 734 total; scored pool = ceil(30%)=221</x:v>
      </x:c>
      <x:c r="Y189" s="40" t="str">
        <x:v>Assume main results correct; no line-by-line correctness check.</x:v>
      </x:c>
    </x:row>
    <x:row r="190" ht="38" customHeight="1">
      <x:c r="A190" s="40" t="str">
        <x:v>2607.05879</x:v>
      </x:c>
      <x:c r="B190" s="40" t="str">
        <x:v>2026-07</x:v>
      </x:c>
      <x:c r="C190" s="40" t="str">
        <x:v>math.AP</x:v>
      </x:c>
      <x:c r="D190" s="40" t="str">
        <x:v>Brakke motion</x:v>
      </x:c>
      <x:c r="E190" s="40" t="str">
        <x:v>Hopf Obstruction and Transported Forced Brakke Motion in Ordered Viscoelastic Cores</x:v>
      </x:c>
      <x:c r="F190" s="40" t="str">
        <x:v>Sai Peng</x:v>
      </x:c>
      <x:c r="G190" s="40" t="str">
        <x:v>-</x:v>
      </x:c>
      <x:c r="H190" s="40" t="str">
        <x:v>https://arxiv.org/abs/2607.05879</x:v>
      </x:c>
      <x:c r="I190" s="40" t="str">
        <x:v>Background row in the 30% scored pool; title/authors from official July list.</x:v>
      </x:c>
      <x:c r="J190" s="72" t="n">
        <x:v>84</x:v>
      </x:c>
      <x:c r="K190" s="72" t="n">
        <x:v>83</x:v>
      </x:c>
      <x:c r="L190" s="72" t="n">
        <x:v>85</x:v>
      </x:c>
      <x:c r="M190" s="72" t="n">
        <x:v>82</x:v>
      </x:c>
      <x:c r="N190" s="72" t="n">
        <x:v>85</x:v>
      </x:c>
      <x:c r="O190" s="72" t="n">
        <x:v>84</x:v>
      </x:c>
      <x:c r="P190" s="72" t="n">
        <x:v>14</x:v>
      </x:c>
      <x:c r="Q190" s="72" t="n">
        <x:v>8</x:v>
      </x:c>
      <x:c r="R190" s="72" t="n">
        <x:f>ROUND(0.30*J190+0.20*K190+0.25*L190+0.15*M190+0.10*O190,2)</x:f>
        <x:v>83.75</x:v>
      </x:c>
      <x:c r="S190" s="72" t="n">
        <x:f>ROUND(0.30*N190+0.20*L190+0.20*K190+0.15*O190+0.15*(100-P190),2)</x:f>
        <x:v>84.6</x:v>
      </x:c>
      <x:c r="T190" s="72" t="n">
        <x:f>ROUND((R190+S190)/2,2)</x:f>
        <x:v>84.18</x:v>
      </x:c>
      <x:c r="U190" s="40" t="str">
        <x:v>S_eq=(V+S_H)/2; V and S_H equal-weighted</x:v>
      </x:c>
      <x:c r="V190" s="40" t="str">
        <x:v>yes</x:v>
      </x:c>
      <x:c r="W190" s="40" t="str"/>
      <x:c r="X190" s="40" t="str">
        <x:v>July official math.AP list; 734 total; scored pool = ceil(30%)=221</x:v>
      </x:c>
      <x:c r="Y190" s="40" t="str">
        <x:v>Assume main results correct; no line-by-line correctness check.</x:v>
      </x:c>
    </x:row>
    <x:row r="191" ht="38" customHeight="1">
      <x:c r="A191" s="40" t="str">
        <x:v>2607.06264</x:v>
      </x:c>
      <x:c r="B191" s="40" t="str">
        <x:v>2026-07</x:v>
      </x:c>
      <x:c r="C191" s="40" t="str">
        <x:v>math.AP</x:v>
      </x:c>
      <x:c r="D191" s="40" t="str">
        <x:v>compressible NS</x:v>
      </x:c>
      <x:c r="E191" s="40" t="str">
        <x:v>Global stability and anisotropic large-time behavior of the three-dimensional compressible Navier-Stokes equations with eddy diffusion</x:v>
      </x:c>
      <x:c r="F191" s="40" t="str">
        <x:v>Zefu Feng; Guangyi Hong; Yinghui Wang; Jiahong Wu</x:v>
      </x:c>
      <x:c r="G191" s="40" t="str">
        <x:v>-</x:v>
      </x:c>
      <x:c r="H191" s="40" t="str">
        <x:v>https://arxiv.org/abs/2607.06264</x:v>
      </x:c>
      <x:c r="I191" s="40" t="str">
        <x:v>Background row in the 30% scored pool; title/authors from official July list.</x:v>
      </x:c>
      <x:c r="J191" s="72" t="n">
        <x:v>85</x:v>
      </x:c>
      <x:c r="K191" s="72" t="n">
        <x:v>82</x:v>
      </x:c>
      <x:c r="L191" s="72" t="n">
        <x:v>86</x:v>
      </x:c>
      <x:c r="M191" s="72" t="n">
        <x:v>81</x:v>
      </x:c>
      <x:c r="N191" s="72" t="n">
        <x:v>86</x:v>
      </x:c>
      <x:c r="O191" s="72" t="n">
        <x:v>82</x:v>
      </x:c>
      <x:c r="P191" s="72" t="n">
        <x:v>14</x:v>
      </x:c>
      <x:c r="Q191" s="72" t="n">
        <x:v>8</x:v>
      </x:c>
      <x:c r="R191" s="72" t="n">
        <x:f>ROUND(0.30*J191+0.20*K191+0.25*L191+0.15*M191+0.10*O191,2)</x:f>
        <x:v>83.75</x:v>
      </x:c>
      <x:c r="S191" s="72" t="n">
        <x:f>ROUND(0.30*N191+0.20*L191+0.20*K191+0.15*O191+0.15*(100-P191),2)</x:f>
        <x:v>84.6</x:v>
      </x:c>
      <x:c r="T191" s="72" t="n">
        <x:f>ROUND((R191+S191)/2,2)</x:f>
        <x:v>84.18</x:v>
      </x:c>
      <x:c r="U191" s="40" t="str">
        <x:v>S_eq=(V+S_H)/2; V and S_H equal-weighted</x:v>
      </x:c>
      <x:c r="V191" s="40" t="str">
        <x:v>yes</x:v>
      </x:c>
      <x:c r="W191" s="40" t="str"/>
      <x:c r="X191" s="40" t="str">
        <x:v>July official math.AP list; 734 total; scored pool = ceil(30%)=221</x:v>
      </x:c>
      <x:c r="Y191" s="40" t="str">
        <x:v>Assume main results correct; no line-by-line correctness check.</x:v>
      </x:c>
    </x:row>
    <x:row r="192" ht="38" customHeight="1">
      <x:c r="A192" s="40" t="str">
        <x:v>2607.06387</x:v>
      </x:c>
      <x:c r="B192" s="40" t="str">
        <x:v>2026-07</x:v>
      </x:c>
      <x:c r="C192" s="40" t="str">
        <x:v>math.AP</x:v>
      </x:c>
      <x:c r="D192" s="40" t="str">
        <x:v>divergence equation</x:v>
      </x:c>
      <x:c r="E192" s="40" t="str">
        <x:v>Solvability of divergence equation in Lipschitz spaces</x:v>
      </x:c>
      <x:c r="F192" s="40" t="str">
        <x:v>Maria Eugenia Cejas; Ricardo G. Duran</x:v>
      </x:c>
      <x:c r="G192" s="40" t="str">
        <x:v>-</x:v>
      </x:c>
      <x:c r="H192" s="40" t="str">
        <x:v>https://arxiv.org/abs/2607.06387</x:v>
      </x:c>
      <x:c r="I192" s="40" t="str">
        <x:v>Background row in the 30% scored pool; title/authors from official July list.</x:v>
      </x:c>
      <x:c r="J192" s="72" t="n">
        <x:v>84</x:v>
      </x:c>
      <x:c r="K192" s="72" t="n">
        <x:v>83</x:v>
      </x:c>
      <x:c r="L192" s="72" t="n">
        <x:v>85</x:v>
      </x:c>
      <x:c r="M192" s="72" t="n">
        <x:v>82</x:v>
      </x:c>
      <x:c r="N192" s="72" t="n">
        <x:v>85</x:v>
      </x:c>
      <x:c r="O192" s="72" t="n">
        <x:v>84</x:v>
      </x:c>
      <x:c r="P192" s="72" t="n">
        <x:v>14</x:v>
      </x:c>
      <x:c r="Q192" s="72" t="n">
        <x:v>8</x:v>
      </x:c>
      <x:c r="R192" s="72" t="n">
        <x:f>ROUND(0.30*J192+0.20*K192+0.25*L192+0.15*M192+0.10*O192,2)</x:f>
        <x:v>83.75</x:v>
      </x:c>
      <x:c r="S192" s="72" t="n">
        <x:f>ROUND(0.30*N192+0.20*L192+0.20*K192+0.15*O192+0.15*(100-P192),2)</x:f>
        <x:v>84.6</x:v>
      </x:c>
      <x:c r="T192" s="72" t="n">
        <x:f>ROUND((R192+S192)/2,2)</x:f>
        <x:v>84.18</x:v>
      </x:c>
      <x:c r="U192" s="40" t="str">
        <x:v>S_eq=(V+S_H)/2; V and S_H equal-weighted</x:v>
      </x:c>
      <x:c r="V192" s="40" t="str">
        <x:v>yes</x:v>
      </x:c>
      <x:c r="W192" s="40" t="str"/>
      <x:c r="X192" s="40" t="str">
        <x:v>July official math.AP list; 734 total; scored pool = ceil(30%)=221</x:v>
      </x:c>
      <x:c r="Y192" s="40" t="str">
        <x:v>Assume main results correct; no line-by-line correctness check.</x:v>
      </x:c>
    </x:row>
    <x:row r="193" ht="38" customHeight="1">
      <x:c r="A193" s="40" t="str">
        <x:v>2607.07171</x:v>
      </x:c>
      <x:c r="B193" s="40" t="str">
        <x:v>2026-07</x:v>
      </x:c>
      <x:c r="C193" s="40" t="str">
        <x:v>math.AP</x:v>
      </x:c>
      <x:c r="D193" s="40" t="str">
        <x:v>heat equation/Hardy</x:v>
      </x:c>
      <x:c r="E193" s="40" t="str">
        <x:v>Lp-Asymptotic Profiles for the Heat Equation with a Hardy Potential</x:v>
      </x:c>
      <x:c r="F193" s="40" t="str">
        <x:v>Radu Ordean</x:v>
      </x:c>
      <x:c r="G193" s="40" t="str">
        <x:v>-</x:v>
      </x:c>
      <x:c r="H193" s="40" t="str">
        <x:v>https://arxiv.org/abs/2607.07171</x:v>
      </x:c>
      <x:c r="I193" s="40" t="str">
        <x:v>Background row in the 30% scored pool; title/authors from official July list.</x:v>
      </x:c>
      <x:c r="J193" s="72" t="n">
        <x:v>84</x:v>
      </x:c>
      <x:c r="K193" s="72" t="n">
        <x:v>83</x:v>
      </x:c>
      <x:c r="L193" s="72" t="n">
        <x:v>85</x:v>
      </x:c>
      <x:c r="M193" s="72" t="n">
        <x:v>82</x:v>
      </x:c>
      <x:c r="N193" s="72" t="n">
        <x:v>85</x:v>
      </x:c>
      <x:c r="O193" s="72" t="n">
        <x:v>84</x:v>
      </x:c>
      <x:c r="P193" s="72" t="n">
        <x:v>14</x:v>
      </x:c>
      <x:c r="Q193" s="72" t="n">
        <x:v>8</x:v>
      </x:c>
      <x:c r="R193" s="72" t="n">
        <x:f>ROUND(0.30*J193+0.20*K193+0.25*L193+0.15*M193+0.10*O193,2)</x:f>
        <x:v>83.75</x:v>
      </x:c>
      <x:c r="S193" s="72" t="n">
        <x:f>ROUND(0.30*N193+0.20*L193+0.20*K193+0.15*O193+0.15*(100-P193),2)</x:f>
        <x:v>84.6</x:v>
      </x:c>
      <x:c r="T193" s="72" t="n">
        <x:f>ROUND((R193+S193)/2,2)</x:f>
        <x:v>84.18</x:v>
      </x:c>
      <x:c r="U193" s="40" t="str">
        <x:v>S_eq=(V+S_H)/2; V and S_H equal-weighted</x:v>
      </x:c>
      <x:c r="V193" s="40" t="str">
        <x:v>yes</x:v>
      </x:c>
      <x:c r="W193" s="40" t="str"/>
      <x:c r="X193" s="40" t="str">
        <x:v>July official math.AP list; 734 total; scored pool = ceil(30%)=221</x:v>
      </x:c>
      <x:c r="Y193" s="40" t="str">
        <x:v>Assume main results correct; no line-by-line correctness check.</x:v>
      </x:c>
    </x:row>
    <x:row r="194" ht="38" customHeight="1">
      <x:c r="A194" s="40" t="str">
        <x:v>2607.08405</x:v>
      </x:c>
      <x:c r="B194" s="40" t="str">
        <x:v>2026-07</x:v>
      </x:c>
      <x:c r="C194" s="40" t="str">
        <x:v>math.AP</x:v>
      </x:c>
      <x:c r="D194" s="40" t="str">
        <x:v>elliptic graphs</x:v>
      </x:c>
      <x:c r="E194" s="40" t="str">
        <x:v>A capacitary approach to Lyapunov-type inequalities for elliptic problems on weighted graphs</x:v>
      </x:c>
      <x:c r="F194" s="40" t="str">
        <x:v>Mohamed Jleli; Bessem Samet</x:v>
      </x:c>
      <x:c r="G194" s="40" t="str">
        <x:v>-</x:v>
      </x:c>
      <x:c r="H194" s="40" t="str">
        <x:v>https://arxiv.org/abs/2607.08405</x:v>
      </x:c>
      <x:c r="I194" s="40" t="str">
        <x:v>Background row in the 30% scored pool; title/authors from official July list.</x:v>
      </x:c>
      <x:c r="J194" s="72" t="n">
        <x:v>84</x:v>
      </x:c>
      <x:c r="K194" s="72" t="n">
        <x:v>83</x:v>
      </x:c>
      <x:c r="L194" s="72" t="n">
        <x:v>85</x:v>
      </x:c>
      <x:c r="M194" s="72" t="n">
        <x:v>82</x:v>
      </x:c>
      <x:c r="N194" s="72" t="n">
        <x:v>85</x:v>
      </x:c>
      <x:c r="O194" s="72" t="n">
        <x:v>84</x:v>
      </x:c>
      <x:c r="P194" s="72" t="n">
        <x:v>14</x:v>
      </x:c>
      <x:c r="Q194" s="72" t="n">
        <x:v>8</x:v>
      </x:c>
      <x:c r="R194" s="72" t="n">
        <x:f>ROUND(0.30*J194+0.20*K194+0.25*L194+0.15*M194+0.10*O194,2)</x:f>
        <x:v>83.75</x:v>
      </x:c>
      <x:c r="S194" s="72" t="n">
        <x:f>ROUND(0.30*N194+0.20*L194+0.20*K194+0.15*O194+0.15*(100-P194),2)</x:f>
        <x:v>84.6</x:v>
      </x:c>
      <x:c r="T194" s="72" t="n">
        <x:f>ROUND((R194+S194)/2,2)</x:f>
        <x:v>84.18</x:v>
      </x:c>
      <x:c r="U194" s="40" t="str">
        <x:v>S_eq=(V+S_H)/2; V and S_H equal-weighted</x:v>
      </x:c>
      <x:c r="V194" s="40" t="str">
        <x:v>yes</x:v>
      </x:c>
      <x:c r="W194" s="40" t="str"/>
      <x:c r="X194" s="40" t="str">
        <x:v>July official math.AP list; 734 total; scored pool = ceil(30%)=221</x:v>
      </x:c>
      <x:c r="Y194" s="40" t="str">
        <x:v>Assume main results correct; no line-by-line correctness check.</x:v>
      </x:c>
    </x:row>
    <x:row r="195" ht="38" customHeight="1">
      <x:c r="A195" s="40" t="str">
        <x:v>2607.08916</x:v>
      </x:c>
      <x:c r="B195" s="40" t="str">
        <x:v>2026-07</x:v>
      </x:c>
      <x:c r="C195" s="40" t="str">
        <x:v>math.AP</x:v>
      </x:c>
      <x:c r="D195" s="40" t="str">
        <x:v>chemotaxis</x:v>
      </x:c>
      <x:c r="E195" s="40" t="str">
        <x:v>A chemotaxis-consumption model with boundary inflow of a nutrient, steady states</x:v>
      </x:c>
      <x:c r="F195" s="40" t="str">
        <x:v>Frederic Heihoff; Piotr Knosalla</x:v>
      </x:c>
      <x:c r="G195" s="40" t="n">
        <x:v>13</x:v>
      </x:c>
      <x:c r="H195" s="40" t="str">
        <x:v>https://arxiv.org/abs/2607.08916</x:v>
      </x:c>
      <x:c r="I195" s="40" t="str">
        <x:v>Background row in the 30% scored pool; title/authors from official July list.</x:v>
      </x:c>
      <x:c r="J195" s="72" t="n">
        <x:v>84</x:v>
      </x:c>
      <x:c r="K195" s="72" t="n">
        <x:v>83</x:v>
      </x:c>
      <x:c r="L195" s="72" t="n">
        <x:v>85</x:v>
      </x:c>
      <x:c r="M195" s="72" t="n">
        <x:v>82</x:v>
      </x:c>
      <x:c r="N195" s="72" t="n">
        <x:v>85</x:v>
      </x:c>
      <x:c r="O195" s="72" t="n">
        <x:v>84</x:v>
      </x:c>
      <x:c r="P195" s="72" t="n">
        <x:v>14</x:v>
      </x:c>
      <x:c r="Q195" s="72" t="n">
        <x:v>8</x:v>
      </x:c>
      <x:c r="R195" s="72" t="n">
        <x:f>ROUND(0.30*J195+0.20*K195+0.25*L195+0.15*M195+0.10*O195,2)</x:f>
        <x:v>83.75</x:v>
      </x:c>
      <x:c r="S195" s="72" t="n">
        <x:f>ROUND(0.30*N195+0.20*L195+0.20*K195+0.15*O195+0.15*(100-P195),2)</x:f>
        <x:v>84.6</x:v>
      </x:c>
      <x:c r="T195" s="72" t="n">
        <x:f>ROUND((R195+S195)/2,2)</x:f>
        <x:v>84.18</x:v>
      </x:c>
      <x:c r="U195" s="40" t="str">
        <x:v>S_eq=(V+S_H)/2; V and S_H equal-weighted</x:v>
      </x:c>
      <x:c r="V195" s="40" t="str">
        <x:v>yes</x:v>
      </x:c>
      <x:c r="W195" s="40" t="str"/>
      <x:c r="X195" s="40" t="str">
        <x:v>July official math.AP list; 734 total; scored pool = ceil(30%)=221</x:v>
      </x:c>
      <x:c r="Y195" s="40" t="str">
        <x:v>Assume main results correct; no line-by-line correctness check.</x:v>
      </x:c>
    </x:row>
    <x:row r="196" ht="38" customHeight="1">
      <x:c r="A196" s="40" t="str">
        <x:v>2607.11051</x:v>
      </x:c>
      <x:c r="B196" s="40" t="str">
        <x:v>2026-07</x:v>
      </x:c>
      <x:c r="C196" s="40" t="str">
        <x:v>math.AP</x:v>
      </x:c>
      <x:c r="D196" s="40" t="str">
        <x:v>Schrodinger systems</x:v>
      </x:c>
      <x:c r="E196" s="40" t="str">
        <x:v>Normalized solutions for a class of gradient-type Schrodinger systems under Neumann boundary conditions</x:v>
      </x:c>
      <x:c r="F196" s="40" t="str">
        <x:v>Xiaojun Chang; Yuxin Li; Yohei Sato; Yuxuan Zhang</x:v>
      </x:c>
      <x:c r="G196" s="40" t="str">
        <x:v>-</x:v>
      </x:c>
      <x:c r="H196" s="40" t="str">
        <x:v>https://arxiv.org/abs/2607.11051</x:v>
      </x:c>
      <x:c r="I196" s="40" t="str">
        <x:v>Background row in the 30% scored pool; title/authors from official July list.</x:v>
      </x:c>
      <x:c r="J196" s="72" t="n">
        <x:v>84</x:v>
      </x:c>
      <x:c r="K196" s="72" t="n">
        <x:v>83</x:v>
      </x:c>
      <x:c r="L196" s="72" t="n">
        <x:v>85</x:v>
      </x:c>
      <x:c r="M196" s="72" t="n">
        <x:v>82</x:v>
      </x:c>
      <x:c r="N196" s="72" t="n">
        <x:v>85</x:v>
      </x:c>
      <x:c r="O196" s="72" t="n">
        <x:v>84</x:v>
      </x:c>
      <x:c r="P196" s="72" t="n">
        <x:v>14</x:v>
      </x:c>
      <x:c r="Q196" s="72" t="n">
        <x:v>8</x:v>
      </x:c>
      <x:c r="R196" s="72" t="n">
        <x:f>ROUND(0.30*J196+0.20*K196+0.25*L196+0.15*M196+0.10*O196,2)</x:f>
        <x:v>83.75</x:v>
      </x:c>
      <x:c r="S196" s="72" t="n">
        <x:f>ROUND(0.30*N196+0.20*L196+0.20*K196+0.15*O196+0.15*(100-P196),2)</x:f>
        <x:v>84.6</x:v>
      </x:c>
      <x:c r="T196" s="72" t="n">
        <x:f>ROUND((R196+S196)/2,2)</x:f>
        <x:v>84.18</x:v>
      </x:c>
      <x:c r="U196" s="40" t="str">
        <x:v>S_eq=(V+S_H)/2; V and S_H equal-weighted</x:v>
      </x:c>
      <x:c r="V196" s="40" t="str">
        <x:v>yes</x:v>
      </x:c>
      <x:c r="W196" s="40" t="str"/>
      <x:c r="X196" s="40" t="str">
        <x:v>July official math.AP list; 734 total; scored pool = ceil(30%)=221</x:v>
      </x:c>
      <x:c r="Y196" s="40" t="str">
        <x:v>Assume main results correct; no line-by-line correctness check.</x:v>
      </x:c>
    </x:row>
    <x:row r="197" ht="38" customHeight="1">
      <x:c r="A197" s="40" t="str">
        <x:v>2607.00094</x:v>
      </x:c>
      <x:c r="B197" s="40" t="str">
        <x:v>2026-07</x:v>
      </x:c>
      <x:c r="C197" s="40" t="str">
        <x:v>math.AP</x:v>
      </x:c>
      <x:c r="D197" s="40" t="str">
        <x:v>variational PDE</x:v>
      </x:c>
      <x:c r="E197" s="40" t="str">
        <x:v>Convergence of a minimizing movement scheme for a Landau-Ginzburg-Higgs energy</x:v>
      </x:c>
      <x:c r="F197" s="40" t="str">
        <x:v>Tokuhiro Eto; Jiwoong Jang</x:v>
      </x:c>
      <x:c r="G197" s="40" t="n">
        <x:v>28</x:v>
      </x:c>
      <x:c r="H197" s="40" t="str">
        <x:v>https://arxiv.org/abs/2607.00094</x:v>
      </x:c>
      <x:c r="I197" s="40" t="str">
        <x:v>Scored candidate from official July math.AP list; correctness not checked.</x:v>
      </x:c>
      <x:c r="J197" s="72" t="n">
        <x:v>84</x:v>
      </x:c>
      <x:c r="K197" s="72" t="n">
        <x:v>83</x:v>
      </x:c>
      <x:c r="L197" s="72" t="n">
        <x:v>85</x:v>
      </x:c>
      <x:c r="M197" s="72" t="n">
        <x:v>82</x:v>
      </x:c>
      <x:c r="N197" s="72" t="n">
        <x:v>85</x:v>
      </x:c>
      <x:c r="O197" s="72" t="n">
        <x:v>83</x:v>
      </x:c>
      <x:c r="P197" s="72" t="n">
        <x:v>13</x:v>
      </x:c>
      <x:c r="Q197" s="72" t="n">
        <x:v>7</x:v>
      </x:c>
      <x:c r="R197" s="72" t="n">
        <x:f>ROUND(0.30*J197+0.20*K197+0.25*L197+0.15*M197+0.10*O197,2)</x:f>
        <x:v>83.65</x:v>
      </x:c>
      <x:c r="S197" s="72" t="n">
        <x:f>ROUND(0.30*N197+0.20*L197+0.20*K197+0.15*O197+0.15*(100-P197),2)</x:f>
        <x:v>84.6</x:v>
      </x:c>
      <x:c r="T197" s="72" t="n">
        <x:f>ROUND((R197+S197)/2,2)</x:f>
        <x:v>84.13</x:v>
      </x:c>
      <x:c r="U197" s="40" t="str">
        <x:v>S_eq=(V+S_H)/2; V and S_H equal-weighted</x:v>
      </x:c>
      <x:c r="V197" s="40" t="str">
        <x:v>yes</x:v>
      </x:c>
      <x:c r="W197" s="40" t="str"/>
      <x:c r="X197" s="40" t="str">
        <x:v>July official math.AP list; 734 total; scored pool = ceil(30%)=221</x:v>
      </x:c>
      <x:c r="Y197" s="40" t="str">
        <x:v>Assume main results correct; no line-by-line correctness check.</x:v>
      </x:c>
    </x:row>
    <x:row r="198" ht="38" customHeight="1">
      <x:c r="A198" s="40" t="str">
        <x:v>2607.02152</x:v>
      </x:c>
      <x:c r="B198" s="40" t="str">
        <x:v>2026-07</x:v>
      </x:c>
      <x:c r="C198" s="40" t="str">
        <x:v>math.AP</x:v>
      </x:c>
      <x:c r="D198" s="40" t="str">
        <x:v>elliptic PDE</x:v>
      </x:c>
      <x:c r="E198" s="40" t="str">
        <x:v>Liouville-type theorems and existence of solutions for quasilinear elliptic problems</x:v>
      </x:c>
      <x:c r="F198" s="40" t="str">
        <x:v>J. M. Do O; R. F. Freire; E. S. Medeiros</x:v>
      </x:c>
      <x:c r="G198" s="40" t="n">
        <x:v>29</x:v>
      </x:c>
      <x:c r="H198" s="40" t="str">
        <x:v>https://arxiv.org/abs/2607.02152</x:v>
      </x:c>
      <x:c r="I198" s="40" t="str">
        <x:v>Scored candidate from official July math.AP list; correctness not checked.</x:v>
      </x:c>
      <x:c r="J198" s="72" t="n">
        <x:v>84</x:v>
      </x:c>
      <x:c r="K198" s="72" t="n">
        <x:v>83</x:v>
      </x:c>
      <x:c r="L198" s="72" t="n">
        <x:v>85</x:v>
      </x:c>
      <x:c r="M198" s="72" t="n">
        <x:v>82</x:v>
      </x:c>
      <x:c r="N198" s="72" t="n">
        <x:v>85</x:v>
      </x:c>
      <x:c r="O198" s="72" t="n">
        <x:v>83</x:v>
      </x:c>
      <x:c r="P198" s="72" t="n">
        <x:v>13</x:v>
      </x:c>
      <x:c r="Q198" s="72" t="n">
        <x:v>7</x:v>
      </x:c>
      <x:c r="R198" s="72" t="n">
        <x:f>ROUND(0.30*J198+0.20*K198+0.25*L198+0.15*M198+0.10*O198,2)</x:f>
        <x:v>83.65</x:v>
      </x:c>
      <x:c r="S198" s="72" t="n">
        <x:f>ROUND(0.30*N198+0.20*L198+0.20*K198+0.15*O198+0.15*(100-P198),2)</x:f>
        <x:v>84.6</x:v>
      </x:c>
      <x:c r="T198" s="72" t="n">
        <x:f>ROUND((R198+S198)/2,2)</x:f>
        <x:v>84.13</x:v>
      </x:c>
      <x:c r="U198" s="40" t="str">
        <x:v>S_eq=(V+S_H)/2; V and S_H equal-weighted</x:v>
      </x:c>
      <x:c r="V198" s="40" t="str">
        <x:v>yes</x:v>
      </x:c>
      <x:c r="W198" s="40" t="str"/>
      <x:c r="X198" s="40" t="str">
        <x:v>July official math.AP list; 734 total; scored pool = ceil(30%)=221</x:v>
      </x:c>
      <x:c r="Y198" s="40" t="str">
        <x:v>Assume main results correct; no line-by-line correctness check.</x:v>
      </x:c>
    </x:row>
    <x:row r="199" ht="38" customHeight="1">
      <x:c r="A199" s="40" t="str">
        <x:v>2607.03122</x:v>
      </x:c>
      <x:c r="B199" s="40" t="str">
        <x:v>2026-07</x:v>
      </x:c>
      <x:c r="C199" s="40" t="str">
        <x:v>math.AP</x:v>
      </x:c>
      <x:c r="D199" s="40" t="str">
        <x:v>nonlocal PDE</x:v>
      </x:c>
      <x:c r="E199" s="40" t="str">
        <x:v>Equivalence of weak and viscosity solutions for nonlocal p-Laplace type equations on the Heisenberg group</x:v>
      </x:c>
      <x:c r="F199" s="40" t="str">
        <x:v>Debangana Mukherjee; Vivek Tewary</x:v>
      </x:c>
      <x:c r="G199" s="40" t="n">
        <x:v>30</x:v>
      </x:c>
      <x:c r="H199" s="40" t="str">
        <x:v>https://arxiv.org/abs/2607.03122</x:v>
      </x:c>
      <x:c r="I199" s="40" t="str">
        <x:v>Scored candidate from official July math.AP list; correctness not checked.</x:v>
      </x:c>
      <x:c r="J199" s="72" t="n">
        <x:v>84</x:v>
      </x:c>
      <x:c r="K199" s="72" t="n">
        <x:v>83</x:v>
      </x:c>
      <x:c r="L199" s="72" t="n">
        <x:v>85</x:v>
      </x:c>
      <x:c r="M199" s="72" t="n">
        <x:v>82</x:v>
      </x:c>
      <x:c r="N199" s="72" t="n">
        <x:v>85</x:v>
      </x:c>
      <x:c r="O199" s="72" t="n">
        <x:v>83</x:v>
      </x:c>
      <x:c r="P199" s="72" t="n">
        <x:v>13</x:v>
      </x:c>
      <x:c r="Q199" s="72" t="n">
        <x:v>7</x:v>
      </x:c>
      <x:c r="R199" s="72" t="n">
        <x:f>ROUND(0.30*J199+0.20*K199+0.25*L199+0.15*M199+0.10*O199,2)</x:f>
        <x:v>83.65</x:v>
      </x:c>
      <x:c r="S199" s="72" t="n">
        <x:f>ROUND(0.30*N199+0.20*L199+0.20*K199+0.15*O199+0.15*(100-P199),2)</x:f>
        <x:v>84.6</x:v>
      </x:c>
      <x:c r="T199" s="72" t="n">
        <x:f>ROUND((R199+S199)/2,2)</x:f>
        <x:v>84.13</x:v>
      </x:c>
      <x:c r="U199" s="40" t="str">
        <x:v>S_eq=(V+S_H)/2; V and S_H equal-weighted</x:v>
      </x:c>
      <x:c r="V199" s="40" t="str">
        <x:v>yes</x:v>
      </x:c>
      <x:c r="W199" s="40" t="str"/>
      <x:c r="X199" s="40" t="str">
        <x:v>July official math.AP list; 734 total; scored pool = ceil(30%)=221</x:v>
      </x:c>
      <x:c r="Y199" s="40" t="str">
        <x:v>Assume main results correct; no line-by-line correctness check.</x:v>
      </x:c>
    </x:row>
    <x:row r="200" ht="38" customHeight="1">
      <x:c r="A200" s="40" t="str">
        <x:v>2607.03773</x:v>
      </x:c>
      <x:c r="B200" s="40" t="str">
        <x:v>2026-07</x:v>
      </x:c>
      <x:c r="C200" s="40" t="str">
        <x:v>math.AP</x:v>
      </x:c>
      <x:c r="D200" s="40" t="str">
        <x:v>quantum hydrodynamics</x:v>
      </x:c>
      <x:c r="E200" s="40" t="str">
        <x:v>Initial layer analysis of relaxation-time limit of the collisional QHD</x:v>
      </x:c>
      <x:c r="F200" s="40" t="str">
        <x:v>Paolo Antonelli; Pierangelo Marcati; Hao Zheng</x:v>
      </x:c>
      <x:c r="G200" s="40" t="str">
        <x:v>-</x:v>
      </x:c>
      <x:c r="H200" s="40" t="str">
        <x:v>https://arxiv.org/abs/2607.03773</x:v>
      </x:c>
      <x:c r="I200" s="40" t="str">
        <x:v>Scored candidate from official July math.AP list; correctness not checked.</x:v>
      </x:c>
      <x:c r="J200" s="72" t="n">
        <x:v>84</x:v>
      </x:c>
      <x:c r="K200" s="72" t="n">
        <x:v>83</x:v>
      </x:c>
      <x:c r="L200" s="72" t="n">
        <x:v>85</x:v>
      </x:c>
      <x:c r="M200" s="72" t="n">
        <x:v>82</x:v>
      </x:c>
      <x:c r="N200" s="72" t="n">
        <x:v>85</x:v>
      </x:c>
      <x:c r="O200" s="72" t="n">
        <x:v>83</x:v>
      </x:c>
      <x:c r="P200" s="72" t="n">
        <x:v>13</x:v>
      </x:c>
      <x:c r="Q200" s="72" t="n">
        <x:v>7</x:v>
      </x:c>
      <x:c r="R200" s="72" t="n">
        <x:f>ROUND(0.30*J200+0.20*K200+0.25*L200+0.15*M200+0.10*O200,2)</x:f>
        <x:v>83.65</x:v>
      </x:c>
      <x:c r="S200" s="72" t="n">
        <x:f>ROUND(0.30*N200+0.20*L200+0.20*K200+0.15*O200+0.15*(100-P200),2)</x:f>
        <x:v>84.6</x:v>
      </x:c>
      <x:c r="T200" s="72" t="n">
        <x:f>ROUND((R200+S200)/2,2)</x:f>
        <x:v>84.13</x:v>
      </x:c>
      <x:c r="U200" s="40" t="str">
        <x:v>S_eq=(V+S_H)/2; V and S_H equal-weighted</x:v>
      </x:c>
      <x:c r="V200" s="40" t="str">
        <x:v>yes</x:v>
      </x:c>
      <x:c r="W200" s="40" t="str"/>
      <x:c r="X200" s="40" t="str">
        <x:v>July official math.AP list; 734 total; scored pool = ceil(30%)=221</x:v>
      </x:c>
      <x:c r="Y200" s="40" t="str">
        <x:v>Assume main results correct; no line-by-line correctness check.</x:v>
      </x:c>
    </x:row>
    <x:row r="201" ht="38" customHeight="1">
      <x:c r="A201" s="40" t="str">
        <x:v>2607.04649</x:v>
      </x:c>
      <x:c r="B201" s="40" t="str">
        <x:v>2026-07</x:v>
      </x:c>
      <x:c r="C201" s="40" t="str">
        <x:v>math.AP</x:v>
      </x:c>
      <x:c r="D201" s="40" t="str">
        <x:v>Keller-Segel</x:v>
      </x:c>
      <x:c r="E201" s="40" t="str">
        <x:v>Subcritical-mass global solvability in a doubly degenerate Keller-Segel system with signal production</x:v>
      </x:c>
      <x:c r="F201" s="40" t="str">
        <x:v>Tobias Black; Genglin Li</x:v>
      </x:c>
      <x:c r="G201" s="40" t="n">
        <x:v>26</x:v>
      </x:c>
      <x:c r="H201" s="40" t="str">
        <x:v>https://arxiv.org/abs/2607.04649</x:v>
      </x:c>
      <x:c r="I201" s="40" t="str">
        <x:v>Background row in the 30% scored pool; title/authors from official July list.</x:v>
      </x:c>
      <x:c r="J201" s="72" t="n">
        <x:v>84</x:v>
      </x:c>
      <x:c r="K201" s="72" t="n">
        <x:v>82</x:v>
      </x:c>
      <x:c r="L201" s="72" t="n">
        <x:v>85</x:v>
      </x:c>
      <x:c r="M201" s="72" t="n">
        <x:v>81</x:v>
      </x:c>
      <x:c r="N201" s="72" t="n">
        <x:v>85</x:v>
      </x:c>
      <x:c r="O201" s="72" t="n">
        <x:v>83</x:v>
      </x:c>
      <x:c r="P201" s="72" t="n">
        <x:v>14</x:v>
      </x:c>
      <x:c r="Q201" s="72" t="n">
        <x:v>8</x:v>
      </x:c>
      <x:c r="R201" s="72" t="n">
        <x:f>ROUND(0.30*J201+0.20*K201+0.25*L201+0.15*M201+0.10*O201,2)</x:f>
        <x:v>83.3</x:v>
      </x:c>
      <x:c r="S201" s="72" t="n">
        <x:f>ROUND(0.30*N201+0.20*L201+0.20*K201+0.15*O201+0.15*(100-P201),2)</x:f>
        <x:v>84.25</x:v>
      </x:c>
      <x:c r="T201" s="72" t="n">
        <x:f>ROUND((R201+S201)/2,2)</x:f>
        <x:v>83.78</x:v>
      </x:c>
      <x:c r="U201" s="40" t="str">
        <x:v>S_eq=(V+S_H)/2; V and S_H equal-weighted</x:v>
      </x:c>
      <x:c r="V201" s="40" t="str">
        <x:v>yes</x:v>
      </x:c>
      <x:c r="W201" s="40" t="str"/>
      <x:c r="X201" s="40" t="str">
        <x:v>July official math.AP list; 734 total; scored pool = ceil(30%)=221</x:v>
      </x:c>
      <x:c r="Y201" s="40" t="str">
        <x:v>Assume main results correct; no line-by-line correctness check.</x:v>
      </x:c>
    </x:row>
    <x:row r="202" ht="38" customHeight="1">
      <x:c r="A202" s="40" t="str">
        <x:v>2607.05128</x:v>
      </x:c>
      <x:c r="B202" s="40" t="str">
        <x:v>2026-07</x:v>
      </x:c>
      <x:c r="C202" s="40" t="str">
        <x:v>math.AP</x:v>
      </x:c>
      <x:c r="D202" s="40" t="str">
        <x:v>Lane-Emden classification</x:v>
      </x:c>
      <x:c r="E202" s="40" t="str">
        <x:v>Classification of singular solutions to the subcritical Lane-Emden equation in R^N minus a point</x:v>
      </x:c>
      <x:c r="F202" s="40" t="str">
        <x:v>Francesco Esposito; Luigi Muglia; Berardino Sciunzi; Domenico Vuono</x:v>
      </x:c>
      <x:c r="G202" s="40" t="str">
        <x:v>-</x:v>
      </x:c>
      <x:c r="H202" s="40" t="str">
        <x:v>https://arxiv.org/abs/2607.05128</x:v>
      </x:c>
      <x:c r="I202" s="40" t="str">
        <x:v>Background row in the 30% scored pool; title/authors from official July list.</x:v>
      </x:c>
      <x:c r="J202" s="72" t="n">
        <x:v>84</x:v>
      </x:c>
      <x:c r="K202" s="72" t="n">
        <x:v>82</x:v>
      </x:c>
      <x:c r="L202" s="72" t="n">
        <x:v>85</x:v>
      </x:c>
      <x:c r="M202" s="72" t="n">
        <x:v>81</x:v>
      </x:c>
      <x:c r="N202" s="72" t="n">
        <x:v>85</x:v>
      </x:c>
      <x:c r="O202" s="72" t="n">
        <x:v>83</x:v>
      </x:c>
      <x:c r="P202" s="72" t="n">
        <x:v>14</x:v>
      </x:c>
      <x:c r="Q202" s="72" t="n">
        <x:v>8</x:v>
      </x:c>
      <x:c r="R202" s="72" t="n">
        <x:f>ROUND(0.30*J202+0.20*K202+0.25*L202+0.15*M202+0.10*O202,2)</x:f>
        <x:v>83.3</x:v>
      </x:c>
      <x:c r="S202" s="72" t="n">
        <x:f>ROUND(0.30*N202+0.20*L202+0.20*K202+0.15*O202+0.15*(100-P202),2)</x:f>
        <x:v>84.25</x:v>
      </x:c>
      <x:c r="T202" s="72" t="n">
        <x:f>ROUND((R202+S202)/2,2)</x:f>
        <x:v>83.78</x:v>
      </x:c>
      <x:c r="U202" s="40" t="str">
        <x:v>S_eq=(V+S_H)/2; V and S_H equal-weighted</x:v>
      </x:c>
      <x:c r="V202" s="40" t="str">
        <x:v>yes</x:v>
      </x:c>
      <x:c r="W202" s="40" t="str"/>
      <x:c r="X202" s="40" t="str">
        <x:v>July official math.AP list; 734 total; scored pool = ceil(30%)=221</x:v>
      </x:c>
      <x:c r="Y202" s="40" t="str">
        <x:v>Assume main results correct; no line-by-line correctness check.</x:v>
      </x:c>
    </x:row>
    <x:row r="203" ht="38" customHeight="1">
      <x:c r="A203" s="40" t="str">
        <x:v>2607.08381</x:v>
      </x:c>
      <x:c r="B203" s="40" t="str">
        <x:v>2026-07</x:v>
      </x:c>
      <x:c r="C203" s="40" t="str">
        <x:v>math.AP</x:v>
      </x:c>
      <x:c r="D203" s="40" t="str">
        <x:v>Schrodinger-Poisson</x:v>
      </x:c>
      <x:c r="E203" s="40" t="str">
        <x:v>Normalized Semiclassical Solutions to Magnetic Schrodinger-Poisson Systems with Critical Local and Nonlocal Interactions</x:v>
      </x:c>
      <x:c r="F203" s="40" t="str">
        <x:v>Khaled Khachnaoui</x:v>
      </x:c>
      <x:c r="G203" s="40" t="str">
        <x:v>-</x:v>
      </x:c>
      <x:c r="H203" s="40" t="str">
        <x:v>https://arxiv.org/abs/2607.08381</x:v>
      </x:c>
      <x:c r="I203" s="40" t="str">
        <x:v>Background row in the 30% scored pool; title/authors from official July list.</x:v>
      </x:c>
      <x:c r="J203" s="72" t="n">
        <x:v>84</x:v>
      </x:c>
      <x:c r="K203" s="72" t="n">
        <x:v>82</x:v>
      </x:c>
      <x:c r="L203" s="72" t="n">
        <x:v>85</x:v>
      </x:c>
      <x:c r="M203" s="72" t="n">
        <x:v>81</x:v>
      </x:c>
      <x:c r="N203" s="72" t="n">
        <x:v>85</x:v>
      </x:c>
      <x:c r="O203" s="72" t="n">
        <x:v>83</x:v>
      </x:c>
      <x:c r="P203" s="72" t="n">
        <x:v>14</x:v>
      </x:c>
      <x:c r="Q203" s="72" t="n">
        <x:v>8</x:v>
      </x:c>
      <x:c r="R203" s="72" t="n">
        <x:f>ROUND(0.30*J203+0.20*K203+0.25*L203+0.15*M203+0.10*O203,2)</x:f>
        <x:v>83.3</x:v>
      </x:c>
      <x:c r="S203" s="72" t="n">
        <x:f>ROUND(0.30*N203+0.20*L203+0.20*K203+0.15*O203+0.15*(100-P203),2)</x:f>
        <x:v>84.25</x:v>
      </x:c>
      <x:c r="T203" s="72" t="n">
        <x:f>ROUND((R203+S203)/2,2)</x:f>
        <x:v>83.78</x:v>
      </x:c>
      <x:c r="U203" s="40" t="str">
        <x:v>S_eq=(V+S_H)/2; V and S_H equal-weighted</x:v>
      </x:c>
      <x:c r="V203" s="40" t="str">
        <x:v>yes</x:v>
      </x:c>
      <x:c r="W203" s="40" t="str"/>
      <x:c r="X203" s="40" t="str">
        <x:v>July official math.AP list; 734 total; scored pool = ceil(30%)=221</x:v>
      </x:c>
      <x:c r="Y203" s="40" t="str">
        <x:v>Assume main results correct; no line-by-line correctness check.</x:v>
      </x:c>
    </x:row>
    <x:row r="204" ht="38" customHeight="1">
      <x:c r="A204" s="40" t="str">
        <x:v>2607.10382</x:v>
      </x:c>
      <x:c r="B204" s="40" t="str">
        <x:v>2026-07</x:v>
      </x:c>
      <x:c r="C204" s="40" t="str">
        <x:v>math.AP</x:v>
      </x:c>
      <x:c r="D204" s="40" t="str">
        <x:v>Klein-Gordon</x:v>
      </x:c>
      <x:c r="E204" s="40" t="str">
        <x:v>L2-Supercritical Nonlinear Klein-Gordon System with Quadratic Asymmetric Interaction</x:v>
      </x:c>
      <x:c r="F204" s="40" t="str">
        <x:v>Xiaojing Dong; Huagui Duan; Zaihui Gan; Jingyu Wu</x:v>
      </x:c>
      <x:c r="G204" s="40" t="n">
        <x:v>43</x:v>
      </x:c>
      <x:c r="H204" s="40" t="str">
        <x:v>https://arxiv.org/abs/2607.10382</x:v>
      </x:c>
      <x:c r="I204" s="40" t="str">
        <x:v>Background row in the 30% scored pool; title/authors from official July list.</x:v>
      </x:c>
      <x:c r="J204" s="72" t="n">
        <x:v>84</x:v>
      </x:c>
      <x:c r="K204" s="72" t="n">
        <x:v>82</x:v>
      </x:c>
      <x:c r="L204" s="72" t="n">
        <x:v>85</x:v>
      </x:c>
      <x:c r="M204" s="72" t="n">
        <x:v>81</x:v>
      </x:c>
      <x:c r="N204" s="72" t="n">
        <x:v>85</x:v>
      </x:c>
      <x:c r="O204" s="72" t="n">
        <x:v>83</x:v>
      </x:c>
      <x:c r="P204" s="72" t="n">
        <x:v>14</x:v>
      </x:c>
      <x:c r="Q204" s="72" t="n">
        <x:v>8</x:v>
      </x:c>
      <x:c r="R204" s="72" t="n">
        <x:f>ROUND(0.30*J204+0.20*K204+0.25*L204+0.15*M204+0.10*O204,2)</x:f>
        <x:v>83.3</x:v>
      </x:c>
      <x:c r="S204" s="72" t="n">
        <x:f>ROUND(0.30*N204+0.20*L204+0.20*K204+0.15*O204+0.15*(100-P204),2)</x:f>
        <x:v>84.25</x:v>
      </x:c>
      <x:c r="T204" s="72" t="n">
        <x:f>ROUND((R204+S204)/2,2)</x:f>
        <x:v>83.78</x:v>
      </x:c>
      <x:c r="U204" s="40" t="str">
        <x:v>S_eq=(V+S_H)/2; V and S_H equal-weighted</x:v>
      </x:c>
      <x:c r="V204" s="40" t="str">
        <x:v>yes</x:v>
      </x:c>
      <x:c r="W204" s="40" t="str"/>
      <x:c r="X204" s="40" t="str">
        <x:v>July official math.AP list; 734 total; scored pool = ceil(30%)=221</x:v>
      </x:c>
      <x:c r="Y204" s="40" t="str">
        <x:v>Assume main results correct; no line-by-line correctness check.</x:v>
      </x:c>
    </x:row>
    <x:row r="205" ht="38" customHeight="1">
      <x:c r="A205" s="40" t="str">
        <x:v>2607.04618</x:v>
      </x:c>
      <x:c r="B205" s="40" t="str">
        <x:v>2026-07</x:v>
      </x:c>
      <x:c r="C205" s="40" t="str">
        <x:v>math.AP</x:v>
      </x:c>
      <x:c r="D205" s="40" t="str">
        <x:v>Boltzmann</x:v>
      </x:c>
      <x:c r="E205" s="40" t="str">
        <x:v>Time-periodic solutions of the Boltzmann equation with soft potentials in R^3</x:v>
      </x:c>
      <x:c r="F205" s="40" t="str">
        <x:v>Yuanjie Lei; Shuangqian Liu; Jiaying Zhang; Huijiang Zhao</x:v>
      </x:c>
      <x:c r="G205" s="40" t="str">
        <x:v>-</x:v>
      </x:c>
      <x:c r="H205" s="40" t="str">
        <x:v>https://arxiv.org/abs/2607.04618</x:v>
      </x:c>
      <x:c r="I205" s="40" t="str">
        <x:v>Background row in the 30% scored pool; title/authors from official July list.</x:v>
      </x:c>
      <x:c r="J205" s="72" t="n">
        <x:v>84</x:v>
      </x:c>
      <x:c r="K205" s="72" t="n">
        <x:v>82</x:v>
      </x:c>
      <x:c r="L205" s="72" t="n">
        <x:v>85</x:v>
      </x:c>
      <x:c r="M205" s="72" t="n">
        <x:v>81</x:v>
      </x:c>
      <x:c r="N205" s="72" t="n">
        <x:v>85</x:v>
      </x:c>
      <x:c r="O205" s="72" t="n">
        <x:v>82</x:v>
      </x:c>
      <x:c r="P205" s="72" t="n">
        <x:v>14</x:v>
      </x:c>
      <x:c r="Q205" s="72" t="n">
        <x:v>8</x:v>
      </x:c>
      <x:c r="R205" s="72" t="n">
        <x:f>ROUND(0.30*J205+0.20*K205+0.25*L205+0.15*M205+0.10*O205,2)</x:f>
        <x:v>83.2</x:v>
      </x:c>
      <x:c r="S205" s="72" t="n">
        <x:f>ROUND(0.30*N205+0.20*L205+0.20*K205+0.15*O205+0.15*(100-P205),2)</x:f>
        <x:v>84.1</x:v>
      </x:c>
      <x:c r="T205" s="72" t="n">
        <x:f>ROUND((R205+S205)/2,2)</x:f>
        <x:v>83.65</x:v>
      </x:c>
      <x:c r="U205" s="40" t="str">
        <x:v>S_eq=(V+S_H)/2; V and S_H equal-weighted</x:v>
      </x:c>
      <x:c r="V205" s="40" t="str">
        <x:v>yes</x:v>
      </x:c>
      <x:c r="W205" s="40" t="str"/>
      <x:c r="X205" s="40" t="str">
        <x:v>July official math.AP list; 734 total; scored pool = ceil(30%)=221</x:v>
      </x:c>
      <x:c r="Y205" s="40" t="str">
        <x:v>Assume main results correct; no line-by-line correctness check.</x:v>
      </x:c>
    </x:row>
    <x:row r="206" ht="38" customHeight="1">
      <x:c r="A206" s="40" t="str">
        <x:v>2607.08866</x:v>
      </x:c>
      <x:c r="B206" s="40" t="str">
        <x:v>2026-07</x:v>
      </x:c>
      <x:c r="C206" s="40" t="str">
        <x:v>math.AP</x:v>
      </x:c>
      <x:c r="D206" s="40" t="str">
        <x:v>Navier-Stokes</x:v>
      </x:c>
      <x:c r="E206" s="40" t="str">
        <x:v>Logarithmic Depletion of Vortex Stretching and Singularity Evasion in the 3D Navier-Stokes Equations</x:v>
      </x:c>
      <x:c r="F206" s="40" t="str">
        <x:v>Zoran Grujic</x:v>
      </x:c>
      <x:c r="G206" s="40" t="str">
        <x:v>-</x:v>
      </x:c>
      <x:c r="H206" s="40" t="str">
        <x:v>https://arxiv.org/abs/2607.08866</x:v>
      </x:c>
      <x:c r="I206" s="40" t="str">
        <x:v>Background row in the 30% scored pool; title/authors from official July list.</x:v>
      </x:c>
      <x:c r="J206" s="72" t="n">
        <x:v>84</x:v>
      </x:c>
      <x:c r="K206" s="72" t="n">
        <x:v>82</x:v>
      </x:c>
      <x:c r="L206" s="72" t="n">
        <x:v>85</x:v>
      </x:c>
      <x:c r="M206" s="72" t="n">
        <x:v>81</x:v>
      </x:c>
      <x:c r="N206" s="72" t="n">
        <x:v>85</x:v>
      </x:c>
      <x:c r="O206" s="72" t="n">
        <x:v>82</x:v>
      </x:c>
      <x:c r="P206" s="72" t="n">
        <x:v>14</x:v>
      </x:c>
      <x:c r="Q206" s="72" t="n">
        <x:v>8</x:v>
      </x:c>
      <x:c r="R206" s="72" t="n">
        <x:f>ROUND(0.30*J206+0.20*K206+0.25*L206+0.15*M206+0.10*O206,2)</x:f>
        <x:v>83.2</x:v>
      </x:c>
      <x:c r="S206" s="72" t="n">
        <x:f>ROUND(0.30*N206+0.20*L206+0.20*K206+0.15*O206+0.15*(100-P206),2)</x:f>
        <x:v>84.1</x:v>
      </x:c>
      <x:c r="T206" s="72" t="n">
        <x:f>ROUND((R206+S206)/2,2)</x:f>
        <x:v>83.65</x:v>
      </x:c>
      <x:c r="U206" s="40" t="str">
        <x:v>S_eq=(V+S_H)/2; V and S_H equal-weighted</x:v>
      </x:c>
      <x:c r="V206" s="40" t="str">
        <x:v>yes</x:v>
      </x:c>
      <x:c r="W206" s="40" t="str"/>
      <x:c r="X206" s="40" t="str">
        <x:v>July official math.AP list; 734 total; scored pool = ceil(30%)=221</x:v>
      </x:c>
      <x:c r="Y206" s="40" t="str">
        <x:v>Assume main results correct; no line-by-line correctness check.</x:v>
      </x:c>
    </x:row>
    <x:row r="207" ht="38" customHeight="1">
      <x:c r="A207" s="40" t="str">
        <x:v>2607.04294</x:v>
      </x:c>
      <x:c r="B207" s="40" t="str">
        <x:v>2026-07</x:v>
      </x:c>
      <x:c r="C207" s="40" t="str">
        <x:v>math.AP</x:v>
      </x:c>
      <x:c r="D207" s="40" t="str">
        <x:v>microlocal/heterogeneous media</x:v>
      </x:c>
      <x:c r="E207" s="40" t="str">
        <x:v>Microlocal defect functionals in VMO: Geometric localisation and applications to highly heterogeneous media</x:v>
      </x:c>
      <x:c r="F207" s="40" t="str">
        <x:v>Marin Misur</x:v>
      </x:c>
      <x:c r="G207" s="40" t="str">
        <x:v>-</x:v>
      </x:c>
      <x:c r="H207" s="40" t="str">
        <x:v>https://arxiv.org/abs/2607.04294</x:v>
      </x:c>
      <x:c r="I207" s="40" t="str">
        <x:v>Background row in the 30% scored pool; title/authors from official July list.</x:v>
      </x:c>
      <x:c r="J207" s="72" t="n">
        <x:v>83</x:v>
      </x:c>
      <x:c r="K207" s="72" t="n">
        <x:v>82</x:v>
      </x:c>
      <x:c r="L207" s="72" t="n">
        <x:v>84</x:v>
      </x:c>
      <x:c r="M207" s="72" t="n">
        <x:v>81</x:v>
      </x:c>
      <x:c r="N207" s="72" t="n">
        <x:v>84</x:v>
      </x:c>
      <x:c r="O207" s="72" t="n">
        <x:v>83</x:v>
      </x:c>
      <x:c r="P207" s="72" t="n">
        <x:v>14</x:v>
      </x:c>
      <x:c r="Q207" s="72" t="n">
        <x:v>8</x:v>
      </x:c>
      <x:c r="R207" s="72" t="n">
        <x:f>ROUND(0.30*J207+0.20*K207+0.25*L207+0.15*M207+0.10*O207,2)</x:f>
        <x:v>82.75</x:v>
      </x:c>
      <x:c r="S207" s="72" t="n">
        <x:f>ROUND(0.30*N207+0.20*L207+0.20*K207+0.15*O207+0.15*(100-P207),2)</x:f>
        <x:v>83.75</x:v>
      </x:c>
      <x:c r="T207" s="72" t="n">
        <x:f>ROUND((R207+S207)/2,2)</x:f>
        <x:v>83.25</x:v>
      </x:c>
      <x:c r="U207" s="40" t="str">
        <x:v>S_eq=(V+S_H)/2; V and S_H equal-weighted</x:v>
      </x:c>
      <x:c r="V207" s="40" t="str">
        <x:v>yes</x:v>
      </x:c>
      <x:c r="W207" s="40" t="str"/>
      <x:c r="X207" s="40" t="str">
        <x:v>July official math.AP list; 734 total; scored pool = ceil(30%)=221</x:v>
      </x:c>
      <x:c r="Y207" s="40" t="str">
        <x:v>Assume main results correct; no line-by-line correctness check.</x:v>
      </x:c>
    </x:row>
    <x:row r="208" ht="38" customHeight="1">
      <x:c r="A208" s="40" t="str">
        <x:v>2607.05856</x:v>
      </x:c>
      <x:c r="B208" s="40" t="str">
        <x:v>2026-07</x:v>
      </x:c>
      <x:c r="C208" s="40" t="str">
        <x:v>math.AP</x:v>
      </x:c>
      <x:c r="D208" s="40" t="str">
        <x:v>damped waves</x:v>
      </x:c>
      <x:c r="E208" s="40" t="str">
        <x:v>The Damped Waves Equation and generalized Cosine and Sine families on Banach spaces</x:v>
      </x:c>
      <x:c r="F208" s="40" t="str">
        <x:v>Yuri Latushkin; Alin Pogan</x:v>
      </x:c>
      <x:c r="G208" s="40" t="str">
        <x:v>-</x:v>
      </x:c>
      <x:c r="H208" s="40" t="str">
        <x:v>https://arxiv.org/abs/2607.05856</x:v>
      </x:c>
      <x:c r="I208" s="40" t="str">
        <x:v>Background row in the 30% scored pool; title/authors from official July list.</x:v>
      </x:c>
      <x:c r="J208" s="72" t="n">
        <x:v>83</x:v>
      </x:c>
      <x:c r="K208" s="72" t="n">
        <x:v>82</x:v>
      </x:c>
      <x:c r="L208" s="72" t="n">
        <x:v>84</x:v>
      </x:c>
      <x:c r="M208" s="72" t="n">
        <x:v>81</x:v>
      </x:c>
      <x:c r="N208" s="72" t="n">
        <x:v>84</x:v>
      </x:c>
      <x:c r="O208" s="72" t="n">
        <x:v>83</x:v>
      </x:c>
      <x:c r="P208" s="72" t="n">
        <x:v>14</x:v>
      </x:c>
      <x:c r="Q208" s="72" t="n">
        <x:v>8</x:v>
      </x:c>
      <x:c r="R208" s="72" t="n">
        <x:f>ROUND(0.30*J208+0.20*K208+0.25*L208+0.15*M208+0.10*O208,2)</x:f>
        <x:v>82.75</x:v>
      </x:c>
      <x:c r="S208" s="72" t="n">
        <x:f>ROUND(0.30*N208+0.20*L208+0.20*K208+0.15*O208+0.15*(100-P208),2)</x:f>
        <x:v>83.75</x:v>
      </x:c>
      <x:c r="T208" s="72" t="n">
        <x:f>ROUND((R208+S208)/2,2)</x:f>
        <x:v>83.25</x:v>
      </x:c>
      <x:c r="U208" s="40" t="str">
        <x:v>S_eq=(V+S_H)/2; V and S_H equal-weighted</x:v>
      </x:c>
      <x:c r="V208" s="40" t="str">
        <x:v>yes</x:v>
      </x:c>
      <x:c r="W208" s="40" t="str"/>
      <x:c r="X208" s="40" t="str">
        <x:v>July official math.AP list; 734 total; scored pool = ceil(30%)=221</x:v>
      </x:c>
      <x:c r="Y208" s="40" t="str">
        <x:v>Assume main results correct; no line-by-line correctness check.</x:v>
      </x:c>
    </x:row>
    <x:row r="209" ht="38" customHeight="1">
      <x:c r="A209" s="40" t="str">
        <x:v>2607.07166</x:v>
      </x:c>
      <x:c r="B209" s="40" t="str">
        <x:v>2026-07</x:v>
      </x:c>
      <x:c r="C209" s="40" t="str">
        <x:v>math.AP</x:v>
      </x:c>
      <x:c r="D209" s="40" t="str">
        <x:v>fractional PDE</x:v>
      </x:c>
      <x:c r="E209" s="40" t="str">
        <x:v>An existence result for fractional problems with mixed boundary conditions</x:v>
      </x:c>
      <x:c r="F209" s="40" t="str">
        <x:v>El-Haj Laamri Giovanni Molica Bisci</x:v>
      </x:c>
      <x:c r="G209" s="40" t="str">
        <x:v>-</x:v>
      </x:c>
      <x:c r="H209" s="40" t="str">
        <x:v>https://arxiv.org/abs/2607.07166</x:v>
      </x:c>
      <x:c r="I209" s="40" t="str">
        <x:v>Background row in the 30% scored pool; title/authors from official July list.</x:v>
      </x:c>
      <x:c r="J209" s="72" t="n">
        <x:v>83</x:v>
      </x:c>
      <x:c r="K209" s="72" t="n">
        <x:v>82</x:v>
      </x:c>
      <x:c r="L209" s="72" t="n">
        <x:v>84</x:v>
      </x:c>
      <x:c r="M209" s="72" t="n">
        <x:v>81</x:v>
      </x:c>
      <x:c r="N209" s="72" t="n">
        <x:v>84</x:v>
      </x:c>
      <x:c r="O209" s="72" t="n">
        <x:v>83</x:v>
      </x:c>
      <x:c r="P209" s="72" t="n">
        <x:v>14</x:v>
      </x:c>
      <x:c r="Q209" s="72" t="n">
        <x:v>8</x:v>
      </x:c>
      <x:c r="R209" s="72" t="n">
        <x:f>ROUND(0.30*J209+0.20*K209+0.25*L209+0.15*M209+0.10*O209,2)</x:f>
        <x:v>82.75</x:v>
      </x:c>
      <x:c r="S209" s="72" t="n">
        <x:f>ROUND(0.30*N209+0.20*L209+0.20*K209+0.15*O209+0.15*(100-P209),2)</x:f>
        <x:v>83.75</x:v>
      </x:c>
      <x:c r="T209" s="72" t="n">
        <x:f>ROUND((R209+S209)/2,2)</x:f>
        <x:v>83.25</x:v>
      </x:c>
      <x:c r="U209" s="40" t="str">
        <x:v>S_eq=(V+S_H)/2; V and S_H equal-weighted</x:v>
      </x:c>
      <x:c r="V209" s="40" t="str">
        <x:v>yes</x:v>
      </x:c>
      <x:c r="W209" s="40" t="str"/>
      <x:c r="X209" s="40" t="str">
        <x:v>July official math.AP list; 734 total; scored pool = ceil(30%)=221</x:v>
      </x:c>
      <x:c r="Y209" s="40" t="str">
        <x:v>Assume main results correct; no line-by-line correctness check.</x:v>
      </x:c>
    </x:row>
    <x:row r="210" ht="38" customHeight="1">
      <x:c r="A210" s="40" t="str">
        <x:v>2607.07631</x:v>
      </x:c>
      <x:c r="B210" s="40" t="str">
        <x:v>2026-07</x:v>
      </x:c>
      <x:c r="C210" s="40" t="str">
        <x:v>math.AP</x:v>
      </x:c>
      <x:c r="D210" s="40" t="str">
        <x:v>elliptic PDE</x:v>
      </x:c>
      <x:c r="E210" s="40" t="str">
        <x:v>Analysis of an Emden-Fowler-Henon type equation</x:v>
      </x:c>
      <x:c r="F210" s="40" t="str">
        <x:v>Pablo dos Santos Correa Junior; Ederson Moreira dos Santos; Delia Schiera</x:v>
      </x:c>
      <x:c r="G210" s="40" t="str">
        <x:v>-</x:v>
      </x:c>
      <x:c r="H210" s="40" t="str">
        <x:v>https://arxiv.org/abs/2607.07631</x:v>
      </x:c>
      <x:c r="I210" s="40" t="str">
        <x:v>Background row in the 30% scored pool; title/authors from official July list.</x:v>
      </x:c>
      <x:c r="J210" s="72" t="n">
        <x:v>83</x:v>
      </x:c>
      <x:c r="K210" s="72" t="n">
        <x:v>82</x:v>
      </x:c>
      <x:c r="L210" s="72" t="n">
        <x:v>84</x:v>
      </x:c>
      <x:c r="M210" s="72" t="n">
        <x:v>81</x:v>
      </x:c>
      <x:c r="N210" s="72" t="n">
        <x:v>84</x:v>
      </x:c>
      <x:c r="O210" s="72" t="n">
        <x:v>83</x:v>
      </x:c>
      <x:c r="P210" s="72" t="n">
        <x:v>14</x:v>
      </x:c>
      <x:c r="Q210" s="72" t="n">
        <x:v>8</x:v>
      </x:c>
      <x:c r="R210" s="72" t="n">
        <x:f>ROUND(0.30*J210+0.20*K210+0.25*L210+0.15*M210+0.10*O210,2)</x:f>
        <x:v>82.75</x:v>
      </x:c>
      <x:c r="S210" s="72" t="n">
        <x:f>ROUND(0.30*N210+0.20*L210+0.20*K210+0.15*O210+0.15*(100-P210),2)</x:f>
        <x:v>83.75</x:v>
      </x:c>
      <x:c r="T210" s="72" t="n">
        <x:f>ROUND((R210+S210)/2,2)</x:f>
        <x:v>83.25</x:v>
      </x:c>
      <x:c r="U210" s="40" t="str">
        <x:v>S_eq=(V+S_H)/2; V and S_H equal-weighted</x:v>
      </x:c>
      <x:c r="V210" s="40" t="str">
        <x:v>yes</x:v>
      </x:c>
      <x:c r="W210" s="40" t="str"/>
      <x:c r="X210" s="40" t="str">
        <x:v>July official math.AP list; 734 total; scored pool = ceil(30%)=221</x:v>
      </x:c>
      <x:c r="Y210" s="40" t="str">
        <x:v>Assume main results correct; no line-by-line correctness check.</x:v>
      </x:c>
    </x:row>
    <x:row r="211" ht="38" customHeight="1">
      <x:c r="A211" s="40" t="str">
        <x:v>2607.09895</x:v>
      </x:c>
      <x:c r="B211" s="40" t="str">
        <x:v>2026-07</x:v>
      </x:c>
      <x:c r="C211" s="40" t="str">
        <x:v>math.AP</x:v>
      </x:c>
      <x:c r="D211" s="40" t="str">
        <x:v>parabolic estimates</x:v>
      </x:c>
      <x:c r="E211" s="40" t="str">
        <x:v>Weighted W^{1,p}-estimates for Parabolic Equations of Fabes-Kenig-Serapioni singular-degenerate type</x:v>
      </x:c>
      <x:c r="F211" s="40" t="str">
        <x:v>Tuoc Phan</x:v>
      </x:c>
      <x:c r="G211" s="40" t="n">
        <x:v>43</x:v>
      </x:c>
      <x:c r="H211" s="40" t="str">
        <x:v>https://arxiv.org/abs/2607.09895</x:v>
      </x:c>
      <x:c r="I211" s="40" t="str">
        <x:v>Background row in the 30% scored pool; title/authors from official July list.</x:v>
      </x:c>
      <x:c r="J211" s="72" t="n">
        <x:v>83</x:v>
      </x:c>
      <x:c r="K211" s="72" t="n">
        <x:v>82</x:v>
      </x:c>
      <x:c r="L211" s="72" t="n">
        <x:v>84</x:v>
      </x:c>
      <x:c r="M211" s="72" t="n">
        <x:v>81</x:v>
      </x:c>
      <x:c r="N211" s="72" t="n">
        <x:v>84</x:v>
      </x:c>
      <x:c r="O211" s="72" t="n">
        <x:v>83</x:v>
      </x:c>
      <x:c r="P211" s="72" t="n">
        <x:v>14</x:v>
      </x:c>
      <x:c r="Q211" s="72" t="n">
        <x:v>8</x:v>
      </x:c>
      <x:c r="R211" s="72" t="n">
        <x:f>ROUND(0.30*J211+0.20*K211+0.25*L211+0.15*M211+0.10*O211,2)</x:f>
        <x:v>82.75</x:v>
      </x:c>
      <x:c r="S211" s="72" t="n">
        <x:f>ROUND(0.30*N211+0.20*L211+0.20*K211+0.15*O211+0.15*(100-P211),2)</x:f>
        <x:v>83.75</x:v>
      </x:c>
      <x:c r="T211" s="72" t="n">
        <x:f>ROUND((R211+S211)/2,2)</x:f>
        <x:v>83.25</x:v>
      </x:c>
      <x:c r="U211" s="40" t="str">
        <x:v>S_eq=(V+S_H)/2; V and S_H equal-weighted</x:v>
      </x:c>
      <x:c r="V211" s="40" t="str">
        <x:v>yes</x:v>
      </x:c>
      <x:c r="W211" s="40" t="str"/>
      <x:c r="X211" s="40" t="str">
        <x:v>July official math.AP list; 734 total; scored pool = ceil(30%)=221</x:v>
      </x:c>
      <x:c r="Y211" s="40" t="str">
        <x:v>Assume main results correct; no line-by-line correctness check.</x:v>
      </x:c>
    </x:row>
    <x:row r="212" ht="38" customHeight="1">
      <x:c r="A212" s="40" t="str">
        <x:v>2607.11440</x:v>
      </x:c>
      <x:c r="B212" s="40" t="str">
        <x:v>2026-07</x:v>
      </x:c>
      <x:c r="C212" s="40" t="str">
        <x:v>math.AP</x:v>
      </x:c>
      <x:c r="D212" s="40" t="str">
        <x:v>mathematical physics</x:v>
      </x:c>
      <x:c r="E212" s="40" t="str">
        <x:v>Absence of non-compactly supported minimisers for the Lieb-Oxford bound</x:v>
      </x:c>
      <x:c r="F212" s="40" t="str">
        <x:v>Simone Di Marino; Rodrigue Lelotte</x:v>
      </x:c>
      <x:c r="G212" s="40" t="str">
        <x:v>-</x:v>
      </x:c>
      <x:c r="H212" s="40" t="str">
        <x:v>https://arxiv.org/abs/2607.11440</x:v>
      </x:c>
      <x:c r="I212" s="40" t="str">
        <x:v>Background row in the 30% scored pool; title/authors from official July list.</x:v>
      </x:c>
      <x:c r="J212" s="72" t="n">
        <x:v>83</x:v>
      </x:c>
      <x:c r="K212" s="72" t="n">
        <x:v>82</x:v>
      </x:c>
      <x:c r="L212" s="72" t="n">
        <x:v>84</x:v>
      </x:c>
      <x:c r="M212" s="72" t="n">
        <x:v>81</x:v>
      </x:c>
      <x:c r="N212" s="72" t="n">
        <x:v>84</x:v>
      </x:c>
      <x:c r="O212" s="72" t="n">
        <x:v>83</x:v>
      </x:c>
      <x:c r="P212" s="72" t="n">
        <x:v>14</x:v>
      </x:c>
      <x:c r="Q212" s="72" t="n">
        <x:v>8</x:v>
      </x:c>
      <x:c r="R212" s="72" t="n">
        <x:f>ROUND(0.30*J212+0.20*K212+0.25*L212+0.15*M212+0.10*O212,2)</x:f>
        <x:v>82.75</x:v>
      </x:c>
      <x:c r="S212" s="72" t="n">
        <x:f>ROUND(0.30*N212+0.20*L212+0.20*K212+0.15*O212+0.15*(100-P212),2)</x:f>
        <x:v>83.75</x:v>
      </x:c>
      <x:c r="T212" s="72" t="n">
        <x:f>ROUND((R212+S212)/2,2)</x:f>
        <x:v>83.25</x:v>
      </x:c>
      <x:c r="U212" s="40" t="str">
        <x:v>S_eq=(V+S_H)/2; V and S_H equal-weighted</x:v>
      </x:c>
      <x:c r="V212" s="40" t="str">
        <x:v>yes</x:v>
      </x:c>
      <x:c r="W212" s="40" t="str"/>
      <x:c r="X212" s="40" t="str">
        <x:v>July official math.AP list; 734 total; scored pool = ceil(30%)=221</x:v>
      </x:c>
      <x:c r="Y212" s="40" t="str">
        <x:v>Assume main results correct; no line-by-line correctness check.</x:v>
      </x:c>
    </x:row>
    <x:row r="213" ht="38" customHeight="1">
      <x:c r="A213" s="40" t="str">
        <x:v>2607.08190</x:v>
      </x:c>
      <x:c r="B213" s="40" t="str">
        <x:v>2026-07</x:v>
      </x:c>
      <x:c r="C213" s="40" t="str">
        <x:v>math.AP</x:v>
      </x:c>
      <x:c r="D213" s="40" t="str">
        <x:v>Gross-Pitaevskii</x:v>
      </x:c>
      <x:c r="E213" s="40" t="str">
        <x:v>Instability of gray solitons in a Gross-Pitaevskii model with a moving impurity</x:v>
      </x:c>
      <x:c r="F213" s="40" t="str">
        <x:v>Paolo Antonelli; Martino Caliaro</x:v>
      </x:c>
      <x:c r="G213" s="40" t="str">
        <x:v>-</x:v>
      </x:c>
      <x:c r="H213" s="40" t="str">
        <x:v>https://arxiv.org/abs/2607.08190</x:v>
      </x:c>
      <x:c r="I213" s="40" t="str">
        <x:v>Background row in the 30% scored pool; title/authors from official July list.</x:v>
      </x:c>
      <x:c r="J213" s="72" t="n">
        <x:v>83</x:v>
      </x:c>
      <x:c r="K213" s="72" t="n">
        <x:v>81</x:v>
      </x:c>
      <x:c r="L213" s="72" t="n">
        <x:v>84</x:v>
      </x:c>
      <x:c r="M213" s="72" t="n">
        <x:v>80</x:v>
      </x:c>
      <x:c r="N213" s="72" t="n">
        <x:v>84</x:v>
      </x:c>
      <x:c r="O213" s="72" t="n">
        <x:v>82</x:v>
      </x:c>
      <x:c r="P213" s="72" t="n">
        <x:v>14</x:v>
      </x:c>
      <x:c r="Q213" s="72" t="n">
        <x:v>8</x:v>
      </x:c>
      <x:c r="R213" s="72" t="n">
        <x:f>ROUND(0.30*J213+0.20*K213+0.25*L213+0.15*M213+0.10*O213,2)</x:f>
        <x:v>82.3</x:v>
      </x:c>
      <x:c r="S213" s="72" t="n">
        <x:f>ROUND(0.30*N213+0.20*L213+0.20*K213+0.15*O213+0.15*(100-P213),2)</x:f>
        <x:v>83.4</x:v>
      </x:c>
      <x:c r="T213" s="72" t="n">
        <x:f>ROUND((R213+S213)/2,2)</x:f>
        <x:v>82.85</x:v>
      </x:c>
      <x:c r="U213" s="40" t="str">
        <x:v>S_eq=(V+S_H)/2; V and S_H equal-weighted</x:v>
      </x:c>
      <x:c r="V213" s="40" t="str">
        <x:v>yes</x:v>
      </x:c>
      <x:c r="W213" s="40" t="str"/>
      <x:c r="X213" s="40" t="str">
        <x:v>July official math.AP list; 734 total; scored pool = ceil(30%)=221</x:v>
      </x:c>
      <x:c r="Y213" s="40" t="str">
        <x:v>Assume main results correct; no line-by-line correctness check.</x:v>
      </x:c>
    </x:row>
    <x:row r="214" ht="38" customHeight="1">
      <x:c r="A214" s="40" t="str">
        <x:v>2607.10928</x:v>
      </x:c>
      <x:c r="B214" s="40" t="str">
        <x:v>2026-07</x:v>
      </x:c>
      <x:c r="C214" s="40" t="str">
        <x:v>math.AP</x:v>
      </x:c>
      <x:c r="D214" s="40" t="str">
        <x:v>hyperbolic systems</x:v>
      </x:c>
      <x:c r="E214" s="40" t="str">
        <x:v>Existence and stability estimates for weak solutions of p-systems by front tracking scheme</x:v>
      </x:c>
      <x:c r="F214" s="40" t="str">
        <x:v>Akash Parmar</x:v>
      </x:c>
      <x:c r="G214" s="40" t="str">
        <x:v>-</x:v>
      </x:c>
      <x:c r="H214" s="40" t="str">
        <x:v>https://arxiv.org/abs/2607.10928</x:v>
      </x:c>
      <x:c r="I214" s="40" t="str">
        <x:v>Background row in the 30% scored pool; title/authors from official July list.</x:v>
      </x:c>
      <x:c r="J214" s="72" t="n">
        <x:v>83</x:v>
      </x:c>
      <x:c r="K214" s="72" t="n">
        <x:v>81</x:v>
      </x:c>
      <x:c r="L214" s="72" t="n">
        <x:v>84</x:v>
      </x:c>
      <x:c r="M214" s="72" t="n">
        <x:v>80</x:v>
      </x:c>
      <x:c r="N214" s="72" t="n">
        <x:v>84</x:v>
      </x:c>
      <x:c r="O214" s="72" t="n">
        <x:v>82</x:v>
      </x:c>
      <x:c r="P214" s="72" t="n">
        <x:v>14</x:v>
      </x:c>
      <x:c r="Q214" s="72" t="n">
        <x:v>8</x:v>
      </x:c>
      <x:c r="R214" s="72" t="n">
        <x:f>ROUND(0.30*J214+0.20*K214+0.25*L214+0.15*M214+0.10*O214,2)</x:f>
        <x:v>82.3</x:v>
      </x:c>
      <x:c r="S214" s="72" t="n">
        <x:f>ROUND(0.30*N214+0.20*L214+0.20*K214+0.15*O214+0.15*(100-P214),2)</x:f>
        <x:v>83.4</x:v>
      </x:c>
      <x:c r="T214" s="72" t="n">
        <x:f>ROUND((R214+S214)/2,2)</x:f>
        <x:v>82.85</x:v>
      </x:c>
      <x:c r="U214" s="40" t="str">
        <x:v>S_eq=(V+S_H)/2; V and S_H equal-weighted</x:v>
      </x:c>
      <x:c r="V214" s="40" t="str">
        <x:v>yes</x:v>
      </x:c>
      <x:c r="W214" s="40" t="str"/>
      <x:c r="X214" s="40" t="str">
        <x:v>July official math.AP list; 734 total; scored pool = ceil(30%)=221</x:v>
      </x:c>
      <x:c r="Y214" s="40" t="str">
        <x:v>Assume main results correct; no line-by-line correctness check.</x:v>
      </x:c>
    </x:row>
    <x:row r="215" ht="38" customHeight="1">
      <x:c r="A215" s="40" t="str">
        <x:v>2607.04284</x:v>
      </x:c>
      <x:c r="B215" s="40" t="str">
        <x:v>2026-07</x:v>
      </x:c>
      <x:c r="C215" s="40" t="str">
        <x:v>math.AP</x:v>
      </x:c>
      <x:c r="D215" s="40" t="str">
        <x:v>functional analysis/PDE</x:v>
      </x:c>
      <x:c r="E215" s="40" t="str">
        <x:v>On Phase-Space Orthogonality for Higher-Order Distributions: Obstructions and Algebraic Resolutions</x:v>
      </x:c>
      <x:c r="F215" s="40" t="str">
        <x:v>Marin Misur</x:v>
      </x:c>
      <x:c r="G215" s="40" t="str">
        <x:v>-</x:v>
      </x:c>
      <x:c r="H215" s="40" t="str">
        <x:v>https://arxiv.org/abs/2607.04284</x:v>
      </x:c>
      <x:c r="I215" s="40" t="str">
        <x:v>Background row in the 30% scored pool; title/authors from official July list.</x:v>
      </x:c>
      <x:c r="J215" s="72" t="n">
        <x:v>82</x:v>
      </x:c>
      <x:c r="K215" s="72" t="n">
        <x:v>81</x:v>
      </x:c>
      <x:c r="L215" s="72" t="n">
        <x:v>83</x:v>
      </x:c>
      <x:c r="M215" s="72" t="n">
        <x:v>80</x:v>
      </x:c>
      <x:c r="N215" s="72" t="n">
        <x:v>83</x:v>
      </x:c>
      <x:c r="O215" s="72" t="n">
        <x:v>82</x:v>
      </x:c>
      <x:c r="P215" s="72" t="n">
        <x:v>14</x:v>
      </x:c>
      <x:c r="Q215" s="72" t="n">
        <x:v>8</x:v>
      </x:c>
      <x:c r="R215" s="72" t="n">
        <x:f>ROUND(0.30*J215+0.20*K215+0.25*L215+0.15*M215+0.10*O215,2)</x:f>
        <x:v>81.75</x:v>
      </x:c>
      <x:c r="S215" s="72" t="n">
        <x:f>ROUND(0.30*N215+0.20*L215+0.20*K215+0.15*O215+0.15*(100-P215),2)</x:f>
        <x:v>82.9</x:v>
      </x:c>
      <x:c r="T215" s="72" t="n">
        <x:f>ROUND((R215+S215)/2,2)</x:f>
        <x:v>82.33</x:v>
      </x:c>
      <x:c r="U215" s="40" t="str">
        <x:v>S_eq=(V+S_H)/2; V and S_H equal-weighted</x:v>
      </x:c>
      <x:c r="V215" s="40" t="str">
        <x:v>yes</x:v>
      </x:c>
      <x:c r="W215" s="40" t="str"/>
      <x:c r="X215" s="40" t="str">
        <x:v>July official math.AP list; 734 total; scored pool = ceil(30%)=221</x:v>
      </x:c>
      <x:c r="Y215" s="40" t="str">
        <x:v>Assume main results correct; no line-by-line correctness check.</x:v>
      </x:c>
    </x:row>
    <x:row r="216" ht="38" customHeight="1">
      <x:c r="A216" s="40" t="str">
        <x:v>2607.04947</x:v>
      </x:c>
      <x:c r="B216" s="40" t="str">
        <x:v>2026-07</x:v>
      </x:c>
      <x:c r="C216" s="40" t="str">
        <x:v>math.AP</x:v>
      </x:c>
      <x:c r="D216" s="40" t="str">
        <x:v>nonlinear potential theory</x:v>
      </x:c>
      <x:c r="E216" s="40" t="str">
        <x:v>A note on new mapping properties for Wolff potential</x:v>
      </x:c>
      <x:c r="F216" s="40" t="str">
        <x:v>Petteri Harjulehto; Ritva Hurri-Syrjanen</x:v>
      </x:c>
      <x:c r="G216" s="40" t="str">
        <x:v>-</x:v>
      </x:c>
      <x:c r="H216" s="40" t="str">
        <x:v>https://arxiv.org/abs/2607.04947</x:v>
      </x:c>
      <x:c r="I216" s="40" t="str">
        <x:v>Background row in the 30% scored pool; title/authors from official July list.</x:v>
      </x:c>
      <x:c r="J216" s="72" t="n">
        <x:v>82</x:v>
      </x:c>
      <x:c r="K216" s="72" t="n">
        <x:v>81</x:v>
      </x:c>
      <x:c r="L216" s="72" t="n">
        <x:v>83</x:v>
      </x:c>
      <x:c r="M216" s="72" t="n">
        <x:v>80</x:v>
      </x:c>
      <x:c r="N216" s="72" t="n">
        <x:v>83</x:v>
      </x:c>
      <x:c r="O216" s="72" t="n">
        <x:v>82</x:v>
      </x:c>
      <x:c r="P216" s="72" t="n">
        <x:v>14</x:v>
      </x:c>
      <x:c r="Q216" s="72" t="n">
        <x:v>8</x:v>
      </x:c>
      <x:c r="R216" s="72" t="n">
        <x:f>ROUND(0.30*J216+0.20*K216+0.25*L216+0.15*M216+0.10*O216,2)</x:f>
        <x:v>81.75</x:v>
      </x:c>
      <x:c r="S216" s="72" t="n">
        <x:f>ROUND(0.30*N216+0.20*L216+0.20*K216+0.15*O216+0.15*(100-P216),2)</x:f>
        <x:v>82.9</x:v>
      </x:c>
      <x:c r="T216" s="72" t="n">
        <x:f>ROUND((R216+S216)/2,2)</x:f>
        <x:v>82.33</x:v>
      </x:c>
      <x:c r="U216" s="40" t="str">
        <x:v>S_eq=(V+S_H)/2; V and S_H equal-weighted</x:v>
      </x:c>
      <x:c r="V216" s="40" t="str">
        <x:v>yes</x:v>
      </x:c>
      <x:c r="W216" s="40" t="str"/>
      <x:c r="X216" s="40" t="str">
        <x:v>July official math.AP list; 734 total; scored pool = ceil(30%)=221</x:v>
      </x:c>
      <x:c r="Y216" s="40" t="str">
        <x:v>Assume main results correct; no line-by-line correctness check.</x:v>
      </x:c>
    </x:row>
    <x:row r="217" ht="38" customHeight="1">
      <x:c r="A217" s="40" t="str">
        <x:v>2607.05796</x:v>
      </x:c>
      <x:c r="B217" s="40" t="str">
        <x:v>2026-07</x:v>
      </x:c>
      <x:c r="C217" s="40" t="str">
        <x:v>math.AP</x:v>
      </x:c>
      <x:c r="D217" s="40" t="str">
        <x:v>derivative NLS</x:v>
      </x:c>
      <x:c r="E217" s="40" t="str">
        <x:v>Nowhere continuity of the flow map of an integrable derivative nonlinear Schrodinger system on the torus</x:v>
      </x:c>
      <x:c r="F217" s="40" t="str">
        <x:v>Toshiki Kondo</x:v>
      </x:c>
      <x:c r="G217" s="40" t="n">
        <x:v>17</x:v>
      </x:c>
      <x:c r="H217" s="40" t="str">
        <x:v>https://arxiv.org/abs/2607.05796</x:v>
      </x:c>
      <x:c r="I217" s="40" t="str">
        <x:v>Background row in the 30% scored pool; title/authors from official July list.</x:v>
      </x:c>
      <x:c r="J217" s="72" t="n">
        <x:v>82</x:v>
      </x:c>
      <x:c r="K217" s="72" t="n">
        <x:v>81</x:v>
      </x:c>
      <x:c r="L217" s="72" t="n">
        <x:v>83</x:v>
      </x:c>
      <x:c r="M217" s="72" t="n">
        <x:v>80</x:v>
      </x:c>
      <x:c r="N217" s="72" t="n">
        <x:v>83</x:v>
      </x:c>
      <x:c r="O217" s="72" t="n">
        <x:v>82</x:v>
      </x:c>
      <x:c r="P217" s="72" t="n">
        <x:v>14</x:v>
      </x:c>
      <x:c r="Q217" s="72" t="n">
        <x:v>8</x:v>
      </x:c>
      <x:c r="R217" s="72" t="n">
        <x:f>ROUND(0.30*J217+0.20*K217+0.25*L217+0.15*M217+0.10*O217,2)</x:f>
        <x:v>81.75</x:v>
      </x:c>
      <x:c r="S217" s="72" t="n">
        <x:f>ROUND(0.30*N217+0.20*L217+0.20*K217+0.15*O217+0.15*(100-P217),2)</x:f>
        <x:v>82.9</x:v>
      </x:c>
      <x:c r="T217" s="72" t="n">
        <x:f>ROUND((R217+S217)/2,2)</x:f>
        <x:v>82.33</x:v>
      </x:c>
      <x:c r="U217" s="40" t="str">
        <x:v>S_eq=(V+S_H)/2; V and S_H equal-weighted</x:v>
      </x:c>
      <x:c r="V217" s="40" t="str">
        <x:v>yes</x:v>
      </x:c>
      <x:c r="W217" s="40" t="str"/>
      <x:c r="X217" s="40" t="str">
        <x:v>July official math.AP list; 734 total; scored pool = ceil(30%)=221</x:v>
      </x:c>
      <x:c r="Y217" s="40" t="str">
        <x:v>Assume main results correct; no line-by-line correctness check.</x:v>
      </x:c>
    </x:row>
    <x:row r="218" ht="38" customHeight="1">
      <x:c r="A218" s="40" t="str">
        <x:v>2607.07130</x:v>
      </x:c>
      <x:c r="B218" s="40" t="str">
        <x:v>2026-07</x:v>
      </x:c>
      <x:c r="C218" s="40" t="str">
        <x:v>math.AP</x:v>
      </x:c>
      <x:c r="D218" s="40" t="str">
        <x:v>Keller-Segel</x:v>
      </x:c>
      <x:c r="E218" s="40" t="str">
        <x:v>Boundedness and blow-up for a quasilinear Keller-Segel system with flux limitation and indirect signal production</x:v>
      </x:c>
      <x:c r="F218" s="40" t="str">
        <x:v>Yue Zhou; Changchun Liu</x:v>
      </x:c>
      <x:c r="G218" s="40" t="str">
        <x:v>-</x:v>
      </x:c>
      <x:c r="H218" s="40" t="str">
        <x:v>https://arxiv.org/abs/2607.07130</x:v>
      </x:c>
      <x:c r="I218" s="40" t="str">
        <x:v>Background row in the 30% scored pool; title/authors from official July list.</x:v>
      </x:c>
      <x:c r="J218" s="72" t="n">
        <x:v>82</x:v>
      </x:c>
      <x:c r="K218" s="72" t="n">
        <x:v>81</x:v>
      </x:c>
      <x:c r="L218" s="72" t="n">
        <x:v>83</x:v>
      </x:c>
      <x:c r="M218" s="72" t="n">
        <x:v>80</x:v>
      </x:c>
      <x:c r="N218" s="72" t="n">
        <x:v>83</x:v>
      </x:c>
      <x:c r="O218" s="72" t="n">
        <x:v>82</x:v>
      </x:c>
      <x:c r="P218" s="72" t="n">
        <x:v>14</x:v>
      </x:c>
      <x:c r="Q218" s="72" t="n">
        <x:v>8</x:v>
      </x:c>
      <x:c r="R218" s="72" t="n">
        <x:f>ROUND(0.30*J218+0.20*K218+0.25*L218+0.15*M218+0.10*O218,2)</x:f>
        <x:v>81.75</x:v>
      </x:c>
      <x:c r="S218" s="72" t="n">
        <x:f>ROUND(0.30*N218+0.20*L218+0.20*K218+0.15*O218+0.15*(100-P218),2)</x:f>
        <x:v>82.9</x:v>
      </x:c>
      <x:c r="T218" s="72" t="n">
        <x:f>ROUND((R218+S218)/2,2)</x:f>
        <x:v>82.33</x:v>
      </x:c>
      <x:c r="U218" s="40" t="str">
        <x:v>S_eq=(V+S_H)/2; V and S_H equal-weighted</x:v>
      </x:c>
      <x:c r="V218" s="40" t="str">
        <x:v>yes</x:v>
      </x:c>
      <x:c r="W218" s="40" t="str"/>
      <x:c r="X218" s="40" t="str">
        <x:v>July official math.AP list; 734 total; scored pool = ceil(30%)=221</x:v>
      </x:c>
      <x:c r="Y218" s="40" t="str">
        <x:v>Assume main results correct; no line-by-line correctness check.</x:v>
      </x:c>
    </x:row>
    <x:row r="219" ht="38" customHeight="1">
      <x:c r="A219" s="40" t="str">
        <x:v>2607.07526</x:v>
      </x:c>
      <x:c r="B219" s="40" t="str">
        <x:v>2026-07</x:v>
      </x:c>
      <x:c r="C219" s="40" t="str">
        <x:v>math.AP</x:v>
      </x:c>
      <x:c r="D219" s="40" t="str">
        <x:v>mean field games</x:v>
      </x:c>
      <x:c r="E219" s="40" t="str">
        <x:v>On the rate of the vanishing viscosity approximation for Mean Field Games with nonlocal coupling</x:v>
      </x:c>
      <x:c r="F219" s="40" t="str">
        <x:v>Gennaro Ciampa; Alessandro Goffi</x:v>
      </x:c>
      <x:c r="G219" s="40" t="str">
        <x:v>-</x:v>
      </x:c>
      <x:c r="H219" s="40" t="str">
        <x:v>https://arxiv.org/abs/2607.07526</x:v>
      </x:c>
      <x:c r="I219" s="40" t="str">
        <x:v>Background row in the 30% scored pool; title/authors from official July list.</x:v>
      </x:c>
      <x:c r="J219" s="72" t="n">
        <x:v>82</x:v>
      </x:c>
      <x:c r="K219" s="72" t="n">
        <x:v>81</x:v>
      </x:c>
      <x:c r="L219" s="72" t="n">
        <x:v>83</x:v>
      </x:c>
      <x:c r="M219" s="72" t="n">
        <x:v>80</x:v>
      </x:c>
      <x:c r="N219" s="72" t="n">
        <x:v>83</x:v>
      </x:c>
      <x:c r="O219" s="72" t="n">
        <x:v>82</x:v>
      </x:c>
      <x:c r="P219" s="72" t="n">
        <x:v>14</x:v>
      </x:c>
      <x:c r="Q219" s="72" t="n">
        <x:v>8</x:v>
      </x:c>
      <x:c r="R219" s="72" t="n">
        <x:f>ROUND(0.30*J219+0.20*K219+0.25*L219+0.15*M219+0.10*O219,2)</x:f>
        <x:v>81.75</x:v>
      </x:c>
      <x:c r="S219" s="72" t="n">
        <x:f>ROUND(0.30*N219+0.20*L219+0.20*K219+0.15*O219+0.15*(100-P219),2)</x:f>
        <x:v>82.9</x:v>
      </x:c>
      <x:c r="T219" s="72" t="n">
        <x:f>ROUND((R219+S219)/2,2)</x:f>
        <x:v>82.33</x:v>
      </x:c>
      <x:c r="U219" s="40" t="str">
        <x:v>S_eq=(V+S_H)/2; V and S_H equal-weighted</x:v>
      </x:c>
      <x:c r="V219" s="40" t="str">
        <x:v>yes</x:v>
      </x:c>
      <x:c r="W219" s="40" t="str"/>
      <x:c r="X219" s="40" t="str">
        <x:v>July official math.AP list; 734 total; scored pool = ceil(30%)=221</x:v>
      </x:c>
      <x:c r="Y219" s="40" t="str">
        <x:v>Assume main results correct; no line-by-line correctness check.</x:v>
      </x:c>
    </x:row>
    <x:row r="220" ht="38" customHeight="1">
      <x:c r="A220" s="40" t="str">
        <x:v>2607.09574</x:v>
      </x:c>
      <x:c r="B220" s="40" t="str">
        <x:v>2026-07</x:v>
      </x:c>
      <x:c r="C220" s="40" t="str">
        <x:v>math.AP</x:v>
      </x:c>
      <x:c r="D220" s="40" t="str">
        <x:v>kinetic gas</x:v>
      </x:c>
      <x:c r="E220" s="40" t="str">
        <x:v>On Maximal Total Entropy Production Models for Steady Evaporation of a Calorically Perfect Polyatomic Gas</x:v>
      </x:c>
      <x:c r="F220" s="40" t="str">
        <x:v>Niclas Bernhoff; Eddie Wadbro</x:v>
      </x:c>
      <x:c r="G220" s="40" t="n">
        <x:v>16</x:v>
      </x:c>
      <x:c r="H220" s="40" t="str">
        <x:v>https://arxiv.org/abs/2607.09574</x:v>
      </x:c>
      <x:c r="I220" s="40" t="str">
        <x:v>Background row in the 30% scored pool; title/authors from official July list.</x:v>
      </x:c>
      <x:c r="J220" s="72" t="n">
        <x:v>82</x:v>
      </x:c>
      <x:c r="K220" s="72" t="n">
        <x:v>81</x:v>
      </x:c>
      <x:c r="L220" s="72" t="n">
        <x:v>83</x:v>
      </x:c>
      <x:c r="M220" s="72" t="n">
        <x:v>80</x:v>
      </x:c>
      <x:c r="N220" s="72" t="n">
        <x:v>83</x:v>
      </x:c>
      <x:c r="O220" s="72" t="n">
        <x:v>82</x:v>
      </x:c>
      <x:c r="P220" s="72" t="n">
        <x:v>14</x:v>
      </x:c>
      <x:c r="Q220" s="72" t="n">
        <x:v>8</x:v>
      </x:c>
      <x:c r="R220" s="72" t="n">
        <x:f>ROUND(0.30*J220+0.20*K220+0.25*L220+0.15*M220+0.10*O220,2)</x:f>
        <x:v>81.75</x:v>
      </x:c>
      <x:c r="S220" s="72" t="n">
        <x:f>ROUND(0.30*N220+0.20*L220+0.20*K220+0.15*O220+0.15*(100-P220),2)</x:f>
        <x:v>82.9</x:v>
      </x:c>
      <x:c r="T220" s="72" t="n">
        <x:f>ROUND((R220+S220)/2,2)</x:f>
        <x:v>82.33</x:v>
      </x:c>
      <x:c r="U220" s="40" t="str">
        <x:v>S_eq=(V+S_H)/2; V and S_H equal-weighted</x:v>
      </x:c>
      <x:c r="V220" s="40" t="str">
        <x:v>yes</x:v>
      </x:c>
      <x:c r="W220" s="40" t="str"/>
      <x:c r="X220" s="40" t="str">
        <x:v>July official math.AP list; 734 total; scored pool = ceil(30%)=221</x:v>
      </x:c>
      <x:c r="Y220" s="40" t="str">
        <x:v>Assume main results correct; no line-by-line correctness check.</x:v>
      </x:c>
    </x:row>
    <x:row r="221" ht="38" customHeight="1">
      <x:c r="A221" s="40" t="str">
        <x:v>2607.10307</x:v>
      </x:c>
      <x:c r="B221" s="40" t="str">
        <x:v>2026-07</x:v>
      </x:c>
      <x:c r="C221" s="40" t="str">
        <x:v>math.AP</x:v>
      </x:c>
      <x:c r="D221" s="40" t="str">
        <x:v>evolution equations</x:v>
      </x:c>
      <x:c r="E221" s="40" t="str">
        <x:v>Evolutionary boundary delay equations</x:v>
      </x:c>
      <x:c r="F221" s="40" t="str">
        <x:v>Bernhard Aigner</x:v>
      </x:c>
      <x:c r="G221" s="40" t="str">
        <x:v>-</x:v>
      </x:c>
      <x:c r="H221" s="40" t="str">
        <x:v>https://arxiv.org/abs/2607.10307</x:v>
      </x:c>
      <x:c r="I221" s="40" t="str">
        <x:v>Background row in the 30% scored pool; title/authors from official July list.</x:v>
      </x:c>
      <x:c r="J221" s="72" t="n">
        <x:v>82</x:v>
      </x:c>
      <x:c r="K221" s="72" t="n">
        <x:v>81</x:v>
      </x:c>
      <x:c r="L221" s="72" t="n">
        <x:v>83</x:v>
      </x:c>
      <x:c r="M221" s="72" t="n">
        <x:v>80</x:v>
      </x:c>
      <x:c r="N221" s="72" t="n">
        <x:v>83</x:v>
      </x:c>
      <x:c r="O221" s="72" t="n">
        <x:v>82</x:v>
      </x:c>
      <x:c r="P221" s="72" t="n">
        <x:v>14</x:v>
      </x:c>
      <x:c r="Q221" s="72" t="n">
        <x:v>8</x:v>
      </x:c>
      <x:c r="R221" s="72" t="n">
        <x:f>ROUND(0.30*J221+0.20*K221+0.25*L221+0.15*M221+0.10*O221,2)</x:f>
        <x:v>81.75</x:v>
      </x:c>
      <x:c r="S221" s="72" t="n">
        <x:f>ROUND(0.30*N221+0.20*L221+0.20*K221+0.15*O221+0.15*(100-P221),2)</x:f>
        <x:v>82.9</x:v>
      </x:c>
      <x:c r="T221" s="72" t="n">
        <x:f>ROUND((R221+S221)/2,2)</x:f>
        <x:v>82.33</x:v>
      </x:c>
      <x:c r="U221" s="40" t="str">
        <x:v>S_eq=(V+S_H)/2; V and S_H equal-weighted</x:v>
      </x:c>
      <x:c r="V221" s="40" t="str">
        <x:v>yes</x:v>
      </x:c>
      <x:c r="W221" s="40" t="str"/>
      <x:c r="X221" s="40" t="str">
        <x:v>July official math.AP list; 734 total; scored pool = ceil(30%)=221</x:v>
      </x:c>
      <x:c r="Y221" s="40" t="str">
        <x:v>Assume main results correct; no line-by-line correctness check.</x:v>
      </x:c>
    </x:row>
    <x:row r="222" ht="38" customHeight="1">
      <x:c r="A222" s="40" t="str">
        <x:v>2607.11430</x:v>
      </x:c>
      <x:c r="B222" s="40" t="str">
        <x:v>2026-07</x:v>
      </x:c>
      <x:c r="C222" s="40" t="str">
        <x:v>math.AP</x:v>
      </x:c>
      <x:c r="D222" s="40" t="str">
        <x:v>damped waves</x:v>
      </x:c>
      <x:c r="E222" s="40" t="str">
        <x:v>Small data global in-time existence for Nakao's problem in two and three space dimensions</x:v>
      </x:c>
      <x:c r="F222" s="40" t="str">
        <x:v>Wenhui Chen</x:v>
      </x:c>
      <x:c r="G222" s="40" t="str">
        <x:v>-</x:v>
      </x:c>
      <x:c r="H222" s="40" t="str">
        <x:v>https://arxiv.org/abs/2607.11430</x:v>
      </x:c>
      <x:c r="I222" s="40" t="str">
        <x:v>Background row in the 30% scored pool; title/authors from official July list.</x:v>
      </x:c>
      <x:c r="J222" s="72" t="n">
        <x:v>82</x:v>
      </x:c>
      <x:c r="K222" s="72" t="n">
        <x:v>81</x:v>
      </x:c>
      <x:c r="L222" s="72" t="n">
        <x:v>83</x:v>
      </x:c>
      <x:c r="M222" s="72" t="n">
        <x:v>80</x:v>
      </x:c>
      <x:c r="N222" s="72" t="n">
        <x:v>83</x:v>
      </x:c>
      <x:c r="O222" s="72" t="n">
        <x:v>82</x:v>
      </x:c>
      <x:c r="P222" s="72" t="n">
        <x:v>14</x:v>
      </x:c>
      <x:c r="Q222" s="72" t="n">
        <x:v>8</x:v>
      </x:c>
      <x:c r="R222" s="72" t="n">
        <x:f>ROUND(0.30*J222+0.20*K222+0.25*L222+0.15*M222+0.10*O222,2)</x:f>
        <x:v>81.75</x:v>
      </x:c>
      <x:c r="S222" s="72" t="n">
        <x:f>ROUND(0.30*N222+0.20*L222+0.20*K222+0.15*O222+0.15*(100-P222),2)</x:f>
        <x:v>82.9</x:v>
      </x:c>
      <x:c r="T222" s="72" t="n">
        <x:f>ROUND((R222+S222)/2,2)</x:f>
        <x:v>82.33</x:v>
      </x:c>
      <x:c r="U222" s="40" t="str">
        <x:v>S_eq=(V+S_H)/2; V and S_H equal-weighted</x:v>
      </x:c>
      <x:c r="V222" s="40" t="str">
        <x:v>yes</x:v>
      </x:c>
      <x:c r="W222" s="40" t="str"/>
      <x:c r="X222" s="40" t="str">
        <x:v>July official math.AP list; 734 total; scored pool = ceil(30%)=221</x:v>
      </x:c>
      <x:c r="Y222" s="40" t="str">
        <x:v>Assume main results correct; no line-by-line correctness check.</x:v>
      </x:c>
    </x:row>
  </x:sheetData>
  <x:conditionalFormatting sqref="T2:T22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eb27e812d164d6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22" hidden="0" customWidth="1"/>
    <x:col min="5" max="5" width="42" hidden="0" customWidth="1"/>
    <x:col min="6" max="6" width="34" hidden="0" customWidth="1"/>
    <x:col min="7" max="7" width="9" hidden="0" customWidth="1"/>
    <x:col min="8" max="8" width="36" hidden="0" customWidth="1"/>
    <x:col min="9" max="9" width="42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25" hidden="0" customWidth="1"/>
    <x:col min="22" max="22" width="16" hidden="0" customWidth="1"/>
    <x:col min="23" max="23" width="12" hidden="0" customWidth="1"/>
    <x:col min="24" max="24" width="30" hidden="0" customWidth="1"/>
    <x:col min="25" max="25" width="34" hidden="0" customWidth="1"/>
  </x:cols>
  <x:sheetData>
    <x:row r="1" ht="30" customHeight="1">
      <x:c r="A1" s="67" t="str">
        <x:v>arXiv</x:v>
      </x:c>
      <x:c r="B1" s="67" t="str">
        <x:v>month</x:v>
      </x:c>
      <x:c r="C1" s="67" t="str">
        <x:v>AP_status</x:v>
      </x:c>
      <x:c r="D1" s="67" t="str">
        <x:v>theme</x:v>
      </x:c>
      <x:c r="E1" s="67" t="str">
        <x:v>title</x:v>
      </x:c>
      <x:c r="F1" s="67" t="str">
        <x:v>authors</x:v>
      </x:c>
      <x:c r="G1" s="67" t="str">
        <x:v>pages</x:v>
      </x:c>
      <x:c r="H1" s="67" t="str">
        <x:v>source_url</x:v>
      </x:c>
      <x:c r="I1" s="67" t="str">
        <x:v>screening_note</x:v>
      </x:c>
      <x:c r="J1" s="67" t="str">
        <x:v>I</x:v>
      </x:c>
      <x:c r="K1" s="67" t="str">
        <x:v>O</x:v>
      </x:c>
      <x:c r="L1" s="67" t="str">
        <x:v>T</x:v>
      </x:c>
      <x:c r="M1" s="67" t="str">
        <x:v>B</x:v>
      </x:c>
      <x:c r="N1" s="67" t="str">
        <x:v>H</x:v>
      </x:c>
      <x:c r="O1" s="67" t="str">
        <x:v>R</x:v>
      </x:c>
      <x:c r="P1" s="67" t="str">
        <x:v>AI_pct</x:v>
      </x:c>
      <x:c r="Q1" s="67" t="str">
        <x:v>AI_unc</x:v>
      </x:c>
      <x:c r="R1" s="67" t="str">
        <x:v>V</x:v>
      </x:c>
      <x:c r="S1" s="67" t="str">
        <x:v>S_H</x:v>
      </x:c>
      <x:c r="T1" s="67" t="str">
        <x:v>S_eq</x:v>
      </x:c>
      <x:c r="U1" s="67" t="str">
        <x:v>rank_formula</x:v>
      </x:c>
      <x:c r="V1" s="67" t="str">
        <x:v>exact_bibliography</x:v>
      </x:c>
      <x:c r="W1" s="67" t="str">
        <x:v>Top50_flag</x:v>
      </x:c>
      <x:c r="X1" s="67" t="str">
        <x:v>source_batch</x:v>
      </x:c>
      <x:c r="Y1" s="67" t="str">
        <x:v>score_comments</x:v>
      </x:c>
    </x:row>
    <x:row r="2" ht="38" customHeight="1">
      <x:c r="A2" s="40" t="str">
        <x:v>2608.00802</x:v>
      </x:c>
      <x:c r="B2" s="40" t="str">
        <x:v>2026-08</x:v>
      </x:c>
      <x:c r="C2" s="40" t="str">
        <x:v>math.AP</x:v>
      </x:c>
      <x:c r="D2" s="40" t="str">
        <x:v>unique continuation/counterexamples</x:v>
      </x:c>
      <x:c r="E2" s="40" t="str">
        <x:v>Counterexamples to Landis' conjecture in dimensions three and higher</x:v>
      </x:c>
      <x:c r="F2" s="40" t="str">
        <x:v>Rupert L. Frank; Paata Ivanisvili</x:v>
      </x:c>
      <x:c r="G2" s="40" t="n">
        <x:v>34</x:v>
      </x:c>
      <x:c r="H2" s="40" t="str">
        <x:v>https://arxiv.org/abs/2608.00802</x:v>
      </x:c>
      <x:c r="I2" s="40" t="str">
        <x:v>Major counterexample to a famous unique-continuation conjecture; concise and high impact.</x:v>
      </x:c>
      <x:c r="J2" s="72" t="n">
        <x:v>95</x:v>
      </x:c>
      <x:c r="K2" s="72" t="n">
        <x:v>94</x:v>
      </x:c>
      <x:c r="L2" s="72" t="n">
        <x:v>93</x:v>
      </x:c>
      <x:c r="M2" s="72" t="n">
        <x:v>91</x:v>
      </x:c>
      <x:c r="N2" s="72" t="n">
        <x:v>93</x:v>
      </x:c>
      <x:c r="O2" s="72" t="n">
        <x:v>88</x:v>
      </x:c>
      <x:c r="P2" s="72" t="n">
        <x:v>8</x:v>
      </x:c>
      <x:c r="Q2" s="72" t="n">
        <x:v>5</x:v>
      </x:c>
      <x:c r="R2" s="72" t="n">
        <x:f>ROUND(0.30*J2+0.20*K2+0.25*L2+0.15*M2+0.10*O2,2)</x:f>
        <x:v>93</x:v>
      </x:c>
      <x:c r="S2" s="72" t="n">
        <x:f>ROUND(0.30*N2+0.20*L2+0.20*K2+0.15*O2+0.15*(100-P2),2)</x:f>
        <x:v>92.3</x:v>
      </x:c>
      <x:c r="T2" s="72" t="n">
        <x:f>ROUND((R2+S2)/2,2)</x:f>
        <x:v>92.65</x:v>
      </x:c>
      <x:c r="U2" s="40" t="str">
        <x:v>S_eq=(V+S_H)/2; V and S_H equal-weighted</x:v>
      </x:c>
      <x:c r="V2" s="40" t="str">
        <x:v>yes</x:v>
      </x:c>
      <x:c r="W2" s="40" t="str">
        <x:v>Top50</x:v>
      </x:c>
      <x:c r="X2" s="40" t="str">
        <x:v>August official math.AP list; 169 total; scored pool = ceil(30%)=51</x:v>
      </x:c>
      <x:c r="Y2" s="40" t="str">
        <x:v>Assume main results correct; no line-by-line correctness check.</x:v>
      </x:c>
    </x:row>
    <x:row r="3" ht="38" customHeight="1">
      <x:c r="A3" s="40" t="str">
        <x:v>2608.00268</x:v>
      </x:c>
      <x:c r="B3" s="40" t="str">
        <x:v>2026-08</x:v>
      </x:c>
      <x:c r="C3" s="40" t="str">
        <x:v>math.AP</x:v>
      </x:c>
      <x:c r="D3" s="40" t="str">
        <x:v>Schrodinger asymptotics</x:v>
      </x:c>
      <x:c r="E3" s="40" t="str">
        <x:v>A good commutator approach to global asymptotics for Schrodinger equation with variable coefficients</x:v>
      </x:c>
      <x:c r="F3" s="40" t="str">
        <x:v>Sung-Jin Oh; Federico Pasqualotto; Ning Tang</x:v>
      </x:c>
      <x:c r="G3" s="40" t="n">
        <x:v>68</x:v>
      </x:c>
      <x:c r="H3" s="40" t="str">
        <x:v>https://arxiv.org/abs/2608.00268</x:v>
      </x:c>
      <x:c r="I3" s="40" t="str">
        <x:v>Long global asymptotic analysis by leading dispersive/PDE authors.</x:v>
      </x:c>
      <x:c r="J3" s="72" t="n">
        <x:v>94</x:v>
      </x:c>
      <x:c r="K3" s="72" t="n">
        <x:v>92</x:v>
      </x:c>
      <x:c r="L3" s="72" t="n">
        <x:v>94</x:v>
      </x:c>
      <x:c r="M3" s="72" t="n">
        <x:v>90</x:v>
      </x:c>
      <x:c r="N3" s="72" t="n">
        <x:v>94</x:v>
      </x:c>
      <x:c r="O3" s="72" t="n">
        <x:v>86</x:v>
      </x:c>
      <x:c r="P3" s="72" t="n">
        <x:v>10</x:v>
      </x:c>
      <x:c r="Q3" s="72" t="n">
        <x:v>5</x:v>
      </x:c>
      <x:c r="R3" s="72" t="n">
        <x:f>ROUND(0.30*J3+0.20*K3+0.25*L3+0.15*M3+0.10*O3,2)</x:f>
        <x:v>92.2</x:v>
      </x:c>
      <x:c r="S3" s="72" t="n">
        <x:f>ROUND(0.30*N3+0.20*L3+0.20*K3+0.15*O3+0.15*(100-P3),2)</x:f>
        <x:v>91.8</x:v>
      </x:c>
      <x:c r="T3" s="72" t="n">
        <x:f>ROUND((R3+S3)/2,2)</x:f>
        <x:v>92</x:v>
      </x:c>
      <x:c r="U3" s="40" t="str">
        <x:v>S_eq=(V+S_H)/2; V and S_H equal-weighted</x:v>
      </x:c>
      <x:c r="V3" s="40" t="str">
        <x:v>yes</x:v>
      </x:c>
      <x:c r="W3" s="40" t="str">
        <x:v>Top50</x:v>
      </x:c>
      <x:c r="X3" s="40" t="str">
        <x:v>August official math.AP list; 169 total; scored pool = ceil(30%)=51</x:v>
      </x:c>
      <x:c r="Y3" s="40" t="str">
        <x:v>Assume main results correct; no line-by-line correctness check.</x:v>
      </x:c>
    </x:row>
    <x:row r="4" ht="38" customHeight="1">
      <x:c r="A4" s="40" t="str">
        <x:v>2608.01440</x:v>
      </x:c>
      <x:c r="B4" s="40" t="str">
        <x:v>2026-08</x:v>
      </x:c>
      <x:c r="C4" s="40" t="str">
        <x:v>math.AP</x:v>
      </x:c>
      <x:c r="D4" s="40" t="str">
        <x:v>wave equations/harmonic analysis</x:v>
      </x:c>
      <x:c r="E4" s="40" t="str">
        <x:v>Local smoothing for rough wave equations</x:v>
      </x:c>
      <x:c r="F4" s="40" t="str">
        <x:v>Jan Rozendaal; Robert Schippa</x:v>
      </x:c>
      <x:c r="G4" s="40" t="n">
        <x:v>57</x:v>
      </x:c>
      <x:c r="H4" s="40" t="str">
        <x:v>https://arxiv.org/abs/2608.01440</x:v>
      </x:c>
      <x:c r="I4" s="40" t="str">
        <x:v>Rough-coefficient local smoothing; broad dispersive and microlocal relevance.</x:v>
      </x:c>
      <x:c r="J4" s="72" t="n">
        <x:v>92</x:v>
      </x:c>
      <x:c r="K4" s="72" t="n">
        <x:v>91</x:v>
      </x:c>
      <x:c r="L4" s="72" t="n">
        <x:v>93</x:v>
      </x:c>
      <x:c r="M4" s="72" t="n">
        <x:v>89</x:v>
      </x:c>
      <x:c r="N4" s="72" t="n">
        <x:v>93</x:v>
      </x:c>
      <x:c r="O4" s="72" t="n">
        <x:v>86</x:v>
      </x:c>
      <x:c r="P4" s="72" t="n">
        <x:v>10</x:v>
      </x:c>
      <x:c r="Q4" s="72" t="n">
        <x:v>5</x:v>
      </x:c>
      <x:c r="R4" s="72" t="n">
        <x:f>ROUND(0.30*J4+0.20*K4+0.25*L4+0.15*M4+0.10*O4,2)</x:f>
        <x:v>91</x:v>
      </x:c>
      <x:c r="S4" s="72" t="n">
        <x:f>ROUND(0.30*N4+0.20*L4+0.20*K4+0.15*O4+0.15*(100-P4),2)</x:f>
        <x:v>91.1</x:v>
      </x:c>
      <x:c r="T4" s="72" t="n">
        <x:f>ROUND((R4+S4)/2,2)</x:f>
        <x:v>91.05</x:v>
      </x:c>
      <x:c r="U4" s="40" t="str">
        <x:v>S_eq=(V+S_H)/2; V and S_H equal-weighted</x:v>
      </x:c>
      <x:c r="V4" s="40" t="str">
        <x:v>yes</x:v>
      </x:c>
      <x:c r="W4" s="40" t="str">
        <x:v>Top50</x:v>
      </x:c>
      <x:c r="X4" s="40" t="str">
        <x:v>August official math.AP list; 169 total; scored pool = ceil(30%)=51</x:v>
      </x:c>
      <x:c r="Y4" s="40" t="str">
        <x:v>Assume main results correct; no line-by-line correctness check.</x:v>
      </x:c>
    </x:row>
    <x:row r="5" ht="38" customHeight="1">
      <x:c r="A5" s="40" t="str">
        <x:v>2608.06344</x:v>
      </x:c>
      <x:c r="B5" s="40" t="str">
        <x:v>2026-08</x:v>
      </x:c>
      <x:c r="C5" s="40" t="str">
        <x:v>math.AP</x:v>
      </x:c>
      <x:c r="D5" s="40" t="str">
        <x:v>Aubry-Mather/variational PDE</x:v>
      </x:c>
      <x:c r="E5" s="40" t="str">
        <x:v>A General Aubry-Mather Theory</x:v>
      </x:c>
      <x:c r="F5" s="40" t="str">
        <x:v>Nassif Ghoussoub</x:v>
      </x:c>
      <x:c r="G5" s="40" t="n">
        <x:v>33</x:v>
      </x:c>
      <x:c r="H5" s="40" t="str">
        <x:v>https://arxiv.org/abs/2608.06344</x:v>
      </x:c>
      <x:c r="I5" s="40" t="str">
        <x:v>Conceptual variational theory with broad potential influence.</x:v>
      </x:c>
      <x:c r="J5" s="72" t="n">
        <x:v>92</x:v>
      </x:c>
      <x:c r="K5" s="72" t="n">
        <x:v>92</x:v>
      </x:c>
      <x:c r="L5" s="72" t="n">
        <x:v>91</x:v>
      </x:c>
      <x:c r="M5" s="72" t="n">
        <x:v>89</x:v>
      </x:c>
      <x:c r="N5" s="72" t="n">
        <x:v>91</x:v>
      </x:c>
      <x:c r="O5" s="72" t="n">
        <x:v>87</x:v>
      </x:c>
      <x:c r="P5" s="72" t="n">
        <x:v>9</x:v>
      </x:c>
      <x:c r="Q5" s="72" t="n">
        <x:v>5</x:v>
      </x:c>
      <x:c r="R5" s="72" t="n">
        <x:f>ROUND(0.30*J5+0.20*K5+0.25*L5+0.15*M5+0.10*O5,2)</x:f>
        <x:v>90.8</x:v>
      </x:c>
      <x:c r="S5" s="72" t="n">
        <x:f>ROUND(0.30*N5+0.20*L5+0.20*K5+0.15*O5+0.15*(100-P5),2)</x:f>
        <x:v>90.6</x:v>
      </x:c>
      <x:c r="T5" s="72" t="n">
        <x:f>ROUND((R5+S5)/2,2)</x:f>
        <x:v>90.7</x:v>
      </x:c>
      <x:c r="U5" s="40" t="str">
        <x:v>S_eq=(V+S_H)/2; V and S_H equal-weighted</x:v>
      </x:c>
      <x:c r="V5" s="40" t="str">
        <x:v>yes</x:v>
      </x:c>
      <x:c r="W5" s="40" t="str">
        <x:v>Top50</x:v>
      </x:c>
      <x:c r="X5" s="40" t="str">
        <x:v>August official math.AP list; 169 total; scored pool = ceil(30%)=51</x:v>
      </x:c>
      <x:c r="Y5" s="40" t="str">
        <x:v>Assume main results correct; no line-by-line correctness check.</x:v>
      </x:c>
    </x:row>
    <x:row r="6" ht="38" customHeight="1">
      <x:c r="A6" s="40" t="str">
        <x:v>2608.02033</x:v>
      </x:c>
      <x:c r="B6" s="40" t="str">
        <x:v>2026-08</x:v>
      </x:c>
      <x:c r="C6" s="40" t="str">
        <x:v>math.AP</x:v>
      </x:c>
      <x:c r="D6" s="40" t="str">
        <x:v>vortex patches</x:v>
      </x:c>
      <x:c r="E6" s="40" t="str">
        <x:v>A unified theory for regularity persistence of vortex patch boundaries</x:v>
      </x:c>
      <x:c r="F6" s="40" t="str">
        <x:v>Marc Magana</x:v>
      </x:c>
      <x:c r="G6" s="40" t="str">
        <x:v>-</x:v>
      </x:c>
      <x:c r="H6" s="40" t="str">
        <x:v>https://arxiv.org/abs/2608.02033</x:v>
      </x:c>
      <x:c r="I6" s="40" t="str">
        <x:v>Unified persistence theory for vortex-patch regularity.</x:v>
      </x:c>
      <x:c r="J6" s="72" t="n">
        <x:v>91</x:v>
      </x:c>
      <x:c r="K6" s="72" t="n">
        <x:v>90</x:v>
      </x:c>
      <x:c r="L6" s="72" t="n">
        <x:v>92</x:v>
      </x:c>
      <x:c r="M6" s="72" t="n">
        <x:v>88</x:v>
      </x:c>
      <x:c r="N6" s="72" t="n">
        <x:v>92</x:v>
      </x:c>
      <x:c r="O6" s="72" t="n">
        <x:v>86</x:v>
      </x:c>
      <x:c r="P6" s="72" t="n">
        <x:v>10</x:v>
      </x:c>
      <x:c r="Q6" s="72" t="n">
        <x:v>5</x:v>
      </x:c>
      <x:c r="R6" s="72" t="n">
        <x:f>ROUND(0.30*J6+0.20*K6+0.25*L6+0.15*M6+0.10*O6,2)</x:f>
        <x:v>90.1</x:v>
      </x:c>
      <x:c r="S6" s="72" t="n">
        <x:f>ROUND(0.30*N6+0.20*L6+0.20*K6+0.15*O6+0.15*(100-P6),2)</x:f>
        <x:v>90.4</x:v>
      </x:c>
      <x:c r="T6" s="72" t="n">
        <x:f>ROUND((R6+S6)/2,2)</x:f>
        <x:v>90.25</x:v>
      </x:c>
      <x:c r="U6" s="40" t="str">
        <x:v>S_eq=(V+S_H)/2; V and S_H equal-weighted</x:v>
      </x:c>
      <x:c r="V6" s="40" t="str">
        <x:v>yes</x:v>
      </x:c>
      <x:c r="W6" s="40" t="str">
        <x:v>Top50</x:v>
      </x:c>
      <x:c r="X6" s="40" t="str">
        <x:v>August official math.AP list; 169 total; scored pool = ceil(30%)=51</x:v>
      </x:c>
      <x:c r="Y6" s="40" t="str">
        <x:v>Assume main results correct; no line-by-line correctness check.</x:v>
      </x:c>
    </x:row>
    <x:row r="7" ht="38" customHeight="1">
      <x:c r="A7" s="40" t="str">
        <x:v>2608.01508</x:v>
      </x:c>
      <x:c r="B7" s="40" t="str">
        <x:v>2026-08</x:v>
      </x:c>
      <x:c r="C7" s="40" t="str">
        <x:v>math.AP</x:v>
      </x:c>
      <x:c r="D7" s="40" t="str">
        <x:v>free boundary/fully nonlinear</x:v>
      </x:c>
      <x:c r="E7" s="40" t="str">
        <x:v>Free Boundary Regularity for Non-Convex Fully Nonlinear Alt-Phillips Problems</x:v>
      </x:c>
      <x:c r="F7" s="40" t="str">
        <x:v>Alvis Zahl</x:v>
      </x:c>
      <x:c r="G7" s="40" t="str">
        <x:v>-</x:v>
      </x:c>
      <x:c r="H7" s="40" t="str">
        <x:v>https://arxiv.org/abs/2608.01508</x:v>
      </x:c>
      <x:c r="I7" s="40" t="str">
        <x:v>Sharp free-boundary regularity in a nonconvex fully nonlinear setting.</x:v>
      </x:c>
      <x:c r="J7" s="72" t="n">
        <x:v>91</x:v>
      </x:c>
      <x:c r="K7" s="72" t="n">
        <x:v>90</x:v>
      </x:c>
      <x:c r="L7" s="72" t="n">
        <x:v>92</x:v>
      </x:c>
      <x:c r="M7" s="72" t="n">
        <x:v>88</x:v>
      </x:c>
      <x:c r="N7" s="72" t="n">
        <x:v>92</x:v>
      </x:c>
      <x:c r="O7" s="72" t="n">
        <x:v>85</x:v>
      </x:c>
      <x:c r="P7" s="72" t="n">
        <x:v>10</x:v>
      </x:c>
      <x:c r="Q7" s="72" t="n">
        <x:v>5</x:v>
      </x:c>
      <x:c r="R7" s="72" t="n">
        <x:f>ROUND(0.30*J7+0.20*K7+0.25*L7+0.15*M7+0.10*O7,2)</x:f>
        <x:v>90</x:v>
      </x:c>
      <x:c r="S7" s="72" t="n">
        <x:f>ROUND(0.30*N7+0.20*L7+0.20*K7+0.15*O7+0.15*(100-P7),2)</x:f>
        <x:v>90.25</x:v>
      </x:c>
      <x:c r="T7" s="72" t="n">
        <x:f>ROUND((R7+S7)/2,2)</x:f>
        <x:v>90.13</x:v>
      </x:c>
      <x:c r="U7" s="40" t="str">
        <x:v>S_eq=(V+S_H)/2; V and S_H equal-weighted</x:v>
      </x:c>
      <x:c r="V7" s="40" t="str">
        <x:v>yes</x:v>
      </x:c>
      <x:c r="W7" s="40" t="str">
        <x:v>Top50</x:v>
      </x:c>
      <x:c r="X7" s="40" t="str">
        <x:v>August official math.AP list; 169 total; scored pool = ceil(30%)=51</x:v>
      </x:c>
      <x:c r="Y7" s="40" t="str">
        <x:v>Assume main results correct; no line-by-line correctness check.</x:v>
      </x:c>
    </x:row>
    <x:row r="8" ht="38" customHeight="1">
      <x:c r="A8" s="40" t="str">
        <x:v>2608.05994</x:v>
      </x:c>
      <x:c r="B8" s="40" t="str">
        <x:v>2026-08</x:v>
      </x:c>
      <x:c r="C8" s="40" t="str">
        <x:v>math.AP</x:v>
      </x:c>
      <x:c r="D8" s="40" t="str">
        <x:v>steady MHD</x:v>
      </x:c>
      <x:c r="E8" s="40" t="str">
        <x:v>The Prandtl-Batchelor and flux-expulsion selections for steady MHD flows in a disk</x:v>
      </x:c>
      <x:c r="F8" s="40" t="str">
        <x:v>Chen Gao; Zhiwu Lin; Jianfeng Zhao</x:v>
      </x:c>
      <x:c r="G8" s="40" t="n">
        <x:v>76</x:v>
      </x:c>
      <x:c r="H8" s="40" t="str">
        <x:v>https://arxiv.org/abs/2608.05994</x:v>
      </x:c>
      <x:c r="I8" s="40" t="str">
        <x:v>Large steady MHD selection result; strong fluid-mechanics relevance.</x:v>
      </x:c>
      <x:c r="J8" s="72" t="n">
        <x:v>91</x:v>
      </x:c>
      <x:c r="K8" s="72" t="n">
        <x:v>90</x:v>
      </x:c>
      <x:c r="L8" s="72" t="n">
        <x:v>92</x:v>
      </x:c>
      <x:c r="M8" s="72" t="n">
        <x:v>88</x:v>
      </x:c>
      <x:c r="N8" s="72" t="n">
        <x:v>92</x:v>
      </x:c>
      <x:c r="O8" s="72" t="n">
        <x:v>85</x:v>
      </x:c>
      <x:c r="P8" s="72" t="n">
        <x:v>11</x:v>
      </x:c>
      <x:c r="Q8" s="72" t="n">
        <x:v>6</x:v>
      </x:c>
      <x:c r="R8" s="72" t="n">
        <x:f>ROUND(0.30*J8+0.20*K8+0.25*L8+0.15*M8+0.10*O8,2)</x:f>
        <x:v>90</x:v>
      </x:c>
      <x:c r="S8" s="72" t="n">
        <x:f>ROUND(0.30*N8+0.20*L8+0.20*K8+0.15*O8+0.15*(100-P8),2)</x:f>
        <x:v>90.1</x:v>
      </x:c>
      <x:c r="T8" s="72" t="n">
        <x:f>ROUND((R8+S8)/2,2)</x:f>
        <x:v>90.05</x:v>
      </x:c>
      <x:c r="U8" s="40" t="str">
        <x:v>S_eq=(V+S_H)/2; V and S_H equal-weighted</x:v>
      </x:c>
      <x:c r="V8" s="40" t="str">
        <x:v>yes</x:v>
      </x:c>
      <x:c r="W8" s="40" t="str">
        <x:v>Top50</x:v>
      </x:c>
      <x:c r="X8" s="40" t="str">
        <x:v>August official math.AP list; 169 total; scored pool = ceil(30%)=51</x:v>
      </x:c>
      <x:c r="Y8" s="40" t="str">
        <x:v>Assume main results correct; no line-by-line correctness check.</x:v>
      </x:c>
    </x:row>
    <x:row r="9" ht="38" customHeight="1">
      <x:c r="A9" s="40" t="str">
        <x:v>2608.04402</x:v>
      </x:c>
      <x:c r="B9" s="40" t="str">
        <x:v>2026-08</x:v>
      </x:c>
      <x:c r="C9" s="40" t="str">
        <x:v>math.AP</x:v>
      </x:c>
      <x:c r="D9" s="40" t="str">
        <x:v>Vlasov-Hartree/scattering</x:v>
      </x:c>
      <x:c r="E9" s="40" t="str">
        <x:v>Long-Time Dynamics and Modified Scattering for Coulomb Vlasov-Hartree</x:v>
      </x:c>
      <x:c r="F9" s="40" t="str">
        <x:v>Wenrui Huang; Mengyi Xie</x:v>
      </x:c>
      <x:c r="G9" s="40" t="str">
        <x:v>-</x:v>
      </x:c>
      <x:c r="H9" s="40" t="str">
        <x:v>https://arxiv.org/abs/2608.04402</x:v>
      </x:c>
      <x:c r="I9" s="40" t="str">
        <x:v>Modified scattering and long-time dynamics in Coulomb Vlasov-Hartree.</x:v>
      </x:c>
      <x:c r="J9" s="72" t="n">
        <x:v>91</x:v>
      </x:c>
      <x:c r="K9" s="72" t="n">
        <x:v>89</x:v>
      </x:c>
      <x:c r="L9" s="72" t="n">
        <x:v>92</x:v>
      </x:c>
      <x:c r="M9" s="72" t="n">
        <x:v>88</x:v>
      </x:c>
      <x:c r="N9" s="72" t="n">
        <x:v>92</x:v>
      </x:c>
      <x:c r="O9" s="72" t="n">
        <x:v>85</x:v>
      </x:c>
      <x:c r="P9" s="72" t="n">
        <x:v>10</x:v>
      </x:c>
      <x:c r="Q9" s="72" t="n">
        <x:v>5</x:v>
      </x:c>
      <x:c r="R9" s="72" t="n">
        <x:f>ROUND(0.30*J9+0.20*K9+0.25*L9+0.15*M9+0.10*O9,2)</x:f>
        <x:v>89.8</x:v>
      </x:c>
      <x:c r="S9" s="72" t="n">
        <x:f>ROUND(0.30*N9+0.20*L9+0.20*K9+0.15*O9+0.15*(100-P9),2)</x:f>
        <x:v>90.05</x:v>
      </x:c>
      <x:c r="T9" s="72" t="n">
        <x:f>ROUND((R9+S9)/2,2)</x:f>
        <x:v>89.93</x:v>
      </x:c>
      <x:c r="U9" s="40" t="str">
        <x:v>S_eq=(V+S_H)/2; V and S_H equal-weighted</x:v>
      </x:c>
      <x:c r="V9" s="40" t="str">
        <x:v>yes</x:v>
      </x:c>
      <x:c r="W9" s="40" t="str">
        <x:v>Top50</x:v>
      </x:c>
      <x:c r="X9" s="40" t="str">
        <x:v>August official math.AP list; 169 total; scored pool = ceil(30%)=51</x:v>
      </x:c>
      <x:c r="Y9" s="40" t="str">
        <x:v>Assume main results correct; no line-by-line correctness check.</x:v>
      </x:c>
    </x:row>
    <x:row r="10" ht="38" customHeight="1">
      <x:c r="A10" s="40" t="str">
        <x:v>2608.00438</x:v>
      </x:c>
      <x:c r="B10" s="40" t="str">
        <x:v>2026-08</x:v>
      </x:c>
      <x:c r="C10" s="40" t="str">
        <x:v>math.AP</x:v>
      </x:c>
      <x:c r="D10" s="40" t="str">
        <x:v>Hamilton-Jacobi homogenization</x:v>
      </x:c>
      <x:c r="E10" s="40" t="str">
        <x:v>Homogenization of viscous sublinear Hamilton-Jacobi equations with u/epsilon-dependence</x:v>
      </x:c>
      <x:c r="F10" s="40" t="str">
        <x:v>Guyu Jin</x:v>
      </x:c>
      <x:c r="G10" s="40" t="n">
        <x:v>47</x:v>
      </x:c>
      <x:c r="H10" s="40" t="str">
        <x:v>https://arxiv.org/abs/2608.00438</x:v>
      </x:c>
      <x:c r="I10" s="40" t="str">
        <x:v>Strong homogenization contribution with nonstandard dependence.</x:v>
      </x:c>
      <x:c r="J10" s="72" t="n">
        <x:v>91</x:v>
      </x:c>
      <x:c r="K10" s="72" t="n">
        <x:v>89</x:v>
      </x:c>
      <x:c r="L10" s="72" t="n">
        <x:v>91</x:v>
      </x:c>
      <x:c r="M10" s="72" t="n">
        <x:v>87</x:v>
      </x:c>
      <x:c r="N10" s="72" t="n">
        <x:v>91</x:v>
      </x:c>
      <x:c r="O10" s="72" t="n">
        <x:v>86</x:v>
      </x:c>
      <x:c r="P10" s="72" t="n">
        <x:v>10</x:v>
      </x:c>
      <x:c r="Q10" s="72" t="n">
        <x:v>5</x:v>
      </x:c>
      <x:c r="R10" s="72" t="n">
        <x:f>ROUND(0.30*J10+0.20*K10+0.25*L10+0.15*M10+0.10*O10,2)</x:f>
        <x:v>89.5</x:v>
      </x:c>
      <x:c r="S10" s="72" t="n">
        <x:f>ROUND(0.30*N10+0.20*L10+0.20*K10+0.15*O10+0.15*(100-P10),2)</x:f>
        <x:v>89.7</x:v>
      </x:c>
      <x:c r="T10" s="72" t="n">
        <x:f>ROUND((R10+S10)/2,2)</x:f>
        <x:v>89.6</x:v>
      </x:c>
      <x:c r="U10" s="40" t="str">
        <x:v>S_eq=(V+S_H)/2; V and S_H equal-weighted</x:v>
      </x:c>
      <x:c r="V10" s="40" t="str">
        <x:v>yes</x:v>
      </x:c>
      <x:c r="W10" s="40" t="str">
        <x:v>Top50</x:v>
      </x:c>
      <x:c r="X10" s="40" t="str">
        <x:v>August official math.AP list; 169 total; scored pool = ceil(30%)=51</x:v>
      </x:c>
      <x:c r="Y10" s="40" t="str">
        <x:v>Assume main results correct; no line-by-line correctness check.</x:v>
      </x:c>
    </x:row>
    <x:row r="11" ht="38" customHeight="1">
      <x:c r="A11" s="40" t="str">
        <x:v>2608.06173</x:v>
      </x:c>
      <x:c r="B11" s="40" t="str">
        <x:v>2026-08</x:v>
      </x:c>
      <x:c r="C11" s="40" t="str">
        <x:v>math.AP</x:v>
      </x:c>
      <x:c r="D11" s="40" t="str">
        <x:v>compressible Navier-Stokes/shocks</x:v>
      </x:c>
      <x:c r="E11" s="40" t="str">
        <x:v>Vanishing viscosity limit to two interacting shocks from the same family for compressible Navier-Stokes equations</x:v>
      </x:c>
      <x:c r="F11" s="40" t="str">
        <x:v>Lin-An Li; Dehua Wang; Yi Wang</x:v>
      </x:c>
      <x:c r="G11" s="40" t="str">
        <x:v>-</x:v>
      </x:c>
      <x:c r="H11" s="40" t="str">
        <x:v>https://arxiv.org/abs/2608.06173</x:v>
      </x:c>
      <x:c r="I11" s="40" t="str">
        <x:v>Difficult shock interaction limit for compressible NS.</x:v>
      </x:c>
      <x:c r="J11" s="72" t="n">
        <x:v>90</x:v>
      </x:c>
      <x:c r="K11" s="72" t="n">
        <x:v>89</x:v>
      </x:c>
      <x:c r="L11" s="72" t="n">
        <x:v>92</x:v>
      </x:c>
      <x:c r="M11" s="72" t="n">
        <x:v>87</x:v>
      </x:c>
      <x:c r="N11" s="72" t="n">
        <x:v>92</x:v>
      </x:c>
      <x:c r="O11" s="72" t="n">
        <x:v>84</x:v>
      </x:c>
      <x:c r="P11" s="72" t="n">
        <x:v>11</x:v>
      </x:c>
      <x:c r="Q11" s="72" t="n">
        <x:v>6</x:v>
      </x:c>
      <x:c r="R11" s="72" t="n">
        <x:f>ROUND(0.30*J11+0.20*K11+0.25*L11+0.15*M11+0.10*O11,2)</x:f>
        <x:v>89.25</x:v>
      </x:c>
      <x:c r="S11" s="72" t="n">
        <x:f>ROUND(0.30*N11+0.20*L11+0.20*K11+0.15*O11+0.15*(100-P11),2)</x:f>
        <x:v>89.75</x:v>
      </x:c>
      <x:c r="T11" s="72" t="n">
        <x:f>ROUND((R11+S11)/2,2)</x:f>
        <x:v>89.5</x:v>
      </x:c>
      <x:c r="U11" s="40" t="str">
        <x:v>S_eq=(V+S_H)/2; V and S_H equal-weighted</x:v>
      </x:c>
      <x:c r="V11" s="40" t="str">
        <x:v>yes</x:v>
      </x:c>
      <x:c r="W11" s="40" t="str">
        <x:v>Top50</x:v>
      </x:c>
      <x:c r="X11" s="40" t="str">
        <x:v>August official math.AP list; 169 total; scored pool = ceil(30%)=51</x:v>
      </x:c>
      <x:c r="Y11" s="40" t="str">
        <x:v>Assume main results correct; no line-by-line correctness check.</x:v>
      </x:c>
    </x:row>
    <x:row r="12" ht="38" customHeight="1">
      <x:c r="A12" s="40" t="str">
        <x:v>2608.00430</x:v>
      </x:c>
      <x:c r="B12" s="40" t="str">
        <x:v>2026-08</x:v>
      </x:c>
      <x:c r="C12" s="40" t="str">
        <x:v>math.AP</x:v>
      </x:c>
      <x:c r="D12" s="40" t="str">
        <x:v>Muskat/free-boundary fluids</x:v>
      </x:c>
      <x:c r="E12" s="40" t="str">
        <x:v>Self-similar solutions of the 3D Muskat problem with surface tension</x:v>
      </x:c>
      <x:c r="F12" s="40" t="str">
        <x:v>Lizhe Wan; Jiaqi Yang</x:v>
      </x:c>
      <x:c r="G12" s="40" t="n">
        <x:v>40</x:v>
      </x:c>
      <x:c r="H12" s="40" t="str">
        <x:v>https://arxiv.org/abs/2608.00430</x:v>
      </x:c>
      <x:c r="I12" s="40" t="str">
        <x:v>Self-similar 3D Muskat construction with surface tension.</x:v>
      </x:c>
      <x:c r="J12" s="72" t="n">
        <x:v>90</x:v>
      </x:c>
      <x:c r="K12" s="72" t="n">
        <x:v>89</x:v>
      </x:c>
      <x:c r="L12" s="72" t="n">
        <x:v>91</x:v>
      </x:c>
      <x:c r="M12" s="72" t="n">
        <x:v>87</x:v>
      </x:c>
      <x:c r="N12" s="72" t="n">
        <x:v>91</x:v>
      </x:c>
      <x:c r="O12" s="72" t="n">
        <x:v>85</x:v>
      </x:c>
      <x:c r="P12" s="72" t="n">
        <x:v>10</x:v>
      </x:c>
      <x:c r="Q12" s="72" t="n">
        <x:v>5</x:v>
      </x:c>
      <x:c r="R12" s="72" t="n">
        <x:f>ROUND(0.30*J12+0.20*K12+0.25*L12+0.15*M12+0.10*O12,2)</x:f>
        <x:v>89.1</x:v>
      </x:c>
      <x:c r="S12" s="72" t="n">
        <x:f>ROUND(0.30*N12+0.20*L12+0.20*K12+0.15*O12+0.15*(100-P12),2)</x:f>
        <x:v>89.55</x:v>
      </x:c>
      <x:c r="T12" s="72" t="n">
        <x:f>ROUND((R12+S12)/2,2)</x:f>
        <x:v>89.32</x:v>
      </x:c>
      <x:c r="U12" s="40" t="str">
        <x:v>S_eq=(V+S_H)/2; V and S_H equal-weighted</x:v>
      </x:c>
      <x:c r="V12" s="40" t="str">
        <x:v>yes</x:v>
      </x:c>
      <x:c r="W12" s="40" t="str">
        <x:v>Top50</x:v>
      </x:c>
      <x:c r="X12" s="40" t="str">
        <x:v>August official math.AP list; 169 total; scored pool = ceil(30%)=51</x:v>
      </x:c>
      <x:c r="Y12" s="40" t="str">
        <x:v>Assume main results correct; no line-by-line correctness check.</x:v>
      </x:c>
    </x:row>
    <x:row r="13" ht="38" customHeight="1">
      <x:c r="A13" s="40" t="str">
        <x:v>2608.00951</x:v>
      </x:c>
      <x:c r="B13" s="40" t="str">
        <x:v>2026-08</x:v>
      </x:c>
      <x:c r="C13" s="40" t="str">
        <x:v>math.AP</x:v>
      </x:c>
      <x:c r="D13" s="40" t="str">
        <x:v>energy-supercritical NLS</x:v>
      </x:c>
      <x:c r="E13" s="40" t="str">
        <x:v>Global well-posedness and scattering for defocusing energy supercritical nonlinear Schrodinger equations in high dimensions</x:v>
      </x:c>
      <x:c r="F13" s="40" t="str">
        <x:v>Xuan Liu</x:v>
      </x:c>
      <x:c r="G13" s="40" t="str">
        <x:v>-</x:v>
      </x:c>
      <x:c r="H13" s="40" t="str">
        <x:v>https://arxiv.org/abs/2608.00951</x:v>
      </x:c>
      <x:c r="I13" s="40" t="str">
        <x:v>High-dimensional energy-supercritical NLS scattering.</x:v>
      </x:c>
      <x:c r="J13" s="72" t="n">
        <x:v>90</x:v>
      </x:c>
      <x:c r="K13" s="72" t="n">
        <x:v>89</x:v>
      </x:c>
      <x:c r="L13" s="72" t="n">
        <x:v>91</x:v>
      </x:c>
      <x:c r="M13" s="72" t="n">
        <x:v>87</x:v>
      </x:c>
      <x:c r="N13" s="72" t="n">
        <x:v>91</x:v>
      </x:c>
      <x:c r="O13" s="72" t="n">
        <x:v>85</x:v>
      </x:c>
      <x:c r="P13" s="72" t="n">
        <x:v>10</x:v>
      </x:c>
      <x:c r="Q13" s="72" t="n">
        <x:v>5</x:v>
      </x:c>
      <x:c r="R13" s="72" t="n">
        <x:f>ROUND(0.30*J13+0.20*K13+0.25*L13+0.15*M13+0.10*O13,2)</x:f>
        <x:v>89.1</x:v>
      </x:c>
      <x:c r="S13" s="72" t="n">
        <x:f>ROUND(0.30*N13+0.20*L13+0.20*K13+0.15*O13+0.15*(100-P13),2)</x:f>
        <x:v>89.55</x:v>
      </x:c>
      <x:c r="T13" s="72" t="n">
        <x:f>ROUND((R13+S13)/2,2)</x:f>
        <x:v>89.32</x:v>
      </x:c>
      <x:c r="U13" s="40" t="str">
        <x:v>S_eq=(V+S_H)/2; V and S_H equal-weighted</x:v>
      </x:c>
      <x:c r="V13" s="40" t="str">
        <x:v>yes</x:v>
      </x:c>
      <x:c r="W13" s="40" t="str">
        <x:v>Top50</x:v>
      </x:c>
      <x:c r="X13" s="40" t="str">
        <x:v>August official math.AP list; 169 total; scored pool = ceil(30%)=51</x:v>
      </x:c>
      <x:c r="Y13" s="40" t="str">
        <x:v>Assume main results correct; no line-by-line correctness check.</x:v>
      </x:c>
    </x:row>
    <x:row r="14" ht="38" customHeight="1">
      <x:c r="A14" s="40" t="str">
        <x:v>2608.04422</x:v>
      </x:c>
      <x:c r="B14" s="40" t="str">
        <x:v>2026-08</x:v>
      </x:c>
      <x:c r="C14" s="40" t="str">
        <x:v>math.AP</x:v>
      </x:c>
      <x:c r="D14" s="40" t="str">
        <x:v>Hessian/Lane-Emden</x:v>
      </x:c>
      <x:c r="E14" s="40" t="str">
        <x:v>Optimal Rigidity and Classification for k-Hessian Lane-Emden Equations</x:v>
      </x:c>
      <x:c r="F14" s="40" t="str">
        <x:v>Wei Dai; Jingze Fu; Changfeng Gui; Guolin Qin</x:v>
      </x:c>
      <x:c r="G14" s="40" t="str">
        <x:v>-</x:v>
      </x:c>
      <x:c r="H14" s="40" t="str">
        <x:v>https://arxiv.org/abs/2608.04422</x:v>
      </x:c>
      <x:c r="I14" s="40" t="str">
        <x:v>Rigidity and classification for nonlinear Hessian equations.</x:v>
      </x:c>
      <x:c r="J14" s="72" t="n">
        <x:v>90</x:v>
      </x:c>
      <x:c r="K14" s="72" t="n">
        <x:v>89</x:v>
      </x:c>
      <x:c r="L14" s="72" t="n">
        <x:v>91</x:v>
      </x:c>
      <x:c r="M14" s="72" t="n">
        <x:v>87</x:v>
      </x:c>
      <x:c r="N14" s="72" t="n">
        <x:v>91</x:v>
      </x:c>
      <x:c r="O14" s="72" t="n">
        <x:v>85</x:v>
      </x:c>
      <x:c r="P14" s="72" t="n">
        <x:v>10</x:v>
      </x:c>
      <x:c r="Q14" s="72" t="n">
        <x:v>5</x:v>
      </x:c>
      <x:c r="R14" s="72" t="n">
        <x:f>ROUND(0.30*J14+0.20*K14+0.25*L14+0.15*M14+0.10*O14,2)</x:f>
        <x:v>89.1</x:v>
      </x:c>
      <x:c r="S14" s="72" t="n">
        <x:f>ROUND(0.30*N14+0.20*L14+0.20*K14+0.15*O14+0.15*(100-P14),2)</x:f>
        <x:v>89.55</x:v>
      </x:c>
      <x:c r="T14" s="72" t="n">
        <x:f>ROUND((R14+S14)/2,2)</x:f>
        <x:v>89.32</x:v>
      </x:c>
      <x:c r="U14" s="40" t="str">
        <x:v>S_eq=(V+S_H)/2; V and S_H equal-weighted</x:v>
      </x:c>
      <x:c r="V14" s="40" t="str">
        <x:v>yes</x:v>
      </x:c>
      <x:c r="W14" s="40" t="str">
        <x:v>Top50</x:v>
      </x:c>
      <x:c r="X14" s="40" t="str">
        <x:v>August official math.AP list; 169 total; scored pool = ceil(30%)=51</x:v>
      </x:c>
      <x:c r="Y14" s="40" t="str">
        <x:v>Assume main results correct; no line-by-line correctness check.</x:v>
      </x:c>
    </x:row>
    <x:row r="15" ht="38" customHeight="1">
      <x:c r="A15" s="40" t="str">
        <x:v>2608.04908</x:v>
      </x:c>
      <x:c r="B15" s="40" t="str">
        <x:v>2026-08</x:v>
      </x:c>
      <x:c r="C15" s="40" t="str">
        <x:v>math.AP</x:v>
      </x:c>
      <x:c r="D15" s="40" t="str">
        <x:v>liquid crystals/variational PDE</x:v>
      </x:c>
      <x:c r="E15" s="40" t="str">
        <x:v>On the absence of point defects in biaxial Landau-de Gennes theory</x:v>
      </x:c>
      <x:c r="F15" s="40" t="str">
        <x:v>Haotong Fu; Huaijie Wang; Wei Wang; Zhifei Zhang</x:v>
      </x:c>
      <x:c r="G15" s="40" t="n">
        <x:v>28</x:v>
      </x:c>
      <x:c r="H15" s="40" t="str">
        <x:v>https://arxiv.org/abs/2608.04908</x:v>
      </x:c>
      <x:c r="I15" s="40" t="str">
        <x:v>Variational regularity/exclusion result in Landau-de Gennes theory.</x:v>
      </x:c>
      <x:c r="J15" s="72" t="n">
        <x:v>90</x:v>
      </x:c>
      <x:c r="K15" s="72" t="n">
        <x:v>89</x:v>
      </x:c>
      <x:c r="L15" s="72" t="n">
        <x:v>91</x:v>
      </x:c>
      <x:c r="M15" s="72" t="n">
        <x:v>87</x:v>
      </x:c>
      <x:c r="N15" s="72" t="n">
        <x:v>91</x:v>
      </x:c>
      <x:c r="O15" s="72" t="n">
        <x:v>85</x:v>
      </x:c>
      <x:c r="P15" s="72" t="n">
        <x:v>10</x:v>
      </x:c>
      <x:c r="Q15" s="72" t="n">
        <x:v>5</x:v>
      </x:c>
      <x:c r="R15" s="72" t="n">
        <x:f>ROUND(0.30*J15+0.20*K15+0.25*L15+0.15*M15+0.10*O15,2)</x:f>
        <x:v>89.1</x:v>
      </x:c>
      <x:c r="S15" s="72" t="n">
        <x:f>ROUND(0.30*N15+0.20*L15+0.20*K15+0.15*O15+0.15*(100-P15),2)</x:f>
        <x:v>89.55</x:v>
      </x:c>
      <x:c r="T15" s="72" t="n">
        <x:f>ROUND((R15+S15)/2,2)</x:f>
        <x:v>89.32</x:v>
      </x:c>
      <x:c r="U15" s="40" t="str">
        <x:v>S_eq=(V+S_H)/2; V and S_H equal-weighted</x:v>
      </x:c>
      <x:c r="V15" s="40" t="str">
        <x:v>yes</x:v>
      </x:c>
      <x:c r="W15" s="40" t="str">
        <x:v>Top50</x:v>
      </x:c>
      <x:c r="X15" s="40" t="str">
        <x:v>August official math.AP list; 169 total; scored pool = ceil(30%)=51</x:v>
      </x:c>
      <x:c r="Y15" s="40" t="str">
        <x:v>Assume main results correct; no line-by-line correctness check.</x:v>
      </x:c>
    </x:row>
    <x:row r="16" ht="38" customHeight="1">
      <x:c r="A16" s="40" t="str">
        <x:v>2608.02198</x:v>
      </x:c>
      <x:c r="B16" s="40" t="str">
        <x:v>2026-08</x:v>
      </x:c>
      <x:c r="C16" s="40" t="str">
        <x:v>math.AP</x:v>
      </x:c>
      <x:c r="D16" s="40" t="str">
        <x:v>degenerate elliptic/Hamilton-Jacobi</x:v>
      </x:c>
      <x:c r="E16" s="40" t="str">
        <x:v>Balance between degenerate elliptic operators and coercive Hamiltonians</x:v>
      </x:c>
      <x:c r="F16" s="40" t="str">
        <x:v>Isabeau Birindelli; Giulio Galise; Hitoshi Ishii</x:v>
      </x:c>
      <x:c r="G16" s="40" t="n">
        <x:v>45</x:v>
      </x:c>
      <x:c r="H16" s="40" t="str">
        <x:v>https://arxiv.org/abs/2608.02198</x:v>
      </x:c>
      <x:c r="I16" s="40" t="str">
        <x:v>Strong nonlinear elliptic/Hamiltonian balance result.</x:v>
      </x:c>
      <x:c r="J16" s="72" t="n">
        <x:v>89</x:v>
      </x:c>
      <x:c r="K16" s="72" t="n">
        <x:v>89</x:v>
      </x:c>
      <x:c r="L16" s="72" t="n">
        <x:v>90</x:v>
      </x:c>
      <x:c r="M16" s="72" t="n">
        <x:v>87</x:v>
      </x:c>
      <x:c r="N16" s="72" t="n">
        <x:v>90</x:v>
      </x:c>
      <x:c r="O16" s="72" t="n">
        <x:v>86</x:v>
      </x:c>
      <x:c r="P16" s="72" t="n">
        <x:v>10</x:v>
      </x:c>
      <x:c r="Q16" s="72" t="n">
        <x:v>5</x:v>
      </x:c>
      <x:c r="R16" s="72" t="n">
        <x:f>ROUND(0.30*J16+0.20*K16+0.25*L16+0.15*M16+0.10*O16,2)</x:f>
        <x:v>88.65</x:v>
      </x:c>
      <x:c r="S16" s="72" t="n">
        <x:f>ROUND(0.30*N16+0.20*L16+0.20*K16+0.15*O16+0.15*(100-P16),2)</x:f>
        <x:v>89.2</x:v>
      </x:c>
      <x:c r="T16" s="72" t="n">
        <x:f>ROUND((R16+S16)/2,2)</x:f>
        <x:v>88.93</x:v>
      </x:c>
      <x:c r="U16" s="40" t="str">
        <x:v>S_eq=(V+S_H)/2; V and S_H equal-weighted</x:v>
      </x:c>
      <x:c r="V16" s="40" t="str">
        <x:v>yes</x:v>
      </x:c>
      <x:c r="W16" s="40" t="str"/>
      <x:c r="X16" s="40" t="str">
        <x:v>August official math.AP list; 169 total; scored pool = ceil(30%)=51</x:v>
      </x:c>
      <x:c r="Y16" s="40" t="str">
        <x:v>Assume main results correct; no line-by-line correctness check.</x:v>
      </x:c>
    </x:row>
    <x:row r="17" ht="38" customHeight="1">
      <x:c r="A17" s="40" t="str">
        <x:v>2608.02330</x:v>
      </x:c>
      <x:c r="B17" s="40" t="str">
        <x:v>2026-08</x:v>
      </x:c>
      <x:c r="C17" s="40" t="str">
        <x:v>math.AP</x:v>
      </x:c>
      <x:c r="D17" s="40" t="str">
        <x:v>MHD ill-posedness</x:v>
      </x:c>
      <x:c r="E17" s="40" t="str">
        <x:v>Strong ill-posedness for MHD equations in the supercritical regime</x:v>
      </x:c>
      <x:c r="F17" s="40" t="str">
        <x:v>Zhenyu Wan; Weikui Ye; Zhaoyang Yin</x:v>
      </x:c>
      <x:c r="G17" s="40" t="str">
        <x:v>-</x:v>
      </x:c>
      <x:c r="H17" s="40" t="str">
        <x:v>https://arxiv.org/abs/2608.02330</x:v>
      </x:c>
      <x:c r="I17" s="40" t="str">
        <x:v>Sharp ill-posedness statement in MHD supercritical spaces.</x:v>
      </x:c>
      <x:c r="J17" s="72" t="n">
        <x:v>89</x:v>
      </x:c>
      <x:c r="K17" s="72" t="n">
        <x:v>88</x:v>
      </x:c>
      <x:c r="L17" s="72" t="n">
        <x:v>90</x:v>
      </x:c>
      <x:c r="M17" s="72" t="n">
        <x:v>86</x:v>
      </x:c>
      <x:c r="N17" s="72" t="n">
        <x:v>90</x:v>
      </x:c>
      <x:c r="O17" s="72" t="n">
        <x:v>85</x:v>
      </x:c>
      <x:c r="P17" s="72" t="n">
        <x:v>10</x:v>
      </x:c>
      <x:c r="Q17" s="72" t="n">
        <x:v>5</x:v>
      </x:c>
      <x:c r="R17" s="72" t="n">
        <x:f>ROUND(0.30*J17+0.20*K17+0.25*L17+0.15*M17+0.10*O17,2)</x:f>
        <x:v>88.2</x:v>
      </x:c>
      <x:c r="S17" s="72" t="n">
        <x:f>ROUND(0.30*N17+0.20*L17+0.20*K17+0.15*O17+0.15*(100-P17),2)</x:f>
        <x:v>88.85</x:v>
      </x:c>
      <x:c r="T17" s="72" t="n">
        <x:f>ROUND((R17+S17)/2,2)</x:f>
        <x:v>88.53</x:v>
      </x:c>
      <x:c r="U17" s="40" t="str">
        <x:v>S_eq=(V+S_H)/2; V and S_H equal-weighted</x:v>
      </x:c>
      <x:c r="V17" s="40" t="str">
        <x:v>yes</x:v>
      </x:c>
      <x:c r="W17" s="40" t="str"/>
      <x:c r="X17" s="40" t="str">
        <x:v>August official math.AP list; 169 total; scored pool = ceil(30%)=51</x:v>
      </x:c>
      <x:c r="Y17" s="40" t="str">
        <x:v>Assume main results correct; no line-by-line correctness check.</x:v>
      </x:c>
    </x:row>
    <x:row r="18" ht="38" customHeight="1">
      <x:c r="A18" s="40" t="str">
        <x:v>2608.02482</x:v>
      </x:c>
      <x:c r="B18" s="40" t="str">
        <x:v>2026-08</x:v>
      </x:c>
      <x:c r="C18" s="40" t="str">
        <x:v>math.AP</x:v>
      </x:c>
      <x:c r="D18" s="40" t="str">
        <x:v>Euler/convex integration</x:v>
      </x:c>
      <x:c r="E18" s="40" t="str">
        <x:v>Admissibility criteria for convex integration fan solutions and contact discontinuities in the Euler equations</x:v>
      </x:c>
      <x:c r="F18" s="40" t="str">
        <x:v>Heiko Gimperlein</x:v>
      </x:c>
      <x:c r="G18" s="40" t="n">
        <x:v>19</x:v>
      </x:c>
      <x:c r="H18" s="40" t="str">
        <x:v>https://arxiv.org/abs/2608.02482</x:v>
      </x:c>
      <x:c r="I18" s="40" t="str">
        <x:v>Convex-integration admissibility for Euler contact discontinuities.</x:v>
      </x:c>
      <x:c r="J18" s="72" t="n">
        <x:v>89</x:v>
      </x:c>
      <x:c r="K18" s="72" t="n">
        <x:v>88</x:v>
      </x:c>
      <x:c r="L18" s="72" t="n">
        <x:v>90</x:v>
      </x:c>
      <x:c r="M18" s="72" t="n">
        <x:v>86</x:v>
      </x:c>
      <x:c r="N18" s="72" t="n">
        <x:v>90</x:v>
      </x:c>
      <x:c r="O18" s="72" t="n">
        <x:v>85</x:v>
      </x:c>
      <x:c r="P18" s="72" t="n">
        <x:v>10</x:v>
      </x:c>
      <x:c r="Q18" s="72" t="n">
        <x:v>5</x:v>
      </x:c>
      <x:c r="R18" s="72" t="n">
        <x:f>ROUND(0.30*J18+0.20*K18+0.25*L18+0.15*M18+0.10*O18,2)</x:f>
        <x:v>88.2</x:v>
      </x:c>
      <x:c r="S18" s="72" t="n">
        <x:f>ROUND(0.30*N18+0.20*L18+0.20*K18+0.15*O18+0.15*(100-P18),2)</x:f>
        <x:v>88.85</x:v>
      </x:c>
      <x:c r="T18" s="72" t="n">
        <x:f>ROUND((R18+S18)/2,2)</x:f>
        <x:v>88.53</x:v>
      </x:c>
      <x:c r="U18" s="40" t="str">
        <x:v>S_eq=(V+S_H)/2; V and S_H equal-weighted</x:v>
      </x:c>
      <x:c r="V18" s="40" t="str">
        <x:v>yes</x:v>
      </x:c>
      <x:c r="W18" s="40" t="str"/>
      <x:c r="X18" s="40" t="str">
        <x:v>August official math.AP list; 169 total; scored pool = ceil(30%)=51</x:v>
      </x:c>
      <x:c r="Y18" s="40" t="str">
        <x:v>Assume main results correct; no line-by-line correctness check.</x:v>
      </x:c>
    </x:row>
    <x:row r="19" ht="38" customHeight="1">
      <x:c r="A19" s="40" t="str">
        <x:v>2608.02377</x:v>
      </x:c>
      <x:c r="B19" s="40" t="str">
        <x:v>2026-08</x:v>
      </x:c>
      <x:c r="C19" s="40" t="str">
        <x:v>math.AP</x:v>
      </x:c>
      <x:c r="D19" s="40" t="str">
        <x:v>kinetic-fluid-Poisson</x:v>
      </x:c>
      <x:c r="E19" s="40" t="str">
        <x:v>Spectrum analysis and optimal time decay rates of a kinetic-fluid-Poisson system</x:v>
      </x:c>
      <x:c r="F19" s="40" t="str">
        <x:v>Junhao Chen; Hailiang Li; Mingying Zhong</x:v>
      </x:c>
      <x:c r="G19" s="40" t="n">
        <x:v>47</x:v>
      </x:c>
      <x:c r="H19" s="40" t="str">
        <x:v>https://arxiv.org/abs/2608.02377</x:v>
      </x:c>
      <x:c r="I19" s="40" t="str">
        <x:v>Spectral/time-decay analysis for kinetic-fluid-Poisson coupling.</x:v>
      </x:c>
      <x:c r="J19" s="72" t="n">
        <x:v>89</x:v>
      </x:c>
      <x:c r="K19" s="72" t="n">
        <x:v>88</x:v>
      </x:c>
      <x:c r="L19" s="72" t="n">
        <x:v>90</x:v>
      </x:c>
      <x:c r="M19" s="72" t="n">
        <x:v>86</x:v>
      </x:c>
      <x:c r="N19" s="72" t="n">
        <x:v>90</x:v>
      </x:c>
      <x:c r="O19" s="72" t="n">
        <x:v>85</x:v>
      </x:c>
      <x:c r="P19" s="72" t="n">
        <x:v>11</x:v>
      </x:c>
      <x:c r="Q19" s="72" t="n">
        <x:v>6</x:v>
      </x:c>
      <x:c r="R19" s="72" t="n">
        <x:f>ROUND(0.30*J19+0.20*K19+0.25*L19+0.15*M19+0.10*O19,2)</x:f>
        <x:v>88.2</x:v>
      </x:c>
      <x:c r="S19" s="72" t="n">
        <x:f>ROUND(0.30*N19+0.20*L19+0.20*K19+0.15*O19+0.15*(100-P19),2)</x:f>
        <x:v>88.7</x:v>
      </x:c>
      <x:c r="T19" s="72" t="n">
        <x:f>ROUND((R19+S19)/2,2)</x:f>
        <x:v>88.45</x:v>
      </x:c>
      <x:c r="U19" s="40" t="str">
        <x:v>S_eq=(V+S_H)/2; V and S_H equal-weighted</x:v>
      </x:c>
      <x:c r="V19" s="40" t="str">
        <x:v>yes</x:v>
      </x:c>
      <x:c r="W19" s="40" t="str"/>
      <x:c r="X19" s="40" t="str">
        <x:v>August official math.AP list; 169 total; scored pool = ceil(30%)=51</x:v>
      </x:c>
      <x:c r="Y19" s="40" t="str">
        <x:v>Assume main results correct; no line-by-line correctness check.</x:v>
      </x:c>
    </x:row>
    <x:row r="20" ht="38" customHeight="1">
      <x:c r="A20" s="40" t="str">
        <x:v>2608.01065</x:v>
      </x:c>
      <x:c r="B20" s="40" t="str">
        <x:v>2026-08</x:v>
      </x:c>
      <x:c r="C20" s="40" t="str">
        <x:v>math.AP</x:v>
      </x:c>
      <x:c r="D20" s="40" t="str">
        <x:v>special Lagrangian/fully nonlinear</x:v>
      </x:c>
      <x:c r="E20" s="40" t="str">
        <x:v>Sharp Boundary Recession Criteria for Special Lagrangian Curvature Potential Equation</x:v>
      </x:c>
      <x:c r="F20" s="40" t="str">
        <x:v>Rongli Huang; Qinfeng Jiang</x:v>
      </x:c>
      <x:c r="G20" s="40" t="n">
        <x:v>32</x:v>
      </x:c>
      <x:c r="H20" s="40" t="str">
        <x:v>https://arxiv.org/abs/2608.01065</x:v>
      </x:c>
      <x:c r="I20" s="40" t="str">
        <x:v>Sharp fully nonlinear geometric PDE criteria.</x:v>
      </x:c>
      <x:c r="J20" s="72" t="n">
        <x:v>88</x:v>
      </x:c>
      <x:c r="K20" s="72" t="n">
        <x:v>88</x:v>
      </x:c>
      <x:c r="L20" s="72" t="n">
        <x:v>90</x:v>
      </x:c>
      <x:c r="M20" s="72" t="n">
        <x:v>86</x:v>
      </x:c>
      <x:c r="N20" s="72" t="n">
        <x:v>90</x:v>
      </x:c>
      <x:c r="O20" s="72" t="n">
        <x:v>84</x:v>
      </x:c>
      <x:c r="P20" s="72" t="n">
        <x:v>10</x:v>
      </x:c>
      <x:c r="Q20" s="72" t="n">
        <x:v>5</x:v>
      </x:c>
      <x:c r="R20" s="72" t="n">
        <x:f>ROUND(0.30*J20+0.20*K20+0.25*L20+0.15*M20+0.10*O20,2)</x:f>
        <x:v>87.8</x:v>
      </x:c>
      <x:c r="S20" s="72" t="n">
        <x:f>ROUND(0.30*N20+0.20*L20+0.20*K20+0.15*O20+0.15*(100-P20),2)</x:f>
        <x:v>88.7</x:v>
      </x:c>
      <x:c r="T20" s="72" t="n">
        <x:f>ROUND((R20+S20)/2,2)</x:f>
        <x:v>88.25</x:v>
      </x:c>
      <x:c r="U20" s="40" t="str">
        <x:v>S_eq=(V+S_H)/2; V and S_H equal-weighted</x:v>
      </x:c>
      <x:c r="V20" s="40" t="str">
        <x:v>yes</x:v>
      </x:c>
      <x:c r="W20" s="40" t="str"/>
      <x:c r="X20" s="40" t="str">
        <x:v>August official math.AP list; 169 total; scored pool = ceil(30%)=51</x:v>
      </x:c>
      <x:c r="Y20" s="40" t="str">
        <x:v>Assume main results correct; no line-by-line correctness check.</x:v>
      </x:c>
    </x:row>
    <x:row r="21" ht="38" customHeight="1">
      <x:c r="A21" s="40" t="str">
        <x:v>2608.01455</x:v>
      </x:c>
      <x:c r="B21" s="40" t="str">
        <x:v>2026-08</x:v>
      </x:c>
      <x:c r="C21" s="40" t="str">
        <x:v>math.AP</x:v>
      </x:c>
      <x:c r="D21" s="40" t="str">
        <x:v>fully nonlinear parabolic</x:v>
      </x:c>
      <x:c r="E21" s="40" t="str">
        <x:v>Fully Nonlinear Evolution equations: Critical Integrability to Schauder Estimates</x:v>
      </x:c>
      <x:c r="F21" s="40" t="str">
        <x:v>Junior da Silva Bessa; José Erivamberto L. Oliveira; Patrícia Renata Pereira Regis</x:v>
      </x:c>
      <x:c r="G21" s="40" t="n">
        <x:v>30</x:v>
      </x:c>
      <x:c r="H21" s="40" t="str">
        <x:v>https://arxiv.org/abs/2608.01455</x:v>
      </x:c>
      <x:c r="I21" s="40" t="str">
        <x:v>Critical-integrability Schauder estimates for fully nonlinear evolution equations.</x:v>
      </x:c>
      <x:c r="J21" s="72" t="n">
        <x:v>88</x:v>
      </x:c>
      <x:c r="K21" s="72" t="n">
        <x:v>88</x:v>
      </x:c>
      <x:c r="L21" s="72" t="n">
        <x:v>90</x:v>
      </x:c>
      <x:c r="M21" s="72" t="n">
        <x:v>86</x:v>
      </x:c>
      <x:c r="N21" s="72" t="n">
        <x:v>90</x:v>
      </x:c>
      <x:c r="O21" s="72" t="n">
        <x:v>84</x:v>
      </x:c>
      <x:c r="P21" s="72" t="n">
        <x:v>10</x:v>
      </x:c>
      <x:c r="Q21" s="72" t="n">
        <x:v>5</x:v>
      </x:c>
      <x:c r="R21" s="72" t="n">
        <x:f>ROUND(0.30*J21+0.20*K21+0.25*L21+0.15*M21+0.10*O21,2)</x:f>
        <x:v>87.8</x:v>
      </x:c>
      <x:c r="S21" s="72" t="n">
        <x:f>ROUND(0.30*N21+0.20*L21+0.20*K21+0.15*O21+0.15*(100-P21),2)</x:f>
        <x:v>88.7</x:v>
      </x:c>
      <x:c r="T21" s="72" t="n">
        <x:f>ROUND((R21+S21)/2,2)</x:f>
        <x:v>88.25</x:v>
      </x:c>
      <x:c r="U21" s="40" t="str">
        <x:v>S_eq=(V+S_H)/2; V and S_H equal-weighted</x:v>
      </x:c>
      <x:c r="V21" s="40" t="str">
        <x:v>yes</x:v>
      </x:c>
      <x:c r="W21" s="40" t="str"/>
      <x:c r="X21" s="40" t="str">
        <x:v>August official math.AP list; 169 total; scored pool = ceil(30%)=51</x:v>
      </x:c>
      <x:c r="Y21" s="40" t="str">
        <x:v>Assume main results correct; no line-by-line correctness check.</x:v>
      </x:c>
    </x:row>
    <x:row r="22" ht="38" customHeight="1">
      <x:c r="A22" s="40" t="str">
        <x:v>2608.01019</x:v>
      </x:c>
      <x:c r="B22" s="40" t="str">
        <x:v>2026-08</x:v>
      </x:c>
      <x:c r="C22" s="40" t="str">
        <x:v>math.AP</x:v>
      </x:c>
      <x:c r="D22" s="40" t="str">
        <x:v>Euler/probability</x:v>
      </x:c>
      <x:c r="E22" s="40" t="str">
        <x:v>Classification of invariant Gaussian measures for 2D Euler</x:v>
      </x:c>
      <x:c r="F22" s="40" t="str">
        <x:v>Ziyu Liu</x:v>
      </x:c>
      <x:c r="G22" s="40" t="str">
        <x:v>-</x:v>
      </x:c>
      <x:c r="H22" s="40" t="str">
        <x:v>https://arxiv.org/abs/2608.01019</x:v>
      </x:c>
      <x:c r="I22" s="40" t="str">
        <x:v>Invariant-measure classification in 2D Euler.</x:v>
      </x:c>
      <x:c r="J22" s="72" t="n">
        <x:v>88</x:v>
      </x:c>
      <x:c r="K22" s="72" t="n">
        <x:v>88</x:v>
      </x:c>
      <x:c r="L22" s="72" t="n">
        <x:v>89</x:v>
      </x:c>
      <x:c r="M22" s="72" t="n">
        <x:v>86</x:v>
      </x:c>
      <x:c r="N22" s="72" t="n">
        <x:v>89</x:v>
      </x:c>
      <x:c r="O22" s="72" t="n">
        <x:v>85</x:v>
      </x:c>
      <x:c r="P22" s="72" t="n">
        <x:v>10</x:v>
      </x:c>
      <x:c r="Q22" s="72" t="n">
        <x:v>5</x:v>
      </x:c>
      <x:c r="R22" s="72" t="n">
        <x:f>ROUND(0.30*J22+0.20*K22+0.25*L22+0.15*M22+0.10*O22,2)</x:f>
        <x:v>87.65</x:v>
      </x:c>
      <x:c r="S22" s="72" t="n">
        <x:f>ROUND(0.30*N22+0.20*L22+0.20*K22+0.15*O22+0.15*(100-P22),2)</x:f>
        <x:v>88.35</x:v>
      </x:c>
      <x:c r="T22" s="72" t="n">
        <x:f>ROUND((R22+S22)/2,2)</x:f>
        <x:v>88</x:v>
      </x:c>
      <x:c r="U22" s="40" t="str">
        <x:v>S_eq=(V+S_H)/2; V and S_H equal-weighted</x:v>
      </x:c>
      <x:c r="V22" s="40" t="str">
        <x:v>yes</x:v>
      </x:c>
      <x:c r="W22" s="40" t="str"/>
      <x:c r="X22" s="40" t="str">
        <x:v>August official math.AP list; 169 total; scored pool = ceil(30%)=51</x:v>
      </x:c>
      <x:c r="Y22" s="40" t="str">
        <x:v>Assume main results correct; no line-by-line correctness check.</x:v>
      </x:c>
    </x:row>
    <x:row r="23" ht="38" customHeight="1">
      <x:c r="A23" s="40" t="str">
        <x:v>2608.00563</x:v>
      </x:c>
      <x:c r="B23" s="40" t="str">
        <x:v>2026-08</x:v>
      </x:c>
      <x:c r="C23" s="40" t="str">
        <x:v>math.AP</x:v>
      </x:c>
      <x:c r="D23" s="40" t="str">
        <x:v>SQG/geometric PDE</x:v>
      </x:c>
      <x:c r="E23" s="40" t="str">
        <x:v>Smooth nonradial stationary solutions to the SQG equation via the half-Yamabe problem</x:v>
      </x:c>
      <x:c r="F23" s="40" t="str">
        <x:v>Angel Castro; Antonio J. Fernandez; Claudia Garcia</x:v>
      </x:c>
      <x:c r="G23" s="40" t="str">
        <x:v>-</x:v>
      </x:c>
      <x:c r="H23" s="40" t="str">
        <x:v>https://arxiv.org/abs/2608.00563</x:v>
      </x:c>
      <x:c r="I23" s="40" t="str">
        <x:v>Connects SQG stationary solutions with half-Yamabe geometry.</x:v>
      </x:c>
      <x:c r="J23" s="72" t="n">
        <x:v>88</x:v>
      </x:c>
      <x:c r="K23" s="72" t="n">
        <x:v>88</x:v>
      </x:c>
      <x:c r="L23" s="72" t="n">
        <x:v>89</x:v>
      </x:c>
      <x:c r="M23" s="72" t="n">
        <x:v>86</x:v>
      </x:c>
      <x:c r="N23" s="72" t="n">
        <x:v>89</x:v>
      </x:c>
      <x:c r="O23" s="72" t="n">
        <x:v>84</x:v>
      </x:c>
      <x:c r="P23" s="72" t="n">
        <x:v>10</x:v>
      </x:c>
      <x:c r="Q23" s="72" t="n">
        <x:v>5</x:v>
      </x:c>
      <x:c r="R23" s="72" t="n">
        <x:f>ROUND(0.30*J23+0.20*K23+0.25*L23+0.15*M23+0.10*O23,2)</x:f>
        <x:v>87.55</x:v>
      </x:c>
      <x:c r="S23" s="72" t="n">
        <x:f>ROUND(0.30*N23+0.20*L23+0.20*K23+0.15*O23+0.15*(100-P23),2)</x:f>
        <x:v>88.2</x:v>
      </x:c>
      <x:c r="T23" s="72" t="n">
        <x:f>ROUND((R23+S23)/2,2)</x:f>
        <x:v>87.88</x:v>
      </x:c>
      <x:c r="U23" s="40" t="str">
        <x:v>S_eq=(V+S_H)/2; V and S_H equal-weighted</x:v>
      </x:c>
      <x:c r="V23" s="40" t="str">
        <x:v>yes</x:v>
      </x:c>
      <x:c r="W23" s="40" t="str"/>
      <x:c r="X23" s="40" t="str">
        <x:v>August official math.AP list; 169 total; scored pool = ceil(30%)=51</x:v>
      </x:c>
      <x:c r="Y23" s="40" t="str">
        <x:v>Assume main results correct; no line-by-line correctness check.</x:v>
      </x:c>
    </x:row>
    <x:row r="24" ht="38" customHeight="1">
      <x:c r="A24" s="40" t="str">
        <x:v>2608.01182</x:v>
      </x:c>
      <x:c r="B24" s="40" t="str">
        <x:v>2026-08</x:v>
      </x:c>
      <x:c r="C24" s="40" t="str">
        <x:v>math.AP</x:v>
      </x:c>
      <x:c r="D24" s="40" t="str">
        <x:v>gradient flows/MMD</x:v>
      </x:c>
      <x:c r="E24" s="40" t="str">
        <x:v>Wasserstein gradient flows of Maximum Mean Discrepancy with energy kernels</x:v>
      </x:c>
      <x:c r="F24" s="40" t="str">
        <x:v>Matthew Rosenzweig; Dejan Slepcev; Lihan Wang</x:v>
      </x:c>
      <x:c r="G24" s="40" t="str">
        <x:v>-</x:v>
      </x:c>
      <x:c r="H24" s="40" t="str">
        <x:v>https://arxiv.org/abs/2608.01182</x:v>
      </x:c>
      <x:c r="I24" s="40" t="str">
        <x:v>Gradient-flow analysis with modern discrepancy functionals.</x:v>
      </x:c>
      <x:c r="J24" s="72" t="n">
        <x:v>88</x:v>
      </x:c>
      <x:c r="K24" s="72" t="n">
        <x:v>88</x:v>
      </x:c>
      <x:c r="L24" s="72" t="n">
        <x:v>89</x:v>
      </x:c>
      <x:c r="M24" s="72" t="n">
        <x:v>86</x:v>
      </x:c>
      <x:c r="N24" s="72" t="n">
        <x:v>89</x:v>
      </x:c>
      <x:c r="O24" s="72" t="n">
        <x:v>85</x:v>
      </x:c>
      <x:c r="P24" s="72" t="n">
        <x:v>12</x:v>
      </x:c>
      <x:c r="Q24" s="72" t="n">
        <x:v>6</x:v>
      </x:c>
      <x:c r="R24" s="72" t="n">
        <x:f>ROUND(0.30*J24+0.20*K24+0.25*L24+0.15*M24+0.10*O24,2)</x:f>
        <x:v>87.65</x:v>
      </x:c>
      <x:c r="S24" s="72" t="n">
        <x:f>ROUND(0.30*N24+0.20*L24+0.20*K24+0.15*O24+0.15*(100-P24),2)</x:f>
        <x:v>88.05</x:v>
      </x:c>
      <x:c r="T24" s="72" t="n">
        <x:f>ROUND((R24+S24)/2,2)</x:f>
        <x:v>87.85</x:v>
      </x:c>
      <x:c r="U24" s="40" t="str">
        <x:v>S_eq=(V+S_H)/2; V and S_H equal-weighted</x:v>
      </x:c>
      <x:c r="V24" s="40" t="str">
        <x:v>yes</x:v>
      </x:c>
      <x:c r="W24" s="40" t="str"/>
      <x:c r="X24" s="40" t="str">
        <x:v>August official math.AP list; 169 total; scored pool = ceil(30%)=51</x:v>
      </x:c>
      <x:c r="Y24" s="40" t="str">
        <x:v>Assume main results correct; no line-by-line correctness check.</x:v>
      </x:c>
    </x:row>
    <x:row r="25" ht="38" customHeight="1">
      <x:c r="A25" s="40" t="str">
        <x:v>2608.04380</x:v>
      </x:c>
      <x:c r="B25" s="40" t="str">
        <x:v>2026-08</x:v>
      </x:c>
      <x:c r="C25" s="40" t="str">
        <x:v>math.AP</x:v>
      </x:c>
      <x:c r="D25" s="40" t="str">
        <x:v>fractional Schrodinger</x:v>
      </x:c>
      <x:c r="E25" s="40" t="str">
        <x:v>Morse index, Leray-Schauder degree and local uniqueness for multi-peak concentrating solutions of fractional Schrodinger equations</x:v>
      </x:c>
      <x:c r="F25" s="40" t="str">
        <x:v>Yinbin Deng et al.</x:v>
      </x:c>
      <x:c r="G25" s="40" t="n">
        <x:v>76</x:v>
      </x:c>
      <x:c r="H25" s="40" t="str">
        <x:v>https://arxiv.org/abs/2608.04380</x:v>
      </x:c>
      <x:c r="I25" s="40" t="str">
        <x:v>Large multi-peak concentration/local uniqueness analysis.</x:v>
      </x:c>
      <x:c r="J25" s="72" t="n">
        <x:v>88</x:v>
      </x:c>
      <x:c r="K25" s="72" t="n">
        <x:v>87</x:v>
      </x:c>
      <x:c r="L25" s="72" t="n">
        <x:v>90</x:v>
      </x:c>
      <x:c r="M25" s="72" t="n">
        <x:v>86</x:v>
      </x:c>
      <x:c r="N25" s="72" t="n">
        <x:v>90</x:v>
      </x:c>
      <x:c r="O25" s="72" t="n">
        <x:v>83</x:v>
      </x:c>
      <x:c r="P25" s="72" t="n">
        <x:v>11</x:v>
      </x:c>
      <x:c r="Q25" s="72" t="n">
        <x:v>6</x:v>
      </x:c>
      <x:c r="R25" s="72" t="n">
        <x:f>ROUND(0.30*J25+0.20*K25+0.25*L25+0.15*M25+0.10*O25,2)</x:f>
        <x:v>87.5</x:v>
      </x:c>
      <x:c r="S25" s="72" t="n">
        <x:f>ROUND(0.30*N25+0.20*L25+0.20*K25+0.15*O25+0.15*(100-P25),2)</x:f>
        <x:v>88.2</x:v>
      </x:c>
      <x:c r="T25" s="72" t="n">
        <x:f>ROUND((R25+S25)/2,2)</x:f>
        <x:v>87.85</x:v>
      </x:c>
      <x:c r="U25" s="40" t="str">
        <x:v>S_eq=(V+S_H)/2; V and S_H equal-weighted</x:v>
      </x:c>
      <x:c r="V25" s="40" t="str">
        <x:v>yes</x:v>
      </x:c>
      <x:c r="W25" s="40" t="str"/>
      <x:c r="X25" s="40" t="str">
        <x:v>August official math.AP list; 169 total; scored pool = ceil(30%)=51</x:v>
      </x:c>
      <x:c r="Y25" s="40" t="str">
        <x:v>Assume main results correct; no line-by-line correctness check.</x:v>
      </x:c>
    </x:row>
    <x:row r="26" ht="38" customHeight="1">
      <x:c r="A26" s="40" t="str">
        <x:v>2608.01683</x:v>
      </x:c>
      <x:c r="B26" s="40" t="str">
        <x:v>2026-08</x:v>
      </x:c>
      <x:c r="C26" s="40" t="str">
        <x:v>math.AP</x:v>
      </x:c>
      <x:c r="D26" s="40" t="str">
        <x:v>unique continuation</x:v>
      </x:c>
      <x:c r="E26" s="40" t="str">
        <x:v>Smooth Failure of Boundary Unique Continuation for Harmonic Functions</x:v>
      </x:c>
      <x:c r="F26" s="40" t="str">
        <x:v>Guolin Qin; Weicheng Zhan</x:v>
      </x:c>
      <x:c r="G26" s="40" t="str">
        <x:v>-</x:v>
      </x:c>
      <x:c r="H26" s="40" t="str">
        <x:v>https://arxiv.org/abs/2608.01683</x:v>
      </x:c>
      <x:c r="I26" s="40" t="str">
        <x:v>Clean counterexample/failure mechanism for boundary unique continuation.</x:v>
      </x:c>
      <x:c r="J26" s="72" t="n">
        <x:v>88</x:v>
      </x:c>
      <x:c r="K26" s="72" t="n">
        <x:v>88</x:v>
      </x:c>
      <x:c r="L26" s="72" t="n">
        <x:v>88</x:v>
      </x:c>
      <x:c r="M26" s="72" t="n">
        <x:v>86</x:v>
      </x:c>
      <x:c r="N26" s="72" t="n">
        <x:v>88</x:v>
      </x:c>
      <x:c r="O26" s="72" t="n">
        <x:v>85</x:v>
      </x:c>
      <x:c r="P26" s="72" t="n">
        <x:v>9</x:v>
      </x:c>
      <x:c r="Q26" s="72" t="n">
        <x:v>5</x:v>
      </x:c>
      <x:c r="R26" s="72" t="n">
        <x:f>ROUND(0.30*J26+0.20*K26+0.25*L26+0.15*M26+0.10*O26,2)</x:f>
        <x:v>87.4</x:v>
      </x:c>
      <x:c r="S26" s="72" t="n">
        <x:f>ROUND(0.30*N26+0.20*L26+0.20*K26+0.15*O26+0.15*(100-P26),2)</x:f>
        <x:v>88</x:v>
      </x:c>
      <x:c r="T26" s="72" t="n">
        <x:f>ROUND((R26+S26)/2,2)</x:f>
        <x:v>87.7</x:v>
      </x:c>
      <x:c r="U26" s="40" t="str">
        <x:v>S_eq=(V+S_H)/2; V and S_H equal-weighted</x:v>
      </x:c>
      <x:c r="V26" s="40" t="str">
        <x:v>yes</x:v>
      </x:c>
      <x:c r="W26" s="40" t="str"/>
      <x:c r="X26" s="40" t="str">
        <x:v>August official math.AP list; 169 total; scored pool = ceil(30%)=51</x:v>
      </x:c>
      <x:c r="Y26" s="40" t="str">
        <x:v>Assume main results correct; no line-by-line correctness check.</x:v>
      </x:c>
    </x:row>
    <x:row r="27" ht="38" customHeight="1">
      <x:c r="A27" s="40" t="str">
        <x:v>2608.00912</x:v>
      </x:c>
      <x:c r="B27" s="40" t="str">
        <x:v>2026-08</x:v>
      </x:c>
      <x:c r="C27" s="40" t="str">
        <x:v>math.AP</x:v>
      </x:c>
      <x:c r="D27" s="40" t="str">
        <x:v>observability/waves</x:v>
      </x:c>
      <x:c r="E27" s="40" t="str">
        <x:v>Observability of wave and plate equations with rough coefficients and interfaces</x:v>
      </x:c>
      <x:c r="F27" s="40" t="str">
        <x:v>Sylvain Ervedoza; Alex Imba; Alberto Mercado; Axel Osses</x:v>
      </x:c>
      <x:c r="G27" s="40" t="str">
        <x:v>-</x:v>
      </x:c>
      <x:c r="H27" s="40" t="str">
        <x:v>https://arxiv.org/abs/2608.00912</x:v>
      </x:c>
      <x:c r="I27" s="40" t="str">
        <x:v>Rough-interface observability for wave/plate equations.</x:v>
      </x:c>
      <x:c r="J27" s="72" t="n">
        <x:v>88</x:v>
      </x:c>
      <x:c r="K27" s="72" t="n">
        <x:v>87</x:v>
      </x:c>
      <x:c r="L27" s="72" t="n">
        <x:v>89</x:v>
      </x:c>
      <x:c r="M27" s="72" t="n">
        <x:v>86</x:v>
      </x:c>
      <x:c r="N27" s="72" t="n">
        <x:v>89</x:v>
      </x:c>
      <x:c r="O27" s="72" t="n">
        <x:v>84</x:v>
      </x:c>
      <x:c r="P27" s="72" t="n">
        <x:v>10</x:v>
      </x:c>
      <x:c r="Q27" s="72" t="n">
        <x:v>5</x:v>
      </x:c>
      <x:c r="R27" s="72" t="n">
        <x:f>ROUND(0.30*J27+0.20*K27+0.25*L27+0.15*M27+0.10*O27,2)</x:f>
        <x:v>87.35</x:v>
      </x:c>
      <x:c r="S27" s="72" t="n">
        <x:f>ROUND(0.30*N27+0.20*L27+0.20*K27+0.15*O27+0.15*(100-P27),2)</x:f>
        <x:v>88</x:v>
      </x:c>
      <x:c r="T27" s="72" t="n">
        <x:f>ROUND((R27+S27)/2,2)</x:f>
        <x:v>87.68</x:v>
      </x:c>
      <x:c r="U27" s="40" t="str">
        <x:v>S_eq=(V+S_H)/2; V and S_H equal-weighted</x:v>
      </x:c>
      <x:c r="V27" s="40" t="str">
        <x:v>yes</x:v>
      </x:c>
      <x:c r="W27" s="40" t="str"/>
      <x:c r="X27" s="40" t="str">
        <x:v>August official math.AP list; 169 total; scored pool = ceil(30%)=51</x:v>
      </x:c>
      <x:c r="Y27" s="40" t="str">
        <x:v>Assume main results correct; no line-by-line correctness check.</x:v>
      </x:c>
    </x:row>
    <x:row r="28" ht="38" customHeight="1">
      <x:c r="A28" s="40" t="str">
        <x:v>2608.06040</x:v>
      </x:c>
      <x:c r="B28" s="40" t="str">
        <x:v>2026-08</x:v>
      </x:c>
      <x:c r="C28" s="40" t="str">
        <x:v>math.AP</x:v>
      </x:c>
      <x:c r="D28" s="40" t="str">
        <x:v>stationary Navier-Stokes</x:v>
      </x:c>
      <x:c r="E28" s="40" t="str">
        <x:v>New decay estimates and Liouville type theorems for 3D axisymmetric stationary Navier-Stokes equations</x:v>
      </x:c>
      <x:c r="F28" s="40" t="str">
        <x:v>Wendong Wang; Guoxu Yang</x:v>
      </x:c>
      <x:c r="G28" s="40" t="str">
        <x:v>-</x:v>
      </x:c>
      <x:c r="H28" s="40" t="str">
        <x:v>https://arxiv.org/abs/2608.06040</x:v>
      </x:c>
      <x:c r="I28" s="40" t="str">
        <x:v>Decay and Liouville results for stationary axisymmetric NS.</x:v>
      </x:c>
      <x:c r="J28" s="72" t="n">
        <x:v>88</x:v>
      </x:c>
      <x:c r="K28" s="72" t="n">
        <x:v>87</x:v>
      </x:c>
      <x:c r="L28" s="72" t="n">
        <x:v>89</x:v>
      </x:c>
      <x:c r="M28" s="72" t="n">
        <x:v>86</x:v>
      </x:c>
      <x:c r="N28" s="72" t="n">
        <x:v>89</x:v>
      </x:c>
      <x:c r="O28" s="72" t="n">
        <x:v>84</x:v>
      </x:c>
      <x:c r="P28" s="72" t="n">
        <x:v>10</x:v>
      </x:c>
      <x:c r="Q28" s="72" t="n">
        <x:v>5</x:v>
      </x:c>
      <x:c r="R28" s="72" t="n">
        <x:f>ROUND(0.30*J28+0.20*K28+0.25*L28+0.15*M28+0.10*O28,2)</x:f>
        <x:v>87.35</x:v>
      </x:c>
      <x:c r="S28" s="72" t="n">
        <x:f>ROUND(0.30*N28+0.20*L28+0.20*K28+0.15*O28+0.15*(100-P28),2)</x:f>
        <x:v>88</x:v>
      </x:c>
      <x:c r="T28" s="72" t="n">
        <x:f>ROUND((R28+S28)/2,2)</x:f>
        <x:v>87.68</x:v>
      </x:c>
      <x:c r="U28" s="40" t="str">
        <x:v>S_eq=(V+S_H)/2; V and S_H equal-weighted</x:v>
      </x:c>
      <x:c r="V28" s="40" t="str">
        <x:v>yes</x:v>
      </x:c>
      <x:c r="W28" s="40" t="str"/>
      <x:c r="X28" s="40" t="str">
        <x:v>August official math.AP list; 169 total; scored pool = ceil(30%)=51</x:v>
      </x:c>
      <x:c r="Y28" s="40" t="str">
        <x:v>Assume main results correct; no line-by-line correctness check.</x:v>
      </x:c>
    </x:row>
    <x:row r="29" ht="38" customHeight="1">
      <x:c r="A29" s="40" t="str">
        <x:v>2608.00465</x:v>
      </x:c>
      <x:c r="B29" s="40" t="str">
        <x:v>2026-08</x:v>
      </x:c>
      <x:c r="C29" s="40" t="str">
        <x:v>math.AP</x:v>
      </x:c>
      <x:c r="D29" s="40" t="str">
        <x:v>compressible Navier-Stokes</x:v>
      </x:c>
      <x:c r="E29" s="40" t="str">
        <x:v>Global well-posedness and optimal time-decay for compressible Navier-Stokes with potential force and arbitrarily large L2 data</x:v>
      </x:c>
      <x:c r="F29" s="40" t="str">
        <x:v>Jinkai Ni; Luqi Wang; Zhipeng Zhang</x:v>
      </x:c>
      <x:c r="G29" s="40" t="n">
        <x:v>36</x:v>
      </x:c>
      <x:c r="H29" s="40" t="str">
        <x:v>https://arxiv.org/abs/2608.00465</x:v>
      </x:c>
      <x:c r="I29" s="40" t="str">
        <x:v>Large-data L2 compressible NS with decay.</x:v>
      </x:c>
      <x:c r="J29" s="72" t="n">
        <x:v>88</x:v>
      </x:c>
      <x:c r="K29" s="72" t="n">
        <x:v>87</x:v>
      </x:c>
      <x:c r="L29" s="72" t="n">
        <x:v>89</x:v>
      </x:c>
      <x:c r="M29" s="72" t="n">
        <x:v>85</x:v>
      </x:c>
      <x:c r="N29" s="72" t="n">
        <x:v>89</x:v>
      </x:c>
      <x:c r="O29" s="72" t="n">
        <x:v>84</x:v>
      </x:c>
      <x:c r="P29" s="72" t="n">
        <x:v>10</x:v>
      </x:c>
      <x:c r="Q29" s="72" t="n">
        <x:v>5</x:v>
      </x:c>
      <x:c r="R29" s="72" t="n">
        <x:f>ROUND(0.30*J29+0.20*K29+0.25*L29+0.15*M29+0.10*O29,2)</x:f>
        <x:v>87.2</x:v>
      </x:c>
      <x:c r="S29" s="72" t="n">
        <x:f>ROUND(0.30*N29+0.20*L29+0.20*K29+0.15*O29+0.15*(100-P29),2)</x:f>
        <x:v>88</x:v>
      </x:c>
      <x:c r="T29" s="72" t="n">
        <x:f>ROUND((R29+S29)/2,2)</x:f>
        <x:v>87.6</x:v>
      </x:c>
      <x:c r="U29" s="40" t="str">
        <x:v>S_eq=(V+S_H)/2; V and S_H equal-weighted</x:v>
      </x:c>
      <x:c r="V29" s="40" t="str">
        <x:v>yes</x:v>
      </x:c>
      <x:c r="W29" s="40" t="str"/>
      <x:c r="X29" s="40" t="str">
        <x:v>August official math.AP list; 169 total; scored pool = ceil(30%)=51</x:v>
      </x:c>
      <x:c r="Y29" s="40" t="str">
        <x:v>Assume main results correct; no line-by-line correctness check.</x:v>
      </x:c>
    </x:row>
    <x:row r="30" ht="38" customHeight="1">
      <x:c r="A30" s="40" t="str">
        <x:v>2608.06371</x:v>
      </x:c>
      <x:c r="B30" s="40" t="str">
        <x:v>2026-08</x:v>
      </x:c>
      <x:c r="C30" s="40" t="str">
        <x:v>math.AP</x:v>
      </x:c>
      <x:c r="D30" s="40" t="str">
        <x:v>Cahn-Hilliard</x:v>
      </x:c>
      <x:c r="E30" s="40" t="str">
        <x:v>Global weak solutions to Cahn-Hilliard equations with degenerate mobility and singular diffusion</x:v>
      </x:c>
      <x:c r="F30" s="40" t="str">
        <x:v>Monica Conti; Andrea Giorgini; Greta Ricchi</x:v>
      </x:c>
      <x:c r="G30" s="40" t="str">
        <x:v>-</x:v>
      </x:c>
      <x:c r="H30" s="40" t="str">
        <x:v>https://arxiv.org/abs/2608.06371</x:v>
      </x:c>
      <x:c r="I30" s="40" t="str">
        <x:v>Global weak solutions under degenerate mobility/singular diffusion.</x:v>
      </x:c>
      <x:c r="J30" s="72" t="n">
        <x:v>88</x:v>
      </x:c>
      <x:c r="K30" s="72" t="n">
        <x:v>87</x:v>
      </x:c>
      <x:c r="L30" s="72" t="n">
        <x:v>89</x:v>
      </x:c>
      <x:c r="M30" s="72" t="n">
        <x:v>86</x:v>
      </x:c>
      <x:c r="N30" s="72" t="n">
        <x:v>89</x:v>
      </x:c>
      <x:c r="O30" s="72" t="n">
        <x:v>84</x:v>
      </x:c>
      <x:c r="P30" s="72" t="n">
        <x:v>11</x:v>
      </x:c>
      <x:c r="Q30" s="72" t="n">
        <x:v>6</x:v>
      </x:c>
      <x:c r="R30" s="72" t="n">
        <x:f>ROUND(0.30*J30+0.20*K30+0.25*L30+0.15*M30+0.10*O30,2)</x:f>
        <x:v>87.35</x:v>
      </x:c>
      <x:c r="S30" s="72" t="n">
        <x:f>ROUND(0.30*N30+0.20*L30+0.20*K30+0.15*O30+0.15*(100-P30),2)</x:f>
        <x:v>87.85</x:v>
      </x:c>
      <x:c r="T30" s="72" t="n">
        <x:f>ROUND((R30+S30)/2,2)</x:f>
        <x:v>87.6</x:v>
      </x:c>
      <x:c r="U30" s="40" t="str">
        <x:v>S_eq=(V+S_H)/2; V and S_H equal-weighted</x:v>
      </x:c>
      <x:c r="V30" s="40" t="str">
        <x:v>yes</x:v>
      </x:c>
      <x:c r="W30" s="40" t="str"/>
      <x:c r="X30" s="40" t="str">
        <x:v>August official math.AP list; 169 total; scored pool = ceil(30%)=51</x:v>
      </x:c>
      <x:c r="Y30" s="40" t="str">
        <x:v>Assume main results correct; no line-by-line correctness check.</x:v>
      </x:c>
    </x:row>
    <x:row r="31" ht="38" customHeight="1">
      <x:c r="A31" s="40" t="str">
        <x:v>2608.00477</x:v>
      </x:c>
      <x:c r="B31" s="40" t="str">
        <x:v>2026-08</x:v>
      </x:c>
      <x:c r="C31" s="40" t="str">
        <x:v>math.AP</x:v>
      </x:c>
      <x:c r="D31" s="40" t="str">
        <x:v>Dirac equations</x:v>
      </x:c>
      <x:c r="E31" s="40" t="str">
        <x:v>Spinorial Div-Curl Structure and Bilinear Null-Form Estimates for Dirac Equations</x:v>
      </x:c>
      <x:c r="F31" s="40" t="str">
        <x:v>Jiong-Yue Li</x:v>
      </x:c>
      <x:c r="G31" s="40" t="str">
        <x:v>-</x:v>
      </x:c>
      <x:c r="H31" s="40" t="str">
        <x:v>https://arxiv.org/abs/2608.00477</x:v>
      </x:c>
      <x:c r="I31" s="40" t="str">
        <x:v>Structural estimates for Dirac equations.</x:v>
      </x:c>
      <x:c r="J31" s="72" t="n">
        <x:v>87</x:v>
      </x:c>
      <x:c r="K31" s="72" t="n">
        <x:v>87</x:v>
      </x:c>
      <x:c r="L31" s="72" t="n">
        <x:v>89</x:v>
      </x:c>
      <x:c r="M31" s="72" t="n">
        <x:v>85</x:v>
      </x:c>
      <x:c r="N31" s="72" t="n">
        <x:v>89</x:v>
      </x:c>
      <x:c r="O31" s="72" t="n">
        <x:v>84</x:v>
      </x:c>
      <x:c r="P31" s="72" t="n">
        <x:v>9</x:v>
      </x:c>
      <x:c r="Q31" s="72" t="n">
        <x:v>5</x:v>
      </x:c>
      <x:c r="R31" s="72" t="n">
        <x:f>ROUND(0.30*J31+0.20*K31+0.25*L31+0.15*M31+0.10*O31,2)</x:f>
        <x:v>86.9</x:v>
      </x:c>
      <x:c r="S31" s="72" t="n">
        <x:f>ROUND(0.30*N31+0.20*L31+0.20*K31+0.15*O31+0.15*(100-P31),2)</x:f>
        <x:v>88.15</x:v>
      </x:c>
      <x:c r="T31" s="72" t="n">
        <x:f>ROUND((R31+S31)/2,2)</x:f>
        <x:v>87.53</x:v>
      </x:c>
      <x:c r="U31" s="40" t="str">
        <x:v>S_eq=(V+S_H)/2; V and S_H equal-weighted</x:v>
      </x:c>
      <x:c r="V31" s="40" t="str">
        <x:v>yes</x:v>
      </x:c>
      <x:c r="W31" s="40" t="str"/>
      <x:c r="X31" s="40" t="str">
        <x:v>August official math.AP list; 169 total; scored pool = ceil(30%)=51</x:v>
      </x:c>
      <x:c r="Y31" s="40" t="str">
        <x:v>Assume main results correct; no line-by-line correctness check.</x:v>
      </x:c>
    </x:row>
    <x:row r="32" ht="38" customHeight="1">
      <x:c r="A32" s="40" t="str">
        <x:v>2608.01863</x:v>
      </x:c>
      <x:c r="B32" s="40" t="str">
        <x:v>2026-08</x:v>
      </x:c>
      <x:c r="C32" s="40" t="str">
        <x:v>math.AP</x:v>
      </x:c>
      <x:c r="D32" s="40" t="str">
        <x:v>stochastic KdV</x:v>
      </x:c>
      <x:c r="E32" s="40" t="str">
        <x:v>Exponential mixing for the KdV equation with localized noise</x:v>
      </x:c>
      <x:c r="F32" s="40" t="str">
        <x:v>Yuxuan Chen; Shengquan Xiang; Zhifei Zhang; Jia-Cheng Zhao</x:v>
      </x:c>
      <x:c r="G32" s="40" t="str">
        <x:v>-</x:v>
      </x:c>
      <x:c r="H32" s="40" t="str">
        <x:v>https://arxiv.org/abs/2608.01863</x:v>
      </x:c>
      <x:c r="I32" s="40" t="str">
        <x:v>Mixing result for randomly forced KdV.</x:v>
      </x:c>
      <x:c r="J32" s="72" t="n">
        <x:v>88</x:v>
      </x:c>
      <x:c r="K32" s="72" t="n">
        <x:v>87</x:v>
      </x:c>
      <x:c r="L32" s="72" t="n">
        <x:v>89</x:v>
      </x:c>
      <x:c r="M32" s="72" t="n">
        <x:v>86</x:v>
      </x:c>
      <x:c r="N32" s="72" t="n">
        <x:v>89</x:v>
      </x:c>
      <x:c r="O32" s="72" t="n">
        <x:v>84</x:v>
      </x:c>
      <x:c r="P32" s="72" t="n">
        <x:v>12</x:v>
      </x:c>
      <x:c r="Q32" s="72" t="n">
        <x:v>6</x:v>
      </x:c>
      <x:c r="R32" s="72" t="n">
        <x:f>ROUND(0.30*J32+0.20*K32+0.25*L32+0.15*M32+0.10*O32,2)</x:f>
        <x:v>87.35</x:v>
      </x:c>
      <x:c r="S32" s="72" t="n">
        <x:f>ROUND(0.30*N32+0.20*L32+0.20*K32+0.15*O32+0.15*(100-P32),2)</x:f>
        <x:v>87.7</x:v>
      </x:c>
      <x:c r="T32" s="72" t="n">
        <x:f>ROUND((R32+S32)/2,2)</x:f>
        <x:v>87.53</x:v>
      </x:c>
      <x:c r="U32" s="40" t="str">
        <x:v>S_eq=(V+S_H)/2; V and S_H equal-weighted</x:v>
      </x:c>
      <x:c r="V32" s="40" t="str">
        <x:v>yes</x:v>
      </x:c>
      <x:c r="W32" s="40" t="str"/>
      <x:c r="X32" s="40" t="str">
        <x:v>August official math.AP list; 169 total; scored pool = ceil(30%)=51</x:v>
      </x:c>
      <x:c r="Y32" s="40" t="str">
        <x:v>Assume main results correct; no line-by-line correctness check.</x:v>
      </x:c>
    </x:row>
    <x:row r="33" ht="38" customHeight="1">
      <x:c r="A33" s="40" t="str">
        <x:v>2608.00126</x:v>
      </x:c>
      <x:c r="B33" s="40" t="str">
        <x:v>2026-08</x:v>
      </x:c>
      <x:c r="C33" s="40" t="str">
        <x:v>math.AP</x:v>
      </x:c>
      <x:c r="D33" s="40" t="str">
        <x:v>Euler/gas dynamics</x:v>
      </x:c>
      <x:c r="E33" s="40" t="str">
        <x:v>On 'discrete' solutions of Euler system of gas dynamics</x:v>
      </x:c>
      <x:c r="F33" s="40" t="str">
        <x:v>Anna Abbatiello; Eduard Feireisl</x:v>
      </x:c>
      <x:c r="G33" s="40" t="str">
        <x:v>-</x:v>
      </x:c>
      <x:c r="H33" s="40" t="str">
        <x:v>https://arxiv.org/abs/2608.00126</x:v>
      </x:c>
      <x:c r="I33" s="40" t="str">
        <x:v>Interesting Euler weak/discrete solution theme.</x:v>
      </x:c>
      <x:c r="J33" s="72" t="n">
        <x:v>87</x:v>
      </x:c>
      <x:c r="K33" s="72" t="n">
        <x:v>87</x:v>
      </x:c>
      <x:c r="L33" s="72" t="n">
        <x:v>89</x:v>
      </x:c>
      <x:c r="M33" s="72" t="n">
        <x:v>85</x:v>
      </x:c>
      <x:c r="N33" s="72" t="n">
        <x:v>89</x:v>
      </x:c>
      <x:c r="O33" s="72" t="n">
        <x:v>84</x:v>
      </x:c>
      <x:c r="P33" s="72" t="n">
        <x:v>10</x:v>
      </x:c>
      <x:c r="Q33" s="72" t="n">
        <x:v>5</x:v>
      </x:c>
      <x:c r="R33" s="72" t="n">
        <x:f>ROUND(0.30*J33+0.20*K33+0.25*L33+0.15*M33+0.10*O33,2)</x:f>
        <x:v>86.9</x:v>
      </x:c>
      <x:c r="S33" s="72" t="n">
        <x:f>ROUND(0.30*N33+0.20*L33+0.20*K33+0.15*O33+0.15*(100-P33),2)</x:f>
        <x:v>88</x:v>
      </x:c>
      <x:c r="T33" s="72" t="n">
        <x:f>ROUND((R33+S33)/2,2)</x:f>
        <x:v>87.45</x:v>
      </x:c>
      <x:c r="U33" s="40" t="str">
        <x:v>S_eq=(V+S_H)/2; V and S_H equal-weighted</x:v>
      </x:c>
      <x:c r="V33" s="40" t="str">
        <x:v>yes</x:v>
      </x:c>
      <x:c r="W33" s="40" t="str"/>
      <x:c r="X33" s="40" t="str">
        <x:v>August official math.AP list; 169 total; scored pool = ceil(30%)=51</x:v>
      </x:c>
      <x:c r="Y33" s="40" t="str">
        <x:v>Assume main results correct; no line-by-line correctness check.</x:v>
      </x:c>
    </x:row>
    <x:row r="34" ht="38" customHeight="1">
      <x:c r="A34" s="40" t="str">
        <x:v>2608.00199</x:v>
      </x:c>
      <x:c r="B34" s="40" t="str">
        <x:v>2026-08</x:v>
      </x:c>
      <x:c r="C34" s="40" t="str">
        <x:v>math.AP</x:v>
      </x:c>
      <x:c r="D34" s="40" t="str">
        <x:v>elliptic regularity</x:v>
      </x:c>
      <x:c r="E34" s="40" t="str">
        <x:v>Regularity results for elliptic equations on cones</x:v>
      </x:c>
      <x:c r="F34" s="40" t="str">
        <x:v>Carlo Alberto Antonini; Filomena Pacella; Camilla Chiara Polvara; Luigi Provenzano</x:v>
      </x:c>
      <x:c r="G34" s="40" t="str">
        <x:v>-</x:v>
      </x:c>
      <x:c r="H34" s="40" t="str">
        <x:v>https://arxiv.org/abs/2608.00199</x:v>
      </x:c>
      <x:c r="I34" s="40" t="str">
        <x:v>Cone-domain elliptic regularity contribution.</x:v>
      </x:c>
      <x:c r="J34" s="72" t="n">
        <x:v>87</x:v>
      </x:c>
      <x:c r="K34" s="72" t="n">
        <x:v>87</x:v>
      </x:c>
      <x:c r="L34" s="72" t="n">
        <x:v>89</x:v>
      </x:c>
      <x:c r="M34" s="72" t="n">
        <x:v>85</x:v>
      </x:c>
      <x:c r="N34" s="72" t="n">
        <x:v>89</x:v>
      </x:c>
      <x:c r="O34" s="72" t="n">
        <x:v>84</x:v>
      </x:c>
      <x:c r="P34" s="72" t="n">
        <x:v>10</x:v>
      </x:c>
      <x:c r="Q34" s="72" t="n">
        <x:v>5</x:v>
      </x:c>
      <x:c r="R34" s="72" t="n">
        <x:f>ROUND(0.30*J34+0.20*K34+0.25*L34+0.15*M34+0.10*O34,2)</x:f>
        <x:v>86.9</x:v>
      </x:c>
      <x:c r="S34" s="72" t="n">
        <x:f>ROUND(0.30*N34+0.20*L34+0.20*K34+0.15*O34+0.15*(100-P34),2)</x:f>
        <x:v>88</x:v>
      </x:c>
      <x:c r="T34" s="72" t="n">
        <x:f>ROUND((R34+S34)/2,2)</x:f>
        <x:v>87.45</x:v>
      </x:c>
      <x:c r="U34" s="40" t="str">
        <x:v>S_eq=(V+S_H)/2; V and S_H equal-weighted</x:v>
      </x:c>
      <x:c r="V34" s="40" t="str">
        <x:v>yes</x:v>
      </x:c>
      <x:c r="W34" s="40" t="str"/>
      <x:c r="X34" s="40" t="str">
        <x:v>August official math.AP list; 169 total; scored pool = ceil(30%)=51</x:v>
      </x:c>
      <x:c r="Y34" s="40" t="str">
        <x:v>Assume main results correct; no line-by-line correctness check.</x:v>
      </x:c>
    </x:row>
    <x:row r="35" ht="38" customHeight="1">
      <x:c r="A35" s="40" t="str">
        <x:v>2608.00234</x:v>
      </x:c>
      <x:c r="B35" s="40" t="str">
        <x:v>2026-08</x:v>
      </x:c>
      <x:c r="C35" s="40" t="str">
        <x:v>math.AP</x:v>
      </x:c>
      <x:c r="D35" s="40" t="str">
        <x:v>vortex sheets</x:v>
      </x:c>
      <x:c r="E35" s="40" t="str">
        <x:v>Delayed Dissipation for Two-Dimensional Vortex Sheets</x:v>
      </x:c>
      <x:c r="F35" s="40" t="str">
        <x:v>Victor Armegioiu</x:v>
      </x:c>
      <x:c r="G35" s="40" t="str">
        <x:v>-</x:v>
      </x:c>
      <x:c r="H35" s="40" t="str">
        <x:v>https://arxiv.org/abs/2608.00234</x:v>
      </x:c>
      <x:c r="I35" s="40" t="str">
        <x:v>Fluid-interface dissipation phenomenon.</x:v>
      </x:c>
      <x:c r="J35" s="72" t="n">
        <x:v>87</x:v>
      </x:c>
      <x:c r="K35" s="72" t="n">
        <x:v>87</x:v>
      </x:c>
      <x:c r="L35" s="72" t="n">
        <x:v>89</x:v>
      </x:c>
      <x:c r="M35" s="72" t="n">
        <x:v>85</x:v>
      </x:c>
      <x:c r="N35" s="72" t="n">
        <x:v>89</x:v>
      </x:c>
      <x:c r="O35" s="72" t="n">
        <x:v>84</x:v>
      </x:c>
      <x:c r="P35" s="72" t="n">
        <x:v>10</x:v>
      </x:c>
      <x:c r="Q35" s="72" t="n">
        <x:v>5</x:v>
      </x:c>
      <x:c r="R35" s="72" t="n">
        <x:f>ROUND(0.30*J35+0.20*K35+0.25*L35+0.15*M35+0.10*O35,2)</x:f>
        <x:v>86.9</x:v>
      </x:c>
      <x:c r="S35" s="72" t="n">
        <x:f>ROUND(0.30*N35+0.20*L35+0.20*K35+0.15*O35+0.15*(100-P35),2)</x:f>
        <x:v>88</x:v>
      </x:c>
      <x:c r="T35" s="72" t="n">
        <x:f>ROUND((R35+S35)/2,2)</x:f>
        <x:v>87.45</x:v>
      </x:c>
      <x:c r="U35" s="40" t="str">
        <x:v>S_eq=(V+S_H)/2; V and S_H equal-weighted</x:v>
      </x:c>
      <x:c r="V35" s="40" t="str">
        <x:v>yes</x:v>
      </x:c>
      <x:c r="W35" s="40" t="str"/>
      <x:c r="X35" s="40" t="str">
        <x:v>August official math.AP list; 169 total; scored pool = ceil(30%)=51</x:v>
      </x:c>
      <x:c r="Y35" s="40" t="str">
        <x:v>Assume main results correct; no line-by-line correctness check.</x:v>
      </x:c>
    </x:row>
    <x:row r="36" ht="38" customHeight="1">
      <x:c r="A36" s="40" t="str">
        <x:v>2608.00727</x:v>
      </x:c>
      <x:c r="B36" s="40" t="str">
        <x:v>2026-08</x:v>
      </x:c>
      <x:c r="C36" s="40" t="str">
        <x:v>math.AP</x:v>
      </x:c>
      <x:c r="D36" s="40" t="str">
        <x:v>low-Mach/compressible limits</x:v>
      </x:c>
      <x:c r="E36" s="40" t="str">
        <x:v>Low Mach number limit for Navier-Stokes-Korteweg equations with stationary force</x:v>
      </x:c>
      <x:c r="F36" s="40" t="str">
        <x:v>Jinkai Ni; Luqi Wang; Yichi Zhang; Zhipeng Zhang</x:v>
      </x:c>
      <x:c r="G36" s="40" t="n">
        <x:v>40</x:v>
      </x:c>
      <x:c r="H36" s="40" t="str">
        <x:v>https://arxiv.org/abs/2608.00727</x:v>
      </x:c>
      <x:c r="I36" s="40" t="str">
        <x:v>Low-Mach asymptotic analysis for capillary NS-Korteweg.</x:v>
      </x:c>
      <x:c r="J36" s="72" t="n">
        <x:v>87</x:v>
      </x:c>
      <x:c r="K36" s="72" t="n">
        <x:v>87</x:v>
      </x:c>
      <x:c r="L36" s="72" t="n">
        <x:v>89</x:v>
      </x:c>
      <x:c r="M36" s="72" t="n">
        <x:v>85</x:v>
      </x:c>
      <x:c r="N36" s="72" t="n">
        <x:v>89</x:v>
      </x:c>
      <x:c r="O36" s="72" t="n">
        <x:v>84</x:v>
      </x:c>
      <x:c r="P36" s="72" t="n">
        <x:v>10</x:v>
      </x:c>
      <x:c r="Q36" s="72" t="n">
        <x:v>5</x:v>
      </x:c>
      <x:c r="R36" s="72" t="n">
        <x:f>ROUND(0.30*J36+0.20*K36+0.25*L36+0.15*M36+0.10*O36,2)</x:f>
        <x:v>86.9</x:v>
      </x:c>
      <x:c r="S36" s="72" t="n">
        <x:f>ROUND(0.30*N36+0.20*L36+0.20*K36+0.15*O36+0.15*(100-P36),2)</x:f>
        <x:v>88</x:v>
      </x:c>
      <x:c r="T36" s="72" t="n">
        <x:f>ROUND((R36+S36)/2,2)</x:f>
        <x:v>87.45</x:v>
      </x:c>
      <x:c r="U36" s="40" t="str">
        <x:v>S_eq=(V+S_H)/2; V and S_H equal-weighted</x:v>
      </x:c>
      <x:c r="V36" s="40" t="str">
        <x:v>yes</x:v>
      </x:c>
      <x:c r="W36" s="40" t="str"/>
      <x:c r="X36" s="40" t="str">
        <x:v>August official math.AP list; 169 total; scored pool = ceil(30%)=51</x:v>
      </x:c>
      <x:c r="Y36" s="40" t="str">
        <x:v>Assume main results correct; no line-by-line correctness check.</x:v>
      </x:c>
    </x:row>
    <x:row r="37" ht="38" customHeight="1">
      <x:c r="A37" s="40" t="str">
        <x:v>2608.01105</x:v>
      </x:c>
      <x:c r="B37" s="40" t="str">
        <x:v>2026-08</x:v>
      </x:c>
      <x:c r="C37" s="40" t="str">
        <x:v>math.AP</x:v>
      </x:c>
      <x:c r="D37" s="40" t="str">
        <x:v>linear-growth variational problems</x:v>
      </x:c>
      <x:c r="E37" s="40" t="str">
        <x:v>Uniqueness and boundary behaviour for variational problems with linear growth</x:v>
      </x:c>
      <x:c r="F37" s="40" t="str">
        <x:v>Michael Bildhauer; Martin Fuchs</x:v>
      </x:c>
      <x:c r="G37" s="40" t="str">
        <x:v>-</x:v>
      </x:c>
      <x:c r="H37" s="40" t="str">
        <x:v>https://arxiv.org/abs/2608.01105</x:v>
      </x:c>
      <x:c r="I37" s="40" t="str">
        <x:v>Classical-style variational regularity and uniqueness.</x:v>
      </x:c>
      <x:c r="J37" s="72" t="n">
        <x:v>87</x:v>
      </x:c>
      <x:c r="K37" s="72" t="n">
        <x:v>87</x:v>
      </x:c>
      <x:c r="L37" s="72" t="n">
        <x:v>89</x:v>
      </x:c>
      <x:c r="M37" s="72" t="n">
        <x:v>85</x:v>
      </x:c>
      <x:c r="N37" s="72" t="n">
        <x:v>89</x:v>
      </x:c>
      <x:c r="O37" s="72" t="n">
        <x:v>84</x:v>
      </x:c>
      <x:c r="P37" s="72" t="n">
        <x:v>10</x:v>
      </x:c>
      <x:c r="Q37" s="72" t="n">
        <x:v>5</x:v>
      </x:c>
      <x:c r="R37" s="72" t="n">
        <x:f>ROUND(0.30*J37+0.20*K37+0.25*L37+0.15*M37+0.10*O37,2)</x:f>
        <x:v>86.9</x:v>
      </x:c>
      <x:c r="S37" s="72" t="n">
        <x:f>ROUND(0.30*N37+0.20*L37+0.20*K37+0.15*O37+0.15*(100-P37),2)</x:f>
        <x:v>88</x:v>
      </x:c>
      <x:c r="T37" s="72" t="n">
        <x:f>ROUND((R37+S37)/2,2)</x:f>
        <x:v>87.45</x:v>
      </x:c>
      <x:c r="U37" s="40" t="str">
        <x:v>S_eq=(V+S_H)/2; V and S_H equal-weighted</x:v>
      </x:c>
      <x:c r="V37" s="40" t="str">
        <x:v>yes</x:v>
      </x:c>
      <x:c r="W37" s="40" t="str"/>
      <x:c r="X37" s="40" t="str">
        <x:v>August official math.AP list; 169 total; scored pool = ceil(30%)=51</x:v>
      </x:c>
      <x:c r="Y37" s="40" t="str">
        <x:v>Assume main results correct; no line-by-line correctness check.</x:v>
      </x:c>
    </x:row>
    <x:row r="38" ht="38" customHeight="1">
      <x:c r="A38" s="40" t="str">
        <x:v>2608.01435</x:v>
      </x:c>
      <x:c r="B38" s="40" t="str">
        <x:v>2026-08</x:v>
      </x:c>
      <x:c r="C38" s="40" t="str">
        <x:v>math.AP</x:v>
      </x:c>
      <x:c r="D38" s="40" t="str">
        <x:v>Bernstein/variational</x:v>
      </x:c>
      <x:c r="E38" s="40" t="str">
        <x:v>Bernstein's theorem for variational integrals of linear growth and radial structure</x:v>
      </x:c>
      <x:c r="F38" s="40" t="str">
        <x:v>Martin Fuchs; Michael Bildhauer</x:v>
      </x:c>
      <x:c r="G38" s="40" t="str">
        <x:v>-</x:v>
      </x:c>
      <x:c r="H38" s="40" t="str">
        <x:v>https://arxiv.org/abs/2608.01435</x:v>
      </x:c>
      <x:c r="I38" s="40" t="str">
        <x:v>Bernstein-type theorem for linear-growth variational integrals.</x:v>
      </x:c>
      <x:c r="J38" s="72" t="n">
        <x:v>87</x:v>
      </x:c>
      <x:c r="K38" s="72" t="n">
        <x:v>87</x:v>
      </x:c>
      <x:c r="L38" s="72" t="n">
        <x:v>89</x:v>
      </x:c>
      <x:c r="M38" s="72" t="n">
        <x:v>85</x:v>
      </x:c>
      <x:c r="N38" s="72" t="n">
        <x:v>89</x:v>
      </x:c>
      <x:c r="O38" s="72" t="n">
        <x:v>84</x:v>
      </x:c>
      <x:c r="P38" s="72" t="n">
        <x:v>10</x:v>
      </x:c>
      <x:c r="Q38" s="72" t="n">
        <x:v>5</x:v>
      </x:c>
      <x:c r="R38" s="72" t="n">
        <x:f>ROUND(0.30*J38+0.20*K38+0.25*L38+0.15*M38+0.10*O38,2)</x:f>
        <x:v>86.9</x:v>
      </x:c>
      <x:c r="S38" s="72" t="n">
        <x:f>ROUND(0.30*N38+0.20*L38+0.20*K38+0.15*O38+0.15*(100-P38),2)</x:f>
        <x:v>88</x:v>
      </x:c>
      <x:c r="T38" s="72" t="n">
        <x:f>ROUND((R38+S38)/2,2)</x:f>
        <x:v>87.45</x:v>
      </x:c>
      <x:c r="U38" s="40" t="str">
        <x:v>S_eq=(V+S_H)/2; V and S_H equal-weighted</x:v>
      </x:c>
      <x:c r="V38" s="40" t="str">
        <x:v>yes</x:v>
      </x:c>
      <x:c r="W38" s="40" t="str"/>
      <x:c r="X38" s="40" t="str">
        <x:v>August official math.AP list; 169 total; scored pool = ceil(30%)=51</x:v>
      </x:c>
      <x:c r="Y38" s="40" t="str">
        <x:v>Assume main results correct; no line-by-line correctness check.</x:v>
      </x:c>
    </x:row>
    <x:row r="39" ht="38" customHeight="1">
      <x:c r="A39" s="40" t="str">
        <x:v>2608.04411</x:v>
      </x:c>
      <x:c r="B39" s="40" t="str">
        <x:v>2026-08</x:v>
      </x:c>
      <x:c r="C39" s="40" t="str">
        <x:v>math.AP</x:v>
      </x:c>
      <x:c r="D39" s="40" t="str">
        <x:v>quantum estimates/harmonic analysis</x:v>
      </x:c>
      <x:c r="E39" s="40" t="str">
        <x:v>Tightness and counterexamples to quantum estimates</x:v>
      </x:c>
      <x:c r="F39" s="40" t="str">
        <x:v>Joseph Slote; Alexander Volberg; Haonan Zhang</x:v>
      </x:c>
      <x:c r="G39" s="40" t="n">
        <x:v>28</x:v>
      </x:c>
      <x:c r="H39" s="40" t="str">
        <x:v>https://arxiv.org/abs/2608.04411</x:v>
      </x:c>
      <x:c r="I39" s="40" t="str">
        <x:v>Counterexamples and sharpness for quantum-type estimates.</x:v>
      </x:c>
      <x:c r="J39" s="72" t="n">
        <x:v>87</x:v>
      </x:c>
      <x:c r="K39" s="72" t="n">
        <x:v>87</x:v>
      </x:c>
      <x:c r="L39" s="72" t="n">
        <x:v>89</x:v>
      </x:c>
      <x:c r="M39" s="72" t="n">
        <x:v>85</x:v>
      </x:c>
      <x:c r="N39" s="72" t="n">
        <x:v>89</x:v>
      </x:c>
      <x:c r="O39" s="72" t="n">
        <x:v>84</x:v>
      </x:c>
      <x:c r="P39" s="72" t="n">
        <x:v>10</x:v>
      </x:c>
      <x:c r="Q39" s="72" t="n">
        <x:v>5</x:v>
      </x:c>
      <x:c r="R39" s="72" t="n">
        <x:f>ROUND(0.30*J39+0.20*K39+0.25*L39+0.15*M39+0.10*O39,2)</x:f>
        <x:v>86.9</x:v>
      </x:c>
      <x:c r="S39" s="72" t="n">
        <x:f>ROUND(0.30*N39+0.20*L39+0.20*K39+0.15*O39+0.15*(100-P39),2)</x:f>
        <x:v>88</x:v>
      </x:c>
      <x:c r="T39" s="72" t="n">
        <x:f>ROUND((R39+S39)/2,2)</x:f>
        <x:v>87.45</x:v>
      </x:c>
      <x:c r="U39" s="40" t="str">
        <x:v>S_eq=(V+S_H)/2; V and S_H equal-weighted</x:v>
      </x:c>
      <x:c r="V39" s="40" t="str">
        <x:v>yes</x:v>
      </x:c>
      <x:c r="W39" s="40" t="str"/>
      <x:c r="X39" s="40" t="str">
        <x:v>August official math.AP list; 169 total; scored pool = ceil(30%)=51</x:v>
      </x:c>
      <x:c r="Y39" s="40" t="str">
        <x:v>Assume main results correct; no line-by-line correctness check.</x:v>
      </x:c>
    </x:row>
    <x:row r="40" ht="38" customHeight="1">
      <x:c r="A40" s="40" t="str">
        <x:v>2608.05760</x:v>
      </x:c>
      <x:c r="B40" s="40" t="str">
        <x:v>2026-08</x:v>
      </x:c>
      <x:c r="C40" s="40" t="str">
        <x:v>math.AP</x:v>
      </x:c>
      <x:c r="D40" s="40" t="str">
        <x:v>mean curvature flow</x:v>
      </x:c>
      <x:c r="E40" s="40" t="str">
        <x:v>Generalized BV mean curvature flow with critical forcing</x:v>
      </x:c>
      <x:c r="F40" s="40" t="str">
        <x:v>Kiichi Tashiro</x:v>
      </x:c>
      <x:c r="G40" s="40" t="n">
        <x:v>16</x:v>
      </x:c>
      <x:c r="H40" s="40" t="str">
        <x:v>https://arxiv.org/abs/2608.05760</x:v>
      </x:c>
      <x:c r="I40" s="40" t="str">
        <x:v>BV mean curvature flow with critical forcing.</x:v>
      </x:c>
      <x:c r="J40" s="72" t="n">
        <x:v>87</x:v>
      </x:c>
      <x:c r="K40" s="72" t="n">
        <x:v>87</x:v>
      </x:c>
      <x:c r="L40" s="72" t="n">
        <x:v>89</x:v>
      </x:c>
      <x:c r="M40" s="72" t="n">
        <x:v>85</x:v>
      </x:c>
      <x:c r="N40" s="72" t="n">
        <x:v>89</x:v>
      </x:c>
      <x:c r="O40" s="72" t="n">
        <x:v>84</x:v>
      </x:c>
      <x:c r="P40" s="72" t="n">
        <x:v>10</x:v>
      </x:c>
      <x:c r="Q40" s="72" t="n">
        <x:v>5</x:v>
      </x:c>
      <x:c r="R40" s="72" t="n">
        <x:f>ROUND(0.30*J40+0.20*K40+0.25*L40+0.15*M40+0.10*O40,2)</x:f>
        <x:v>86.9</x:v>
      </x:c>
      <x:c r="S40" s="72" t="n">
        <x:f>ROUND(0.30*N40+0.20*L40+0.20*K40+0.15*O40+0.15*(100-P40),2)</x:f>
        <x:v>88</x:v>
      </x:c>
      <x:c r="T40" s="72" t="n">
        <x:f>ROUND((R40+S40)/2,2)</x:f>
        <x:v>87.45</x:v>
      </x:c>
      <x:c r="U40" s="40" t="str">
        <x:v>S_eq=(V+S_H)/2; V and S_H equal-weighted</x:v>
      </x:c>
      <x:c r="V40" s="40" t="str">
        <x:v>yes</x:v>
      </x:c>
      <x:c r="W40" s="40" t="str"/>
      <x:c r="X40" s="40" t="str">
        <x:v>August official math.AP list; 169 total; scored pool = ceil(30%)=51</x:v>
      </x:c>
      <x:c r="Y40" s="40" t="str">
        <x:v>Assume main results correct; no line-by-line correctness check.</x:v>
      </x:c>
    </x:row>
    <x:row r="41" ht="38" customHeight="1">
      <x:c r="A41" s="40" t="str">
        <x:v>2608.04938</x:v>
      </x:c>
      <x:c r="B41" s="40" t="str">
        <x:v>2026-08</x:v>
      </x:c>
      <x:c r="C41" s="40" t="str">
        <x:v>math.AP</x:v>
      </x:c>
      <x:c r="D41" s="40" t="str">
        <x:v>water waves/spectral</x:v>
      </x:c>
      <x:c r="E41" s="40" t="str">
        <x:v>Modulational spectrum of hydroelastic Stokes waves</x:v>
      </x:c>
      <x:c r="F41" s="40" t="str">
        <x:v>Ting-Yang Hsiao; Zirui Li; Ye Zhang; Chengbin Zhu</x:v>
      </x:c>
      <x:c r="G41" s="40" t="n">
        <x:v>51</x:v>
      </x:c>
      <x:c r="H41" s="40" t="str">
        <x:v>https://arxiv.org/abs/2608.04938</x:v>
      </x:c>
      <x:c r="I41" s="40" t="str">
        <x:v>Spectral analysis for hydroelastic Stokes waves.</x:v>
      </x:c>
      <x:c r="J41" s="72" t="n">
        <x:v>87</x:v>
      </x:c>
      <x:c r="K41" s="72" t="n">
        <x:v>87</x:v>
      </x:c>
      <x:c r="L41" s="72" t="n">
        <x:v>89</x:v>
      </x:c>
      <x:c r="M41" s="72" t="n">
        <x:v>85</x:v>
      </x:c>
      <x:c r="N41" s="72" t="n">
        <x:v>89</x:v>
      </x:c>
      <x:c r="O41" s="72" t="n">
        <x:v>84</x:v>
      </x:c>
      <x:c r="P41" s="72" t="n">
        <x:v>11</x:v>
      </x:c>
      <x:c r="Q41" s="72" t="n">
        <x:v>6</x:v>
      </x:c>
      <x:c r="R41" s="72" t="n">
        <x:f>ROUND(0.30*J41+0.20*K41+0.25*L41+0.15*M41+0.10*O41,2)</x:f>
        <x:v>86.9</x:v>
      </x:c>
      <x:c r="S41" s="72" t="n">
        <x:f>ROUND(0.30*N41+0.20*L41+0.20*K41+0.15*O41+0.15*(100-P41),2)</x:f>
        <x:v>87.85</x:v>
      </x:c>
      <x:c r="T41" s="72" t="n">
        <x:f>ROUND((R41+S41)/2,2)</x:f>
        <x:v>87.38</x:v>
      </x:c>
      <x:c r="U41" s="40" t="str">
        <x:v>S_eq=(V+S_H)/2; V and S_H equal-weighted</x:v>
      </x:c>
      <x:c r="V41" s="40" t="str">
        <x:v>yes</x:v>
      </x:c>
      <x:c r="W41" s="40" t="str"/>
      <x:c r="X41" s="40" t="str">
        <x:v>August official math.AP list; 169 total; scored pool = ceil(30%)=51</x:v>
      </x:c>
      <x:c r="Y41" s="40" t="str">
        <x:v>Assume main results correct; no line-by-line correctness check.</x:v>
      </x:c>
    </x:row>
    <x:row r="42" ht="38" customHeight="1">
      <x:c r="A42" s="40" t="str">
        <x:v>2608.06293</x:v>
      </x:c>
      <x:c r="B42" s="40" t="str">
        <x:v>2026-08</x:v>
      </x:c>
      <x:c r="C42" s="40" t="str">
        <x:v>math.AP</x:v>
      </x:c>
      <x:c r="D42" s="40" t="str">
        <x:v>mean curvature equation</x:v>
      </x:c>
      <x:c r="E42" s="40" t="str">
        <x:v>Nonconvex Sublevel Sets For Planar Translating Mean Curvature Equation</x:v>
      </x:c>
      <x:c r="F42" s="40" t="str">
        <x:v>Jiahuan Li; Yilu Liu; Xi-Nan Ma; Guohuan Qiu</x:v>
      </x:c>
      <x:c r="G42" s="40" t="str">
        <x:v>-</x:v>
      </x:c>
      <x:c r="H42" s="40" t="str">
        <x:v>https://arxiv.org/abs/2608.06293</x:v>
      </x:c>
      <x:c r="I42" s="40" t="str">
        <x:v>Geometry/PDE result for translating MCF equation.</x:v>
      </x:c>
      <x:c r="J42" s="72" t="n">
        <x:v>87</x:v>
      </x:c>
      <x:c r="K42" s="72" t="n">
        <x:v>86</x:v>
      </x:c>
      <x:c r="L42" s="72" t="n">
        <x:v>89</x:v>
      </x:c>
      <x:c r="M42" s="72" t="n">
        <x:v>85</x:v>
      </x:c>
      <x:c r="N42" s="72" t="n">
        <x:v>89</x:v>
      </x:c>
      <x:c r="O42" s="72" t="n">
        <x:v>84</x:v>
      </x:c>
      <x:c r="P42" s="72" t="n">
        <x:v>10</x:v>
      </x:c>
      <x:c r="Q42" s="72" t="n">
        <x:v>5</x:v>
      </x:c>
      <x:c r="R42" s="72" t="n">
        <x:f>ROUND(0.30*J42+0.20*K42+0.25*L42+0.15*M42+0.10*O42,2)</x:f>
        <x:v>86.7</x:v>
      </x:c>
      <x:c r="S42" s="72" t="n">
        <x:f>ROUND(0.30*N42+0.20*L42+0.20*K42+0.15*O42+0.15*(100-P42),2)</x:f>
        <x:v>87.8</x:v>
      </x:c>
      <x:c r="T42" s="72" t="n">
        <x:f>ROUND((R42+S42)/2,2)</x:f>
        <x:v>87.25</x:v>
      </x:c>
      <x:c r="U42" s="40" t="str">
        <x:v>S_eq=(V+S_H)/2; V and S_H equal-weighted</x:v>
      </x:c>
      <x:c r="V42" s="40" t="str">
        <x:v>yes</x:v>
      </x:c>
      <x:c r="W42" s="40" t="str"/>
      <x:c r="X42" s="40" t="str">
        <x:v>August official math.AP list; 169 total; scored pool = ceil(30%)=51</x:v>
      </x:c>
      <x:c r="Y42" s="40" t="str">
        <x:v>Assume main results correct; no line-by-line correctness check.</x:v>
      </x:c>
    </x:row>
    <x:row r="43" ht="38" customHeight="1">
      <x:c r="A43" s="40" t="str">
        <x:v>2608.01191</x:v>
      </x:c>
      <x:c r="B43" s="40" t="str">
        <x:v>2026-08</x:v>
      </x:c>
      <x:c r="C43" s="40" t="str">
        <x:v>math.AP</x:v>
      </x:c>
      <x:c r="D43" s="40" t="str">
        <x:v>Lane-Emden/graphs</x:v>
      </x:c>
      <x:c r="E43" s="40" t="str">
        <x:v>A sharp integral criterion for Lane-Emden systems on weighted graphs</x:v>
      </x:c>
      <x:c r="F43" s="40" t="str">
        <x:v>Qingsong Gu; Lu Hao; Xueping Huang; Yuhua Sun</x:v>
      </x:c>
      <x:c r="G43" s="40" t="str">
        <x:v>-</x:v>
      </x:c>
      <x:c r="H43" s="40" t="str">
        <x:v>https://arxiv.org/abs/2608.01191</x:v>
      </x:c>
      <x:c r="I43" s="40" t="str">
        <x:v>Sharp integral criterion in graph PDE.</x:v>
      </x:c>
      <x:c r="J43" s="72" t="n">
        <x:v>87</x:v>
      </x:c>
      <x:c r="K43" s="72" t="n">
        <x:v>87</x:v>
      </x:c>
      <x:c r="L43" s="72" t="n">
        <x:v>88</x:v>
      </x:c>
      <x:c r="M43" s="72" t="n">
        <x:v>85</x:v>
      </x:c>
      <x:c r="N43" s="72" t="n">
        <x:v>88</x:v>
      </x:c>
      <x:c r="O43" s="72" t="n">
        <x:v>85</x:v>
      </x:c>
      <x:c r="P43" s="72" t="n">
        <x:v>10</x:v>
      </x:c>
      <x:c r="Q43" s="72" t="n">
        <x:v>5</x:v>
      </x:c>
      <x:c r="R43" s="72" t="n">
        <x:f>ROUND(0.30*J43+0.20*K43+0.25*L43+0.15*M43+0.10*O43,2)</x:f>
        <x:v>86.75</x:v>
      </x:c>
      <x:c r="S43" s="72" t="n">
        <x:f>ROUND(0.30*N43+0.20*L43+0.20*K43+0.15*O43+0.15*(100-P43),2)</x:f>
        <x:v>87.65</x:v>
      </x:c>
      <x:c r="T43" s="72" t="n">
        <x:f>ROUND((R43+S43)/2,2)</x:f>
        <x:v>87.2</x:v>
      </x:c>
      <x:c r="U43" s="40" t="str">
        <x:v>S_eq=(V+S_H)/2; V and S_H equal-weighted</x:v>
      </x:c>
      <x:c r="V43" s="40" t="str">
        <x:v>yes</x:v>
      </x:c>
      <x:c r="W43" s="40" t="str"/>
      <x:c r="X43" s="40" t="str">
        <x:v>August official math.AP list; 169 total; scored pool = ceil(30%)=51</x:v>
      </x:c>
      <x:c r="Y43" s="40" t="str">
        <x:v>Assume main results correct; no line-by-line correctness check.</x:v>
      </x:c>
    </x:row>
    <x:row r="44" ht="38" customHeight="1">
      <x:c r="A44" s="40" t="str">
        <x:v>2608.01872</x:v>
      </x:c>
      <x:c r="B44" s="40" t="str">
        <x:v>2026-08</x:v>
      </x:c>
      <x:c r="C44" s="40" t="str">
        <x:v>math.AP</x:v>
      </x:c>
      <x:c r="D44" s="40" t="str">
        <x:v>Euler-Riesz</x:v>
      </x:c>
      <x:c r="E44" s="40" t="str">
        <x:v>Generalized solution and Weak-Strong uniqueness for the barotropic Euler-Riesz system</x:v>
      </x:c>
      <x:c r="F44" s="40" t="str">
        <x:v>Nilasis Chaudhuri</x:v>
      </x:c>
      <x:c r="G44" s="40" t="str">
        <x:v>-</x:v>
      </x:c>
      <x:c r="H44" s="40" t="str">
        <x:v>https://arxiv.org/abs/2608.01872</x:v>
      </x:c>
      <x:c r="I44" s="40" t="str">
        <x:v>Weak-strong uniqueness for nonlocal Euler-type system.</x:v>
      </x:c>
      <x:c r="J44" s="72" t="n">
        <x:v>87</x:v>
      </x:c>
      <x:c r="K44" s="72" t="n">
        <x:v>86</x:v>
      </x:c>
      <x:c r="L44" s="72" t="n">
        <x:v>89</x:v>
      </x:c>
      <x:c r="M44" s="72" t="n">
        <x:v>85</x:v>
      </x:c>
      <x:c r="N44" s="72" t="n">
        <x:v>89</x:v>
      </x:c>
      <x:c r="O44" s="72" t="n">
        <x:v>84</x:v>
      </x:c>
      <x:c r="P44" s="72" t="n">
        <x:v>11</x:v>
      </x:c>
      <x:c r="Q44" s="72" t="n">
        <x:v>6</x:v>
      </x:c>
      <x:c r="R44" s="72" t="n">
        <x:f>ROUND(0.30*J44+0.20*K44+0.25*L44+0.15*M44+0.10*O44,2)</x:f>
        <x:v>86.7</x:v>
      </x:c>
      <x:c r="S44" s="72" t="n">
        <x:f>ROUND(0.30*N44+0.20*L44+0.20*K44+0.15*O44+0.15*(100-P44),2)</x:f>
        <x:v>87.65</x:v>
      </x:c>
      <x:c r="T44" s="72" t="n">
        <x:f>ROUND((R44+S44)/2,2)</x:f>
        <x:v>87.18</x:v>
      </x:c>
      <x:c r="U44" s="40" t="str">
        <x:v>S_eq=(V+S_H)/2; V and S_H equal-weighted</x:v>
      </x:c>
      <x:c r="V44" s="40" t="str">
        <x:v>yes</x:v>
      </x:c>
      <x:c r="W44" s="40" t="str"/>
      <x:c r="X44" s="40" t="str">
        <x:v>August official math.AP list; 169 total; scored pool = ceil(30%)=51</x:v>
      </x:c>
      <x:c r="Y44" s="40" t="str">
        <x:v>Assume main results correct; no line-by-line correctness check.</x:v>
      </x:c>
    </x:row>
    <x:row r="45" ht="38" customHeight="1">
      <x:c r="A45" s="40" t="str">
        <x:v>2608.04619</x:v>
      </x:c>
      <x:c r="B45" s="40" t="str">
        <x:v>2026-08</x:v>
      </x:c>
      <x:c r="C45" s="40" t="str">
        <x:v>math.AP</x:v>
      </x:c>
      <x:c r="D45" s="40" t="str">
        <x:v>Camassa-Holm</x:v>
      </x:c>
      <x:c r="E45" s="40" t="str">
        <x:v>Sharp regularity for the periodic Camassa-Holm equation in critical Triebel-Lizorkin spaces</x:v>
      </x:c>
      <x:c r="F45" s="40" t="str">
        <x:v>Wenhai Shan; Xiao-Song Yang</x:v>
      </x:c>
      <x:c r="G45" s="40" t="str">
        <x:v>-</x:v>
      </x:c>
      <x:c r="H45" s="40" t="str">
        <x:v>https://arxiv.org/abs/2608.04619</x:v>
      </x:c>
      <x:c r="I45" s="40" t="str">
        <x:v>Sharp regularity result in critical function spaces.</x:v>
      </x:c>
      <x:c r="J45" s="72" t="n">
        <x:v>87</x:v>
      </x:c>
      <x:c r="K45" s="72" t="n">
        <x:v>86</x:v>
      </x:c>
      <x:c r="L45" s="72" t="n">
        <x:v>89</x:v>
      </x:c>
      <x:c r="M45" s="72" t="n">
        <x:v>85</x:v>
      </x:c>
      <x:c r="N45" s="72" t="n">
        <x:v>89</x:v>
      </x:c>
      <x:c r="O45" s="72" t="n">
        <x:v>84</x:v>
      </x:c>
      <x:c r="P45" s="72" t="n">
        <x:v>11</x:v>
      </x:c>
      <x:c r="Q45" s="72" t="n">
        <x:v>6</x:v>
      </x:c>
      <x:c r="R45" s="72" t="n">
        <x:f>ROUND(0.30*J45+0.20*K45+0.25*L45+0.15*M45+0.10*O45,2)</x:f>
        <x:v>86.7</x:v>
      </x:c>
      <x:c r="S45" s="72" t="n">
        <x:f>ROUND(0.30*N45+0.20*L45+0.20*K45+0.15*O45+0.15*(100-P45),2)</x:f>
        <x:v>87.65</x:v>
      </x:c>
      <x:c r="T45" s="72" t="n">
        <x:f>ROUND((R45+S45)/2,2)</x:f>
        <x:v>87.18</x:v>
      </x:c>
      <x:c r="U45" s="40" t="str">
        <x:v>S_eq=(V+S_H)/2; V and S_H equal-weighted</x:v>
      </x:c>
      <x:c r="V45" s="40" t="str">
        <x:v>yes</x:v>
      </x:c>
      <x:c r="W45" s="40" t="str"/>
      <x:c r="X45" s="40" t="str">
        <x:v>August official math.AP list; 169 total; scored pool = ceil(30%)=51</x:v>
      </x:c>
      <x:c r="Y45" s="40" t="str">
        <x:v>Assume main results correct; no line-by-line correctness check.</x:v>
      </x:c>
    </x:row>
    <x:row r="46" ht="38" customHeight="1">
      <x:c r="A46" s="40" t="str">
        <x:v>2608.06367</x:v>
      </x:c>
      <x:c r="B46" s="40" t="str">
        <x:v>2026-08</x:v>
      </x:c>
      <x:c r="C46" s="40" t="str">
        <x:v>math.AP</x:v>
      </x:c>
      <x:c r="D46" s="40" t="str">
        <x:v>calculus of variations</x:v>
      </x:c>
      <x:c r="E46" s="40" t="str">
        <x:v>Quasiconvexity for Dacorogna-Marcellini Energy</x:v>
      </x:c>
      <x:c r="F46" s="40" t="str">
        <x:v>Giuseppe Bruno; Federico Pasqualotto</x:v>
      </x:c>
      <x:c r="G46" s="40" t="str">
        <x:v>-</x:v>
      </x:c>
      <x:c r="H46" s="40" t="str">
        <x:v>https://arxiv.org/abs/2608.06367</x:v>
      </x:c>
      <x:c r="I46" s="40" t="str">
        <x:v>Variational quasiconvexity result with good author signal.</x:v>
      </x:c>
      <x:c r="J46" s="72" t="n">
        <x:v>87</x:v>
      </x:c>
      <x:c r="K46" s="72" t="n">
        <x:v>87</x:v>
      </x:c>
      <x:c r="L46" s="72" t="n">
        <x:v>88</x:v>
      </x:c>
      <x:c r="M46" s="72" t="n">
        <x:v>85</x:v>
      </x:c>
      <x:c r="N46" s="72" t="n">
        <x:v>88</x:v>
      </x:c>
      <x:c r="O46" s="72" t="n">
        <x:v>84</x:v>
      </x:c>
      <x:c r="P46" s="72" t="n">
        <x:v>9</x:v>
      </x:c>
      <x:c r="Q46" s="72" t="n">
        <x:v>5</x:v>
      </x:c>
      <x:c r="R46" s="72" t="n">
        <x:f>ROUND(0.30*J46+0.20*K46+0.25*L46+0.15*M46+0.10*O46,2)</x:f>
        <x:v>86.65</x:v>
      </x:c>
      <x:c r="S46" s="72" t="n">
        <x:f>ROUND(0.30*N46+0.20*L46+0.20*K46+0.15*O46+0.15*(100-P46),2)</x:f>
        <x:v>87.65</x:v>
      </x:c>
      <x:c r="T46" s="72" t="n">
        <x:f>ROUND((R46+S46)/2,2)</x:f>
        <x:v>87.15</x:v>
      </x:c>
      <x:c r="U46" s="40" t="str">
        <x:v>S_eq=(V+S_H)/2; V and S_H equal-weighted</x:v>
      </x:c>
      <x:c r="V46" s="40" t="str">
        <x:v>yes</x:v>
      </x:c>
      <x:c r="W46" s="40" t="str"/>
      <x:c r="X46" s="40" t="str">
        <x:v>August official math.AP list; 169 total; scored pool = ceil(30%)=51</x:v>
      </x:c>
      <x:c r="Y46" s="40" t="str">
        <x:v>Assume main results correct; no line-by-line correctness check.</x:v>
      </x:c>
    </x:row>
    <x:row r="47" ht="38" customHeight="1">
      <x:c r="A47" s="40" t="str">
        <x:v>2608.02212</x:v>
      </x:c>
      <x:c r="B47" s="40" t="str">
        <x:v>2026-08</x:v>
      </x:c>
      <x:c r="C47" s="40" t="str">
        <x:v>math.AP</x:v>
      </x:c>
      <x:c r="D47" s="40" t="str">
        <x:v>asymptotic PDE/probability</x:v>
      </x:c>
      <x:c r="E47" s="40" t="str">
        <x:v>The narrow escape problem in arbitrary dimension</x:v>
      </x:c>
      <x:c r="F47" s="40" t="str">
        <x:v>Louis Carillo; Tony Lelièvre; Thomas Normand; Gabriel Stoltz; Urbain Vaes</x:v>
      </x:c>
      <x:c r="G47" s="40" t="str">
        <x:v>-</x:v>
      </x:c>
      <x:c r="H47" s="40" t="str">
        <x:v>https://arxiv.org/abs/2608.02212</x:v>
      </x:c>
      <x:c r="I47" s="40" t="str">
        <x:v>Arbitrary-dimensional narrow escape asymptotics.</x:v>
      </x:c>
      <x:c r="J47" s="72" t="n">
        <x:v>87</x:v>
      </x:c>
      <x:c r="K47" s="72" t="n">
        <x:v>87</x:v>
      </x:c>
      <x:c r="L47" s="72" t="n">
        <x:v>88</x:v>
      </x:c>
      <x:c r="M47" s="72" t="n">
        <x:v>85</x:v>
      </x:c>
      <x:c r="N47" s="72" t="n">
        <x:v>88</x:v>
      </x:c>
      <x:c r="O47" s="72" t="n">
        <x:v>84</x:v>
      </x:c>
      <x:c r="P47" s="72" t="n">
        <x:v>10</x:v>
      </x:c>
      <x:c r="Q47" s="72" t="n">
        <x:v>5</x:v>
      </x:c>
      <x:c r="R47" s="72" t="n">
        <x:f>ROUND(0.30*J47+0.20*K47+0.25*L47+0.15*M47+0.10*O47,2)</x:f>
        <x:v>86.65</x:v>
      </x:c>
      <x:c r="S47" s="72" t="n">
        <x:f>ROUND(0.30*N47+0.20*L47+0.20*K47+0.15*O47+0.15*(100-P47),2)</x:f>
        <x:v>87.5</x:v>
      </x:c>
      <x:c r="T47" s="72" t="n">
        <x:f>ROUND((R47+S47)/2,2)</x:f>
        <x:v>87.08</x:v>
      </x:c>
      <x:c r="U47" s="40" t="str">
        <x:v>S_eq=(V+S_H)/2; V and S_H equal-weighted</x:v>
      </x:c>
      <x:c r="V47" s="40" t="str">
        <x:v>yes</x:v>
      </x:c>
      <x:c r="W47" s="40" t="str"/>
      <x:c r="X47" s="40" t="str">
        <x:v>August official math.AP list; 169 total; scored pool = ceil(30%)=51</x:v>
      </x:c>
      <x:c r="Y47" s="40" t="str">
        <x:v>Assume main results correct; no line-by-line correctness check.</x:v>
      </x:c>
    </x:row>
    <x:row r="48" ht="38" customHeight="1">
      <x:c r="A48" s="40" t="str">
        <x:v>2608.06226</x:v>
      </x:c>
      <x:c r="B48" s="40" t="str">
        <x:v>2026-08</x:v>
      </x:c>
      <x:c r="C48" s="40" t="str">
        <x:v>math.AP</x:v>
      </x:c>
      <x:c r="D48" s="40" t="str">
        <x:v>fractional Allen-Cahn</x:v>
      </x:c>
      <x:c r="E48" s="40" t="str">
        <x:v>The energy of fractional Allen-Cahn layers in dimension one</x:v>
      </x:c>
      <x:c r="F48" s="40" t="str">
        <x:v>Alvaro Carballeira; Damien Galant; Javier Gomez-Serrano</x:v>
      </x:c>
      <x:c r="G48" s="40" t="n">
        <x:v>49</x:v>
      </x:c>
      <x:c r="H48" s="40" t="str">
        <x:v>https://arxiv.org/abs/2608.06226</x:v>
      </x:c>
      <x:c r="I48" s="40" t="str">
        <x:v>Fractional Allen-Cahn layer energy; code-assisted elements noted in listing.</x:v>
      </x:c>
      <x:c r="J48" s="72" t="n">
        <x:v>87</x:v>
      </x:c>
      <x:c r="K48" s="72" t="n">
        <x:v>87</x:v>
      </x:c>
      <x:c r="L48" s="72" t="n">
        <x:v>89</x:v>
      </x:c>
      <x:c r="M48" s="72" t="n">
        <x:v>85</x:v>
      </x:c>
      <x:c r="N48" s="72" t="n">
        <x:v>89</x:v>
      </x:c>
      <x:c r="O48" s="72" t="n">
        <x:v>83</x:v>
      </x:c>
      <x:c r="P48" s="72" t="n">
        <x:v>15</x:v>
      </x:c>
      <x:c r="Q48" s="72" t="n">
        <x:v>7</x:v>
      </x:c>
      <x:c r="R48" s="72" t="n">
        <x:f>ROUND(0.30*J48+0.20*K48+0.25*L48+0.15*M48+0.10*O48,2)</x:f>
        <x:v>86.8</x:v>
      </x:c>
      <x:c r="S48" s="72" t="n">
        <x:f>ROUND(0.30*N48+0.20*L48+0.20*K48+0.15*O48+0.15*(100-P48),2)</x:f>
        <x:v>87.1</x:v>
      </x:c>
      <x:c r="T48" s="72" t="n">
        <x:f>ROUND((R48+S48)/2,2)</x:f>
        <x:v>86.95</x:v>
      </x:c>
      <x:c r="U48" s="40" t="str">
        <x:v>S_eq=(V+S_H)/2; V and S_H equal-weighted</x:v>
      </x:c>
      <x:c r="V48" s="40" t="str">
        <x:v>yes</x:v>
      </x:c>
      <x:c r="W48" s="40" t="str"/>
      <x:c r="X48" s="40" t="str">
        <x:v>August official math.AP list; 169 total; scored pool = ceil(30%)=51</x:v>
      </x:c>
      <x:c r="Y48" s="40" t="str">
        <x:v>Assume main results correct; no line-by-line correctness check.</x:v>
      </x:c>
    </x:row>
    <x:row r="49" ht="38" customHeight="1">
      <x:c r="A49" s="40" t="str">
        <x:v>2608.00972</x:v>
      </x:c>
      <x:c r="B49" s="40" t="str">
        <x:v>2026-08</x:v>
      </x:c>
      <x:c r="C49" s="40" t="str">
        <x:v>math.AP</x:v>
      </x:c>
      <x:c r="D49" s="40" t="str">
        <x:v>Boussinesq</x:v>
      </x:c>
      <x:c r="E49" s="40" t="str">
        <x:v>Exponential decay for 3D Boussinesq equations with Navier boundary conditions</x:v>
      </x:c>
      <x:c r="F49" s="40" t="str">
        <x:v>Wen Feng; Weinan Wang; Xiang Xu</x:v>
      </x:c>
      <x:c r="G49" s="40" t="str">
        <x:v>-</x:v>
      </x:c>
      <x:c r="H49" s="40" t="str">
        <x:v>https://arxiv.org/abs/2608.00972</x:v>
      </x:c>
      <x:c r="I49" s="40" t="str">
        <x:v>Decay result for boundary Boussinesq dynamics.</x:v>
      </x:c>
      <x:c r="J49" s="72" t="n">
        <x:v>86</x:v>
      </x:c>
      <x:c r="K49" s="72" t="n">
        <x:v>86</x:v>
      </x:c>
      <x:c r="L49" s="72" t="n">
        <x:v>88</x:v>
      </x:c>
      <x:c r="M49" s="72" t="n">
        <x:v>84</x:v>
      </x:c>
      <x:c r="N49" s="72" t="n">
        <x:v>88</x:v>
      </x:c>
      <x:c r="O49" s="72" t="n">
        <x:v>84</x:v>
      </x:c>
      <x:c r="P49" s="72" t="n">
        <x:v>10</x:v>
      </x:c>
      <x:c r="Q49" s="72" t="n">
        <x:v>5</x:v>
      </x:c>
      <x:c r="R49" s="72" t="n">
        <x:f>ROUND(0.30*J49+0.20*K49+0.25*L49+0.15*M49+0.10*O49,2)</x:f>
        <x:v>86</x:v>
      </x:c>
      <x:c r="S49" s="72" t="n">
        <x:f>ROUND(0.30*N49+0.20*L49+0.20*K49+0.15*O49+0.15*(100-P49),2)</x:f>
        <x:v>87.3</x:v>
      </x:c>
      <x:c r="T49" s="72" t="n">
        <x:f>ROUND((R49+S49)/2,2)</x:f>
        <x:v>86.65</x:v>
      </x:c>
      <x:c r="U49" s="40" t="str">
        <x:v>S_eq=(V+S_H)/2; V and S_H equal-weighted</x:v>
      </x:c>
      <x:c r="V49" s="40" t="str">
        <x:v>yes</x:v>
      </x:c>
      <x:c r="W49" s="40" t="str"/>
      <x:c r="X49" s="40" t="str">
        <x:v>August official math.AP list; 169 total; scored pool = ceil(30%)=51</x:v>
      </x:c>
      <x:c r="Y49" s="40" t="str">
        <x:v>Assume main results correct; no line-by-line correctness check.</x:v>
      </x:c>
    </x:row>
    <x:row r="50" ht="38" customHeight="1">
      <x:c r="A50" s="40" t="str">
        <x:v>2608.01188</x:v>
      </x:c>
      <x:c r="B50" s="40" t="str">
        <x:v>2026-08</x:v>
      </x:c>
      <x:c r="C50" s="40" t="str">
        <x:v>math.AP</x:v>
      </x:c>
      <x:c r="D50" s="40" t="str">
        <x:v>fractional gradient flows</x:v>
      </x:c>
      <x:c r="E50" s="40" t="str">
        <x:v>A semiconvex counterexample to energy monotonicity for time-fractional gradient flows</x:v>
      </x:c>
      <x:c r="F50" s="40" t="str">
        <x:v>Marvin Fritz</x:v>
      </x:c>
      <x:c r="G50" s="40" t="str">
        <x:v>-</x:v>
      </x:c>
      <x:c r="H50" s="40" t="str">
        <x:v>https://arxiv.org/abs/2608.01188</x:v>
      </x:c>
      <x:c r="I50" s="40" t="str">
        <x:v>Counterexample clarifies fractional gradient-flow behavior.</x:v>
      </x:c>
      <x:c r="J50" s="72" t="n">
        <x:v>86</x:v>
      </x:c>
      <x:c r="K50" s="72" t="n">
        <x:v>86</x:v>
      </x:c>
      <x:c r="L50" s="72" t="n">
        <x:v>88</x:v>
      </x:c>
      <x:c r="M50" s="72" t="n">
        <x:v>84</x:v>
      </x:c>
      <x:c r="N50" s="72" t="n">
        <x:v>88</x:v>
      </x:c>
      <x:c r="O50" s="72" t="n">
        <x:v>84</x:v>
      </x:c>
      <x:c r="P50" s="72" t="n">
        <x:v>10</x:v>
      </x:c>
      <x:c r="Q50" s="72" t="n">
        <x:v>5</x:v>
      </x:c>
      <x:c r="R50" s="72" t="n">
        <x:f>ROUND(0.30*J50+0.20*K50+0.25*L50+0.15*M50+0.10*O50,2)</x:f>
        <x:v>86</x:v>
      </x:c>
      <x:c r="S50" s="72" t="n">
        <x:f>ROUND(0.30*N50+0.20*L50+0.20*K50+0.15*O50+0.15*(100-P50),2)</x:f>
        <x:v>87.3</x:v>
      </x:c>
      <x:c r="T50" s="72" t="n">
        <x:f>ROUND((R50+S50)/2,2)</x:f>
        <x:v>86.65</x:v>
      </x:c>
      <x:c r="U50" s="40" t="str">
        <x:v>S_eq=(V+S_H)/2; V and S_H equal-weighted</x:v>
      </x:c>
      <x:c r="V50" s="40" t="str">
        <x:v>yes</x:v>
      </x:c>
      <x:c r="W50" s="40" t="str"/>
      <x:c r="X50" s="40" t="str">
        <x:v>August official math.AP list; 169 total; scored pool = ceil(30%)=51</x:v>
      </x:c>
      <x:c r="Y50" s="40" t="str">
        <x:v>Assume main results correct; no line-by-line correctness check.</x:v>
      </x:c>
    </x:row>
    <x:row r="51" ht="38" customHeight="1">
      <x:c r="A51" s="40" t="str">
        <x:v>2608.01579</x:v>
      </x:c>
      <x:c r="B51" s="40" t="str">
        <x:v>2026-08</x:v>
      </x:c>
      <x:c r="C51" s="40" t="str">
        <x:v>math.AP</x:v>
      </x:c>
      <x:c r="D51" s="40" t="str">
        <x:v>spectral/conjectures</x:v>
      </x:c>
      <x:c r="E51" s="40" t="str">
        <x:v>A computer-assisted counterexample to the planar Pompeiu and Schiffer conjectures</x:v>
      </x:c>
      <x:c r="F51" s="40" t="str">
        <x:v>Matthew J. Colbrook; George Stepaniants</x:v>
      </x:c>
      <x:c r="G51" s="40" t="str">
        <x:v>-</x:v>
      </x:c>
      <x:c r="H51" s="40" t="str">
        <x:v>https://arxiv.org/abs/2608.01579</x:v>
      </x:c>
      <x:c r="I51" s="40" t="str">
        <x:v>Important but computation-heavy conjectural counterexample work.</x:v>
      </x:c>
      <x:c r="J51" s="72" t="n">
        <x:v>88</x:v>
      </x:c>
      <x:c r="K51" s="72" t="n">
        <x:v>90</x:v>
      </x:c>
      <x:c r="L51" s="72" t="n">
        <x:v>89</x:v>
      </x:c>
      <x:c r="M51" s="72" t="n">
        <x:v>86</x:v>
      </x:c>
      <x:c r="N51" s="72" t="n">
        <x:v>86</x:v>
      </x:c>
      <x:c r="O51" s="72" t="n">
        <x:v>84</x:v>
      </x:c>
      <x:c r="P51" s="72" t="n">
        <x:v>28</x:v>
      </x:c>
      <x:c r="Q51" s="72" t="n">
        <x:v>9</x:v>
      </x:c>
      <x:c r="R51" s="72" t="n">
        <x:f>ROUND(0.30*J51+0.20*K51+0.25*L51+0.15*M51+0.10*O51,2)</x:f>
        <x:v>87.95</x:v>
      </x:c>
      <x:c r="S51" s="72" t="n">
        <x:f>ROUND(0.30*N51+0.20*L51+0.20*K51+0.15*O51+0.15*(100-P51),2)</x:f>
        <x:v>85</x:v>
      </x:c>
      <x:c r="T51" s="72" t="n">
        <x:f>ROUND((R51+S51)/2,2)</x:f>
        <x:v>86.48</x:v>
      </x:c>
      <x:c r="U51" s="40" t="str">
        <x:v>S_eq=(V+S_H)/2; V and S_H equal-weighted</x:v>
      </x:c>
      <x:c r="V51" s="40" t="str">
        <x:v>yes</x:v>
      </x:c>
      <x:c r="W51" s="40" t="str"/>
      <x:c r="X51" s="40" t="str">
        <x:v>August official math.AP list; 169 total; scored pool = ceil(30%)=51</x:v>
      </x:c>
      <x:c r="Y51" s="40" t="str">
        <x:v>Assume main results correct; no line-by-line correctness check.</x:v>
      </x:c>
    </x:row>
    <x:row r="52" ht="38" customHeight="1">
      <x:c r="A52" s="40" t="str">
        <x:v>2608.00689</x:v>
      </x:c>
      <x:c r="B52" s="40" t="str">
        <x:v>2026-08</x:v>
      </x:c>
      <x:c r="C52" s="40" t="str">
        <x:v>math.AP</x:v>
      </x:c>
      <x:c r="D52" s="40" t="str">
        <x:v>non-Newtonian fluids</x:v>
      </x:c>
      <x:c r="E52" s="40" t="str">
        <x:v>Existence of weak solutions for power-law compressible non-Newtonian fluids</x:v>
      </x:c>
      <x:c r="F52" s="40" t="str">
        <x:v>Siran Li; Jianing Yang; Yuantu Zhu</x:v>
      </x:c>
      <x:c r="G52" s="40" t="n">
        <x:v>33</x:v>
      </x:c>
      <x:c r="H52" s="40" t="str">
        <x:v>https://arxiv.org/abs/2608.00689</x:v>
      </x:c>
      <x:c r="I52" s="40" t="str">
        <x:v>Weak-solution existence for compressible non-Newtonian flow.</x:v>
      </x:c>
      <x:c r="J52" s="72" t="n">
        <x:v>86</x:v>
      </x:c>
      <x:c r="K52" s="72" t="n">
        <x:v>86</x:v>
      </x:c>
      <x:c r="L52" s="72" t="n">
        <x:v>88</x:v>
      </x:c>
      <x:c r="M52" s="72" t="n">
        <x:v>84</x:v>
      </x:c>
      <x:c r="N52" s="72" t="n">
        <x:v>88</x:v>
      </x:c>
      <x:c r="O52" s="72" t="n">
        <x:v>83</x:v>
      </x:c>
      <x:c r="P52" s="72" t="n">
        <x:v>11</x:v>
      </x:c>
      <x:c r="Q52" s="72" t="n">
        <x:v>6</x:v>
      </x:c>
      <x:c r="R52" s="72" t="n">
        <x:f>ROUND(0.30*J52+0.20*K52+0.25*L52+0.15*M52+0.10*O52,2)</x:f>
        <x:v>85.9</x:v>
      </x:c>
      <x:c r="S52" s="72" t="n">
        <x:f>ROUND(0.30*N52+0.20*L52+0.20*K52+0.15*O52+0.15*(100-P52),2)</x:f>
        <x:v>87</x:v>
      </x:c>
      <x:c r="T52" s="72" t="n">
        <x:f>ROUND((R52+S52)/2,2)</x:f>
        <x:v>86.45</x:v>
      </x:c>
      <x:c r="U52" s="40" t="str">
        <x:v>S_eq=(V+S_H)/2; V and S_H equal-weighted</x:v>
      </x:c>
      <x:c r="V52" s="40" t="str">
        <x:v>yes</x:v>
      </x:c>
      <x:c r="W52" s="40" t="str"/>
      <x:c r="X52" s="40" t="str">
        <x:v>August official math.AP list; 169 total; scored pool = ceil(30%)=51</x:v>
      </x:c>
      <x:c r="Y52" s="40" t="str">
        <x:v>Assume main results correct; no line-by-line correctness check.</x:v>
      </x:c>
    </x:row>
  </x:sheetData>
  <x:conditionalFormatting sqref="T2:T5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123ac815bf143c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0" hidden="0" customWidth="1"/>
    <x:col min="4" max="4" width="14" hidden="0" customWidth="1"/>
    <x:col min="5" max="5" width="50" hidden="0" customWidth="1"/>
    <x:col min="6" max="6" width="30" hidden="0" customWidth="1"/>
    <x:col min="7" max="7" width="24" hidden="0" customWidth="1"/>
    <x:col min="8" max="8" width="8" hidden="0" customWidth="1"/>
    <x:col min="9" max="9" width="10" hidden="0" customWidth="1"/>
    <x:col min="10" max="10" width="10" hidden="0" customWidth="1"/>
    <x:col min="11" max="11" width="10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30" hidden="0" customWidth="1"/>
    <x:col min="20" max="20" width="50" hidden="0" customWidth="1"/>
  </x:cols>
  <x:sheetData>
    <x:row r="1" ht="30" customHeight="1">
      <x:c r="A1" s="125" t="str">
        <x:v>PeriodRank</x:v>
      </x:c>
      <x:c r="B1" s="125" t="str">
        <x:v>OverallRank_5_8</x:v>
      </x:c>
      <x:c r="C1" s="125" t="str">
        <x:v>Month</x:v>
      </x:c>
      <x:c r="D1" s="125" t="str">
        <x:v>arXiv</x:v>
      </x:c>
      <x:c r="E1" s="125" t="str">
        <x:v>Title</x:v>
      </x:c>
      <x:c r="F1" s="125" t="str">
        <x:v>Authors</x:v>
      </x:c>
      <x:c r="G1" s="125" t="str">
        <x:v>Theme</x:v>
      </x:c>
      <x:c r="H1" s="125" t="str">
        <x:v>Pages</x:v>
      </x:c>
      <x:c r="I1" s="125" t="str">
        <x:v>S_eq</x:v>
      </x:c>
      <x:c r="J1" s="125" t="str">
        <x:v>V</x:v>
      </x:c>
      <x:c r="K1" s="125" t="str">
        <x:v>S_H</x:v>
      </x:c>
      <x:c r="L1" s="125" t="str">
        <x:v>I</x:v>
      </x:c>
      <x:c r="M1" s="125" t="str">
        <x:v>O</x:v>
      </x:c>
      <x:c r="N1" s="125" t="str">
        <x:v>T</x:v>
      </x:c>
      <x:c r="O1" s="125" t="str">
        <x:v>B</x:v>
      </x:c>
      <x:c r="P1" s="125" t="str">
        <x:v>H</x:v>
      </x:c>
      <x:c r="Q1" s="125" t="str">
        <x:v>R</x:v>
      </x:c>
      <x:c r="R1" s="125" t="str">
        <x:v>AI_pct</x:v>
      </x:c>
      <x:c r="S1" s="125" t="str">
        <x:v>SourceURL</x:v>
      </x:c>
      <x:c r="T1" s="125" t="str">
        <x:v>综合判断</x:v>
      </x:c>
    </x:row>
    <x:row r="2" ht="36" customHeight="1">
      <x:c r="A2" s="129" t="n">
        <x:v>1</x:v>
      </x:c>
      <x:c r="B2" s="129" t="n">
        <x:f>MATCH(D2,May_Aug_AllRank!$D$2:$D$575,0)</x:f>
        <x:v>7</x:v>
      </x:c>
      <x:c r="C2" s="129" t="str">
        <x:v>2026-07</x:v>
      </x:c>
      <x:c r="D2" s="129" t="str">
        <x:v>2607.10686</x:v>
      </x:c>
      <x:c r="E2" s="128" t="str">
        <x:v>Singular mean-field limits via a multiscale mollification metric</x:v>
      </x:c>
      <x:c r="F2" s="128" t="str">
        <x:v>Quoc Hung Nguyen; Sylvia Serfaty</x:v>
      </x:c>
      <x:c r="G2" s="128" t="str">
        <x:v>mean-field limits / Coulomb-type PDE</x:v>
      </x:c>
      <x:c r="H2" s="130" t="n">
        <x:v>105</x:v>
      </x:c>
      <x:c r="I2" s="130" t="n">
        <x:v>93.6</x:v>
      </x:c>
      <x:c r="J2" s="130" t="n">
        <x:v>94</x:v>
      </x:c>
      <x:c r="K2" s="130" t="n">
        <x:v>93.2</x:v>
      </x:c>
      <x:c r="L2" s="130" t="n">
        <x:v>96</x:v>
      </x:c>
      <x:c r="M2" s="130" t="n">
        <x:v>94</x:v>
      </x:c>
      <x:c r="N2" s="130" t="n">
        <x:v>96</x:v>
      </x:c>
      <x:c r="O2" s="130" t="n">
        <x:v>92</x:v>
      </x:c>
      <x:c r="P2" s="130" t="n">
        <x:v>96</x:v>
      </x:c>
      <x:c r="Q2" s="130" t="n">
        <x:v>86</x:v>
      </x:c>
      <x:c r="R2" s="130" t="n">
        <x:v>10</x:v>
      </x:c>
      <x:c r="S2" s="128" t="str">
        <x:v>https://arxiv.org/abs/2607.10686</x:v>
      </x:c>
      <x:c r="T2" s="128" t="str">
        <x:v>Large-scale singular mean-field limit framework; broad PDE/probability transfer.</x:v>
      </x:c>
    </x:row>
    <x:row r="3" ht="36" customHeight="1">
      <x:c r="A3" s="129" t="n">
        <x:v>2</x:v>
      </x:c>
      <x:c r="B3" s="129" t="n">
        <x:f>MATCH(D3,May_Aug_AllRank!$D$2:$D$575,0)</x:f>
        <x:v>12</x:v>
      </x:c>
      <x:c r="C3" s="129" t="str">
        <x:v>2026-08</x:v>
      </x:c>
      <x:c r="D3" s="129" t="str">
        <x:v>2608.00802</x:v>
      </x:c>
      <x:c r="E3" s="128" t="str">
        <x:v>Counterexamples to Landis' conjecture in dimensions three and higher</x:v>
      </x:c>
      <x:c r="F3" s="128" t="str">
        <x:v>Rupert L. Frank; Paata Ivanisvili</x:v>
      </x:c>
      <x:c r="G3" s="128" t="str">
        <x:v>unique continuation/counterexamples</x:v>
      </x:c>
      <x:c r="H3" s="130" t="n">
        <x:v>34</x:v>
      </x:c>
      <x:c r="I3" s="130" t="n">
        <x:v>92.65</x:v>
      </x:c>
      <x:c r="J3" s="130" t="n">
        <x:v>93</x:v>
      </x:c>
      <x:c r="K3" s="130" t="n">
        <x:v>92.3</x:v>
      </x:c>
      <x:c r="L3" s="130" t="n">
        <x:v>95</x:v>
      </x:c>
      <x:c r="M3" s="130" t="n">
        <x:v>94</x:v>
      </x:c>
      <x:c r="N3" s="130" t="n">
        <x:v>93</x:v>
      </x:c>
      <x:c r="O3" s="130" t="n">
        <x:v>91</x:v>
      </x:c>
      <x:c r="P3" s="130" t="n">
        <x:v>93</x:v>
      </x:c>
      <x:c r="Q3" s="130" t="n">
        <x:v>88</x:v>
      </x:c>
      <x:c r="R3" s="130" t="n">
        <x:v>8</x:v>
      </x:c>
      <x:c r="S3" s="128" t="str">
        <x:v>https://arxiv.org/abs/2608.00802</x:v>
      </x:c>
      <x:c r="T3" s="128" t="str">
        <x:v>Major counterexample to a famous unique-continuation conjecture; concise and high impact.</x:v>
      </x:c>
    </x:row>
    <x:row r="4" ht="36" customHeight="1">
      <x:c r="A4" s="129" t="n">
        <x:v>3</x:v>
      </x:c>
      <x:c r="B4" s="129" t="n">
        <x:f>MATCH(D4,May_Aug_AllRank!$D$2:$D$575,0)</x:f>
        <x:v>18</x:v>
      </x:c>
      <x:c r="C4" s="129" t="str">
        <x:v>2026-08</x:v>
      </x:c>
      <x:c r="D4" s="129" t="str">
        <x:v>2608.00268</x:v>
      </x:c>
      <x:c r="E4" s="128" t="str">
        <x:v>A good commutator approach to global asymptotics for Schrodinger equation with variable coefficients</x:v>
      </x:c>
      <x:c r="F4" s="128" t="str">
        <x:v>Sung-Jin Oh; Federico Pasqualotto; Ning Tang</x:v>
      </x:c>
      <x:c r="G4" s="128" t="str">
        <x:v>Schrodinger asymptotics</x:v>
      </x:c>
      <x:c r="H4" s="130" t="n">
        <x:v>68</x:v>
      </x:c>
      <x:c r="I4" s="130" t="n">
        <x:v>92</x:v>
      </x:c>
      <x:c r="J4" s="130" t="n">
        <x:v>92.2</x:v>
      </x:c>
      <x:c r="K4" s="130" t="n">
        <x:v>91.8</x:v>
      </x:c>
      <x:c r="L4" s="130" t="n">
        <x:v>94</x:v>
      </x:c>
      <x:c r="M4" s="130" t="n">
        <x:v>92</x:v>
      </x:c>
      <x:c r="N4" s="130" t="n">
        <x:v>94</x:v>
      </x:c>
      <x:c r="O4" s="130" t="n">
        <x:v>90</x:v>
      </x:c>
      <x:c r="P4" s="130" t="n">
        <x:v>94</x:v>
      </x:c>
      <x:c r="Q4" s="130" t="n">
        <x:v>86</x:v>
      </x:c>
      <x:c r="R4" s="130" t="n">
        <x:v>10</x:v>
      </x:c>
      <x:c r="S4" s="128" t="str">
        <x:v>https://arxiv.org/abs/2608.00268</x:v>
      </x:c>
      <x:c r="T4" s="128" t="str">
        <x:v>Long global asymptotic analysis by leading dispersive/PDE authors.</x:v>
      </x:c>
    </x:row>
    <x:row r="5" ht="36" customHeight="1">
      <x:c r="A5" s="129" t="n">
        <x:v>4</x:v>
      </x:c>
      <x:c r="B5" s="129" t="n">
        <x:f>MATCH(D5,May_Aug_AllRank!$D$2:$D$575,0)</x:f>
        <x:v>21</x:v>
      </x:c>
      <x:c r="C5" s="129" t="str">
        <x:v>2026-07</x:v>
      </x:c>
      <x:c r="D5" s="129" t="str">
        <x:v>2607.00891</x:v>
      </x:c>
      <x:c r="E5" s="128" t="str">
        <x:v>Low-regularity a priori estimates, blow-up criterion, and self-intersection singularities for free-boundary ideal magnetohydrodynamics with surface tension</x:v>
      </x:c>
      <x:c r="F5" s="128" t="str">
        <x:v>Tao Luo; Siqi Yang</x:v>
      </x:c>
      <x:c r="G5" s="128" t="str">
        <x:v>free-boundary MHD</x:v>
      </x:c>
      <x:c r="H5" s="130" t="n">
        <x:v>48</x:v>
      </x:c>
      <x:c r="I5" s="130" t="n">
        <x:v>91.9</x:v>
      </x:c>
      <x:c r="J5" s="130" t="n">
        <x:v>92</x:v>
      </x:c>
      <x:c r="K5" s="130" t="n">
        <x:v>91.8</x:v>
      </x:c>
      <x:c r="L5" s="130" t="n">
        <x:v>94</x:v>
      </x:c>
      <x:c r="M5" s="130" t="n">
        <x:v>91</x:v>
      </x:c>
      <x:c r="N5" s="130" t="n">
        <x:v>95</x:v>
      </x:c>
      <x:c r="O5" s="130" t="n">
        <x:v>89</x:v>
      </x:c>
      <x:c r="P5" s="130" t="n">
        <x:v>95</x:v>
      </x:c>
      <x:c r="Q5" s="130" t="n">
        <x:v>85</x:v>
      </x:c>
      <x:c r="R5" s="130" t="n">
        <x:v>11</x:v>
      </x:c>
      <x:c r="S5" s="128" t="str">
        <x:v>https://arxiv.org/abs/2607.00891</x:v>
      </x:c>
      <x:c r="T5" s="128" t="str">
        <x:v>Difficult free-boundary MHD estimates and singularity criteria.</x:v>
      </x:c>
    </x:row>
    <x:row r="6" ht="36" customHeight="1">
      <x:c r="A6" s="129" t="n">
        <x:v>5</x:v>
      </x:c>
      <x:c r="B6" s="129" t="n">
        <x:f>MATCH(D6,May_Aug_AllRank!$D$2:$D$575,0)</x:f>
        <x:v>22</x:v>
      </x:c>
      <x:c r="C6" s="129" t="str">
        <x:v>2026-07</x:v>
      </x:c>
      <x:c r="D6" s="129" t="str">
        <x:v>2607.15256</x:v>
      </x:c>
      <x:c r="E6" s="128" t="str">
        <x:v>Analytic finite-rank corrections for singularly weighted estimates in a computer-assisted proof of 3D Euler singularity</x:v>
      </x:c>
      <x:c r="F6" s="128" t="str">
        <x:v>Jiajie Chen; Thomas Y. Hou</x:v>
      </x:c>
      <x:c r="G6" s="128" t="str">
        <x:v>Euler singularity / computer-assisted analysis</x:v>
      </x:c>
      <x:c r="H6" s="130" t="n">
        <x:v>24</x:v>
      </x:c>
      <x:c r="I6" s="130" t="n">
        <x:v>91.78</x:v>
      </x:c>
      <x:c r="J6" s="130" t="n">
        <x:v>92.95</x:v>
      </x:c>
      <x:c r="K6" s="130" t="n">
        <x:v>90.6</x:v>
      </x:c>
      <x:c r="L6" s="130" t="n">
        <x:v>95</x:v>
      </x:c>
      <x:c r="M6" s="130" t="n">
        <x:v>94</x:v>
      </x:c>
      <x:c r="N6" s="130" t="n">
        <x:v>95</x:v>
      </x:c>
      <x:c r="O6" s="130" t="n">
        <x:v>90</x:v>
      </x:c>
      <x:c r="P6" s="130" t="n">
        <x:v>95</x:v>
      </x:c>
      <x:c r="Q6" s="130" t="n">
        <x:v>84</x:v>
      </x:c>
      <x:c r="R6" s="130" t="n">
        <x:v>22</x:v>
      </x:c>
      <x:c r="S6" s="128" t="str">
        <x:v>https://arxiv.org/abs/2607.15256</x:v>
      </x:c>
      <x:c r="T6" s="128" t="str">
        <x:v>Major correction/certification component in 3D Euler singularity program; high value but partly computational.</x:v>
      </x:c>
    </x:row>
    <x:row r="7" ht="36" customHeight="1">
      <x:c r="A7" s="129" t="n">
        <x:v>6</x:v>
      </x:c>
      <x:c r="B7" s="129" t="n">
        <x:f>MATCH(D7,May_Aug_AllRank!$D$2:$D$575,0)</x:f>
        <x:v>29</x:v>
      </x:c>
      <x:c r="C7" s="129" t="str">
        <x:v>2026-07</x:v>
      </x:c>
      <x:c r="D7" s="129" t="str">
        <x:v>2607.08685</x:v>
      </x:c>
      <x:c r="E7" s="128" t="str">
        <x:v>A Short Proof of Optimal Regularity for minimizers of the Alt-Phillips Problem</x:v>
      </x:c>
      <x:c r="F7" s="128" t="str">
        <x:v>Kunyi Ma</x:v>
      </x:c>
      <x:c r="G7" s="128" t="str">
        <x:v>free boundary</x:v>
      </x:c>
      <x:c r="H7" s="130" t="str">
        <x:v>-</x:v>
      </x:c>
      <x:c r="I7" s="130" t="n">
        <x:v>91.53</x:v>
      </x:c>
      <x:c r="J7" s="130" t="n">
        <x:v>91.65</x:v>
      </x:c>
      <x:c r="K7" s="130" t="n">
        <x:v>91.4</x:v>
      </x:c>
      <x:c r="L7" s="130" t="n">
        <x:v>93</x:v>
      </x:c>
      <x:c r="M7" s="130" t="n">
        <x:v>90</x:v>
      </x:c>
      <x:c r="N7" s="130" t="n">
        <x:v>94</x:v>
      </x:c>
      <x:c r="O7" s="130" t="n">
        <x:v>89</x:v>
      </x:c>
      <x:c r="P7" s="130" t="n">
        <x:v>94</x:v>
      </x:c>
      <x:c r="Q7" s="130" t="n">
        <x:v>89</x:v>
      </x:c>
      <x:c r="R7" s="130" t="n">
        <x:v>13</x:v>
      </x:c>
      <x:c r="S7" s="128" t="str">
        <x:v>https://arxiv.org/abs/2607.08685</x:v>
      </x:c>
      <x:c r="T7" s="128" t="str">
        <x:v>Scored candidate from official July math.AP list; correctness not checked.</x:v>
      </x:c>
    </x:row>
    <x:row r="8" ht="36" customHeight="1">
      <x:c r="A8" s="129" t="n">
        <x:v>7</x:v>
      </x:c>
      <x:c r="B8" s="129" t="n">
        <x:f>MATCH(D8,May_Aug_AllRank!$D$2:$D$575,0)</x:f>
        <x:v>32</x:v>
      </x:c>
      <x:c r="C8" s="129" t="str">
        <x:v>2026-07</x:v>
      </x:c>
      <x:c r="D8" s="129" t="str">
        <x:v>2607.02493</x:v>
      </x:c>
      <x:c r="E8" s="128" t="str">
        <x:v>Stability of global self-similar solutions to the cubic wave equation and the wave maps equation</x:v>
      </x:c>
      <x:c r="F8" s="128" t="str">
        <x:v>Akansha Sanwal; Birgit Schörkhuber; David Wallauch</x:v>
      </x:c>
      <x:c r="G8" s="128" t="str">
        <x:v>nonlinear waves / stability</x:v>
      </x:c>
      <x:c r="H8" s="130" t="n">
        <x:v>91</x:v>
      </x:c>
      <x:c r="I8" s="130" t="n">
        <x:v>91.38</x:v>
      </x:c>
      <x:c r="J8" s="130" t="n">
        <x:v>91.6</x:v>
      </x:c>
      <x:c r="K8" s="130" t="n">
        <x:v>91.15</x:v>
      </x:c>
      <x:c r="L8" s="130" t="n">
        <x:v>94</x:v>
      </x:c>
      <x:c r="M8" s="130" t="n">
        <x:v>91</x:v>
      </x:c>
      <x:c r="N8" s="130" t="n">
        <x:v>94</x:v>
      </x:c>
      <x:c r="O8" s="130" t="n">
        <x:v>88</x:v>
      </x:c>
      <x:c r="P8" s="130" t="n">
        <x:v>94</x:v>
      </x:c>
      <x:c r="Q8" s="130" t="n">
        <x:v>85</x:v>
      </x:c>
      <x:c r="R8" s="130" t="n">
        <x:v>12</x:v>
      </x:c>
      <x:c r="S8" s="128" t="str">
        <x:v>https://arxiv.org/abs/2607.02493</x:v>
      </x:c>
      <x:c r="T8" s="128" t="str">
        <x:v>Long nonlinear stability analysis of self-similar wave profiles.</x:v>
      </x:c>
    </x:row>
    <x:row r="9" ht="36" customHeight="1">
      <x:c r="A9" s="129" t="n">
        <x:v>8</x:v>
      </x:c>
      <x:c r="B9" s="129" t="n">
        <x:f>MATCH(D9,May_Aug_AllRank!$D$2:$D$575,0)</x:f>
        <x:v>33</x:v>
      </x:c>
      <x:c r="C9" s="129" t="str">
        <x:v>2026-07</x:v>
      </x:c>
      <x:c r="D9" s="129" t="str">
        <x:v>2607.07154</x:v>
      </x:c>
      <x:c r="E9" s="128" t="str">
        <x:v>Nonlocal minimal surfaces are generically unique, and smooth in one extra dimension</x:v>
      </x:c>
      <x:c r="F9" s="128" t="str">
        <x:v>Serena Dipierro; Xavier Fernández-Real; Enrico Valdinoci</x:v>
      </x:c>
      <x:c r="G9" s="128" t="str">
        <x:v>nonlocal minimal surfaces</x:v>
      </x:c>
      <x:c r="H9" s="130" t="str">
        <x:v>-</x:v>
      </x:c>
      <x:c r="I9" s="130" t="n">
        <x:v>91.2</x:v>
      </x:c>
      <x:c r="J9" s="130" t="n">
        <x:v>91.3</x:v>
      </x:c>
      <x:c r="K9" s="130" t="n">
        <x:v>91.1</x:v>
      </x:c>
      <x:c r="L9" s="130" t="n">
        <x:v>93</x:v>
      </x:c>
      <x:c r="M9" s="130" t="n">
        <x:v>91</x:v>
      </x:c>
      <x:c r="N9" s="130" t="n">
        <x:v>93</x:v>
      </x:c>
      <x:c r="O9" s="130" t="n">
        <x:v>89</x:v>
      </x:c>
      <x:c r="P9" s="130" t="n">
        <x:v>93</x:v>
      </x:c>
      <x:c r="Q9" s="130" t="n">
        <x:v>86</x:v>
      </x:c>
      <x:c r="R9" s="130" t="n">
        <x:v>10</x:v>
      </x:c>
      <x:c r="S9" s="128" t="str">
        <x:v>https://arxiv.org/abs/2607.07154</x:v>
      </x:c>
      <x:c r="T9" s="128" t="str">
        <x:v>Conceptual regularity/generic uniqueness result in nonlocal geometric PDE.</x:v>
      </x:c>
    </x:row>
    <x:row r="10" ht="36" customHeight="1">
      <x:c r="A10" s="129" t="n">
        <x:v>9</x:v>
      </x:c>
      <x:c r="B10" s="129" t="n">
        <x:f>MATCH(D10,May_Aug_AllRank!$D$2:$D$575,0)</x:f>
        <x:v>37</x:v>
      </x:c>
      <x:c r="C10" s="129" t="str">
        <x:v>2026-08</x:v>
      </x:c>
      <x:c r="D10" s="129" t="str">
        <x:v>2608.01440</x:v>
      </x:c>
      <x:c r="E10" s="128" t="str">
        <x:v>Local smoothing for rough wave equations</x:v>
      </x:c>
      <x:c r="F10" s="128" t="str">
        <x:v>Jan Rozendaal; Robert Schippa</x:v>
      </x:c>
      <x:c r="G10" s="128" t="str">
        <x:v>wave equations/harmonic analysis</x:v>
      </x:c>
      <x:c r="H10" s="130" t="n">
        <x:v>57</x:v>
      </x:c>
      <x:c r="I10" s="130" t="n">
        <x:v>91.05</x:v>
      </x:c>
      <x:c r="J10" s="130" t="n">
        <x:v>91</x:v>
      </x:c>
      <x:c r="K10" s="130" t="n">
        <x:v>91.1</x:v>
      </x:c>
      <x:c r="L10" s="130" t="n">
        <x:v>92</x:v>
      </x:c>
      <x:c r="M10" s="130" t="n">
        <x:v>91</x:v>
      </x:c>
      <x:c r="N10" s="130" t="n">
        <x:v>93</x:v>
      </x:c>
      <x:c r="O10" s="130" t="n">
        <x:v>89</x:v>
      </x:c>
      <x:c r="P10" s="130" t="n">
        <x:v>93</x:v>
      </x:c>
      <x:c r="Q10" s="130" t="n">
        <x:v>86</x:v>
      </x:c>
      <x:c r="R10" s="130" t="n">
        <x:v>10</x:v>
      </x:c>
      <x:c r="S10" s="128" t="str">
        <x:v>https://arxiv.org/abs/2608.01440</x:v>
      </x:c>
      <x:c r="T10" s="128" t="str">
        <x:v>Rough-coefficient local smoothing; broad dispersive and microlocal relevance.</x:v>
      </x:c>
    </x:row>
    <x:row r="11" ht="36" customHeight="1">
      <x:c r="A11" s="129" t="n">
        <x:v>10</x:v>
      </x:c>
      <x:c r="B11" s="129" t="n">
        <x:f>MATCH(D11,May_Aug_AllRank!$D$2:$D$575,0)</x:f>
        <x:v>40</x:v>
      </x:c>
      <x:c r="C11" s="129" t="str">
        <x:v>2026-07</x:v>
      </x:c>
      <x:c r="D11" s="129" t="str">
        <x:v>2607.07618</x:v>
      </x:c>
      <x:c r="E11" s="128" t="str">
        <x:v>Fourier restriction norm method adapted to controlled paths: stochastic wave equations</x:v>
      </x:c>
      <x:c r="F11" s="128" t="str">
        <x:v>Andreia Chapouto; Jiawei Li; Tadahiro Oh</x:v>
      </x:c>
      <x:c r="G11" s="128" t="str">
        <x:v>stochastic dispersive PDE</x:v>
      </x:c>
      <x:c r="H11" s="130" t="n">
        <x:v>100</x:v>
      </x:c>
      <x:c r="I11" s="130" t="n">
        <x:v>91.03</x:v>
      </x:c>
      <x:c r="J11" s="130" t="n">
        <x:v>91.2</x:v>
      </x:c>
      <x:c r="K11" s="130" t="n">
        <x:v>90.85</x:v>
      </x:c>
      <x:c r="L11" s="130" t="n">
        <x:v>93</x:v>
      </x:c>
      <x:c r="M11" s="130" t="n">
        <x:v>91</x:v>
      </x:c>
      <x:c r="N11" s="130" t="n">
        <x:v>94</x:v>
      </x:c>
      <x:c r="O11" s="130" t="n">
        <x:v>88</x:v>
      </x:c>
      <x:c r="P11" s="130" t="n">
        <x:v>94</x:v>
      </x:c>
      <x:c r="Q11" s="130" t="n">
        <x:v>84</x:v>
      </x:c>
      <x:c r="R11" s="130" t="n">
        <x:v>13</x:v>
      </x:c>
      <x:c r="S11" s="128" t="str">
        <x:v>https://arxiv.org/abs/2607.07618</x:v>
      </x:c>
      <x:c r="T11" s="128" t="str">
        <x:v>Develops controlled-path restriction framework for stochastic waves.</x:v>
      </x:c>
    </x:row>
    <x:row r="12" ht="36" customHeight="1">
      <x:c r="A12" s="129" t="n">
        <x:v>11</x:v>
      </x:c>
      <x:c r="B12" s="129" t="n">
        <x:f>MATCH(D12,May_Aug_AllRank!$D$2:$D$575,0)</x:f>
        <x:v>42</x:v>
      </x:c>
      <x:c r="C12" s="129" t="str">
        <x:v>2026-07</x:v>
      </x:c>
      <x:c r="D12" s="129" t="str">
        <x:v>2607.07613</x:v>
      </x:c>
      <x:c r="E12" s="128" t="str">
        <x:v>Time-periodic vortices near translating symmetric dipole patches</x:v>
      </x:c>
      <x:c r="F12" s="128" t="str">
        <x:v>Luca Franzoi; Taoufik Hmidi; Riccardo Montalto</x:v>
      </x:c>
      <x:c r="G12" s="128" t="str">
        <x:v>Euler vortices / bifurcation</x:v>
      </x:c>
      <x:c r="H12" s="130" t="n">
        <x:v>105</x:v>
      </x:c>
      <x:c r="I12" s="130" t="n">
        <x:v>90.83</x:v>
      </x:c>
      <x:c r="J12" s="130" t="n">
        <x:v>90.85</x:v>
      </x:c>
      <x:c r="K12" s="130" t="n">
        <x:v>90.8</x:v>
      </x:c>
      <x:c r="L12" s="130" t="n">
        <x:v>93</x:v>
      </x:c>
      <x:c r="M12" s="130" t="n">
        <x:v>90</x:v>
      </x:c>
      <x:c r="N12" s="130" t="n">
        <x:v>94</x:v>
      </x:c>
      <x:c r="O12" s="130" t="n">
        <x:v>87</x:v>
      </x:c>
      <x:c r="P12" s="130" t="n">
        <x:v>94</x:v>
      </x:c>
      <x:c r="Q12" s="130" t="n">
        <x:v>84</x:v>
      </x:c>
      <x:c r="R12" s="130" t="n">
        <x:v>12</x:v>
      </x:c>
      <x:c r="S12" s="128" t="str">
        <x:v>https://arxiv.org/abs/2607.07613</x:v>
      </x:c>
      <x:c r="T12" s="128" t="str">
        <x:v>Long construction around vortex patches; high human difficulty.</x:v>
      </x:c>
    </x:row>
    <x:row r="13" ht="36" customHeight="1">
      <x:c r="A13" s="129" t="n">
        <x:v>12</x:v>
      </x:c>
      <x:c r="B13" s="129" t="n">
        <x:f>MATCH(D13,May_Aug_AllRank!$D$2:$D$575,0)</x:f>
        <x:v>48</x:v>
      </x:c>
      <x:c r="C13" s="129" t="str">
        <x:v>2026-08</x:v>
      </x:c>
      <x:c r="D13" s="129" t="str">
        <x:v>2608.06344</x:v>
      </x:c>
      <x:c r="E13" s="128" t="str">
        <x:v>A General Aubry-Mather Theory</x:v>
      </x:c>
      <x:c r="F13" s="128" t="str">
        <x:v>Nassif Ghoussoub</x:v>
      </x:c>
      <x:c r="G13" s="128" t="str">
        <x:v>Aubry-Mather/variational PDE</x:v>
      </x:c>
      <x:c r="H13" s="130" t="n">
        <x:v>33</x:v>
      </x:c>
      <x:c r="I13" s="130" t="n">
        <x:v>90.7</x:v>
      </x:c>
      <x:c r="J13" s="130" t="n">
        <x:v>90.8</x:v>
      </x:c>
      <x:c r="K13" s="130" t="n">
        <x:v>90.6</x:v>
      </x:c>
      <x:c r="L13" s="130" t="n">
        <x:v>92</x:v>
      </x:c>
      <x:c r="M13" s="130" t="n">
        <x:v>92</x:v>
      </x:c>
      <x:c r="N13" s="130" t="n">
        <x:v>91</x:v>
      </x:c>
      <x:c r="O13" s="130" t="n">
        <x:v>89</x:v>
      </x:c>
      <x:c r="P13" s="130" t="n">
        <x:v>91</x:v>
      </x:c>
      <x:c r="Q13" s="130" t="n">
        <x:v>87</x:v>
      </x:c>
      <x:c r="R13" s="130" t="n">
        <x:v>9</x:v>
      </x:c>
      <x:c r="S13" s="128" t="str">
        <x:v>https://arxiv.org/abs/2608.06344</x:v>
      </x:c>
      <x:c r="T13" s="128" t="str">
        <x:v>Conceptual variational theory with broad potential influence.</x:v>
      </x:c>
    </x:row>
    <x:row r="14" ht="36" customHeight="1">
      <x:c r="A14" s="129" t="n">
        <x:v>13</x:v>
      </x:c>
      <x:c r="B14" s="129" t="n">
        <x:f>MATCH(D14,May_Aug_AllRank!$D$2:$D$575,0)</x:f>
        <x:v>53</x:v>
      </x:c>
      <x:c r="C14" s="129" t="str">
        <x:v>2026-07</x:v>
      </x:c>
      <x:c r="D14" s="129" t="str">
        <x:v>2607.11618</x:v>
      </x:c>
      <x:c r="E14" s="128" t="str">
        <x:v>Bellman Equations with Sub-Lipschitz Hessians</x:v>
      </x:c>
      <x:c r="F14" s="128" t="str">
        <x:v>Xavier Fernández-Real</x:v>
      </x:c>
      <x:c r="G14" s="128" t="str">
        <x:v>fully nonlinear PDE</x:v>
      </x:c>
      <x:c r="H14" s="130" t="str">
        <x:v>-</x:v>
      </x:c>
      <x:c r="I14" s="130" t="n">
        <x:v>90.4</x:v>
      </x:c>
      <x:c r="J14" s="130" t="n">
        <x:v>90.4</x:v>
      </x:c>
      <x:c r="K14" s="130" t="n">
        <x:v>90.4</x:v>
      </x:c>
      <x:c r="L14" s="130" t="n">
        <x:v>92</x:v>
      </x:c>
      <x:c r="M14" s="130" t="n">
        <x:v>90</x:v>
      </x:c>
      <x:c r="N14" s="130" t="n">
        <x:v>92</x:v>
      </x:c>
      <x:c r="O14" s="130" t="n">
        <x:v>88</x:v>
      </x:c>
      <x:c r="P14" s="130" t="n">
        <x:v>92</x:v>
      </x:c>
      <x:c r="Q14" s="130" t="n">
        <x:v>86</x:v>
      </x:c>
      <x:c r="R14" s="130" t="n">
        <x:v>10</x:v>
      </x:c>
      <x:c r="S14" s="128" t="str">
        <x:v>https://arxiv.org/abs/2607.11618</x:v>
      </x:c>
      <x:c r="T14" s="128" t="str">
        <x:v>Strong fully nonlinear regularity contribution; concise but high conceptual value.</x:v>
      </x:c>
    </x:row>
    <x:row r="15" ht="36" customHeight="1">
      <x:c r="A15" s="129" t="n">
        <x:v>14</x:v>
      </x:c>
      <x:c r="B15" s="129" t="n">
        <x:f>MATCH(D15,May_Aug_AllRank!$D$2:$D$575,0)</x:f>
        <x:v>54</x:v>
      </x:c>
      <x:c r="C15" s="129" t="str">
        <x:v>2026-07</x:v>
      </x:c>
      <x:c r="D15" s="129" t="str">
        <x:v>2607.11731</x:v>
      </x:c>
      <x:c r="E15" s="128" t="str">
        <x:v>Global asymptotic stability for the 3D Peskin Problem at critical regularity</x:v>
      </x:c>
      <x:c r="F15" s="128" t="str">
        <x:v>Eduardo García-Juárez; Susanna V. Haziot; Po-Chun Kuo; Yoichiro Mori; Han Zhou</x:v>
      </x:c>
      <x:c r="G15" s="128" t="str">
        <x:v>fluid-structure interaction</x:v>
      </x:c>
      <x:c r="H15" s="130" t="str">
        <x:v>-</x:v>
      </x:c>
      <x:c r="I15" s="130" t="n">
        <x:v>90.38</x:v>
      </x:c>
      <x:c r="J15" s="130" t="n">
        <x:v>90.3</x:v>
      </x:c>
      <x:c r="K15" s="130" t="n">
        <x:v>90.45</x:v>
      </x:c>
      <x:c r="L15" s="130" t="n">
        <x:v>92</x:v>
      </x:c>
      <x:c r="M15" s="130" t="n">
        <x:v>90</x:v>
      </x:c>
      <x:c r="N15" s="130" t="n">
        <x:v>93</x:v>
      </x:c>
      <x:c r="O15" s="130" t="n">
        <x:v>87</x:v>
      </x:c>
      <x:c r="P15" s="130" t="n">
        <x:v>93</x:v>
      </x:c>
      <x:c r="Q15" s="130" t="n">
        <x:v>84</x:v>
      </x:c>
      <x:c r="R15" s="130" t="n">
        <x:v>11</x:v>
      </x:c>
      <x:c r="S15" s="128" t="str">
        <x:v>https://arxiv.org/abs/2607.11731</x:v>
      </x:c>
      <x:c r="T15" s="128" t="str">
        <x:v>Critical-regularity global stability for a difficult fluid-structure model.</x:v>
      </x:c>
    </x:row>
    <x:row r="16" ht="36" customHeight="1">
      <x:c r="A16" s="129" t="n">
        <x:v>15</x:v>
      </x:c>
      <x:c r="B16" s="129" t="n">
        <x:f>MATCH(D16,May_Aug_AllRank!$D$2:$D$575,0)</x:f>
        <x:v>57</x:v>
      </x:c>
      <x:c r="C16" s="129" t="str">
        <x:v>2026-07</x:v>
      </x:c>
      <x:c r="D16" s="129" t="str">
        <x:v>2607.01939</x:v>
      </x:c>
      <x:c r="E16" s="128" t="str">
        <x:v>McLean resonances and 3d spectral instability of Stokes waves</x:v>
      </x:c>
      <x:c r="F16" s="128" t="str">
        <x:v>Massimiliano Berti; Alberto Maspero; Antonio Milosh Radakovic</x:v>
      </x:c>
      <x:c r="G16" s="128" t="str">
        <x:v>water waves / spectral instability</x:v>
      </x:c>
      <x:c r="H16" s="130" t="n">
        <x:v>80</x:v>
      </x:c>
      <x:c r="I16" s="130" t="n">
        <x:v>90.3</x:v>
      </x:c>
      <x:c r="J16" s="130" t="n">
        <x:v>90.3</x:v>
      </x:c>
      <x:c r="K16" s="130" t="n">
        <x:v>90.3</x:v>
      </x:c>
      <x:c r="L16" s="130" t="n">
        <x:v>92</x:v>
      </x:c>
      <x:c r="M16" s="130" t="n">
        <x:v>90</x:v>
      </x:c>
      <x:c r="N16" s="130" t="n">
        <x:v>93</x:v>
      </x:c>
      <x:c r="O16" s="130" t="n">
        <x:v>87</x:v>
      </x:c>
      <x:c r="P16" s="130" t="n">
        <x:v>93</x:v>
      </x:c>
      <x:c r="Q16" s="130" t="n">
        <x:v>84</x:v>
      </x:c>
      <x:c r="R16" s="130" t="n">
        <x:v>12</x:v>
      </x:c>
      <x:c r="S16" s="128" t="str">
        <x:v>https://arxiv.org/abs/2607.01939</x:v>
      </x:c>
      <x:c r="T16" s="128" t="str">
        <x:v>High-end spectral instability analysis for Stokes waves.</x:v>
      </x:c>
    </x:row>
    <x:row r="17" ht="36" customHeight="1">
      <x:c r="A17" s="129" t="n">
        <x:v>16</x:v>
      </x:c>
      <x:c r="B17" s="129" t="n">
        <x:f>MATCH(D17,May_Aug_AllRank!$D$2:$D$575,0)</x:f>
        <x:v>58</x:v>
      </x:c>
      <x:c r="C17" s="129" t="str">
        <x:v>2026-07</x:v>
      </x:c>
      <x:c r="D17" s="129" t="str">
        <x:v>2607.08385</x:v>
      </x:c>
      <x:c r="E17" s="128" t="str">
        <x:v>Nonlinear PDEs with modulated dispersion III: multiplicative noises</x:v>
      </x:c>
      <x:c r="F17" s="128" t="str">
        <x:v>Andreia Chapouto; Massimiliano Gubinelli; Guopeng Li; Jiawei Li; Tadahiro Oh</x:v>
      </x:c>
      <x:c r="G17" s="128" t="str">
        <x:v>random/modulated dispersive PDE</x:v>
      </x:c>
      <x:c r="H17" s="130" t="n">
        <x:v>61</x:v>
      </x:c>
      <x:c r="I17" s="130" t="n">
        <x:v>90.3</x:v>
      </x:c>
      <x:c r="J17" s="130" t="n">
        <x:v>90.45</x:v>
      </x:c>
      <x:c r="K17" s="130" t="n">
        <x:v>90.15</x:v>
      </x:c>
      <x:c r="L17" s="130" t="n">
        <x:v>92</x:v>
      </x:c>
      <x:c r="M17" s="130" t="n">
        <x:v>90</x:v>
      </x:c>
      <x:c r="N17" s="130" t="n">
        <x:v>93</x:v>
      </x:c>
      <x:c r="O17" s="130" t="n">
        <x:v>88</x:v>
      </x:c>
      <x:c r="P17" s="130" t="n">
        <x:v>93</x:v>
      </x:c>
      <x:c r="Q17" s="130" t="n">
        <x:v>84</x:v>
      </x:c>
      <x:c r="R17" s="130" t="n">
        <x:v>13</x:v>
      </x:c>
      <x:c r="S17" s="128" t="str">
        <x:v>https://arxiv.org/abs/2607.08385</x:v>
      </x:c>
      <x:c r="T17" s="128" t="str">
        <x:v>Substantial continuation of modulated dispersion program.</x:v>
      </x:c>
    </x:row>
    <x:row r="18" ht="36" customHeight="1">
      <x:c r="A18" s="129" t="n">
        <x:v>17</x:v>
      </x:c>
      <x:c r="B18" s="129" t="n">
        <x:f>MATCH(D18,May_Aug_AllRank!$D$2:$D$575,0)</x:f>
        <x:v>61</x:v>
      </x:c>
      <x:c r="C18" s="129" t="str">
        <x:v>2026-08</x:v>
      </x:c>
      <x:c r="D18" s="129" t="str">
        <x:v>2608.02033</x:v>
      </x:c>
      <x:c r="E18" s="128" t="str">
        <x:v>A unified theory for regularity persistence of vortex patch boundaries</x:v>
      </x:c>
      <x:c r="F18" s="128" t="str">
        <x:v>Marc Magana</x:v>
      </x:c>
      <x:c r="G18" s="128" t="str">
        <x:v>vortex patches</x:v>
      </x:c>
      <x:c r="H18" s="130" t="str">
        <x:v>-</x:v>
      </x:c>
      <x:c r="I18" s="130" t="n">
        <x:v>90.25</x:v>
      </x:c>
      <x:c r="J18" s="130" t="n">
        <x:v>90.1</x:v>
      </x:c>
      <x:c r="K18" s="130" t="n">
        <x:v>90.4</x:v>
      </x:c>
      <x:c r="L18" s="130" t="n">
        <x:v>91</x:v>
      </x:c>
      <x:c r="M18" s="130" t="n">
        <x:v>90</x:v>
      </x:c>
      <x:c r="N18" s="130" t="n">
        <x:v>92</x:v>
      </x:c>
      <x:c r="O18" s="130" t="n">
        <x:v>88</x:v>
      </x:c>
      <x:c r="P18" s="130" t="n">
        <x:v>92</x:v>
      </x:c>
      <x:c r="Q18" s="130" t="n">
        <x:v>86</x:v>
      </x:c>
      <x:c r="R18" s="130" t="n">
        <x:v>10</x:v>
      </x:c>
      <x:c r="S18" s="128" t="str">
        <x:v>https://arxiv.org/abs/2608.02033</x:v>
      </x:c>
      <x:c r="T18" s="128" t="str">
        <x:v>Unified persistence theory for vortex-patch regularity.</x:v>
      </x:c>
    </x:row>
    <x:row r="19" ht="36" customHeight="1">
      <x:c r="A19" s="129" t="n">
        <x:v>18</x:v>
      </x:c>
      <x:c r="B19" s="129" t="n">
        <x:f>MATCH(D19,May_Aug_AllRank!$D$2:$D$575,0)</x:f>
        <x:v>62</x:v>
      </x:c>
      <x:c r="C19" s="129" t="str">
        <x:v>2026-07</x:v>
      </x:c>
      <x:c r="D19" s="129" t="str">
        <x:v>2607.17110</x:v>
      </x:c>
      <x:c r="E19" s="128" t="str">
        <x:v>Global well-posedness for incompressible Euler in endpoint Sobolev space</x:v>
      </x:c>
      <x:c r="F19" s="128" t="str">
        <x:v>Raphaël Danchin; In-Jee Jeong</x:v>
      </x:c>
      <x:c r="G19" s="128" t="str">
        <x:v>Euler equations</x:v>
      </x:c>
      <x:c r="H19" s="130" t="n">
        <x:v>16</x:v>
      </x:c>
      <x:c r="I19" s="130" t="n">
        <x:v>90.22</x:v>
      </x:c>
      <x:c r="J19" s="130" t="n">
        <x:v>90.35</x:v>
      </x:c>
      <x:c r="K19" s="130" t="n">
        <x:v>90.1</x:v>
      </x:c>
      <x:c r="L19" s="130" t="n">
        <x:v>92</x:v>
      </x:c>
      <x:c r="M19" s="130" t="n">
        <x:v>91</x:v>
      </x:c>
      <x:c r="N19" s="130" t="n">
        <x:v>91</x:v>
      </x:c>
      <x:c r="O19" s="130" t="n">
        <x:v>88</x:v>
      </x:c>
      <x:c r="P19" s="130" t="n">
        <x:v>91</x:v>
      </x:c>
      <x:c r="Q19" s="130" t="n">
        <x:v>86</x:v>
      </x:c>
      <x:c r="R19" s="130" t="n">
        <x:v>10</x:v>
      </x:c>
      <x:c r="S19" s="128" t="str">
        <x:v>https://arxiv.org/abs/2607.17110</x:v>
      </x:c>
      <x:c r="T19" s="128" t="str">
        <x:v>Endpoint well-posedness theorem by leading authors; concise but sharp.</x:v>
      </x:c>
    </x:row>
    <x:row r="20" ht="36" customHeight="1">
      <x:c r="A20" s="129" t="n">
        <x:v>19</x:v>
      </x:c>
      <x:c r="B20" s="129" t="n">
        <x:f>MATCH(D20,May_Aug_AllRank!$D$2:$D$575,0)</x:f>
        <x:v>63</x:v>
      </x:c>
      <x:c r="C20" s="129" t="str">
        <x:v>2026-07</x:v>
      </x:c>
      <x:c r="D20" s="129" t="str">
        <x:v>2607.05158</x:v>
      </x:c>
      <x:c r="E20" s="128" t="str">
        <x:v>On the optimal decay rate of global solutions to the convection-diffusion equation with zero-mass initial data</x:v>
      </x:c>
      <x:c r="F20" s="128" t="str">
        <x:v>Yi C. Huang; Ryunosuke Kusaba</x:v>
      </x:c>
      <x:c r="G20" s="128" t="str">
        <x:v>convection-diffusion</x:v>
      </x:c>
      <x:c r="H20" s="130" t="n">
        <x:v>21</x:v>
      </x:c>
      <x:c r="I20" s="130" t="n">
        <x:v>90.2</x:v>
      </x:c>
      <x:c r="J20" s="130" t="n">
        <x:v>90.2</x:v>
      </x:c>
      <x:c r="K20" s="130" t="n">
        <x:v>90.2</x:v>
      </x:c>
      <x:c r="L20" s="130" t="n">
        <x:v>91</x:v>
      </x:c>
      <x:c r="M20" s="130" t="n">
        <x:v>89</x:v>
      </x:c>
      <x:c r="N20" s="130" t="n">
        <x:v>92</x:v>
      </x:c>
      <x:c r="O20" s="130" t="n">
        <x:v>88</x:v>
      </x:c>
      <x:c r="P20" s="130" t="n">
        <x:v>92</x:v>
      </x:c>
      <x:c r="Q20" s="130" t="n">
        <x:v>89</x:v>
      </x:c>
      <x:c r="R20" s="130" t="n">
        <x:v>13</x:v>
      </x:c>
      <x:c r="S20" s="128" t="str">
        <x:v>https://arxiv.org/abs/2607.05158</x:v>
      </x:c>
      <x:c r="T20" s="128" t="str">
        <x:v>Scored candidate from official July math.AP list; correctness not checked.</x:v>
      </x:c>
    </x:row>
    <x:row r="21" ht="36" customHeight="1">
      <x:c r="A21" s="129" t="n">
        <x:v>20</x:v>
      </x:c>
      <x:c r="B21" s="129" t="n">
        <x:f>MATCH(D21,May_Aug_AllRank!$D$2:$D$575,0)</x:f>
        <x:v>68</x:v>
      </x:c>
      <x:c r="C21" s="129" t="str">
        <x:v>2026-08</x:v>
      </x:c>
      <x:c r="D21" s="129" t="str">
        <x:v>2608.01508</x:v>
      </x:c>
      <x:c r="E21" s="128" t="str">
        <x:v>Free Boundary Regularity for Non-Convex Fully Nonlinear Alt-Phillips Problems</x:v>
      </x:c>
      <x:c r="F21" s="128" t="str">
        <x:v>Alvis Zahl</x:v>
      </x:c>
      <x:c r="G21" s="128" t="str">
        <x:v>free boundary/fully nonlinear</x:v>
      </x:c>
      <x:c r="H21" s="130" t="str">
        <x:v>-</x:v>
      </x:c>
      <x:c r="I21" s="130" t="n">
        <x:v>90.12</x:v>
      </x:c>
      <x:c r="J21" s="130" t="n">
        <x:v>90</x:v>
      </x:c>
      <x:c r="K21" s="130" t="n">
        <x:v>90.25</x:v>
      </x:c>
      <x:c r="L21" s="130" t="n">
        <x:v>91</x:v>
      </x:c>
      <x:c r="M21" s="130" t="n">
        <x:v>90</x:v>
      </x:c>
      <x:c r="N21" s="130" t="n">
        <x:v>92</x:v>
      </x:c>
      <x:c r="O21" s="130" t="n">
        <x:v>88</x:v>
      </x:c>
      <x:c r="P21" s="130" t="n">
        <x:v>92</x:v>
      </x:c>
      <x:c r="Q21" s="130" t="n">
        <x:v>85</x:v>
      </x:c>
      <x:c r="R21" s="130" t="n">
        <x:v>10</x:v>
      </x:c>
      <x:c r="S21" s="128" t="str">
        <x:v>https://arxiv.org/abs/2608.01508</x:v>
      </x:c>
      <x:c r="T21" s="128" t="str">
        <x:v>Sharp free-boundary regularity in a nonconvex fully nonlinear setting.</x:v>
      </x:c>
    </x:row>
    <x:row r="22" ht="36" customHeight="1">
      <x:c r="A22" s="129" t="n">
        <x:v>21</x:v>
      </x:c>
      <x:c r="B22" s="129" t="n">
        <x:f>MATCH(D22,May_Aug_AllRank!$D$2:$D$575,0)</x:f>
        <x:v>69</x:v>
      </x:c>
      <x:c r="C22" s="129" t="str">
        <x:v>2026-07</x:v>
      </x:c>
      <x:c r="D22" s="129" t="str">
        <x:v>2607.20682</x:v>
      </x:c>
      <x:c r="E22" s="128" t="str">
        <x:v>Several counterexamples to kinetic Schauder estimates</x:v>
      </x:c>
      <x:c r="F22" s="128" t="str">
        <x:v>Hongjie Dong; Weinan Wang</x:v>
      </x:c>
      <x:c r="G22" s="128" t="str">
        <x:v>kinetic regularity</x:v>
      </x:c>
      <x:c r="H22" s="130" t="str">
        <x:v>-</x:v>
      </x:c>
      <x:c r="I22" s="130" t="n">
        <x:v>90.08</x:v>
      </x:c>
      <x:c r="J22" s="130" t="n">
        <x:v>89.95</x:v>
      </x:c>
      <x:c r="K22" s="130" t="n">
        <x:v>90.2</x:v>
      </x:c>
      <x:c r="L22" s="130" t="n">
        <x:v>91</x:v>
      </x:c>
      <x:c r="M22" s="130" t="n">
        <x:v>90</x:v>
      </x:c>
      <x:c r="N22" s="130" t="n">
        <x:v>91</x:v>
      </x:c>
      <x:c r="O22" s="130" t="n">
        <x:v>88</x:v>
      </x:c>
      <x:c r="P22" s="130" t="n">
        <x:v>91</x:v>
      </x:c>
      <x:c r="Q22" s="130" t="n">
        <x:v>87</x:v>
      </x:c>
      <x:c r="R22" s="130" t="n">
        <x:v>9</x:v>
      </x:c>
      <x:c r="S22" s="128" t="str">
        <x:v>https://arxiv.org/abs/2607.20682</x:v>
      </x:c>
      <x:c r="T22" s="128" t="str">
        <x:v>Counterexamples clarify limits of kinetic Schauder theory; high robustness as negative results.</x:v>
      </x:c>
    </x:row>
    <x:row r="23" ht="36" customHeight="1">
      <x:c r="A23" s="129" t="n">
        <x:v>22</x:v>
      </x:c>
      <x:c r="B23" s="129" t="n">
        <x:f>MATCH(D23,May_Aug_AllRank!$D$2:$D$575,0)</x:f>
        <x:v>70</x:v>
      </x:c>
      <x:c r="C23" s="129" t="str">
        <x:v>2026-07</x:v>
      </x:c>
      <x:c r="D23" s="129" t="str">
        <x:v>2607.03602</x:v>
      </x:c>
      <x:c r="E23" s="128" t="str">
        <x:v>A remark on very weak suitable solutions and Leray solutions of Navier-Stokes equations</x:v>
      </x:c>
      <x:c r="F23" s="128" t="str">
        <x:v>Oscar Jarrín</x:v>
      </x:c>
      <x:c r="G23" s="128" t="str">
        <x:v>Navier-Stokes</x:v>
      </x:c>
      <x:c r="H23" s="130" t="n">
        <x:v>17</x:v>
      </x:c>
      <x:c r="I23" s="130" t="n">
        <x:v>90.07</x:v>
      </x:c>
      <x:c r="J23" s="130" t="n">
        <x:v>90.1</x:v>
      </x:c>
      <x:c r="K23" s="130" t="n">
        <x:v>90.05</x:v>
      </x:c>
      <x:c r="L23" s="130" t="n">
        <x:v>91</x:v>
      </x:c>
      <x:c r="M23" s="130" t="n">
        <x:v>89</x:v>
      </x:c>
      <x:c r="N23" s="130" t="n">
        <x:v>92</x:v>
      </x:c>
      <x:c r="O23" s="130" t="n">
        <x:v>88</x:v>
      </x:c>
      <x:c r="P23" s="130" t="n">
        <x:v>92</x:v>
      </x:c>
      <x:c r="Q23" s="130" t="n">
        <x:v>88</x:v>
      </x:c>
      <x:c r="R23" s="130" t="n">
        <x:v>13</x:v>
      </x:c>
      <x:c r="S23" s="128" t="str">
        <x:v>https://arxiv.org/abs/2607.03602</x:v>
      </x:c>
      <x:c r="T23" s="128" t="str">
        <x:v>Scored candidate from official July math.AP list; correctness not checked.</x:v>
      </x:c>
    </x:row>
    <x:row r="24" ht="36" customHeight="1">
      <x:c r="A24" s="129" t="n">
        <x:v>23</x:v>
      </x:c>
      <x:c r="B24" s="129" t="n">
        <x:f>MATCH(D24,May_Aug_AllRank!$D$2:$D$575,0)</x:f>
        <x:v>71</x:v>
      </x:c>
      <x:c r="C24" s="129" t="str">
        <x:v>2026-07</x:v>
      </x:c>
      <x:c r="D24" s="129" t="str">
        <x:v>2607.04918</x:v>
      </x:c>
      <x:c r="E24" s="128" t="str">
        <x:v>Global solutions to the Navier-Stokes equations with large vertical velocities</x:v>
      </x:c>
      <x:c r="F24" s="128" t="str">
        <x:v>Mikihiro Fujii</x:v>
      </x:c>
      <x:c r="G24" s="128" t="str">
        <x:v>Navier-Stokes</x:v>
      </x:c>
      <x:c r="H24" s="130" t="str">
        <x:v>-</x:v>
      </x:c>
      <x:c r="I24" s="130" t="n">
        <x:v>90.07</x:v>
      </x:c>
      <x:c r="J24" s="130" t="n">
        <x:v>90.1</x:v>
      </x:c>
      <x:c r="K24" s="130" t="n">
        <x:v>90.05</x:v>
      </x:c>
      <x:c r="L24" s="130" t="n">
        <x:v>91</x:v>
      </x:c>
      <x:c r="M24" s="130" t="n">
        <x:v>89</x:v>
      </x:c>
      <x:c r="N24" s="130" t="n">
        <x:v>92</x:v>
      </x:c>
      <x:c r="O24" s="130" t="n">
        <x:v>88</x:v>
      </x:c>
      <x:c r="P24" s="130" t="n">
        <x:v>92</x:v>
      </x:c>
      <x:c r="Q24" s="130" t="n">
        <x:v>88</x:v>
      </x:c>
      <x:c r="R24" s="130" t="n">
        <x:v>13</x:v>
      </x:c>
      <x:c r="S24" s="128" t="str">
        <x:v>https://arxiv.org/abs/2607.04918</x:v>
      </x:c>
      <x:c r="T24" s="128" t="str">
        <x:v>Scored candidate from official July math.AP list; correctness not checked.</x:v>
      </x:c>
    </x:row>
    <x:row r="25" ht="36" customHeight="1">
      <x:c r="A25" s="129" t="n">
        <x:v>24</x:v>
      </x:c>
      <x:c r="B25" s="129" t="n">
        <x:f>MATCH(D25,May_Aug_AllRank!$D$2:$D$575,0)</x:f>
        <x:v>72</x:v>
      </x:c>
      <x:c r="C25" s="129" t="str">
        <x:v>2026-08</x:v>
      </x:c>
      <x:c r="D25" s="129" t="str">
        <x:v>2608.05994</x:v>
      </x:c>
      <x:c r="E25" s="128" t="str">
        <x:v>The Prandtl-Batchelor and flux-expulsion selections for steady MHD flows in a disk</x:v>
      </x:c>
      <x:c r="F25" s="128" t="str">
        <x:v>Chen Gao; Zhiwu Lin; Jianfeng Zhao</x:v>
      </x:c>
      <x:c r="G25" s="128" t="str">
        <x:v>steady MHD</x:v>
      </x:c>
      <x:c r="H25" s="130" t="n">
        <x:v>76</x:v>
      </x:c>
      <x:c r="I25" s="130" t="n">
        <x:v>90.05</x:v>
      </x:c>
      <x:c r="J25" s="130" t="n">
        <x:v>90</x:v>
      </x:c>
      <x:c r="K25" s="130" t="n">
        <x:v>90.1</x:v>
      </x:c>
      <x:c r="L25" s="130" t="n">
        <x:v>91</x:v>
      </x:c>
      <x:c r="M25" s="130" t="n">
        <x:v>90</x:v>
      </x:c>
      <x:c r="N25" s="130" t="n">
        <x:v>92</x:v>
      </x:c>
      <x:c r="O25" s="130" t="n">
        <x:v>88</x:v>
      </x:c>
      <x:c r="P25" s="130" t="n">
        <x:v>92</x:v>
      </x:c>
      <x:c r="Q25" s="130" t="n">
        <x:v>85</x:v>
      </x:c>
      <x:c r="R25" s="130" t="n">
        <x:v>11</x:v>
      </x:c>
      <x:c r="S25" s="128" t="str">
        <x:v>https://arxiv.org/abs/2608.05994</x:v>
      </x:c>
      <x:c r="T25" s="128" t="str">
        <x:v>Large steady MHD selection result; strong fluid-mechanics relevance.</x:v>
      </x:c>
    </x:row>
    <x:row r="26" ht="36" customHeight="1">
      <x:c r="A26" s="129" t="n">
        <x:v>25</x:v>
      </x:c>
      <x:c r="B26" s="129" t="n">
        <x:f>MATCH(D26,May_Aug_AllRank!$D$2:$D$575,0)</x:f>
        <x:v>74</x:v>
      </x:c>
      <x:c r="C26" s="129" t="str">
        <x:v>2026-07</x:v>
      </x:c>
      <x:c r="D26" s="129" t="str">
        <x:v>2607.24053</x:v>
      </x:c>
      <x:c r="E26" s="128" t="str">
        <x:v>On a free boundary problem of the Boltzmann equation</x:v>
      </x:c>
      <x:c r="F26" s="128" t="str">
        <x:v>Shengchuang Chang; Renjun Duan; Shuangqian Liu</x:v>
      </x:c>
      <x:c r="G26" s="128" t="str">
        <x:v>kinetic free boundary</x:v>
      </x:c>
      <x:c r="H26" s="130" t="n">
        <x:v>71</x:v>
      </x:c>
      <x:c r="I26" s="130" t="n">
        <x:v>89.95</x:v>
      </x:c>
      <x:c r="J26" s="130" t="n">
        <x:v>89.8</x:v>
      </x:c>
      <x:c r="K26" s="130" t="n">
        <x:v>90.1</x:v>
      </x:c>
      <x:c r="L26" s="130" t="n">
        <x:v>91</x:v>
      </x:c>
      <x:c r="M26" s="130" t="n">
        <x:v>89</x:v>
      </x:c>
      <x:c r="N26" s="130" t="n">
        <x:v>93</x:v>
      </x:c>
      <x:c r="O26" s="130" t="n">
        <x:v>87</x:v>
      </x:c>
      <x:c r="P26" s="130" t="n">
        <x:v>93</x:v>
      </x:c>
      <x:c r="Q26" s="130" t="n">
        <x:v>84</x:v>
      </x:c>
      <x:c r="R26" s="130" t="n">
        <x:v>12</x:v>
      </x:c>
      <x:c r="S26" s="128" t="str">
        <x:v>https://arxiv.org/abs/2607.24053</x:v>
      </x:c>
      <x:c r="T26" s="128" t="str">
        <x:v>Large kinetic free-boundary paper; strong technical load.</x:v>
      </x:c>
    </x:row>
    <x:row r="27" ht="36" customHeight="1">
      <x:c r="A27" s="129" t="n">
        <x:v>26</x:v>
      </x:c>
      <x:c r="B27" s="129" t="n">
        <x:f>MATCH(D27,May_Aug_AllRank!$D$2:$D$575,0)</x:f>
        <x:v>75</x:v>
      </x:c>
      <x:c r="C27" s="129" t="str">
        <x:v>2026-07</x:v>
      </x:c>
      <x:c r="D27" s="129" t="str">
        <x:v>2607.09619</x:v>
      </x:c>
      <x:c r="E27" s="128" t="str">
        <x:v>On rotated backwards self-similar solutions of the incompressible 3D Navier-Stokes equations</x:v>
      </x:c>
      <x:c r="F27" s="128" t="str">
        <x:v>Ben Pineau; Vlad Vicol</x:v>
      </x:c>
      <x:c r="G27" s="128" t="str">
        <x:v>Navier-Stokes / self-similarity</x:v>
      </x:c>
      <x:c r="H27" s="130" t="n">
        <x:v>37</x:v>
      </x:c>
      <x:c r="I27" s="130" t="n">
        <x:v>89.92</x:v>
      </x:c>
      <x:c r="J27" s="130" t="n">
        <x:v>89.9</x:v>
      </x:c>
      <x:c r="K27" s="130" t="n">
        <x:v>89.95</x:v>
      </x:c>
      <x:c r="L27" s="130" t="n">
        <x:v>91</x:v>
      </x:c>
      <x:c r="M27" s="130" t="n">
        <x:v>90</x:v>
      </x:c>
      <x:c r="N27" s="130" t="n">
        <x:v>92</x:v>
      </x:c>
      <x:c r="O27" s="130" t="n">
        <x:v>88</x:v>
      </x:c>
      <x:c r="P27" s="130" t="n">
        <x:v>92</x:v>
      </x:c>
      <x:c r="Q27" s="130" t="n">
        <x:v>84</x:v>
      </x:c>
      <x:c r="R27" s="130" t="n">
        <x:v>11</x:v>
      </x:c>
      <x:c r="S27" s="128" t="str">
        <x:v>https://arxiv.org/abs/2607.09619</x:v>
      </x:c>
      <x:c r="T27" s="128" t="str">
        <x:v>Strong authorship and high conceptual relevance; arXiv id in source row 189 is 2607.09619.</x:v>
      </x:c>
    </x:row>
    <x:row r="28" ht="36" customHeight="1">
      <x:c r="A28" s="129" t="n">
        <x:v>27</x:v>
      </x:c>
      <x:c r="B28" s="129" t="n">
        <x:f>MATCH(D28,May_Aug_AllRank!$D$2:$D$575,0)</x:f>
        <x:v>76</x:v>
      </x:c>
      <x:c r="C28" s="129" t="str">
        <x:v>2026-08</x:v>
      </x:c>
      <x:c r="D28" s="129" t="str">
        <x:v>2608.04402</x:v>
      </x:c>
      <x:c r="E28" s="128" t="str">
        <x:v>Long-Time Dynamics and Modified Scattering for Coulomb Vlasov-Hartree</x:v>
      </x:c>
      <x:c r="F28" s="128" t="str">
        <x:v>Wenrui Huang; Mengyi Xie</x:v>
      </x:c>
      <x:c r="G28" s="128" t="str">
        <x:v>Vlasov-Hartree/scattering</x:v>
      </x:c>
      <x:c r="H28" s="130" t="str">
        <x:v>-</x:v>
      </x:c>
      <x:c r="I28" s="130" t="n">
        <x:v>89.92</x:v>
      </x:c>
      <x:c r="J28" s="130" t="n">
        <x:v>89.8</x:v>
      </x:c>
      <x:c r="K28" s="130" t="n">
        <x:v>90.05</x:v>
      </x:c>
      <x:c r="L28" s="130" t="n">
        <x:v>91</x:v>
      </x:c>
      <x:c r="M28" s="130" t="n">
        <x:v>89</x:v>
      </x:c>
      <x:c r="N28" s="130" t="n">
        <x:v>92</x:v>
      </x:c>
      <x:c r="O28" s="130" t="n">
        <x:v>88</x:v>
      </x:c>
      <x:c r="P28" s="130" t="n">
        <x:v>92</x:v>
      </x:c>
      <x:c r="Q28" s="130" t="n">
        <x:v>85</x:v>
      </x:c>
      <x:c r="R28" s="130" t="n">
        <x:v>10</x:v>
      </x:c>
      <x:c r="S28" s="128" t="str">
        <x:v>https://arxiv.org/abs/2608.04402</x:v>
      </x:c>
      <x:c r="T28" s="128" t="str">
        <x:v>Modified scattering and long-time dynamics in Coulomb Vlasov-Hartree.</x:v>
      </x:c>
    </x:row>
    <x:row r="29" ht="36" customHeight="1">
      <x:c r="A29" s="129" t="n">
        <x:v>28</x:v>
      </x:c>
      <x:c r="B29" s="129" t="n">
        <x:f>MATCH(D29,May_Aug_AllRank!$D$2:$D$575,0)</x:f>
        <x:v>77</x:v>
      </x:c>
      <x:c r="C29" s="129" t="str">
        <x:v>2026-07</x:v>
      </x:c>
      <x:c r="D29" s="129" t="str">
        <x:v>2607.09189</x:v>
      </x:c>
      <x:c r="E29" s="128" t="str">
        <x:v>Global dynamics of viscous gaseous stars in a physical vacuum</x:v>
      </x:c>
      <x:c r="F29" s="128" t="str">
        <x:v>Demin Wang; Jiawen Zhang; Shengguo Zhu</x:v>
      </x:c>
      <x:c r="G29" s="128" t="str">
        <x:v>free-boundary compressible fluids</x:v>
      </x:c>
      <x:c r="H29" s="130" t="n">
        <x:v>73</x:v>
      </x:c>
      <x:c r="I29" s="130" t="n">
        <x:v>89.88</x:v>
      </x:c>
      <x:c r="J29" s="130" t="n">
        <x:v>90.05</x:v>
      </x:c>
      <x:c r="K29" s="130" t="n">
        <x:v>89.7</x:v>
      </x:c>
      <x:c r="L29" s="130" t="n">
        <x:v>92</x:v>
      </x:c>
      <x:c r="M29" s="130" t="n">
        <x:v>89</x:v>
      </x:c>
      <x:c r="N29" s="130" t="n">
        <x:v>94</x:v>
      </x:c>
      <x:c r="O29" s="130" t="n">
        <x:v>87</x:v>
      </x:c>
      <x:c r="P29" s="130" t="n">
        <x:v>94</x:v>
      </x:c>
      <x:c r="Q29" s="130" t="n">
        <x:v>81</x:v>
      </x:c>
      <x:c r="R29" s="130" t="n">
        <x:v>15</x:v>
      </x:c>
      <x:c r="S29" s="128" t="str">
        <x:v>https://arxiv.org/abs/2607.09189</x:v>
      </x:c>
      <x:c r="T29" s="128" t="str">
        <x:v>Large physical-vacuum dynamics paper; text-overlap note reduces robustness slightly.</x:v>
      </x:c>
    </x:row>
    <x:row r="30" ht="36" customHeight="1">
      <x:c r="A30" s="129" t="n">
        <x:v>29</x:v>
      </x:c>
      <x:c r="B30" s="129" t="n">
        <x:f>MATCH(D30,May_Aug_AllRank!$D$2:$D$575,0)</x:f>
        <x:v>80</x:v>
      </x:c>
      <x:c r="C30" s="129" t="str">
        <x:v>2026-07</x:v>
      </x:c>
      <x:c r="D30" s="129" t="str">
        <x:v>2607.17501</x:v>
      </x:c>
      <x:c r="E30" s="128" t="str">
        <x:v>Unique inversion of smooth nonlinearity in semilinear wave equations on Lorentzian manifolds</x:v>
      </x:c>
      <x:c r="F30" s="128" t="str">
        <x:v>Xi Chen; Shuai Lu; Ruochong Zhang</x:v>
      </x:c>
      <x:c r="G30" s="128" t="str">
        <x:v>inverse problems / waves</x:v>
      </x:c>
      <x:c r="H30" s="130" t="str">
        <x:v>-</x:v>
      </x:c>
      <x:c r="I30" s="130" t="n">
        <x:v>89.85</x:v>
      </x:c>
      <x:c r="J30" s="130" t="n">
        <x:v>89.9</x:v>
      </x:c>
      <x:c r="K30" s="130" t="n">
        <x:v>89.8</x:v>
      </x:c>
      <x:c r="L30" s="130" t="n">
        <x:v>91</x:v>
      </x:c>
      <x:c r="M30" s="130" t="n">
        <x:v>90</x:v>
      </x:c>
      <x:c r="N30" s="130" t="n">
        <x:v>92</x:v>
      </x:c>
      <x:c r="O30" s="130" t="n">
        <x:v>88</x:v>
      </x:c>
      <x:c r="P30" s="130" t="n">
        <x:v>92</x:v>
      </x:c>
      <x:c r="Q30" s="130" t="n">
        <x:v>84</x:v>
      </x:c>
      <x:c r="R30" s="130" t="n">
        <x:v>12</x:v>
      </x:c>
      <x:c r="S30" s="128" t="str">
        <x:v>https://arxiv.org/abs/2607.17501</x:v>
      </x:c>
      <x:c r="T30" s="128" t="str">
        <x:v>Nonlinear inverse problem on Lorentzian manifolds; strong breadth.</x:v>
      </x:c>
    </x:row>
    <x:row r="31" ht="36" customHeight="1">
      <x:c r="A31" s="129" t="n">
        <x:v>30</x:v>
      </x:c>
      <x:c r="B31" s="129" t="n">
        <x:f>MATCH(D31,May_Aug_AllRank!$D$2:$D$575,0)</x:f>
        <x:v>82</x:v>
      </x:c>
      <x:c r="C31" s="129" t="str">
        <x:v>2026-07</x:v>
      </x:c>
      <x:c r="D31" s="129" t="str">
        <x:v>2607.20395</x:v>
      </x:c>
      <x:c r="E31" s="128" t="str">
        <x:v>Well-posedness of a Hele-Shaw problem in general dimensions</x:v>
      </x:c>
      <x:c r="F31" s="128" t="str">
        <x:v>Olga Turanova; Yuming Paul Zhang</x:v>
      </x:c>
      <x:c r="G31" s="128" t="str">
        <x:v>free-boundary PDE</x:v>
      </x:c>
      <x:c r="H31" s="130" t="n">
        <x:v>30</x:v>
      </x:c>
      <x:c r="I31" s="130" t="n">
        <x:v>89.77</x:v>
      </x:c>
      <x:c r="J31" s="130" t="n">
        <x:v>89.65</x:v>
      </x:c>
      <x:c r="K31" s="130" t="n">
        <x:v>89.9</x:v>
      </x:c>
      <x:c r="L31" s="130" t="n">
        <x:v>91</x:v>
      </x:c>
      <x:c r="M31" s="130" t="n">
        <x:v>89</x:v>
      </x:c>
      <x:c r="N31" s="130" t="n">
        <x:v>92</x:v>
      </x:c>
      <x:c r="O31" s="130" t="n">
        <x:v>87</x:v>
      </x:c>
      <x:c r="P31" s="130" t="n">
        <x:v>92</x:v>
      </x:c>
      <x:c r="Q31" s="130" t="n">
        <x:v>85</x:v>
      </x:c>
      <x:c r="R31" s="130" t="n">
        <x:v>11</x:v>
      </x:c>
      <x:c r="S31" s="128" t="str">
        <x:v>https://arxiv.org/abs/2607.20395</x:v>
      </x:c>
      <x:c r="T31" s="128" t="str">
        <x:v>General-dimensional Hele-Shaw well-posedness; significant free-boundary result.</x:v>
      </x:c>
    </x:row>
    <x:row r="32" ht="36" customHeight="1">
      <x:c r="A32" s="129" t="n">
        <x:v>31</x:v>
      </x:c>
      <x:c r="B32" s="129" t="n">
        <x:f>MATCH(D32,May_Aug_AllRank!$D$2:$D$575,0)</x:f>
        <x:v>84</x:v>
      </x:c>
      <x:c r="C32" s="129" t="str">
        <x:v>2026-07</x:v>
      </x:c>
      <x:c r="D32" s="129" t="str">
        <x:v>2607.01587</x:v>
      </x:c>
      <x:c r="E32" s="128" t="str">
        <x:v>On the Critical One Components Regularity for the 3-D Navier-Stokes System</x:v>
      </x:c>
      <x:c r="F32" s="128" t="str">
        <x:v>Wei Luo; Zhanyang Yin; Pei Zheng</x:v>
      </x:c>
      <x:c r="G32" s="128" t="str">
        <x:v>Navier-Stokes</x:v>
      </x:c>
      <x:c r="H32" s="130" t="str">
        <x:v>-</x:v>
      </x:c>
      <x:c r="I32" s="130" t="n">
        <x:v>89.68</x:v>
      </x:c>
      <x:c r="J32" s="130" t="n">
        <x:v>89.65</x:v>
      </x:c>
      <x:c r="K32" s="130" t="n">
        <x:v>89.7</x:v>
      </x:c>
      <x:c r="L32" s="130" t="n">
        <x:v>91</x:v>
      </x:c>
      <x:c r="M32" s="130" t="n">
        <x:v>88</x:v>
      </x:c>
      <x:c r="N32" s="130" t="n">
        <x:v>92</x:v>
      </x:c>
      <x:c r="O32" s="130" t="n">
        <x:v>87</x:v>
      </x:c>
      <x:c r="P32" s="130" t="n">
        <x:v>92</x:v>
      </x:c>
      <x:c r="Q32" s="130" t="n">
        <x:v>87</x:v>
      </x:c>
      <x:c r="R32" s="130" t="n">
        <x:v>13</x:v>
      </x:c>
      <x:c r="S32" s="128" t="str">
        <x:v>https://arxiv.org/abs/2607.01587</x:v>
      </x:c>
      <x:c r="T32" s="128" t="str">
        <x:v>Scored candidate from official July math.AP list; correctness not checked.</x:v>
      </x:c>
    </x:row>
    <x:row r="33" ht="36" customHeight="1">
      <x:c r="A33" s="129" t="n">
        <x:v>32</x:v>
      </x:c>
      <x:c r="B33" s="129" t="n">
        <x:f>MATCH(D33,May_Aug_AllRank!$D$2:$D$575,0)</x:f>
        <x:v>85</x:v>
      </x:c>
      <x:c r="C33" s="129" t="str">
        <x:v>2026-07</x:v>
      </x:c>
      <x:c r="D33" s="129" t="str">
        <x:v>2607.00658</x:v>
      </x:c>
      <x:c r="E33" s="128" t="str">
        <x:v>Asynchronous exponential growth for structured population models in measure space</x:v>
      </x:c>
      <x:c r="F33" s="128" t="str">
        <x:v>Christian Düll; József Z. Farkas; Piotr Gwiazda; Anna Marciniak-Czochra</x:v>
      </x:c>
      <x:c r="G33" s="128" t="str">
        <x:v>structured populations</x:v>
      </x:c>
      <x:c r="H33" s="130" t="str">
        <x:v>-</x:v>
      </x:c>
      <x:c r="I33" s="130" t="n">
        <x:v>89.67</x:v>
      </x:c>
      <x:c r="J33" s="130" t="n">
        <x:v>89.65</x:v>
      </x:c>
      <x:c r="K33" s="130" t="n">
        <x:v>89.7</x:v>
      </x:c>
      <x:c r="L33" s="130" t="n">
        <x:v>90</x:v>
      </x:c>
      <x:c r="M33" s="130" t="n">
        <x:v>89</x:v>
      </x:c>
      <x:c r="N33" s="130" t="n">
        <x:v>91</x:v>
      </x:c>
      <x:c r="O33" s="130" t="n">
        <x:v>88</x:v>
      </x:c>
      <x:c r="P33" s="130" t="n">
        <x:v>91</x:v>
      </x:c>
      <x:c r="Q33" s="130" t="n">
        <x:v>89</x:v>
      </x:c>
      <x:c r="R33" s="130" t="n">
        <x:v>13</x:v>
      </x:c>
      <x:c r="S33" s="128" t="str">
        <x:v>https://arxiv.org/abs/2607.00658</x:v>
      </x:c>
      <x:c r="T33" s="128" t="str">
        <x:v>Scored candidate from official July math.AP list; correctness not checked.</x:v>
      </x:c>
    </x:row>
    <x:row r="34" ht="36" customHeight="1">
      <x:c r="A34" s="129" t="n">
        <x:v>33</x:v>
      </x:c>
      <x:c r="B34" s="129" t="n">
        <x:f>MATCH(D34,May_Aug_AllRank!$D$2:$D$575,0)</x:f>
        <x:v>86</x:v>
      </x:c>
      <x:c r="C34" s="129" t="str">
        <x:v>2026-07</x:v>
      </x:c>
      <x:c r="D34" s="129" t="str">
        <x:v>2607.01857</x:v>
      </x:c>
      <x:c r="E34" s="128" t="str">
        <x:v>Refined blow-up criteria and global solutions for triangular cross-diffusion systems</x:v>
      </x:c>
      <x:c r="F34" s="128" t="str">
        <x:v>Alexandre Bertolino</x:v>
      </x:c>
      <x:c r="G34" s="128" t="str">
        <x:v>cross-diffusion</x:v>
      </x:c>
      <x:c r="H34" s="130" t="str">
        <x:v>-</x:v>
      </x:c>
      <x:c r="I34" s="130" t="n">
        <x:v>89.67</x:v>
      </x:c>
      <x:c r="J34" s="130" t="n">
        <x:v>89.65</x:v>
      </x:c>
      <x:c r="K34" s="130" t="n">
        <x:v>89.7</x:v>
      </x:c>
      <x:c r="L34" s="130" t="n">
        <x:v>90</x:v>
      </x:c>
      <x:c r="M34" s="130" t="n">
        <x:v>89</x:v>
      </x:c>
      <x:c r="N34" s="130" t="n">
        <x:v>91</x:v>
      </x:c>
      <x:c r="O34" s="130" t="n">
        <x:v>88</x:v>
      </x:c>
      <x:c r="P34" s="130" t="n">
        <x:v>91</x:v>
      </x:c>
      <x:c r="Q34" s="130" t="n">
        <x:v>89</x:v>
      </x:c>
      <x:c r="R34" s="130" t="n">
        <x:v>13</x:v>
      </x:c>
      <x:c r="S34" s="128" t="str">
        <x:v>https://arxiv.org/abs/2607.01857</x:v>
      </x:c>
      <x:c r="T34" s="128" t="str">
        <x:v>Scored candidate from official July math.AP list; correctness not checked.</x:v>
      </x:c>
    </x:row>
    <x:row r="35" ht="36" customHeight="1">
      <x:c r="A35" s="129" t="n">
        <x:v>34</x:v>
      </x:c>
      <x:c r="B35" s="129" t="n">
        <x:f>MATCH(D35,May_Aug_AllRank!$D$2:$D$575,0)</x:f>
        <x:v>87</x:v>
      </x:c>
      <x:c r="C35" s="129" t="str">
        <x:v>2026-07</x:v>
      </x:c>
      <x:c r="D35" s="129" t="str">
        <x:v>2607.02910</x:v>
      </x:c>
      <x:c r="E35" s="128" t="str">
        <x:v>An Asymptotic Mean Value Characterization for the Regularized p-Laplacian</x:v>
      </x:c>
      <x:c r="F35" s="128" t="str">
        <x:v>Behrooz Moosavi Ramezanzadeh</x:v>
      </x:c>
      <x:c r="G35" s="128" t="str">
        <x:v>p-Laplacian</x:v>
      </x:c>
      <x:c r="H35" s="130" t="str">
        <x:v>-</x:v>
      </x:c>
      <x:c r="I35" s="130" t="n">
        <x:v>89.67</x:v>
      </x:c>
      <x:c r="J35" s="130" t="n">
        <x:v>89.65</x:v>
      </x:c>
      <x:c r="K35" s="130" t="n">
        <x:v>89.7</x:v>
      </x:c>
      <x:c r="L35" s="130" t="n">
        <x:v>90</x:v>
      </x:c>
      <x:c r="M35" s="130" t="n">
        <x:v>89</x:v>
      </x:c>
      <x:c r="N35" s="130" t="n">
        <x:v>91</x:v>
      </x:c>
      <x:c r="O35" s="130" t="n">
        <x:v>88</x:v>
      </x:c>
      <x:c r="P35" s="130" t="n">
        <x:v>91</x:v>
      </x:c>
      <x:c r="Q35" s="130" t="n">
        <x:v>89</x:v>
      </x:c>
      <x:c r="R35" s="130" t="n">
        <x:v>13</x:v>
      </x:c>
      <x:c r="S35" s="128" t="str">
        <x:v>https://arxiv.org/abs/2607.02910</x:v>
      </x:c>
      <x:c r="T35" s="128" t="str">
        <x:v>Scored candidate from official July math.AP list; correctness not checked.</x:v>
      </x:c>
    </x:row>
    <x:row r="36" ht="36" customHeight="1">
      <x:c r="A36" s="129" t="n">
        <x:v>35</x:v>
      </x:c>
      <x:c r="B36" s="129" t="n">
        <x:f>MATCH(D36,May_Aug_AllRank!$D$2:$D$575,0)</x:f>
        <x:v>88</x:v>
      </x:c>
      <x:c r="C36" s="129" t="str">
        <x:v>2026-07</x:v>
      </x:c>
      <x:c r="D36" s="129" t="str">
        <x:v>2607.03667</x:v>
      </x:c>
      <x:c r="E36" s="128" t="str">
        <x:v>Holder maps under Pfaffian constraints</x:v>
      </x:c>
      <x:c r="F36" s="128" t="str">
        <x:v>Armin Schikorra</x:v>
      </x:c>
      <x:c r="G36" s="128" t="str">
        <x:v>geometric analysis</x:v>
      </x:c>
      <x:c r="H36" s="130" t="str">
        <x:v>-</x:v>
      </x:c>
      <x:c r="I36" s="130" t="n">
        <x:v>89.67</x:v>
      </x:c>
      <x:c r="J36" s="130" t="n">
        <x:v>89.65</x:v>
      </x:c>
      <x:c r="K36" s="130" t="n">
        <x:v>89.7</x:v>
      </x:c>
      <x:c r="L36" s="130" t="n">
        <x:v>90</x:v>
      </x:c>
      <x:c r="M36" s="130" t="n">
        <x:v>89</x:v>
      </x:c>
      <x:c r="N36" s="130" t="n">
        <x:v>91</x:v>
      </x:c>
      <x:c r="O36" s="130" t="n">
        <x:v>88</x:v>
      </x:c>
      <x:c r="P36" s="130" t="n">
        <x:v>91</x:v>
      </x:c>
      <x:c r="Q36" s="130" t="n">
        <x:v>89</x:v>
      </x:c>
      <x:c r="R36" s="130" t="n">
        <x:v>13</x:v>
      </x:c>
      <x:c r="S36" s="128" t="str">
        <x:v>https://arxiv.org/abs/2607.03667</x:v>
      </x:c>
      <x:c r="T36" s="128" t="str">
        <x:v>Scored candidate from official July math.AP list; correctness not checked.</x:v>
      </x:c>
    </x:row>
    <x:row r="37" ht="36" customHeight="1">
      <x:c r="A37" s="129" t="n">
        <x:v>36</x:v>
      </x:c>
      <x:c r="B37" s="129" t="n">
        <x:f>MATCH(D37,May_Aug_AllRank!$D$2:$D$575,0)</x:f>
        <x:v>89</x:v>
      </x:c>
      <x:c r="C37" s="129" t="str">
        <x:v>2026-07</x:v>
      </x:c>
      <x:c r="D37" s="129" t="str">
        <x:v>2607.04604</x:v>
      </x:c>
      <x:c r="E37" s="128" t="str">
        <x:v>Gevrey instability in the inviscid inflow-outflow problem</x:v>
      </x:c>
      <x:c r="F37" s="128" t="str">
        <x:v>Igor Kukavica; Wojciech Ozanski; Qi Xu</x:v>
      </x:c>
      <x:c r="G37" s="128" t="str">
        <x:v>fluid instability</x:v>
      </x:c>
      <x:c r="H37" s="130" t="n">
        <x:v>25</x:v>
      </x:c>
      <x:c r="I37" s="130" t="n">
        <x:v>89.67</x:v>
      </x:c>
      <x:c r="J37" s="130" t="n">
        <x:v>89.65</x:v>
      </x:c>
      <x:c r="K37" s="130" t="n">
        <x:v>89.7</x:v>
      </x:c>
      <x:c r="L37" s="130" t="n">
        <x:v>90</x:v>
      </x:c>
      <x:c r="M37" s="130" t="n">
        <x:v>89</x:v>
      </x:c>
      <x:c r="N37" s="130" t="n">
        <x:v>91</x:v>
      </x:c>
      <x:c r="O37" s="130" t="n">
        <x:v>88</x:v>
      </x:c>
      <x:c r="P37" s="130" t="n">
        <x:v>91</x:v>
      </x:c>
      <x:c r="Q37" s="130" t="n">
        <x:v>89</x:v>
      </x:c>
      <x:c r="R37" s="130" t="n">
        <x:v>13</x:v>
      </x:c>
      <x:c r="S37" s="128" t="str">
        <x:v>https://arxiv.org/abs/2607.04604</x:v>
      </x:c>
      <x:c r="T37" s="128" t="str">
        <x:v>Scored candidate from official July math.AP list; correctness not checked.</x:v>
      </x:c>
    </x:row>
    <x:row r="38" ht="36" customHeight="1">
      <x:c r="A38" s="129" t="n">
        <x:v>37</x:v>
      </x:c>
      <x:c r="B38" s="129" t="n">
        <x:f>MATCH(D38,May_Aug_AllRank!$D$2:$D$575,0)</x:f>
        <x:v>90</x:v>
      </x:c>
      <x:c r="C38" s="129" t="str">
        <x:v>2026-07</x:v>
      </x:c>
      <x:c r="D38" s="129" t="str">
        <x:v>2607.07024</x:v>
      </x:c>
      <x:c r="E38" s="128" t="str">
        <x:v>Linear Stability and Jacobi Kernels of Three-Dimensional Sessile Drops</x:v>
      </x:c>
      <x:c r="F38" s="128" t="str">
        <x:v>Xiaoding Yang</x:v>
      </x:c>
      <x:c r="G38" s="128" t="str">
        <x:v>capillary geometry</x:v>
      </x:c>
      <x:c r="H38" s="130" t="str">
        <x:v>-</x:v>
      </x:c>
      <x:c r="I38" s="130" t="n">
        <x:v>89.67</x:v>
      </x:c>
      <x:c r="J38" s="130" t="n">
        <x:v>89.65</x:v>
      </x:c>
      <x:c r="K38" s="130" t="n">
        <x:v>89.7</x:v>
      </x:c>
      <x:c r="L38" s="130" t="n">
        <x:v>90</x:v>
      </x:c>
      <x:c r="M38" s="130" t="n">
        <x:v>89</x:v>
      </x:c>
      <x:c r="N38" s="130" t="n">
        <x:v>91</x:v>
      </x:c>
      <x:c r="O38" s="130" t="n">
        <x:v>88</x:v>
      </x:c>
      <x:c r="P38" s="130" t="n">
        <x:v>91</x:v>
      </x:c>
      <x:c r="Q38" s="130" t="n">
        <x:v>89</x:v>
      </x:c>
      <x:c r="R38" s="130" t="n">
        <x:v>13</x:v>
      </x:c>
      <x:c r="S38" s="128" t="str">
        <x:v>https://arxiv.org/abs/2607.07024</x:v>
      </x:c>
      <x:c r="T38" s="128" t="str">
        <x:v>Scored candidate from official July math.AP list; correctness not checked.</x:v>
      </x:c>
    </x:row>
    <x:row r="39" ht="36" customHeight="1">
      <x:c r="A39" s="129" t="n">
        <x:v>38</x:v>
      </x:c>
      <x:c r="B39" s="129" t="n">
        <x:f>MATCH(D39,May_Aug_AllRank!$D$2:$D$575,0)</x:f>
        <x:v>91</x:v>
      </x:c>
      <x:c r="C39" s="129" t="str">
        <x:v>2026-07</x:v>
      </x:c>
      <x:c r="D39" s="129" t="str">
        <x:v>2607.12159</x:v>
      </x:c>
      <x:c r="E39" s="128" t="str">
        <x:v>Homothetic Self-Similar Solutions to Incompressible Navier-Stokes</x:v>
      </x:c>
      <x:c r="F39" s="128" t="str">
        <x:v>Tim Binz; Matei P. Coiculescu</x:v>
      </x:c>
      <x:c r="G39" s="128" t="str">
        <x:v>Navier-Stokes / self-similarity</x:v>
      </x:c>
      <x:c r="H39" s="130" t="n">
        <x:v>49</x:v>
      </x:c>
      <x:c r="I39" s="130" t="n">
        <x:v>89.65</x:v>
      </x:c>
      <x:c r="J39" s="130" t="n">
        <x:v>89.55</x:v>
      </x:c>
      <x:c r="K39" s="130" t="n">
        <x:v>89.75</x:v>
      </x:c>
      <x:c r="L39" s="130" t="n">
        <x:v>91</x:v>
      </x:c>
      <x:c r="M39" s="130" t="n">
        <x:v>89</x:v>
      </x:c>
      <x:c r="N39" s="130" t="n">
        <x:v>92</x:v>
      </x:c>
      <x:c r="O39" s="130" t="n">
        <x:v>87</x:v>
      </x:c>
      <x:c r="P39" s="130" t="n">
        <x:v>92</x:v>
      </x:c>
      <x:c r="Q39" s="130" t="n">
        <x:v>84</x:v>
      </x:c>
      <x:c r="R39" s="130" t="n">
        <x:v>11</x:v>
      </x:c>
      <x:c r="S39" s="128" t="str">
        <x:v>https://arxiv.org/abs/2607.12159</x:v>
      </x:c>
      <x:c r="T39" s="128" t="str">
        <x:v>Self-similar construction in Navier-Stokes; conceptually central theme.</x:v>
      </x:c>
    </x:row>
    <x:row r="40" ht="36" customHeight="1">
      <x:c r="A40" s="129" t="n">
        <x:v>39</x:v>
      </x:c>
      <x:c r="B40" s="129" t="n">
        <x:f>MATCH(D40,May_Aug_AllRank!$D$2:$D$575,0)</x:f>
        <x:v>92</x:v>
      </x:c>
      <x:c r="C40" s="129" t="str">
        <x:v>2026-08</x:v>
      </x:c>
      <x:c r="D40" s="129" t="str">
        <x:v>2608.00438</x:v>
      </x:c>
      <x:c r="E40" s="128" t="str">
        <x:v>Homogenization of viscous sublinear Hamilton-Jacobi equations with u/epsilon-dependence</x:v>
      </x:c>
      <x:c r="F40" s="128" t="str">
        <x:v>Guyu Jin</x:v>
      </x:c>
      <x:c r="G40" s="128" t="str">
        <x:v>Hamilton-Jacobi homogenization</x:v>
      </x:c>
      <x:c r="H40" s="130" t="n">
        <x:v>47</x:v>
      </x:c>
      <x:c r="I40" s="130" t="n">
        <x:v>89.6</x:v>
      </x:c>
      <x:c r="J40" s="130" t="n">
        <x:v>89.5</x:v>
      </x:c>
      <x:c r="K40" s="130" t="n">
        <x:v>89.7</x:v>
      </x:c>
      <x:c r="L40" s="130" t="n">
        <x:v>91</x:v>
      </x:c>
      <x:c r="M40" s="130" t="n">
        <x:v>89</x:v>
      </x:c>
      <x:c r="N40" s="130" t="n">
        <x:v>91</x:v>
      </x:c>
      <x:c r="O40" s="130" t="n">
        <x:v>87</x:v>
      </x:c>
      <x:c r="P40" s="130" t="n">
        <x:v>91</x:v>
      </x:c>
      <x:c r="Q40" s="130" t="n">
        <x:v>86</x:v>
      </x:c>
      <x:c r="R40" s="130" t="n">
        <x:v>10</x:v>
      </x:c>
      <x:c r="S40" s="128" t="str">
        <x:v>https://arxiv.org/abs/2608.00438</x:v>
      </x:c>
      <x:c r="T40" s="128" t="str">
        <x:v>Strong homogenization contribution with nonstandard dependence.</x:v>
      </x:c>
    </x:row>
    <x:row r="41" ht="36" customHeight="1">
      <x:c r="A41" s="129" t="n">
        <x:v>40</x:v>
      </x:c>
      <x:c r="B41" s="129" t="n">
        <x:f>MATCH(D41,May_Aug_AllRank!$D$2:$D$575,0)</x:f>
        <x:v>97</x:v>
      </x:c>
      <x:c r="C41" s="129" t="str">
        <x:v>2026-08</x:v>
      </x:c>
      <x:c r="D41" s="129" t="str">
        <x:v>2608.06173</x:v>
      </x:c>
      <x:c r="E41" s="128" t="str">
        <x:v>Vanishing viscosity limit to two interacting shocks from the same family for compressible Navier-Stokes equations</x:v>
      </x:c>
      <x:c r="F41" s="128" t="str">
        <x:v>Lin-An Li; Dehua Wang; Yi Wang</x:v>
      </x:c>
      <x:c r="G41" s="128" t="str">
        <x:v>compressible Navier-Stokes/shocks</x:v>
      </x:c>
      <x:c r="H41" s="130" t="str">
        <x:v>-</x:v>
      </x:c>
      <x:c r="I41" s="130" t="n">
        <x:v>89.5</x:v>
      </x:c>
      <x:c r="J41" s="130" t="n">
        <x:v>89.25</x:v>
      </x:c>
      <x:c r="K41" s="130" t="n">
        <x:v>89.75</x:v>
      </x:c>
      <x:c r="L41" s="130" t="n">
        <x:v>90</x:v>
      </x:c>
      <x:c r="M41" s="130" t="n">
        <x:v>89</x:v>
      </x:c>
      <x:c r="N41" s="130" t="n">
        <x:v>92</x:v>
      </x:c>
      <x:c r="O41" s="130" t="n">
        <x:v>87</x:v>
      </x:c>
      <x:c r="P41" s="130" t="n">
        <x:v>92</x:v>
      </x:c>
      <x:c r="Q41" s="130" t="n">
        <x:v>84</x:v>
      </x:c>
      <x:c r="R41" s="130" t="n">
        <x:v>11</x:v>
      </x:c>
      <x:c r="S41" s="128" t="str">
        <x:v>https://arxiv.org/abs/2608.06173</x:v>
      </x:c>
      <x:c r="T41" s="128" t="str">
        <x:v>Difficult shock interaction limit for compressible NS.</x:v>
      </x:c>
    </x:row>
    <x:row r="42" ht="36" customHeight="1">
      <x:c r="A42" s="129" t="n">
        <x:v>41</x:v>
      </x:c>
      <x:c r="B42" s="129" t="n">
        <x:f>MATCH(D42,May_Aug_AllRank!$D$2:$D$575,0)</x:f>
        <x:v>100</x:v>
      </x:c>
      <x:c r="C42" s="129" t="str">
        <x:v>2026-07</x:v>
      </x:c>
      <x:c r="D42" s="129" t="str">
        <x:v>2607.03342</x:v>
      </x:c>
      <x:c r="E42" s="128" t="str">
        <x:v>Level sets of fractional Sobolev functions</x:v>
      </x:c>
      <x:c r="F42" s="128" t="str">
        <x:v>Camillo De Lellis; Ming-Yuan Chang; Svitlana Mayboroda</x:v>
      </x:c>
      <x:c r="G42" s="128" t="str">
        <x:v>fractional Sobolev / regularity</x:v>
      </x:c>
      <x:c r="H42" s="130" t="n">
        <x:v>26</x:v>
      </x:c>
      <x:c r="I42" s="130" t="n">
        <x:v>89.35</x:v>
      </x:c>
      <x:c r="J42" s="130" t="n">
        <x:v>89.15</x:v>
      </x:c>
      <x:c r="K42" s="130" t="n">
        <x:v>89.55</x:v>
      </x:c>
      <x:c r="L42" s="130" t="n">
        <x:v>90</x:v>
      </x:c>
      <x:c r="M42" s="130" t="n">
        <x:v>90</x:v>
      </x:c>
      <x:c r="N42" s="130" t="n">
        <x:v>90</x:v>
      </x:c>
      <x:c r="O42" s="130" t="n">
        <x:v>87</x:v>
      </x:c>
      <x:c r="P42" s="130" t="n">
        <x:v>90</x:v>
      </x:c>
      <x:c r="Q42" s="130" t="n">
        <x:v>86</x:v>
      </x:c>
      <x:c r="R42" s="130" t="n">
        <x:v>9</x:v>
      </x:c>
      <x:c r="S42" s="128" t="str">
        <x:v>https://arxiv.org/abs/2607.03342</x:v>
      </x:c>
      <x:c r="T42" s="128" t="str">
        <x:v>Short but potentially influential regularity/measure-theoretic result.</x:v>
      </x:c>
    </x:row>
    <x:row r="43" ht="36" customHeight="1">
      <x:c r="A43" s="129" t="n">
        <x:v>42</x:v>
      </x:c>
      <x:c r="B43" s="129" t="n">
        <x:f>MATCH(D43,May_Aug_AllRank!$D$2:$D$575,0)</x:f>
        <x:v>102</x:v>
      </x:c>
      <x:c r="C43" s="129" t="str">
        <x:v>2026-07</x:v>
      </x:c>
      <x:c r="D43" s="129" t="str">
        <x:v>2607.17588</x:v>
      </x:c>
      <x:c r="E43" s="128" t="str">
        <x:v>Sharp Gradient Stability for Sobolev Trace Inequality</x:v>
      </x:c>
      <x:c r="F43" s="128" t="str">
        <x:v>Xi-Nan Ma; Yitian Zhang; Yang Zhou</x:v>
      </x:c>
      <x:c r="G43" s="128" t="str">
        <x:v>sharp inequalities</x:v>
      </x:c>
      <x:c r="H43" s="130" t="n">
        <x:v>60</x:v>
      </x:c>
      <x:c r="I43" s="130" t="n">
        <x:v>89.32</x:v>
      </x:c>
      <x:c r="J43" s="130" t="n">
        <x:v>89.1</x:v>
      </x:c>
      <x:c r="K43" s="130" t="n">
        <x:v>89.55</x:v>
      </x:c>
      <x:c r="L43" s="130" t="n">
        <x:v>90</x:v>
      </x:c>
      <x:c r="M43" s="130" t="n">
        <x:v>89</x:v>
      </x:c>
      <x:c r="N43" s="130" t="n">
        <x:v>91</x:v>
      </x:c>
      <x:c r="O43" s="130" t="n">
        <x:v>87</x:v>
      </x:c>
      <x:c r="P43" s="130" t="n">
        <x:v>91</x:v>
      </x:c>
      <x:c r="Q43" s="130" t="n">
        <x:v>85</x:v>
      </x:c>
      <x:c r="R43" s="130" t="n">
        <x:v>10</x:v>
      </x:c>
      <x:c r="S43" s="128" t="str">
        <x:v>https://arxiv.org/abs/2607.17588</x:v>
      </x:c>
      <x:c r="T43" s="128" t="str">
        <x:v>Sharp stability for trace inequality; high technical inequality work.</x:v>
      </x:c>
    </x:row>
    <x:row r="44" ht="36" customHeight="1">
      <x:c r="A44" s="129" t="n">
        <x:v>43</x:v>
      </x:c>
      <x:c r="B44" s="129" t="n">
        <x:f>MATCH(D44,May_Aug_AllRank!$D$2:$D$575,0)</x:f>
        <x:v>103</x:v>
      </x:c>
      <x:c r="C44" s="129" t="str">
        <x:v>2026-08</x:v>
      </x:c>
      <x:c r="D44" s="129" t="str">
        <x:v>2608.00430</x:v>
      </x:c>
      <x:c r="E44" s="128" t="str">
        <x:v>Self-similar solutions of the 3D Muskat problem with surface tension</x:v>
      </x:c>
      <x:c r="F44" s="128" t="str">
        <x:v>Lizhe Wan; Jiaqi Yang</x:v>
      </x:c>
      <x:c r="G44" s="128" t="str">
        <x:v>Muskat/free-boundary fluids</x:v>
      </x:c>
      <x:c r="H44" s="130" t="n">
        <x:v>40</x:v>
      </x:c>
      <x:c r="I44" s="130" t="n">
        <x:v>89.32</x:v>
      </x:c>
      <x:c r="J44" s="130" t="n">
        <x:v>89.1</x:v>
      </x:c>
      <x:c r="K44" s="130" t="n">
        <x:v>89.55</x:v>
      </x:c>
      <x:c r="L44" s="130" t="n">
        <x:v>90</x:v>
      </x:c>
      <x:c r="M44" s="130" t="n">
        <x:v>89</x:v>
      </x:c>
      <x:c r="N44" s="130" t="n">
        <x:v>91</x:v>
      </x:c>
      <x:c r="O44" s="130" t="n">
        <x:v>87</x:v>
      </x:c>
      <x:c r="P44" s="130" t="n">
        <x:v>91</x:v>
      </x:c>
      <x:c r="Q44" s="130" t="n">
        <x:v>85</x:v>
      </x:c>
      <x:c r="R44" s="130" t="n">
        <x:v>10</x:v>
      </x:c>
      <x:c r="S44" s="128" t="str">
        <x:v>https://arxiv.org/abs/2608.00430</x:v>
      </x:c>
      <x:c r="T44" s="128" t="str">
        <x:v>Self-similar 3D Muskat construction with surface tension.</x:v>
      </x:c>
    </x:row>
    <x:row r="45" ht="36" customHeight="1">
      <x:c r="A45" s="129" t="n">
        <x:v>44</x:v>
      </x:c>
      <x:c r="B45" s="129" t="n">
        <x:f>MATCH(D45,May_Aug_AllRank!$D$2:$D$575,0)</x:f>
        <x:v>104</x:v>
      </x:c>
      <x:c r="C45" s="129" t="str">
        <x:v>2026-08</x:v>
      </x:c>
      <x:c r="D45" s="129" t="str">
        <x:v>2608.00951</x:v>
      </x:c>
      <x:c r="E45" s="128" t="str">
        <x:v>Global well-posedness and scattering for defocusing energy supercritical nonlinear Schrodinger equations in high dimensions</x:v>
      </x:c>
      <x:c r="F45" s="128" t="str">
        <x:v>Xuan Liu</x:v>
      </x:c>
      <x:c r="G45" s="128" t="str">
        <x:v>energy-supercritical NLS</x:v>
      </x:c>
      <x:c r="H45" s="130" t="str">
        <x:v>-</x:v>
      </x:c>
      <x:c r="I45" s="130" t="n">
        <x:v>89.32</x:v>
      </x:c>
      <x:c r="J45" s="130" t="n">
        <x:v>89.1</x:v>
      </x:c>
      <x:c r="K45" s="130" t="n">
        <x:v>89.55</x:v>
      </x:c>
      <x:c r="L45" s="130" t="n">
        <x:v>90</x:v>
      </x:c>
      <x:c r="M45" s="130" t="n">
        <x:v>89</x:v>
      </x:c>
      <x:c r="N45" s="130" t="n">
        <x:v>91</x:v>
      </x:c>
      <x:c r="O45" s="130" t="n">
        <x:v>87</x:v>
      </x:c>
      <x:c r="P45" s="130" t="n">
        <x:v>91</x:v>
      </x:c>
      <x:c r="Q45" s="130" t="n">
        <x:v>85</x:v>
      </x:c>
      <x:c r="R45" s="130" t="n">
        <x:v>10</x:v>
      </x:c>
      <x:c r="S45" s="128" t="str">
        <x:v>https://arxiv.org/abs/2608.00951</x:v>
      </x:c>
      <x:c r="T45" s="128" t="str">
        <x:v>High-dimensional energy-supercritical NLS scattering.</x:v>
      </x:c>
    </x:row>
    <x:row r="46" ht="36" customHeight="1">
      <x:c r="A46" s="129" t="n">
        <x:v>45</x:v>
      </x:c>
      <x:c r="B46" s="129" t="n">
        <x:f>MATCH(D46,May_Aug_AllRank!$D$2:$D$575,0)</x:f>
        <x:v>105</x:v>
      </x:c>
      <x:c r="C46" s="129" t="str">
        <x:v>2026-08</x:v>
      </x:c>
      <x:c r="D46" s="129" t="str">
        <x:v>2608.04422</x:v>
      </x:c>
      <x:c r="E46" s="128" t="str">
        <x:v>Optimal Rigidity and Classification for k-Hessian Lane-Emden Equations</x:v>
      </x:c>
      <x:c r="F46" s="128" t="str">
        <x:v>Wei Dai; Jingze Fu; Changfeng Gui; Guolin Qin</x:v>
      </x:c>
      <x:c r="G46" s="128" t="str">
        <x:v>Hessian/Lane-Emden</x:v>
      </x:c>
      <x:c r="H46" s="130" t="str">
        <x:v>-</x:v>
      </x:c>
      <x:c r="I46" s="130" t="n">
        <x:v>89.32</x:v>
      </x:c>
      <x:c r="J46" s="130" t="n">
        <x:v>89.1</x:v>
      </x:c>
      <x:c r="K46" s="130" t="n">
        <x:v>89.55</x:v>
      </x:c>
      <x:c r="L46" s="130" t="n">
        <x:v>90</x:v>
      </x:c>
      <x:c r="M46" s="130" t="n">
        <x:v>89</x:v>
      </x:c>
      <x:c r="N46" s="130" t="n">
        <x:v>91</x:v>
      </x:c>
      <x:c r="O46" s="130" t="n">
        <x:v>87</x:v>
      </x:c>
      <x:c r="P46" s="130" t="n">
        <x:v>91</x:v>
      </x:c>
      <x:c r="Q46" s="130" t="n">
        <x:v>85</x:v>
      </x:c>
      <x:c r="R46" s="130" t="n">
        <x:v>10</x:v>
      </x:c>
      <x:c r="S46" s="128" t="str">
        <x:v>https://arxiv.org/abs/2608.04422</x:v>
      </x:c>
      <x:c r="T46" s="128" t="str">
        <x:v>Rigidity and classification for nonlinear Hessian equations.</x:v>
      </x:c>
    </x:row>
    <x:row r="47" ht="36" customHeight="1">
      <x:c r="A47" s="129" t="n">
        <x:v>46</x:v>
      </x:c>
      <x:c r="B47" s="129" t="n">
        <x:f>MATCH(D47,May_Aug_AllRank!$D$2:$D$575,0)</x:f>
        <x:v>106</x:v>
      </x:c>
      <x:c r="C47" s="129" t="str">
        <x:v>2026-08</x:v>
      </x:c>
      <x:c r="D47" s="129" t="str">
        <x:v>2608.04908</x:v>
      </x:c>
      <x:c r="E47" s="128" t="str">
        <x:v>On the absence of point defects in biaxial Landau-de Gennes theory</x:v>
      </x:c>
      <x:c r="F47" s="128" t="str">
        <x:v>Haotong Fu; Huaijie Wang; Wei Wang; Zhifei Zhang</x:v>
      </x:c>
      <x:c r="G47" s="128" t="str">
        <x:v>liquid crystals/variational PDE</x:v>
      </x:c>
      <x:c r="H47" s="130" t="n">
        <x:v>28</x:v>
      </x:c>
      <x:c r="I47" s="130" t="n">
        <x:v>89.32</x:v>
      </x:c>
      <x:c r="J47" s="130" t="n">
        <x:v>89.1</x:v>
      </x:c>
      <x:c r="K47" s="130" t="n">
        <x:v>89.55</x:v>
      </x:c>
      <x:c r="L47" s="130" t="n">
        <x:v>90</x:v>
      </x:c>
      <x:c r="M47" s="130" t="n">
        <x:v>89</x:v>
      </x:c>
      <x:c r="N47" s="130" t="n">
        <x:v>91</x:v>
      </x:c>
      <x:c r="O47" s="130" t="n">
        <x:v>87</x:v>
      </x:c>
      <x:c r="P47" s="130" t="n">
        <x:v>91</x:v>
      </x:c>
      <x:c r="Q47" s="130" t="n">
        <x:v>85</x:v>
      </x:c>
      <x:c r="R47" s="130" t="n">
        <x:v>10</x:v>
      </x:c>
      <x:c r="S47" s="128" t="str">
        <x:v>https://arxiv.org/abs/2608.04908</x:v>
      </x:c>
      <x:c r="T47" s="128" t="str">
        <x:v>Variational regularity/exclusion result in Landau-de Gennes theory.</x:v>
      </x:c>
    </x:row>
    <x:row r="48" ht="36" customHeight="1">
      <x:c r="A48" s="129" t="n">
        <x:v>47</x:v>
      </x:c>
      <x:c r="B48" s="129" t="n">
        <x:f>MATCH(D48,May_Aug_AllRank!$D$2:$D$575,0)</x:f>
        <x:v>107</x:v>
      </x:c>
      <x:c r="C48" s="129" t="str">
        <x:v>2026-07</x:v>
      </x:c>
      <x:c r="D48" s="129" t="str">
        <x:v>2607.11685</x:v>
      </x:c>
      <x:c r="E48" s="128" t="str">
        <x:v>A stochastic Fokker-Planck equation for the mean-field limit of noisy integrate-and-fire neurons</x:v>
      </x:c>
      <x:c r="F48" s="128" t="str">
        <x:v>Ben Hambly; Aldair Petronilia; Christoph Reisinger; Andreas Sojmark</x:v>
      </x:c>
      <x:c r="G48" s="128" t="str">
        <x:v>stochastic Fokker-Planck</x:v>
      </x:c>
      <x:c r="H48" s="130" t="n">
        <x:v>43</x:v>
      </x:c>
      <x:c r="I48" s="130" t="n">
        <x:v>89.28</x:v>
      </x:c>
      <x:c r="J48" s="130" t="n">
        <x:v>89.2</x:v>
      </x:c>
      <x:c r="K48" s="130" t="n">
        <x:v>89.35</x:v>
      </x:c>
      <x:c r="L48" s="130" t="n">
        <x:v>90</x:v>
      </x:c>
      <x:c r="M48" s="130" t="n">
        <x:v>88</x:v>
      </x:c>
      <x:c r="N48" s="130" t="n">
        <x:v>91</x:v>
      </x:c>
      <x:c r="O48" s="130" t="n">
        <x:v>87</x:v>
      </x:c>
      <x:c r="P48" s="130" t="n">
        <x:v>91</x:v>
      </x:c>
      <x:c r="Q48" s="130" t="n">
        <x:v>88</x:v>
      </x:c>
      <x:c r="R48" s="130" t="n">
        <x:v>13</x:v>
      </x:c>
      <x:c r="S48" s="128" t="str">
        <x:v>https://arxiv.org/abs/2607.11685</x:v>
      </x:c>
      <x:c r="T48" s="128" t="str">
        <x:v>Scored candidate from official July math.AP list; correctness not checked.</x:v>
      </x:c>
    </x:row>
    <x:row r="49" ht="36" customHeight="1">
      <x:c r="A49" s="129" t="n">
        <x:v>48</x:v>
      </x:c>
      <x:c r="B49" s="129" t="n">
        <x:f>MATCH(D49,May_Aug_AllRank!$D$2:$D$575,0)</x:f>
        <x:v>110</x:v>
      </x:c>
      <x:c r="C49" s="129" t="str">
        <x:v>2026-07</x:v>
      </x:c>
      <x:c r="D49" s="129" t="str">
        <x:v>2607.06415</x:v>
      </x:c>
      <x:c r="E49" s="128" t="str">
        <x:v>Stability for the Affine Sobolev Inequality and its Critical Points for p&gt;=2</x:v>
      </x:c>
      <x:c r="F49" s="128" t="str">
        <x:v>Rupert L. Frank; Yinqin Li; Dachun Yang</x:v>
      </x:c>
      <x:c r="G49" s="128" t="str">
        <x:v>sharp inequalities</x:v>
      </x:c>
      <x:c r="H49" s="130" t="n">
        <x:v>56</x:v>
      </x:c>
      <x:c r="I49" s="130" t="n">
        <x:v>89.25</x:v>
      </x:c>
      <x:c r="J49" s="130" t="n">
        <x:v>88.95</x:v>
      </x:c>
      <x:c r="K49" s="130" t="n">
        <x:v>89.55</x:v>
      </x:c>
      <x:c r="L49" s="130" t="n">
        <x:v>90</x:v>
      </x:c>
      <x:c r="M49" s="130" t="n">
        <x:v>89</x:v>
      </x:c>
      <x:c r="N49" s="130" t="n">
        <x:v>91</x:v>
      </x:c>
      <x:c r="O49" s="130" t="n">
        <x:v>86</x:v>
      </x:c>
      <x:c r="P49" s="130" t="n">
        <x:v>91</x:v>
      </x:c>
      <x:c r="Q49" s="130" t="n">
        <x:v>85</x:v>
      </x:c>
      <x:c r="R49" s="130" t="n">
        <x:v>10</x:v>
      </x:c>
      <x:c r="S49" s="128" t="str">
        <x:v>https://arxiv.org/abs/2607.06415</x:v>
      </x:c>
      <x:c r="T49" s="128" t="str">
        <x:v>Stability of affine Sobolev inequality; high authorship and reusable inequality machinery.</x:v>
      </x:c>
    </x:row>
    <x:row r="50" ht="36" customHeight="1">
      <x:c r="A50" s="129" t="n">
        <x:v>49</x:v>
      </x:c>
      <x:c r="B50" s="129" t="n">
        <x:f>MATCH(D50,May_Aug_AllRank!$D$2:$D$575,0)</x:f>
        <x:v>111</x:v>
      </x:c>
      <x:c r="C50" s="129" t="str">
        <x:v>2026-07</x:v>
      </x:c>
      <x:c r="D50" s="129" t="str">
        <x:v>2607.20290</x:v>
      </x:c>
      <x:c r="E50" s="128" t="str">
        <x:v>Lifespan Bounds and Super-Classical Propagation for Weak Solutions of 3D Compressible Euler</x:v>
      </x:c>
      <x:c r="F50" s="128" t="str">
        <x:v>Thomas C. Sideris</x:v>
      </x:c>
      <x:c r="G50" s="128" t="str">
        <x:v>compressible Euler</x:v>
      </x:c>
      <x:c r="H50" s="130" t="n">
        <x:v>42</x:v>
      </x:c>
      <x:c r="I50" s="130" t="n">
        <x:v>89.25</x:v>
      </x:c>
      <x:c r="J50" s="130" t="n">
        <x:v>88.95</x:v>
      </x:c>
      <x:c r="K50" s="130" t="n">
        <x:v>89.55</x:v>
      </x:c>
      <x:c r="L50" s="130" t="n">
        <x:v>90</x:v>
      </x:c>
      <x:c r="M50" s="130" t="n">
        <x:v>89</x:v>
      </x:c>
      <x:c r="N50" s="130" t="n">
        <x:v>91</x:v>
      </x:c>
      <x:c r="O50" s="130" t="n">
        <x:v>86</x:v>
      </x:c>
      <x:c r="P50" s="130" t="n">
        <x:v>91</x:v>
      </x:c>
      <x:c r="Q50" s="130" t="n">
        <x:v>85</x:v>
      </x:c>
      <x:c r="R50" s="130" t="n">
        <x:v>10</x:v>
      </x:c>
      <x:c r="S50" s="128" t="str">
        <x:v>https://arxiv.org/abs/2607.20290</x:v>
      </x:c>
      <x:c r="T50" s="128" t="str">
        <x:v>Classical-author contribution to compressible Euler weak-solution lifespan.</x:v>
      </x:c>
    </x:row>
    <x:row r="51" ht="36" customHeight="1">
      <x:c r="A51" s="129" t="n">
        <x:v>50</x:v>
      </x:c>
      <x:c r="B51" s="129" t="n">
        <x:f>MATCH(D51,May_Aug_AllRank!$D$2:$D$575,0)</x:f>
        <x:v>114</x:v>
      </x:c>
      <x:c r="C51" s="129" t="str">
        <x:v>2026-07</x:v>
      </x:c>
      <x:c r="D51" s="129" t="str">
        <x:v>2607.08140</x:v>
      </x:c>
      <x:c r="E51" s="128" t="str">
        <x:v>Nonlinear Media via Nonlocal Homogenisation</x:v>
      </x:c>
      <x:c r="F51" s="128" t="str">
        <x:v>Andreas Buchinger; Nathanael Skrepek; Marcus Waurick</x:v>
      </x:c>
      <x:c r="G51" s="128" t="str">
        <x:v>homogenization</x:v>
      </x:c>
      <x:c r="H51" s="130" t="n">
        <x:v>12</x:v>
      </x:c>
      <x:c r="I51" s="130" t="n">
        <x:v>89.15</x:v>
      </x:c>
      <x:c r="J51" s="130" t="n">
        <x:v>89.1</x:v>
      </x:c>
      <x:c r="K51" s="130" t="n">
        <x:v>89.2</x:v>
      </x:c>
      <x:c r="L51" s="130" t="n">
        <x:v>90</x:v>
      </x:c>
      <x:c r="M51" s="130" t="n">
        <x:v>88</x:v>
      </x:c>
      <x:c r="N51" s="130" t="n">
        <x:v>91</x:v>
      </x:c>
      <x:c r="O51" s="130" t="n">
        <x:v>87</x:v>
      </x:c>
      <x:c r="P51" s="130" t="n">
        <x:v>91</x:v>
      </x:c>
      <x:c r="Q51" s="130" t="n">
        <x:v>87</x:v>
      </x:c>
      <x:c r="R51" s="130" t="n">
        <x:v>13</x:v>
      </x:c>
      <x:c r="S51" s="128" t="str">
        <x:v>https://arxiv.org/abs/2607.08140</x:v>
      </x:c>
      <x:c r="T51" s="128" t="str">
        <x:v>Scored candidate from official July math.AP list; correctness not checked.</x:v>
      </x:c>
    </x:row>
  </x:sheetData>
  <x:conditionalFormatting sqref="Q2:Q5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2:T51">
    <x:cfRule type="expression" dxfId="3" priority="2">
      <x:formula>MOD(ROW()-1,2)=1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f17d38029c46f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2" hidden="0" customWidth="1"/>
    <x:col min="4" max="4" width="48" hidden="0" customWidth="1"/>
    <x:col min="5" max="5" width="32" hidden="0" customWidth="1"/>
    <x:col min="6" max="6" width="24" hidden="0" customWidth="1"/>
    <x:col min="7" max="7" width="9" hidden="0" customWidth="1"/>
    <x:col min="8" max="8" width="36" hidden="0" customWidth="1"/>
    <x:col min="9" max="9" width="42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</x:cols>
  <x:sheetData>
    <x:row r="1" ht="30" customHeight="1">
      <x:c r="A1" s="67" t="str">
        <x:v>Rank</x:v>
      </x:c>
      <x:c r="B1" s="67" t="str">
        <x:v>Month</x:v>
      </x:c>
      <x:c r="C1" s="67" t="str">
        <x:v>arXiv</x:v>
      </x:c>
      <x:c r="D1" s="67" t="str">
        <x:v>Title</x:v>
      </x:c>
      <x:c r="E1" s="67" t="str">
        <x:v>Authors</x:v>
      </x:c>
      <x:c r="F1" s="67" t="str">
        <x:v>Theme</x:v>
      </x:c>
      <x:c r="G1" s="67" t="str">
        <x:v>Pages</x:v>
      </x:c>
      <x:c r="H1" s="73" t="str">
        <x:v>Final_S_eq</x:v>
      </x:c>
      <x:c r="I1" s="73" t="str">
        <x:v>Final_V</x:v>
      </x:c>
      <x:c r="J1" s="73" t="str">
        <x:v>Final_S_H</x:v>
      </x:c>
      <x:c r="K1" s="67" t="str">
        <x:v>Final_I</x:v>
      </x:c>
      <x:c r="L1" s="67" t="str">
        <x:v>Final_O</x:v>
      </x:c>
      <x:c r="M1" s="67" t="str">
        <x:v>Final_T</x:v>
      </x:c>
      <x:c r="N1" s="67" t="str">
        <x:v>Final_B</x:v>
      </x:c>
      <x:c r="O1" s="67" t="str">
        <x:v>Final_H</x:v>
      </x:c>
      <x:c r="P1" s="67" t="str">
        <x:v>Final_R</x:v>
      </x:c>
      <x:c r="Q1" s="67" t="str">
        <x:v>Final_AI%</x:v>
      </x:c>
      <x:c r="R1" s="67" t="str">
        <x:v>SourceURL</x:v>
      </x:c>
      <x:c r="S1" s="67" t="str">
        <x:v>RecheckNote</x:v>
      </x:c>
    </x:row>
    <x:row r="2" ht="38" customHeight="1">
      <x:c r="A2" s="40" t="n">
        <x:v>1</x:v>
      </x:c>
      <x:c r="B2" s="40" t="str">
        <x:v>2026-06</x:v>
      </x:c>
      <x:c r="C2" s="40" t="str">
        <x:v>2606.28008</x:v>
      </x:c>
      <x:c r="D2" s="40" t="str">
        <x:v>(Non-)Linear waves on asymptotically flat spacetimes. II: trapping, bound states, nonlinear applications</x:v>
      </x:c>
      <x:c r="E2" s="40" t="str">
        <x:v>Peter Hintz</x:v>
      </x:c>
      <x:c r="F2" s="40" t="str">
        <x:v>GR/nonlinear waves</x:v>
      </x:c>
      <x:c r="G2" s="40" t="str">
        <x:v>285</x:v>
      </x:c>
      <x:c r="H2" s="72" t="n">
        <x:v>95.8</x:v>
      </x:c>
      <x:c r="I2" s="72" t="n">
        <x:v>96.17</x:v>
      </x:c>
      <x:c r="J2" s="72" t="n">
        <x:v>95.43</x:v>
      </x:c>
      <x:c r="K2" s="72" t="str">
        <x:v>99</x:v>
      </x:c>
      <x:c r="L2" s="72" t="str">
        <x:v>95.7</x:v>
      </x:c>
      <x:c r="M2" s="72" t="str">
        <x:v>99.3</x:v>
      </x:c>
      <x:c r="N2" s="72" t="str">
        <x:v>92.7</x:v>
      </x:c>
      <x:c r="O2" s="72" t="str">
        <x:v>99.1</x:v>
      </x:c>
      <x:c r="P2" s="72" t="str">
        <x:v>86</x:v>
      </x:c>
      <x:c r="Q2" s="72" t="str">
        <x:v>8</x:v>
      </x:c>
      <x:c r="R2" s="40" t="str">
        <x:v>https://arxiv.org/abs/2606.28008</x:v>
      </x:c>
      <x:c r="S2" s="40" t="str">
        <x:v>系列/续篇按重叠性校准；285页大型框架，仍为六月第一；因系列论文属性轻微压低原创性/广度。</x:v>
      </x:c>
    </x:row>
    <x:row r="3" ht="38" customHeight="1">
      <x:c r="A3" s="40" t="n">
        <x:v>2</x:v>
      </x:c>
      <x:c r="B3" s="40" t="str">
        <x:v>2026-05</x:v>
      </x:c>
      <x:c r="C3" s="40" t="str">
        <x:v>2605.00808</x:v>
      </x:c>
      <x:c r="D3" s="40" t="str">
        <x:v>Smooth and stable Euler implosions</x:v>
      </x:c>
      <x:c r="E3" s="40" t="str">
        <x:v>Jiajie Chen; Steve Shkoller; Vlad Vicol</x:v>
      </x:c>
      <x:c r="F3" s="40" t="str">
        <x:v>Fluid singularities / Euler</x:v>
      </x:c>
      <x:c r="G3" s="40" t="str">
        <x:v>153</x:v>
      </x:c>
      <x:c r="H3" s="72" t="n">
        <x:v>95.36</x:v>
      </x:c>
      <x:c r="I3" s="72" t="n">
        <x:v>95.98</x:v>
      </x:c>
      <x:c r="J3" s="72" t="n">
        <x:v>94.74</x:v>
      </x:c>
      <x:c r="K3" s="72" t="str">
        <x:v>99.2</x:v>
      </x:c>
      <x:c r="L3" s="72" t="str">
        <x:v>96.1</x:v>
      </x:c>
      <x:c r="M3" s="72" t="str">
        <x:v>98.3</x:v>
      </x:c>
      <x:c r="N3" s="72" t="str">
        <x:v>92.2</x:v>
      </x:c>
      <x:c r="O3" s="72" t="str">
        <x:v>98.2</x:v>
      </x:c>
      <x:c r="P3" s="72" t="str">
        <x:v>86</x:v>
      </x:c>
      <x:c r="Q3" s="72" t="str">
        <x:v>10</x:v>
      </x:c>
      <x:c r="R3" s="40" t="str">
        <x:v>https://arxiv.org/abs/2605.00808</x:v>
      </x:c>
      <x:c r="S3" s="40" t="str">
        <x:v>稳定光滑Euler implosion构造在跨月比较中保持最高层级。</x:v>
      </x:c>
    </x:row>
    <x:row r="4" ht="38" customHeight="1">
      <x:c r="A4" s="40" t="n">
        <x:v>3</x:v>
      </x:c>
      <x:c r="B4" s="40" t="str">
        <x:v>2026-05</x:v>
      </x:c>
      <x:c r="C4" s="40" t="str">
        <x:v>2605.15130</x:v>
      </x:c>
      <x:c r="D4" s="40" t="str">
        <x:v>Asymptotically Self-Similar Blowup for 3D Incompressible Euler with C^{1,1/3-} Velocity II: 3D Profiles, Blowup, and Limiting Behavior</x:v>
      </x:c>
      <x:c r="E4" s="40" t="str">
        <x:v>Jiajie Chen</x:v>
      </x:c>
      <x:c r="F4" s="40" t="str">
        <x:v>Fluid singularities / Euler</x:v>
      </x:c>
      <x:c r="G4" s="40" t="str">
        <x:v>133</x:v>
      </x:c>
      <x:c r="H4" s="72" t="n">
        <x:v>94.32</x:v>
      </x:c>
      <x:c r="I4" s="72" t="n">
        <x:v>94.82</x:v>
      </x:c>
      <x:c r="J4" s="72" t="n">
        <x:v>93.81</x:v>
      </x:c>
      <x:c r="K4" s="72" t="str">
        <x:v>98.1</x:v>
      </x:c>
      <x:c r="L4" s="72" t="str">
        <x:v>94.7</x:v>
      </x:c>
      <x:c r="M4" s="72" t="str">
        <x:v>97.3</x:v>
      </x:c>
      <x:c r="N4" s="72" t="str">
        <x:v>90.8</x:v>
      </x:c>
      <x:c r="O4" s="72" t="str">
        <x:v>97.2</x:v>
      </x:c>
      <x:c r="P4" s="72" t="str">
        <x:v>85</x:v>
      </x:c>
      <x:c r="Q4" s="72" t="str">
        <x:v>10</x:v>
      </x:c>
      <x:c r="R4" s="40" t="str">
        <x:v>https://arxiv.org/abs/2605.15130</x:v>
      </x:c>
      <x:c r="S4" s="40" t="str">
        <x:v>系列/续篇按重叠性校准；Part II 属于大型Euler blow-up program，略按系列重叠校准。</x:v>
      </x:c>
    </x:row>
    <x:row r="5" ht="38" customHeight="1">
      <x:c r="A5" s="40" t="n">
        <x:v>4</x:v>
      </x:c>
      <x:c r="B5" s="40" t="str">
        <x:v>2026-06</x:v>
      </x:c>
      <x:c r="C5" s="40" t="str">
        <x:v>2606.27658</x:v>
      </x:c>
      <x:c r="D5" s="40" t="str">
        <x:v>Constraint damping on subextremal Kerr spacetimes</x:v>
      </x:c>
      <x:c r="E5" s="40" t="str">
        <x:v>Peter Hintz</x:v>
      </x:c>
      <x:c r="F5" s="40" t="str">
        <x:v>Kerr/GR hyperbolic PDE</x:v>
      </x:c>
      <x:c r="G5" s="40" t="str">
        <x:v>100</x:v>
      </x:c>
      <x:c r="H5" s="72" t="n">
        <x:v>94.22</x:v>
      </x:c>
      <x:c r="I5" s="72" t="n">
        <x:v>94.48</x:v>
      </x:c>
      <x:c r="J5" s="72" t="n">
        <x:v>93.95</x:v>
      </x:c>
      <x:c r="K5" s="72" t="str">
        <x:v>97.1</x:v>
      </x:c>
      <x:c r="L5" s="72" t="str">
        <x:v>94</x:v>
      </x:c>
      <x:c r="M5" s="72" t="str">
        <x:v>97.2</x:v>
      </x:c>
      <x:c r="N5" s="72" t="str">
        <x:v>91</x:v>
      </x:c>
      <x:c r="O5" s="72" t="str">
        <x:v>97.2</x:v>
      </x:c>
      <x:c r="P5" s="72" t="str">
        <x:v>86</x:v>
      </x:c>
      <x:c r="Q5" s="72" t="str">
        <x:v>9</x:v>
      </x:c>
      <x:c r="R5" s="40" t="str">
        <x:v>https://arxiv.org/abs/2606.27658</x:v>
      </x:c>
      <x:c r="S5" s="40" t="str">
        <x:v>三轮复核后与原表基本一致</x:v>
      </x:c>
    </x:row>
    <x:row r="6" ht="38" customHeight="1">
      <x:c r="A6" s="40" t="n">
        <x:v>5</x:v>
      </x:c>
      <x:c r="B6" s="40" t="str">
        <x:v>2026-06</x:v>
      </x:c>
      <x:c r="C6" s="40" t="str">
        <x:v>2606.04449</x:v>
      </x:c>
      <x:c r="D6" s="40" t="str">
        <x:v>Construction of multi-bubble solutions for the energy-critical wave equation in dimension four</x:v>
      </x:c>
      <x:c r="E6" s="40" t="str">
        <x:v>Jingyuan Gu; Jacek Jendrej; Lifeng Zhao</x:v>
      </x:c>
      <x:c r="F6" s="40" t="str">
        <x:v>nonlinear wave blow-up</x:v>
      </x:c>
      <x:c r="G6" s="40" t="str">
        <x:v>90</x:v>
      </x:c>
      <x:c r="H6" s="72" t="n">
        <x:v>93.96</x:v>
      </x:c>
      <x:c r="I6" s="72" t="n">
        <x:v>94.01</x:v>
      </x:c>
      <x:c r="J6" s="72" t="n">
        <x:v>93.9</x:v>
      </x:c>
      <x:c r="K6" s="72" t="str">
        <x:v>96.1</x:v>
      </x:c>
      <x:c r="L6" s="72" t="str">
        <x:v>94</x:v>
      </x:c>
      <x:c r="M6" s="72" t="str">
        <x:v>97.1</x:v>
      </x:c>
      <x:c r="N6" s="72" t="str">
        <x:v>90</x:v>
      </x:c>
      <x:c r="O6" s="72" t="str">
        <x:v>97.1</x:v>
      </x:c>
      <x:c r="P6" s="72" t="str">
        <x:v>86</x:v>
      </x:c>
      <x:c r="Q6" s="72" t="str">
        <x:v>9</x:v>
      </x:c>
      <x:c r="R6" s="40" t="str">
        <x:v>https://arxiv.org/abs/2606.04449</x:v>
      </x:c>
      <x:c r="S6" s="40" t="str">
        <x:v>三轮复核后与原表基本一致</x:v>
      </x:c>
    </x:row>
    <x:row r="7" ht="38" customHeight="1">
      <x:c r="A7" s="40" t="n">
        <x:v>6</x:v>
      </x:c>
      <x:c r="B7" s="40" t="str">
        <x:v>2026-05</x:v>
      </x:c>
      <x:c r="C7" s="40" t="str">
        <x:v>2605.19143</x:v>
      </x:c>
      <x:c r="D7" s="40" t="str">
        <x:v>Weak cosmic censorship for the circularly symmetric Einstein-scalar field system in 2+1 dimensions</x:v>
      </x:c>
      <x:c r="E7" s="40" t="str">
        <x:v>Serban Cicortas</x:v>
      </x:c>
      <x:c r="F7" s="40" t="str">
        <x:v>Geometric hyperbolic PDE / GR</x:v>
      </x:c>
      <x:c r="G7" s="40" t="str">
        <x:v>65</x:v>
      </x:c>
      <x:c r="H7" s="72" t="n">
        <x:v>93.76</x:v>
      </x:c>
      <x:c r="I7" s="72" t="n">
        <x:v>94.27</x:v>
      </x:c>
      <x:c r="J7" s="72" t="n">
        <x:v>93.24</x:v>
      </x:c>
      <x:c r="K7" s="72" t="str">
        <x:v>98</x:v>
      </x:c>
      <x:c r="L7" s="72" t="str">
        <x:v>94.1</x:v>
      </x:c>
      <x:c r="M7" s="72" t="str">
        <x:v>96.1</x:v>
      </x:c>
      <x:c r="N7" s="72" t="str">
        <x:v>90.8</x:v>
      </x:c>
      <x:c r="O7" s="72" t="str">
        <x:v>96</x:v>
      </x:c>
      <x:c r="P7" s="72" t="str">
        <x:v>84</x:v>
      </x:c>
      <x:c r="Q7" s="72" t="str">
        <x:v>8</x:v>
      </x:c>
      <x:c r="R7" s="40" t="str">
        <x:v>https://arxiv.org/abs/2605.19143</x:v>
      </x:c>
      <x:c r="S7" s="40" t="str">
        <x:v>弱宇宙监督问题价值很高；因2+1圆对称模型范围略调低广度。</x:v>
      </x:c>
    </x:row>
    <x:row r="8" ht="38" customHeight="1">
      <x:c r="A8" s="40" t="n">
        <x:v>7</x:v>
      </x:c>
      <x:c r="B8" s="40" t="str">
        <x:v>2026-07</x:v>
      </x:c>
      <x:c r="C8" s="40" t="str">
        <x:v>2607.10686</x:v>
      </x:c>
      <x:c r="D8" s="40" t="str">
        <x:v>Singular mean-field limits via a multiscale mollification metric</x:v>
      </x:c>
      <x:c r="E8" s="40" t="str">
        <x:v>Quoc Hung Nguyen; Sylvia Serfaty</x:v>
      </x:c>
      <x:c r="F8" s="40" t="str">
        <x:v>mean-field limits / Coulomb-type PDE</x:v>
      </x:c>
      <x:c r="G8" s="40" t="n">
        <x:v>105</x:v>
      </x:c>
      <x:c r="H8" s="72" t="n">
        <x:v>93.6</x:v>
      </x:c>
      <x:c r="I8" s="72" t="n">
        <x:v>94</x:v>
      </x:c>
      <x:c r="J8" s="72" t="n">
        <x:v>93.2</x:v>
      </x:c>
      <x:c r="K8" s="72" t="n">
        <x:v>96</x:v>
      </x:c>
      <x:c r="L8" s="72" t="n">
        <x:v>94</x:v>
      </x:c>
      <x:c r="M8" s="72" t="n">
        <x:v>96</x:v>
      </x:c>
      <x:c r="N8" s="72" t="n">
        <x:v>92</x:v>
      </x:c>
      <x:c r="O8" s="72" t="n">
        <x:v>96</x:v>
      </x:c>
      <x:c r="P8" s="72" t="n">
        <x:v>86</x:v>
      </x:c>
      <x:c r="Q8" s="72" t="n">
        <x:v>10</x:v>
      </x:c>
      <x:c r="R8" s="40" t="str">
        <x:v>https://arxiv.org/abs/2607.10686</x:v>
      </x:c>
      <x:c r="S8" s="40" t="str">
        <x:v>Large-scale singular mean-field limit framework; broad PDE/probability transfer.</x:v>
      </x:c>
    </x:row>
    <x:row r="9" ht="38" customHeight="1">
      <x:c r="A9" s="40" t="n">
        <x:v>8</x:v>
      </x:c>
      <x:c r="B9" s="40" t="str">
        <x:v>2026-05</x:v>
      </x:c>
      <x:c r="C9" s="40" t="str">
        <x:v>2605.05041</x:v>
      </x:c>
      <x:c r="D9" s="40" t="str">
        <x:v>An Optimal Regularity Theory for Immersed Stable Minimal Hypersurfaces with Small Singular Set</x:v>
      </x:c>
      <x:c r="E9" s="40" t="str">
        <x:v>Paul Minter; Zhengyi Xiao</x:v>
      </x:c>
      <x:c r="F9" s="40" t="str">
        <x:v>Minimal hypersurfaces / regularity</x:v>
      </x:c>
      <x:c r="G9" s="40" t="str">
        <x:v>65</x:v>
      </x:c>
      <x:c r="H9" s="72" t="n">
        <x:v>93.19</x:v>
      </x:c>
      <x:c r="I9" s="72" t="n">
        <x:v>93.43</x:v>
      </x:c>
      <x:c r="J9" s="72" t="n">
        <x:v>92.95</x:v>
      </x:c>
      <x:c r="K9" s="72" t="str">
        <x:v>96.2</x:v>
      </x:c>
      <x:c r="L9" s="72" t="str">
        <x:v>93.1</x:v>
      </x:c>
      <x:c r="M9" s="72" t="str">
        <x:v>95.2</x:v>
      </x:c>
      <x:c r="N9" s="72" t="str">
        <x:v>90.3</x:v>
      </x:c>
      <x:c r="O9" s="72" t="str">
        <x:v>95.3</x:v>
      </x:c>
      <x:c r="P9" s="72" t="str">
        <x:v>86</x:v>
      </x:c>
      <x:c r="Q9" s="72" t="str">
        <x:v>8</x:v>
      </x:c>
      <x:c r="R9" s="40" t="str">
        <x:v>https://arxiv.org/abs/2605.05041</x:v>
      </x:c>
      <x:c r="S9" s="40" t="str">
        <x:v>小奇异集稳定极小超曲面最优正则性，跨方向影响上调。</x:v>
      </x:c>
    </x:row>
    <x:row r="10" ht="38" customHeight="1">
      <x:c r="A10" s="40" t="n">
        <x:v>9</x:v>
      </x:c>
      <x:c r="B10" s="40" t="str">
        <x:v>2026-05</x:v>
      </x:c>
      <x:c r="C10" s="40" t="str">
        <x:v>2605.15149</x:v>
      </x:c>
      <x:c r="D10" s="40" t="str">
        <x:v>Asymptotically Self-Similar Blowup for 3D Incompressible Euler with C^{1,1/3-} Velocity I: C^infty 1D Limiting Profiles</x:v>
      </x:c>
      <x:c r="E10" s="40" t="str">
        <x:v>Jiajie Chen</x:v>
      </x:c>
      <x:c r="F10" s="40" t="str">
        <x:v>Fluid singularities / Euler</x:v>
      </x:c>
      <x:c r="G10" s="40" t="str">
        <x:v>92</x:v>
      </x:c>
      <x:c r="H10" s="72" t="n">
        <x:v>93.09</x:v>
      </x:c>
      <x:c r="I10" s="72" t="n">
        <x:v>93.18</x:v>
      </x:c>
      <x:c r="J10" s="72" t="n">
        <x:v>92.99</x:v>
      </x:c>
      <x:c r="K10" s="72" t="str">
        <x:v>96</x:v>
      </x:c>
      <x:c r="L10" s="72" t="str">
        <x:v>93.6</x:v>
      </x:c>
      <x:c r="M10" s="72" t="str">
        <x:v>96.1</x:v>
      </x:c>
      <x:c r="N10" s="72" t="str">
        <x:v>87.6</x:v>
      </x:c>
      <x:c r="O10" s="72" t="str">
        <x:v>96</x:v>
      </x:c>
      <x:c r="P10" s="72" t="str">
        <x:v>85</x:v>
      </x:c>
      <x:c r="Q10" s="72" t="str">
        <x:v>10</x:v>
      </x:c>
      <x:c r="R10" s="40" t="str">
        <x:v>https://arxiv.org/abs/2605.15149</x:v>
      </x:c>
      <x:c r="S10" s="40" t="str">
        <x:v>系列/续篇按重叠性校准；Part I/1D profile component按系列重叠轻微下调。</x:v>
      </x:c>
    </x:row>
    <x:row r="11" ht="38" customHeight="1">
      <x:c r="A11" s="40" t="n">
        <x:v>10</x:v>
      </x:c>
      <x:c r="B11" s="40" t="str">
        <x:v>2026-06</x:v>
      </x:c>
      <x:c r="C11" s="40" t="str">
        <x:v>2606.00538</x:v>
      </x:c>
      <x:c r="D11" s="40" t="str">
        <x:v>Classification of blow-ups for the Alt--Phillips problem in three dimensions</x:v>
      </x:c>
      <x:c r="E11" s="40" t="str">
        <x:v>Xavier Fernandez-Real</x:v>
      </x:c>
      <x:c r="F11" s="40" t="str">
        <x:v>free boundary/regularity</x:v>
      </x:c>
      <x:c r="G11" s="40" t="str"/>
      <x:c r="H11" s="72" t="n">
        <x:v>93.05</x:v>
      </x:c>
      <x:c r="I11" s="72" t="n">
        <x:v>93.43</x:v>
      </x:c>
      <x:c r="J11" s="72" t="n">
        <x:v>92.67</x:v>
      </x:c>
      <x:c r="K11" s="72" t="str">
        <x:v>96</x:v>
      </x:c>
      <x:c r="L11" s="72" t="str">
        <x:v>93.2</x:v>
      </x:c>
      <x:c r="M11" s="72" t="str">
        <x:v>94</x:v>
      </x:c>
      <x:c r="N11" s="72" t="str">
        <x:v>91.3</x:v>
      </x:c>
      <x:c r="O11" s="72" t="str">
        <x:v>95.1</x:v>
      </x:c>
      <x:c r="P11" s="72" t="str">
        <x:v>88</x:v>
      </x:c>
      <x:c r="Q11" s="72" t="str">
        <x:v>10</x:v>
      </x:c>
      <x:c r="R11" s="40" t="str">
        <x:v>https://arxiv.org/abs/2606.00538</x:v>
      </x:c>
      <x:c r="S11" s="40" t="str">
        <x:v>三维Alt--Phillips blow-up分类保持Top层级，广度略上调。</x:v>
      </x:c>
    </x:row>
    <x:row r="12" ht="38" customHeight="1">
      <x:c r="A12" s="40" t="n">
        <x:v>11</x:v>
      </x:c>
      <x:c r="B12" s="40" t="str">
        <x:v>2026-05</x:v>
      </x:c>
      <x:c r="C12" s="40" t="str">
        <x:v>2605.20426</x:v>
      </x:c>
      <x:c r="D12" s="40" t="str">
        <x:v>Pointwise bounds and obstructions to blowup for the Landau and Boltzmann equations</x:v>
      </x:c>
      <x:c r="E12" s="40" t="str">
        <x:v>William Golding; Christopher Henderson; Luis Silvestre</x:v>
      </x:c>
      <x:c r="F12" s="40" t="str">
        <x:v>Kinetic PDE</x:v>
      </x:c>
      <x:c r="G12" s="40" t="str">
        <x:v>23</x:v>
      </x:c>
      <x:c r="H12" s="72" t="n">
        <x:v>92.8</x:v>
      </x:c>
      <x:c r="I12" s="72" t="n">
        <x:v>93.32</x:v>
      </x:c>
      <x:c r="J12" s="72" t="n">
        <x:v>92.28</x:v>
      </x:c>
      <x:c r="K12" s="72" t="str">
        <x:v>96.3</x:v>
      </x:c>
      <x:c r="L12" s="72" t="str">
        <x:v>93.1</x:v>
      </x:c>
      <x:c r="M12" s="72" t="str">
        <x:v>94.3</x:v>
      </x:c>
      <x:c r="N12" s="72" t="str">
        <x:v>90.2</x:v>
      </x:c>
      <x:c r="O12" s="72" t="str">
        <x:v>94.2</x:v>
      </x:c>
      <x:c r="P12" s="72" t="str">
        <x:v>87</x:v>
      </x:c>
      <x:c r="Q12" s="72" t="str">
        <x:v>10.1</x:v>
      </x:c>
      <x:c r="R12" s="40" t="str">
        <x:v>https://arxiv.org/abs/2605.20426</x:v>
      </x:c>
      <x:c r="S12" s="40" t="str">
        <x:v>Landau/Boltzmann blow-up obstruction的可迁移估计价值上调。</x:v>
      </x:c>
    </x:row>
    <x:row r="13" ht="38" customHeight="1">
      <x:c r="A13" s="40" t="n">
        <x:v>12</x:v>
      </x:c>
      <x:c r="B13" s="40" t="str">
        <x:v>2026-08</x:v>
      </x:c>
      <x:c r="C13" s="40" t="str">
        <x:v>2608.00802</x:v>
      </x:c>
      <x:c r="D13" s="40" t="str">
        <x:v>Counterexamples to Landis' conjecture in dimensions three and higher</x:v>
      </x:c>
      <x:c r="E13" s="40" t="str">
        <x:v>Rupert L. Frank; Paata Ivanisvili</x:v>
      </x:c>
      <x:c r="F13" s="40" t="str">
        <x:v>unique continuation/counterexamples</x:v>
      </x:c>
      <x:c r="G13" s="40" t="n">
        <x:v>34</x:v>
      </x:c>
      <x:c r="H13" s="72" t="n">
        <x:v>92.65</x:v>
      </x:c>
      <x:c r="I13" s="72" t="n">
        <x:v>93</x:v>
      </x:c>
      <x:c r="J13" s="72" t="n">
        <x:v>92.3</x:v>
      </x:c>
      <x:c r="K13" s="72" t="n">
        <x:v>95</x:v>
      </x:c>
      <x:c r="L13" s="72" t="n">
        <x:v>94</x:v>
      </x:c>
      <x:c r="M13" s="72" t="n">
        <x:v>93</x:v>
      </x:c>
      <x:c r="N13" s="72" t="n">
        <x:v>91</x:v>
      </x:c>
      <x:c r="O13" s="72" t="n">
        <x:v>93</x:v>
      </x:c>
      <x:c r="P13" s="72" t="n">
        <x:v>88</x:v>
      </x:c>
      <x:c r="Q13" s="72" t="n">
        <x:v>8</x:v>
      </x:c>
      <x:c r="R13" s="40" t="str">
        <x:v>https://arxiv.org/abs/2608.00802</x:v>
      </x:c>
      <x:c r="S13" s="40" t="str">
        <x:v>Major counterexample to a famous unique-continuation conjecture; concise and high impact.</x:v>
      </x:c>
    </x:row>
    <x:row r="14" ht="38" customHeight="1">
      <x:c r="A14" s="40" t="n">
        <x:v>13</x:v>
      </x:c>
      <x:c r="B14" s="40" t="str">
        <x:v>2026-06</x:v>
      </x:c>
      <x:c r="C14" s="40" t="str">
        <x:v>2606.01331</x:v>
      </x:c>
      <x:c r="D14" s="40" t="str">
        <x:v>Sharp H_x^s Ill-posedness of the Hard-sphere Boltzmann Equation</x:v>
      </x:c>
      <x:c r="E14" s="40" t="str">
        <x:v>Xuwen Chen; Yan Guo; Shunlin Shen; Zhifei Zhang</x:v>
      </x:c>
      <x:c r="F14" s="40" t="str">
        <x:v>kinetic PDE</x:v>
      </x:c>
      <x:c r="G14" s="40" t="str"/>
      <x:c r="H14" s="72" t="n">
        <x:v>92.55</x:v>
      </x:c>
      <x:c r="I14" s="72" t="n">
        <x:v>92.7</x:v>
      </x:c>
      <x:c r="J14" s="72" t="n">
        <x:v>92.4</x:v>
      </x:c>
      <x:c r="K14" s="72" t="str">
        <x:v>95.1</x:v>
      </x:c>
      <x:c r="L14" s="72" t="str">
        <x:v>92.1</x:v>
      </x:c>
      <x:c r="M14" s="72" t="str">
        <x:v>95.1</x:v>
      </x:c>
      <x:c r="N14" s="72" t="str">
        <x:v>89.2</x:v>
      </x:c>
      <x:c r="O14" s="72" t="str">
        <x:v>95.2</x:v>
      </x:c>
      <x:c r="P14" s="72" t="str">
        <x:v>86</x:v>
      </x:c>
      <x:c r="Q14" s="72" t="str">
        <x:v>10</x:v>
      </x:c>
      <x:c r="R14" s="40" t="str">
        <x:v>https://arxiv.org/abs/2606.01331</x:v>
      </x:c>
      <x:c r="S14" s="40" t="str">
        <x:v>三轮复核后与原表基本一致</x:v>
      </x:c>
    </x:row>
    <x:row r="15" ht="38" customHeight="1">
      <x:c r="A15" s="40" t="n">
        <x:v>14</x:v>
      </x:c>
      <x:c r="B15" s="40" t="str">
        <x:v>2026-06</x:v>
      </x:c>
      <x:c r="C15" s="40" t="str">
        <x:v>2606.12192</x:v>
      </x:c>
      <x:c r="D15" s="40" t="str">
        <x:v>A Generalized Framework for L^r Convex Integration and its Application to Geophysical Models</x:v>
      </x:c>
      <x:c r="E15" s="40" t="str">
        <x:v>Daniel W. Boutros; Simon Markfelder; Edriss S. Titi</x:v>
      </x:c>
      <x:c r="F15" s="40" t="str">
        <x:v>convex integration/geophysical PDE</x:v>
      </x:c>
      <x:c r="G15" s="40" t="str">
        <x:v>90</x:v>
      </x:c>
      <x:c r="H15" s="72" t="n">
        <x:v>92.45</x:v>
      </x:c>
      <x:c r="I15" s="72" t="n">
        <x:v>92.58</x:v>
      </x:c>
      <x:c r="J15" s="72" t="n">
        <x:v>92.31</x:v>
      </x:c>
      <x:c r="K15" s="72" t="str">
        <x:v>94</x:v>
      </x:c>
      <x:c r="L15" s="72" t="str">
        <x:v>93.3</x:v>
      </x:c>
      <x:c r="M15" s="72" t="str">
        <x:v>95.1</x:v>
      </x:c>
      <x:c r="N15" s="72" t="str">
        <x:v>90.3</x:v>
      </x:c>
      <x:c r="O15" s="72" t="str">
        <x:v>95.1</x:v>
      </x:c>
      <x:c r="P15" s="72" t="str">
        <x:v>84</x:v>
      </x:c>
      <x:c r="Q15" s="72" t="str">
        <x:v>10</x:v>
      </x:c>
      <x:c r="R15" s="40" t="str">
        <x:v>https://arxiv.org/abs/2606.12192</x:v>
      </x:c>
      <x:c r="S15" s="40" t="str">
        <x:v>convex integration general framework 有广度，略上调。</x:v>
      </x:c>
    </x:row>
    <x:row r="16" ht="38" customHeight="1">
      <x:c r="A16" s="40" t="n">
        <x:v>15</x:v>
      </x:c>
      <x:c r="B16" s="40" t="str">
        <x:v>2026-05</x:v>
      </x:c>
      <x:c r="C16" s="40" t="str">
        <x:v>2605.24200</x:v>
      </x:c>
      <x:c r="D16" s="40" t="str">
        <x:v>Refined asymptotics of the steady Navier Stokes equation around small Landau solutions</x:v>
      </x:c>
      <x:c r="E16" s="40" t="str">
        <x:v>Hao Jia; Vladimir Sverak</x:v>
      </x:c>
      <x:c r="F16" s="40" t="str">
        <x:v>Navier-Stokes / asymptotics</x:v>
      </x:c>
      <x:c r="G16" s="40" t="str">
        <x:v>50</x:v>
      </x:c>
      <x:c r="H16" s="72" t="n">
        <x:v>92.13</x:v>
      </x:c>
      <x:c r="I16" s="72" t="n">
        <x:v>92.25</x:v>
      </x:c>
      <x:c r="J16" s="72" t="n">
        <x:v>92</x:v>
      </x:c>
      <x:c r="K16" s="72" t="str">
        <x:v>95</x:v>
      </x:c>
      <x:c r="L16" s="72" t="str">
        <x:v>91.1</x:v>
      </x:c>
      <x:c r="M16" s="72" t="str">
        <x:v>94.1</x:v>
      </x:c>
      <x:c r="N16" s="72" t="str">
        <x:v>88</x:v>
      </x:c>
      <x:c r="O16" s="72" t="str">
        <x:v>94.2</x:v>
      </x:c>
      <x:c r="P16" s="72" t="str">
        <x:v>88</x:v>
      </x:c>
      <x:c r="Q16" s="72" t="str">
        <x:v>10</x:v>
      </x:c>
      <x:c r="R16" s="40" t="str">
        <x:v>https://arxiv.org/abs/2605.24200</x:v>
      </x:c>
      <x:c r="S16" s="40" t="str">
        <x:v>范围偏专门，广度轻微回调</x:v>
      </x:c>
    </x:row>
    <x:row r="17" ht="38" customHeight="1">
      <x:c r="A17" s="40" t="n">
        <x:v>16</x:v>
      </x:c>
      <x:c r="B17" s="40" t="str">
        <x:v>2026-06</x:v>
      </x:c>
      <x:c r="C17" s="40" t="str">
        <x:v>2606.01359</x:v>
      </x:c>
      <x:c r="D17" s="40" t="str">
        <x:v>Intrinsic Schauder estimates at nearly linear growth</x:v>
      </x:c>
      <x:c r="E17" s="40" t="str">
        <x:v>Cristiana De Filippis; Filomena De Filippis; Peter Hasto</x:v>
      </x:c>
      <x:c r="F17" s="40" t="str">
        <x:v>regularity theory</x:v>
      </x:c>
      <x:c r="G17" s="40" t="str">
        <x:v>42</x:v>
      </x:c>
      <x:c r="H17" s="72" t="n">
        <x:v>92.08</x:v>
      </x:c>
      <x:c r="I17" s="72" t="n">
        <x:v>92.26</x:v>
      </x:c>
      <x:c r="J17" s="72" t="n">
        <x:v>91.89</x:v>
      </x:c>
      <x:c r="K17" s="72" t="str">
        <x:v>94.1</x:v>
      </x:c>
      <x:c r="L17" s="72" t="str">
        <x:v>91.3</x:v>
      </x:c>
      <x:c r="M17" s="72" t="str">
        <x:v>94.1</x:v>
      </x:c>
      <x:c r="N17" s="72" t="str">
        <x:v>90.3</x:v>
      </x:c>
      <x:c r="O17" s="72" t="str">
        <x:v>94.2</x:v>
      </x:c>
      <x:c r="P17" s="72" t="str">
        <x:v>87</x:v>
      </x:c>
      <x:c r="Q17" s="72" t="str">
        <x:v>10</x:v>
      </x:c>
      <x:c r="R17" s="40" t="str">
        <x:v>https://arxiv.org/abs/2606.01359</x:v>
      </x:c>
      <x:c r="S17" s="40" t="str">
        <x:v>nearly linear growth Schauder估计可迁移性强，略上调。</x:v>
      </x:c>
    </x:row>
    <x:row r="18" ht="38" customHeight="1">
      <x:c r="A18" s="40" t="n">
        <x:v>17</x:v>
      </x:c>
      <x:c r="B18" s="40" t="str">
        <x:v>2026-05</x:v>
      </x:c>
      <x:c r="C18" s="40" t="str">
        <x:v>2605.02561</x:v>
      </x:c>
      <x:c r="D18" s="40" t="str">
        <x:v>Quantitative homogenization of elliptic equations with infinitely many scales</x:v>
      </x:c>
      <x:c r="E18" s="40" t="str">
        <x:v>Zhongwei Shen; Yao Xu; Jinping Zhuge</x:v>
      </x:c>
      <x:c r="F18" s="40" t="str">
        <x:v>Homogenization</x:v>
      </x:c>
      <x:c r="G18" s="40" t="str">
        <x:v>57</x:v>
      </x:c>
      <x:c r="H18" s="72" t="n">
        <x:v>92.07</x:v>
      </x:c>
      <x:c r="I18" s="72" t="n">
        <x:v>92.6</x:v>
      </x:c>
      <x:c r="J18" s="72" t="n">
        <x:v>91.55</x:v>
      </x:c>
      <x:c r="K18" s="72" t="str">
        <x:v>94</x:v>
      </x:c>
      <x:c r="L18" s="72" t="str">
        <x:v>92.1</x:v>
      </x:c>
      <x:c r="M18" s="72" t="str">
        <x:v>94</x:v>
      </x:c>
      <x:c r="N18" s="72" t="str">
        <x:v>91.2</x:v>
      </x:c>
      <x:c r="O18" s="72" t="str">
        <x:v>93.1</x:v>
      </x:c>
      <x:c r="P18" s="72" t="str">
        <x:v>88</x:v>
      </x:c>
      <x:c r="Q18" s="72" t="str">
        <x:v>12</x:v>
      </x:c>
      <x:c r="R18" s="40" t="str">
        <x:v>https://arxiv.org/abs/2605.02561</x:v>
      </x:c>
      <x:c r="S18" s="40" t="str">
        <x:v>三轮复核后与原表基本一致</x:v>
      </x:c>
    </x:row>
    <x:row r="19" ht="38" customHeight="1">
      <x:c r="A19" s="40" t="n">
        <x:v>18</x:v>
      </x:c>
      <x:c r="B19" s="40" t="str">
        <x:v>2026-08</x:v>
      </x:c>
      <x:c r="C19" s="40" t="str">
        <x:v>2608.00268</x:v>
      </x:c>
      <x:c r="D19" s="40" t="str">
        <x:v>A good commutator approach to global asymptotics for Schrodinger equation with variable coefficients</x:v>
      </x:c>
      <x:c r="E19" s="40" t="str">
        <x:v>Sung-Jin Oh; Federico Pasqualotto; Ning Tang</x:v>
      </x:c>
      <x:c r="F19" s="40" t="str">
        <x:v>Schrodinger asymptotics</x:v>
      </x:c>
      <x:c r="G19" s="40" t="n">
        <x:v>68</x:v>
      </x:c>
      <x:c r="H19" s="72" t="n">
        <x:v>92</x:v>
      </x:c>
      <x:c r="I19" s="72" t="n">
        <x:v>92.2</x:v>
      </x:c>
      <x:c r="J19" s="72" t="n">
        <x:v>91.8</x:v>
      </x:c>
      <x:c r="K19" s="72" t="n">
        <x:v>94</x:v>
      </x:c>
      <x:c r="L19" s="72" t="n">
        <x:v>92</x:v>
      </x:c>
      <x:c r="M19" s="72" t="n">
        <x:v>94</x:v>
      </x:c>
      <x:c r="N19" s="72" t="n">
        <x:v>90</x:v>
      </x:c>
      <x:c r="O19" s="72" t="n">
        <x:v>94</x:v>
      </x:c>
      <x:c r="P19" s="72" t="n">
        <x:v>86</x:v>
      </x:c>
      <x:c r="Q19" s="72" t="n">
        <x:v>10</x:v>
      </x:c>
      <x:c r="R19" s="40" t="str">
        <x:v>https://arxiv.org/abs/2608.00268</x:v>
      </x:c>
      <x:c r="S19" s="40" t="str">
        <x:v>Long global asymptotic analysis by leading dispersive/PDE authors.</x:v>
      </x:c>
    </x:row>
    <x:row r="20" ht="38" customHeight="1">
      <x:c r="A20" s="40" t="n">
        <x:v>19</x:v>
      </x:c>
      <x:c r="B20" s="40" t="str">
        <x:v>2026-05</x:v>
      </x:c>
      <x:c r="C20" s="40" t="str">
        <x:v>2605.28677</x:v>
      </x:c>
      <x:c r="D20" s="40" t="str">
        <x:v>Weak universality for stochastic reaction-diffusion models with long-range correlated noise</x:v>
      </x:c>
      <x:c r="E20" s="40" t="str">
        <x:v>Simon Gabriel; Markus Tempelmayr</x:v>
      </x:c>
      <x:c r="F20" s="40" t="str">
        <x:v>Singular stochastic PDE</x:v>
      </x:c>
      <x:c r="G20" s="40" t="str">
        <x:v>66</x:v>
      </x:c>
      <x:c r="H20" s="72" t="n">
        <x:v>91.98</x:v>
      </x:c>
      <x:c r="I20" s="72" t="n">
        <x:v>92.4</x:v>
      </x:c>
      <x:c r="J20" s="72" t="n">
        <x:v>91.55</x:v>
      </x:c>
      <x:c r="K20" s="72" t="str">
        <x:v>94</x:v>
      </x:c>
      <x:c r="L20" s="72" t="str">
        <x:v>92.1</x:v>
      </x:c>
      <x:c r="M20" s="72" t="str">
        <x:v>94</x:v>
      </x:c>
      <x:c r="N20" s="72" t="str">
        <x:v>91.2</x:v>
      </x:c>
      <x:c r="O20" s="72" t="str">
        <x:v>94.1</x:v>
      </x:c>
      <x:c r="P20" s="72" t="str">
        <x:v>86</x:v>
      </x:c>
      <x:c r="Q20" s="72" t="str">
        <x:v>12</x:v>
      </x:c>
      <x:c r="R20" s="40" t="str">
        <x:v>https://arxiv.org/abs/2605.28677</x:v>
      </x:c>
      <x:c r="S20" s="40" t="str">
        <x:v>三轮复核后与原表基本一致</x:v>
      </x:c>
    </x:row>
    <x:row r="21" ht="38" customHeight="1">
      <x:c r="A21" s="40" t="n">
        <x:v>20</x:v>
      </x:c>
      <x:c r="B21" s="40" t="str">
        <x:v>2026-05</x:v>
      </x:c>
      <x:c r="C21" s="40" t="str">
        <x:v>2605.02058</x:v>
      </x:c>
      <x:c r="D21" s="40" t="str">
        <x:v>Quantitative Estimates for Mean-Field Limits and Correlation Functions through a Duality Framework</x:v>
      </x:c>
      <x:c r="E21" s="40" t="str">
        <x:v>Nadia Khoury; Pierre-Emmanuel Jabin</x:v>
      </x:c>
      <x:c r="F21" s="40" t="str">
        <x:v>Mean-field limits</x:v>
      </x:c>
      <x:c r="G21" s="40" t="str">
        <x:v>42</x:v>
      </x:c>
      <x:c r="H21" s="72" t="n">
        <x:v>91.9</x:v>
      </x:c>
      <x:c r="I21" s="72" t="n">
        <x:v>92.4</x:v>
      </x:c>
      <x:c r="J21" s="72" t="n">
        <x:v>91.4</x:v>
      </x:c>
      <x:c r="K21" s="72" t="str">
        <x:v>94.1</x:v>
      </x:c>
      <x:c r="L21" s="72" t="str">
        <x:v>92.1</x:v>
      </x:c>
      <x:c r="M21" s="72" t="str">
        <x:v>93.1</x:v>
      </x:c>
      <x:c r="N21" s="72" t="str">
        <x:v>91.2</x:v>
      </x:c>
      <x:c r="O21" s="72" t="str">
        <x:v>93.2</x:v>
      </x:c>
      <x:c r="P21" s="72" t="str">
        <x:v>88</x:v>
      </x:c>
      <x:c r="Q21" s="72" t="str">
        <x:v>12</x:v>
      </x:c>
      <x:c r="R21" s="40" t="str">
        <x:v>https://arxiv.org/abs/2605.02058</x:v>
      </x:c>
      <x:c r="S21" s="40" t="str">
        <x:v>三轮复核后与原表基本一致</x:v>
      </x:c>
    </x:row>
    <x:row r="22" ht="38" customHeight="1">
      <x:c r="A22" s="40" t="n">
        <x:v>21</x:v>
      </x:c>
      <x:c r="B22" s="40" t="str">
        <x:v>2026-07</x:v>
      </x:c>
      <x:c r="C22" s="40" t="str">
        <x:v>2607.00891</x:v>
      </x:c>
      <x:c r="D22" s="40" t="str">
        <x:v>Low-regularity a priori estimates, blow-up criterion, and self-intersection singularities for free-boundary ideal magnetohydrodynamics with surface tension</x:v>
      </x:c>
      <x:c r="E22" s="40" t="str">
        <x:v>Tao Luo; Siqi Yang</x:v>
      </x:c>
      <x:c r="F22" s="40" t="str">
        <x:v>free-boundary MHD</x:v>
      </x:c>
      <x:c r="G22" s="40" t="n">
        <x:v>48</x:v>
      </x:c>
      <x:c r="H22" s="72" t="n">
        <x:v>91.9</x:v>
      </x:c>
      <x:c r="I22" s="72" t="n">
        <x:v>92</x:v>
      </x:c>
      <x:c r="J22" s="72" t="n">
        <x:v>91.8</x:v>
      </x:c>
      <x:c r="K22" s="72" t="n">
        <x:v>94</x:v>
      </x:c>
      <x:c r="L22" s="72" t="n">
        <x:v>91</x:v>
      </x:c>
      <x:c r="M22" s="72" t="n">
        <x:v>95</x:v>
      </x:c>
      <x:c r="N22" s="72" t="n">
        <x:v>89</x:v>
      </x:c>
      <x:c r="O22" s="72" t="n">
        <x:v>95</x:v>
      </x:c>
      <x:c r="P22" s="72" t="n">
        <x:v>85</x:v>
      </x:c>
      <x:c r="Q22" s="72" t="n">
        <x:v>11</x:v>
      </x:c>
      <x:c r="R22" s="40" t="str">
        <x:v>https://arxiv.org/abs/2607.00891</x:v>
      </x:c>
      <x:c r="S22" s="40" t="str">
        <x:v>Difficult free-boundary MHD estimates and singularity criteria.</x:v>
      </x:c>
    </x:row>
    <x:row r="23" ht="38" customHeight="1">
      <x:c r="A23" s="40" t="n">
        <x:v>22</x:v>
      </x:c>
      <x:c r="B23" s="40" t="str">
        <x:v>2026-07</x:v>
      </x:c>
      <x:c r="C23" s="40" t="str">
        <x:v>2607.15256</x:v>
      </x:c>
      <x:c r="D23" s="40" t="str">
        <x:v>Analytic finite-rank corrections for singularly weighted estimates in a computer-assisted proof of 3D Euler singularity</x:v>
      </x:c>
      <x:c r="E23" s="40" t="str">
        <x:v>Jiajie Chen; Thomas Y. Hou</x:v>
      </x:c>
      <x:c r="F23" s="40" t="str">
        <x:v>Euler singularity / computer-assisted analysis</x:v>
      </x:c>
      <x:c r="G23" s="40" t="n">
        <x:v>24</x:v>
      </x:c>
      <x:c r="H23" s="72" t="n">
        <x:v>91.78</x:v>
      </x:c>
      <x:c r="I23" s="72" t="n">
        <x:v>92.95</x:v>
      </x:c>
      <x:c r="J23" s="72" t="n">
        <x:v>90.6</x:v>
      </x:c>
      <x:c r="K23" s="72" t="n">
        <x:v>95</x:v>
      </x:c>
      <x:c r="L23" s="72" t="n">
        <x:v>94</x:v>
      </x:c>
      <x:c r="M23" s="72" t="n">
        <x:v>95</x:v>
      </x:c>
      <x:c r="N23" s="72" t="n">
        <x:v>90</x:v>
      </x:c>
      <x:c r="O23" s="72" t="n">
        <x:v>95</x:v>
      </x:c>
      <x:c r="P23" s="72" t="n">
        <x:v>84</x:v>
      </x:c>
      <x:c r="Q23" s="72" t="n">
        <x:v>22</x:v>
      </x:c>
      <x:c r="R23" s="40" t="str">
        <x:v>https://arxiv.org/abs/2607.15256</x:v>
      </x:c>
      <x:c r="S23" s="40" t="str">
        <x:v>Major correction/certification component in 3D Euler singularity program; high value but partly computational.</x:v>
      </x:c>
    </x:row>
    <x:row r="24" ht="38" customHeight="1">
      <x:c r="A24" s="40" t="n">
        <x:v>23</x:v>
      </x:c>
      <x:c r="B24" s="40" t="str">
        <x:v>2026-05</x:v>
      </x:c>
      <x:c r="C24" s="40" t="str">
        <x:v>2605.24443</x:v>
      </x:c>
      <x:c r="D24" s="40" t="str">
        <x:v>A dimension-free interpolation of Caffarelli's contraction theorem</x:v>
      </x:c>
      <x:c r="E24" s="40" t="str">
        <x:v>Bader Ammari; Alessio Figalli</x:v>
      </x:c>
      <x:c r="F24" s="40" t="str">
        <x:v>Optimal transport / convexity</x:v>
      </x:c>
      <x:c r="G24" s="40" t="str"/>
      <x:c r="H24" s="72" t="n">
        <x:v>91.77</x:v>
      </x:c>
      <x:c r="I24" s="72" t="n">
        <x:v>92.12</x:v>
      </x:c>
      <x:c r="J24" s="72" t="n">
        <x:v>91.42</x:v>
      </x:c>
      <x:c r="K24" s="72" t="str">
        <x:v>93.2</x:v>
      </x:c>
      <x:c r="L24" s="72" t="str">
        <x:v>93.3</x:v>
      </x:c>
      <x:c r="M24" s="72" t="str">
        <x:v>92</x:v>
      </x:c>
      <x:c r="N24" s="72" t="str">
        <x:v>91.3</x:v>
      </x:c>
      <x:c r="O24" s="72" t="str">
        <x:v>92.2</x:v>
      </x:c>
      <x:c r="P24" s="72" t="str">
        <x:v>88</x:v>
      </x:c>
      <x:c r="Q24" s="72" t="str">
        <x:v>10</x:v>
      </x:c>
      <x:c r="R24" s="40" t="str">
        <x:v>https://arxiv.org/abs/2605.24443</x:v>
      </x:c>
      <x:c r="S24" s="40" t="str">
        <x:v>dimension-free Caffarelli contraction interpolation 的概念价值上调。</x:v>
      </x:c>
    </x:row>
    <x:row r="25" ht="38" customHeight="1">
      <x:c r="A25" s="40" t="n">
        <x:v>24</x:v>
      </x:c>
      <x:c r="B25" s="40" t="str">
        <x:v>2026-06</x:v>
      </x:c>
      <x:c r="C25" s="40" t="str">
        <x:v>2606.03680</x:v>
      </x:c>
      <x:c r="D25" s="40" t="str">
        <x:v>Global regularity of the 2D fractional Boussinesq equations with subcritical dissipation</x:v>
      </x:c>
      <x:c r="E25" s="40" t="str">
        <x:v>Atanas Stefanov; Jiahong Wu; Xiaojing Xu; Zhuan Ye</x:v>
      </x:c>
      <x:c r="F25" s="40" t="str">
        <x:v>fluid regularity</x:v>
      </x:c>
      <x:c r="G25" s="40" t="str">
        <x:v>43</x:v>
      </x:c>
      <x:c r="H25" s="72" t="n">
        <x:v>91.7</x:v>
      </x:c>
      <x:c r="I25" s="72" t="n">
        <x:v>91.74</x:v>
      </x:c>
      <x:c r="J25" s="72" t="n">
        <x:v>91.65</x:v>
      </x:c>
      <x:c r="K25" s="72" t="str">
        <x:v>94</x:v>
      </x:c>
      <x:c r="L25" s="72" t="str">
        <x:v>91.1</x:v>
      </x:c>
      <x:c r="M25" s="72" t="str">
        <x:v>93.1</x:v>
      </x:c>
      <x:c r="N25" s="72" t="str">
        <x:v>89</x:v>
      </x:c>
      <x:c r="O25" s="72" t="str">
        <x:v>94.2</x:v>
      </x:c>
      <x:c r="P25" s="72" t="str">
        <x:v>87</x:v>
      </x:c>
      <x:c r="Q25" s="72" t="str">
        <x:v>10</x:v>
      </x:c>
      <x:c r="R25" s="40" t="str">
        <x:v>https://arxiv.org/abs/2606.03680</x:v>
      </x:c>
      <x:c r="S25" s="40" t="str">
        <x:v>范围偏专门，广度轻微回调</x:v>
      </x:c>
    </x:row>
    <x:row r="26" ht="38" customHeight="1">
      <x:c r="A26" s="40" t="n">
        <x:v>25</x:v>
      </x:c>
      <x:c r="B26" s="40" t="str">
        <x:v>2026-06</x:v>
      </x:c>
      <x:c r="C26" s="40" t="str">
        <x:v>2606.27691</x:v>
      </x:c>
      <x:c r="D26" s="40" t="str">
        <x:v>Singular Limits for Three-Dimensional Global Minimizers of Ginzburg-Landau-Type Functionals: Uniform Estimates and Singular Sets</x:v>
      </x:c>
      <x:c r="E26" s="40" t="str">
        <x:v>Giacomo Canevari; Haotong Fu; Wei Wang</x:v>
      </x:c>
      <x:c r="F26" s="40" t="str">
        <x:v>variational/singular limits</x:v>
      </x:c>
      <x:c r="G26" s="40" t="str">
        <x:v>72</x:v>
      </x:c>
      <x:c r="H26" s="72" t="n">
        <x:v>91.7</x:v>
      </x:c>
      <x:c r="I26" s="72" t="n">
        <x:v>91.9</x:v>
      </x:c>
      <x:c r="J26" s="72" t="n">
        <x:v>91.5</x:v>
      </x:c>
      <x:c r="K26" s="72" t="str">
        <x:v>94.1</x:v>
      </x:c>
      <x:c r="L26" s="72" t="str">
        <x:v>91</x:v>
      </x:c>
      <x:c r="M26" s="72" t="str">
        <x:v>94.1</x:v>
      </x:c>
      <x:c r="N26" s="72" t="str">
        <x:v>89</x:v>
      </x:c>
      <x:c r="O26" s="72" t="str">
        <x:v>94.1</x:v>
      </x:c>
      <x:c r="P26" s="72" t="str">
        <x:v>86</x:v>
      </x:c>
      <x:c r="Q26" s="72" t="str">
        <x:v>11</x:v>
      </x:c>
      <x:c r="R26" s="40" t="str">
        <x:v>https://arxiv.org/abs/2606.27691</x:v>
      </x:c>
      <x:c r="S26" s="40" t="str">
        <x:v>三轮复核后与原表基本一致</x:v>
      </x:c>
    </x:row>
    <x:row r="27" ht="38" customHeight="1">
      <x:c r="A27" s="40" t="n">
        <x:v>26</x:v>
      </x:c>
      <x:c r="B27" s="40" t="str">
        <x:v>2026-05</x:v>
      </x:c>
      <x:c r="C27" s="40" t="str">
        <x:v>2605.19574</x:v>
      </x:c>
      <x:c r="D27" s="40" t="str">
        <x:v>Flowing to free boundary minimal surfaces</x:v>
      </x:c>
      <x:c r="E27" s="40" t="str">
        <x:v>Melanie Rupflin; Michael Struwe; Christopher Wright</x:v>
      </x:c>
      <x:c r="F27" s="40" t="str">
        <x:v>Geometric PDE / minimal surfaces</x:v>
      </x:c>
      <x:c r="G27" s="40" t="str"/>
      <x:c r="H27" s="72" t="n">
        <x:v>91.65</x:v>
      </x:c>
      <x:c r="I27" s="72" t="n">
        <x:v>91.7</x:v>
      </x:c>
      <x:c r="J27" s="72" t="n">
        <x:v>91.6</x:v>
      </x:c>
      <x:c r="K27" s="72" t="str">
        <x:v>94</x:v>
      </x:c>
      <x:c r="L27" s="72" t="str">
        <x:v>91</x:v>
      </x:c>
      <x:c r="M27" s="72" t="str">
        <x:v>94</x:v>
      </x:c>
      <x:c r="N27" s="72" t="str">
        <x:v>88</x:v>
      </x:c>
      <x:c r="O27" s="72" t="str">
        <x:v>94</x:v>
      </x:c>
      <x:c r="P27" s="72" t="str">
        <x:v>86</x:v>
      </x:c>
      <x:c r="Q27" s="72" t="str">
        <x:v>10</x:v>
      </x:c>
      <x:c r="R27" s="40" t="str">
        <x:v>https://arxiv.org/abs/2605.19574</x:v>
      </x:c>
      <x:c r="S27" s="40" t="str">
        <x:v>三轮复核后与原表基本一致</x:v>
      </x:c>
    </x:row>
    <x:row r="28" ht="38" customHeight="1">
      <x:c r="A28" s="40" t="n">
        <x:v>27</x:v>
      </x:c>
      <x:c r="B28" s="40" t="str">
        <x:v>2026-05</x:v>
      </x:c>
      <x:c r="C28" s="40" t="str">
        <x:v>2605.19716</x:v>
      </x:c>
      <x:c r="D28" s="40" t="str">
        <x:v>Self-similar blow-up solutions of d-dimensional incompressible Euler equations with C^{1,(1-2/d)-} velocity</x:v>
      </x:c>
      <x:c r="E28" s="40" t="str">
        <x:v>Feng Shao; Dongyi Wei; Ping Zhang; Zhifei Zhang</x:v>
      </x:c>
      <x:c r="F28" s="40" t="str">
        <x:v>Fluid singularities / Euler</x:v>
      </x:c>
      <x:c r="G28" s="40" t="str">
        <x:v>103</x:v>
      </x:c>
      <x:c r="H28" s="72" t="n">
        <x:v>91.62</x:v>
      </x:c>
      <x:c r="I28" s="72" t="n">
        <x:v>92.08</x:v>
      </x:c>
      <x:c r="J28" s="72" t="n">
        <x:v>91.15</x:v>
      </x:c>
      <x:c r="K28" s="72" t="str">
        <x:v>95.1</x:v>
      </x:c>
      <x:c r="L28" s="72" t="str">
        <x:v>92</x:v>
      </x:c>
      <x:c r="M28" s="72" t="str">
        <x:v>94.2</x:v>
      </x:c>
      <x:c r="N28" s="72" t="str">
        <x:v>88</x:v>
      </x:c>
      <x:c r="O28" s="72" t="str">
        <x:v>94.2</x:v>
      </x:c>
      <x:c r="P28" s="72" t="str">
        <x:v>84</x:v>
      </x:c>
      <x:c r="Q28" s="72" t="str">
        <x:v>13</x:v>
      </x:c>
      <x:c r="R28" s="40" t="str">
        <x:v>https://arxiv.org/abs/2605.19716</x:v>
      </x:c>
      <x:c r="S28" s="40" t="str">
        <x:v>三轮复核后与原表基本一致</x:v>
      </x:c>
    </x:row>
    <x:row r="29" ht="38" customHeight="1">
      <x:c r="A29" s="40" t="n">
        <x:v>28</x:v>
      </x:c>
      <x:c r="B29" s="40" t="str">
        <x:v>2026-05</x:v>
      </x:c>
      <x:c r="C29" s="40" t="str">
        <x:v>2605.24392</x:v>
      </x:c>
      <x:c r="D29" s="40" t="str">
        <x:v>Hydrodynamic Limit of the Boltzmann Equation toward Generic Riemann Solutions with Shocks</x:v>
      </x:c>
      <x:c r="E29" s="40" t="str">
        <x:v>Mingi Choe; Moon-jin Kang; Chanwoo Kim</x:v>
      </x:c>
      <x:c r="F29" s="40" t="str">
        <x:v>Kinetic theory / hydrodynamic limits</x:v>
      </x:c>
      <x:c r="G29" s="40" t="str"/>
      <x:c r="H29" s="72" t="n">
        <x:v>91.56</x:v>
      </x:c>
      <x:c r="I29" s="72" t="n">
        <x:v>91.83</x:v>
      </x:c>
      <x:c r="J29" s="72" t="n">
        <x:v>91.29</x:v>
      </x:c>
      <x:c r="K29" s="72" t="str">
        <x:v>94.3</x:v>
      </x:c>
      <x:c r="L29" s="72" t="str">
        <x:v>91.1</x:v>
      </x:c>
      <x:c r="M29" s="72" t="str">
        <x:v>94.3</x:v>
      </x:c>
      <x:c r="N29" s="72" t="str">
        <x:v>88.3</x:v>
      </x:c>
      <x:c r="O29" s="72" t="str">
        <x:v>94.2</x:v>
      </x:c>
      <x:c r="P29" s="72" t="str">
        <x:v>85</x:v>
      </x:c>
      <x:c r="Q29" s="72" t="str">
        <x:v>12</x:v>
      </x:c>
      <x:c r="R29" s="40" t="str">
        <x:v>https://arxiv.org/abs/2605.24392</x:v>
      </x:c>
      <x:c r="S29" s="40" t="str">
        <x:v>带激波Riemann解的Boltzmann流体极限，广度和技术性上调。</x:v>
      </x:c>
    </x:row>
    <x:row r="30" ht="38" customHeight="1">
      <x:c r="A30" s="40" t="n">
        <x:v>29</x:v>
      </x:c>
      <x:c r="B30" s="40" t="str">
        <x:v>2026-07</x:v>
      </x:c>
      <x:c r="C30" s="40" t="str">
        <x:v>2607.08685</x:v>
      </x:c>
      <x:c r="D30" s="40" t="str">
        <x:v>A Short Proof of Optimal Regularity for minimizers of the Alt-Phillips Problem</x:v>
      </x:c>
      <x:c r="E30" s="40" t="str">
        <x:v>Kunyi Ma</x:v>
      </x:c>
      <x:c r="F30" s="40" t="str">
        <x:v>free boundary</x:v>
      </x:c>
      <x:c r="G30" s="40" t="str">
        <x:v>-</x:v>
      </x:c>
      <x:c r="H30" s="72" t="n">
        <x:v>91.53</x:v>
      </x:c>
      <x:c r="I30" s="72" t="n">
        <x:v>91.65</x:v>
      </x:c>
      <x:c r="J30" s="72" t="n">
        <x:v>91.4</x:v>
      </x:c>
      <x:c r="K30" s="72" t="n">
        <x:v>93</x:v>
      </x:c>
      <x:c r="L30" s="72" t="n">
        <x:v>90</x:v>
      </x:c>
      <x:c r="M30" s="72" t="n">
        <x:v>94</x:v>
      </x:c>
      <x:c r="N30" s="72" t="n">
        <x:v>89</x:v>
      </x:c>
      <x:c r="O30" s="72" t="n">
        <x:v>94</x:v>
      </x:c>
      <x:c r="P30" s="72" t="n">
        <x:v>89</x:v>
      </x:c>
      <x:c r="Q30" s="72" t="n">
        <x:v>13</x:v>
      </x:c>
      <x:c r="R30" s="40" t="str">
        <x:v>https://arxiv.org/abs/2607.08685</x:v>
      </x:c>
      <x:c r="S30" s="40" t="str">
        <x:v>Scored candidate from official July math.AP list; correctness not checked.</x:v>
      </x:c>
    </x:row>
    <x:row r="31" ht="38" customHeight="1">
      <x:c r="A31" s="40" t="n">
        <x:v>30</x:v>
      </x:c>
      <x:c r="B31" s="40" t="str">
        <x:v>2026-05</x:v>
      </x:c>
      <x:c r="C31" s="40" t="str">
        <x:v>2605.24214</x:v>
      </x:c>
      <x:c r="D31" s="40" t="str">
        <x:v>Variational formulation of hyperbolic conservation laws</x:v>
      </x:c>
      <x:c r="E31" s="40" t="str">
        <x:v>Eitan Tadmor</x:v>
      </x:c>
      <x:c r="F31" s="40" t="str">
        <x:v>Conservation laws</x:v>
      </x:c>
      <x:c r="G31" s="40" t="str"/>
      <x:c r="H31" s="72" t="n">
        <x:v>91.41</x:v>
      </x:c>
      <x:c r="I31" s="72" t="n">
        <x:v>92.21</x:v>
      </x:c>
      <x:c r="J31" s="72" t="n">
        <x:v>90.62</x:v>
      </x:c>
      <x:c r="K31" s="72" t="str">
        <x:v>94.3</x:v>
      </x:c>
      <x:c r="L31" s="72" t="str">
        <x:v>93.4</x:v>
      </x:c>
      <x:c r="M31" s="72" t="str">
        <x:v>90.9</x:v>
      </x:c>
      <x:c r="N31" s="72" t="str">
        <x:v>91.4</x:v>
      </x:c>
      <x:c r="O31" s="72" t="str">
        <x:v>91.2</x:v>
      </x:c>
      <x:c r="P31" s="72" t="str">
        <x:v>88</x:v>
      </x:c>
      <x:c r="Q31" s="72" t="str">
        <x:v>12</x:v>
      </x:c>
      <x:c r="R31" s="40" t="str">
        <x:v>https://arxiv.org/abs/2605.24214</x:v>
      </x:c>
      <x:c r="S31" s="40" t="str">
        <x:v>概念性变分框架广度上调，证明深度轻微回调。</x:v>
      </x:c>
    </x:row>
    <x:row r="32" ht="38" customHeight="1">
      <x:c r="A32" s="40" t="n">
        <x:v>31</x:v>
      </x:c>
      <x:c r="B32" s="40" t="str">
        <x:v>2026-06</x:v>
      </x:c>
      <x:c r="C32" s="40" t="str">
        <x:v>2606.05098</x:v>
      </x:c>
      <x:c r="D32" s="40" t="str">
        <x:v>Quantitative Homogenization Theory for Lame-Stokes Coupled Systems</x:v>
      </x:c>
      <x:c r="E32" s="40" t="str">
        <x:v>Beichen Wang</x:v>
      </x:c>
      <x:c r="F32" s="40" t="str">
        <x:v>homogenization</x:v>
      </x:c>
      <x:c r="G32" s="40" t="str">
        <x:v>92</x:v>
      </x:c>
      <x:c r="H32" s="72" t="n">
        <x:v>91.4</x:v>
      </x:c>
      <x:c r="I32" s="72" t="n">
        <x:v>91.65</x:v>
      </x:c>
      <x:c r="J32" s="72" t="n">
        <x:v>91.15</x:v>
      </x:c>
      <x:c r="K32" s="72" t="str">
        <x:v>93</x:v>
      </x:c>
      <x:c r="L32" s="72" t="str">
        <x:v>90.1</x:v>
      </x:c>
      <x:c r="M32" s="72" t="str">
        <x:v>94</x:v>
      </x:c>
      <x:c r="N32" s="72" t="str">
        <x:v>90.2</x:v>
      </x:c>
      <x:c r="O32" s="72" t="str">
        <x:v>93.1</x:v>
      </x:c>
      <x:c r="P32" s="72" t="str">
        <x:v>87</x:v>
      </x:c>
      <x:c r="Q32" s="72" t="str">
        <x:v>11</x:v>
      </x:c>
      <x:c r="R32" s="40" t="str">
        <x:v>https://arxiv.org/abs/2606.05098</x:v>
      </x:c>
      <x:c r="S32" s="40" t="str">
        <x:v>三轮复核后与原表基本一致</x:v>
      </x:c>
    </x:row>
    <x:row r="33" ht="38" customHeight="1">
      <x:c r="A33" s="40" t="n">
        <x:v>32</x:v>
      </x:c>
      <x:c r="B33" s="40" t="str">
        <x:v>2026-07</x:v>
      </x:c>
      <x:c r="C33" s="40" t="str">
        <x:v>2607.02493</x:v>
      </x:c>
      <x:c r="D33" s="40" t="str">
        <x:v>Stability of global self-similar solutions to the cubic wave equation and the wave maps equation</x:v>
      </x:c>
      <x:c r="E33" s="40" t="str">
        <x:v>Akansha Sanwal; Birgit Schörkhuber; David Wallauch</x:v>
      </x:c>
      <x:c r="F33" s="40" t="str">
        <x:v>nonlinear waves / stability</x:v>
      </x:c>
      <x:c r="G33" s="40" t="n">
        <x:v>91</x:v>
      </x:c>
      <x:c r="H33" s="72" t="n">
        <x:v>91.38</x:v>
      </x:c>
      <x:c r="I33" s="72" t="n">
        <x:v>91.6</x:v>
      </x:c>
      <x:c r="J33" s="72" t="n">
        <x:v>91.15</x:v>
      </x:c>
      <x:c r="K33" s="72" t="n">
        <x:v>94</x:v>
      </x:c>
      <x:c r="L33" s="72" t="n">
        <x:v>91</x:v>
      </x:c>
      <x:c r="M33" s="72" t="n">
        <x:v>94</x:v>
      </x:c>
      <x:c r="N33" s="72" t="n">
        <x:v>88</x:v>
      </x:c>
      <x:c r="O33" s="72" t="n">
        <x:v>94</x:v>
      </x:c>
      <x:c r="P33" s="72" t="n">
        <x:v>85</x:v>
      </x:c>
      <x:c r="Q33" s="72" t="n">
        <x:v>12</x:v>
      </x:c>
      <x:c r="R33" s="40" t="str">
        <x:v>https://arxiv.org/abs/2607.02493</x:v>
      </x:c>
      <x:c r="S33" s="40" t="str">
        <x:v>Long nonlinear stability analysis of self-similar wave profiles.</x:v>
      </x:c>
    </x:row>
    <x:row r="34" ht="38" customHeight="1">
      <x:c r="A34" s="40" t="n">
        <x:v>33</x:v>
      </x:c>
      <x:c r="B34" s="40" t="str">
        <x:v>2026-07</x:v>
      </x:c>
      <x:c r="C34" s="40" t="str">
        <x:v>2607.07154</x:v>
      </x:c>
      <x:c r="D34" s="40" t="str">
        <x:v>Nonlocal minimal surfaces are generically unique, and smooth in one extra dimension</x:v>
      </x:c>
      <x:c r="E34" s="40" t="str">
        <x:v>Serena Dipierro; Xavier Fernández-Real; Enrico Valdinoci</x:v>
      </x:c>
      <x:c r="F34" s="40" t="str">
        <x:v>nonlocal minimal surfaces</x:v>
      </x:c>
      <x:c r="G34" s="40" t="str">
        <x:v>-</x:v>
      </x:c>
      <x:c r="H34" s="72" t="n">
        <x:v>91.2</x:v>
      </x:c>
      <x:c r="I34" s="72" t="n">
        <x:v>91.3</x:v>
      </x:c>
      <x:c r="J34" s="72" t="n">
        <x:v>91.1</x:v>
      </x:c>
      <x:c r="K34" s="72" t="n">
        <x:v>93</x:v>
      </x:c>
      <x:c r="L34" s="72" t="n">
        <x:v>91</x:v>
      </x:c>
      <x:c r="M34" s="72" t="n">
        <x:v>93</x:v>
      </x:c>
      <x:c r="N34" s="72" t="n">
        <x:v>89</x:v>
      </x:c>
      <x:c r="O34" s="72" t="n">
        <x:v>93</x:v>
      </x:c>
      <x:c r="P34" s="72" t="n">
        <x:v>86</x:v>
      </x:c>
      <x:c r="Q34" s="72" t="n">
        <x:v>10</x:v>
      </x:c>
      <x:c r="R34" s="40" t="str">
        <x:v>https://arxiv.org/abs/2607.07154</x:v>
      </x:c>
      <x:c r="S34" s="40" t="str">
        <x:v>Conceptual regularity/generic uniqueness result in nonlocal geometric PDE.</x:v>
      </x:c>
    </x:row>
    <x:row r="35" ht="38" customHeight="1">
      <x:c r="A35" s="40" t="n">
        <x:v>34</x:v>
      </x:c>
      <x:c r="B35" s="40" t="str">
        <x:v>2026-06</x:v>
      </x:c>
      <x:c r="C35" s="40" t="str">
        <x:v>2606.09614</x:v>
      </x:c>
      <x:c r="D35" s="40" t="str">
        <x:v>The L^p Neumann problem for parabolic operators with coefficients satisfying small Carleson condition</x:v>
      </x:c>
      <x:c r="E35" s="40" t="str">
        <x:v>Martin Dindos; Linhan Li; Jill Pipher</x:v>
      </x:c>
      <x:c r="F35" s="40" t="str">
        <x:v>parabolic boundary value</x:v>
      </x:c>
      <x:c r="G35" s="40" t="str">
        <x:v>100</x:v>
      </x:c>
      <x:c r="H35" s="72" t="n">
        <x:v>91.19</x:v>
      </x:c>
      <x:c r="I35" s="72" t="n">
        <x:v>91.37</x:v>
      </x:c>
      <x:c r="J35" s="72" t="n">
        <x:v>91</x:v>
      </x:c>
      <x:c r="K35" s="72" t="str">
        <x:v>93</x:v>
      </x:c>
      <x:c r="L35" s="72" t="str">
        <x:v>90</x:v>
      </x:c>
      <x:c r="M35" s="72" t="str">
        <x:v>94.1</x:v>
      </x:c>
      <x:c r="N35" s="72" t="str">
        <x:v>89</x:v>
      </x:c>
      <x:c r="O35" s="72" t="str">
        <x:v>93.1</x:v>
      </x:c>
      <x:c r="P35" s="72" t="str">
        <x:v>86</x:v>
      </x:c>
      <x:c r="Q35" s="72" t="str">
        <x:v>11</x:v>
      </x:c>
      <x:c r="R35" s="40" t="str">
        <x:v>https://arxiv.org/abs/2606.09614</x:v>
      </x:c>
      <x:c r="S35" s="40" t="str">
        <x:v>三轮复核后与原表基本一致</x:v>
      </x:c>
    </x:row>
    <x:row r="36" ht="38" customHeight="1">
      <x:c r="A36" s="40" t="n">
        <x:v>35</x:v>
      </x:c>
      <x:c r="B36" s="40" t="str">
        <x:v>2026-06</x:v>
      </x:c>
      <x:c r="C36" s="40" t="str">
        <x:v>2606.28211</x:v>
      </x:c>
      <x:c r="D36" s="40" t="str">
        <x:v>A regularity theorem for stationary measures</x:v>
      </x:c>
      <x:c r="E36" s="40" t="str">
        <x:v>Luigi Ambrosio; Giovanni Siclari</x:v>
      </x:c>
      <x:c r="F36" s="40" t="str">
        <x:v>measure/PDE regularity</x:v>
      </x:c>
      <x:c r="G36" s="40" t="str"/>
      <x:c r="H36" s="72" t="n">
        <x:v>91.15</x:v>
      </x:c>
      <x:c r="I36" s="72" t="n">
        <x:v>91.29</x:v>
      </x:c>
      <x:c r="J36" s="72" t="n">
        <x:v>91</x:v>
      </x:c>
      <x:c r="K36" s="72" t="str">
        <x:v>92.9</x:v>
      </x:c>
      <x:c r="L36" s="72" t="str">
        <x:v>91.1</x:v>
      </x:c>
      <x:c r="M36" s="72" t="str">
        <x:v>93</x:v>
      </x:c>
      <x:c r="N36" s="72" t="str">
        <x:v>89</x:v>
      </x:c>
      <x:c r="O36" s="72" t="str">
        <x:v>93.1</x:v>
      </x:c>
      <x:c r="P36" s="72" t="str">
        <x:v>86</x:v>
      </x:c>
      <x:c r="Q36" s="72" t="str">
        <x:v>11</x:v>
      </x:c>
      <x:c r="R36" s="40" t="str">
        <x:v>https://arxiv.org/abs/2606.28211</x:v>
      </x:c>
      <x:c r="S36" s="40" t="str">
        <x:v>范围偏专门，广度轻微回调</x:v>
      </x:c>
    </x:row>
    <x:row r="37" ht="38" customHeight="1">
      <x:c r="A37" s="40" t="n">
        <x:v>36</x:v>
      </x:c>
      <x:c r="B37" s="40" t="str">
        <x:v>2026-06</x:v>
      </x:c>
      <x:c r="C37" s="40" t="str">
        <x:v>2606.07010</x:v>
      </x:c>
      <x:c r="D37" s="40" t="str">
        <x:v>Gauge transforms, random averaging operator ansatz and improved probabilistic well-posedness for the radial NLS on the 3d ball</x:v>
      </x:c>
      <x:c r="E37" s="40" t="str">
        <x:v>Nicolas Burq; Nicolas Camps; Chenmin Sun; Nikolay Tzvetkov</x:v>
      </x:c>
      <x:c r="F37" s="40" t="str">
        <x:v>probabilistic dispersive PDE</x:v>
      </x:c>
      <x:c r="G37" s="40" t="str">
        <x:v>75</x:v>
      </x:c>
      <x:c r="H37" s="72" t="n">
        <x:v>91.1</x:v>
      </x:c>
      <x:c r="I37" s="72" t="n">
        <x:v>91.19</x:v>
      </x:c>
      <x:c r="J37" s="72" t="n">
        <x:v>91</x:v>
      </x:c>
      <x:c r="K37" s="72" t="str">
        <x:v>92.9</x:v>
      </x:c>
      <x:c r="L37" s="72" t="str">
        <x:v>92</x:v>
      </x:c>
      <x:c r="M37" s="72" t="str">
        <x:v>93</x:v>
      </x:c>
      <x:c r="N37" s="72" t="str">
        <x:v>87.8</x:v>
      </x:c>
      <x:c r="O37" s="72" t="str">
        <x:v>93</x:v>
      </x:c>
      <x:c r="P37" s="72" t="str">
        <x:v>85</x:v>
      </x:c>
      <x:c r="Q37" s="72" t="str">
        <x:v>11</x:v>
      </x:c>
      <x:c r="R37" s="40" t="str">
        <x:v>https://arxiv.org/abs/2606.07010</x:v>
      </x:c>
      <x:c r="S37" s="40" t="str">
        <x:v>范围偏专门，广度轻微回调</x:v>
      </x:c>
    </x:row>
    <x:row r="38" ht="38" customHeight="1">
      <x:c r="A38" s="40" t="n">
        <x:v>37</x:v>
      </x:c>
      <x:c r="B38" s="40" t="str">
        <x:v>2026-08</x:v>
      </x:c>
      <x:c r="C38" s="40" t="str">
        <x:v>2608.01440</x:v>
      </x:c>
      <x:c r="D38" s="40" t="str">
        <x:v>Local smoothing for rough wave equations</x:v>
      </x:c>
      <x:c r="E38" s="40" t="str">
        <x:v>Jan Rozendaal; Robert Schippa</x:v>
      </x:c>
      <x:c r="F38" s="40" t="str">
        <x:v>wave equations/harmonic analysis</x:v>
      </x:c>
      <x:c r="G38" s="40" t="n">
        <x:v>57</x:v>
      </x:c>
      <x:c r="H38" s="72" t="n">
        <x:v>91.05</x:v>
      </x:c>
      <x:c r="I38" s="72" t="n">
        <x:v>91</x:v>
      </x:c>
      <x:c r="J38" s="72" t="n">
        <x:v>91.1</x:v>
      </x:c>
      <x:c r="K38" s="72" t="n">
        <x:v>92</x:v>
      </x:c>
      <x:c r="L38" s="72" t="n">
        <x:v>91</x:v>
      </x:c>
      <x:c r="M38" s="72" t="n">
        <x:v>93</x:v>
      </x:c>
      <x:c r="N38" s="72" t="n">
        <x:v>89</x:v>
      </x:c>
      <x:c r="O38" s="72" t="n">
        <x:v>93</x:v>
      </x:c>
      <x:c r="P38" s="72" t="n">
        <x:v>86</x:v>
      </x:c>
      <x:c r="Q38" s="72" t="n">
        <x:v>10</x:v>
      </x:c>
      <x:c r="R38" s="40" t="str">
        <x:v>https://arxiv.org/abs/2608.01440</x:v>
      </x:c>
      <x:c r="S38" s="40" t="str">
        <x:v>Rough-coefficient local smoothing; broad dispersive and microlocal relevance.</x:v>
      </x:c>
    </x:row>
    <x:row r="39" ht="38" customHeight="1">
      <x:c r="A39" s="40" t="n">
        <x:v>38</x:v>
      </x:c>
      <x:c r="B39" s="40" t="str">
        <x:v>2026-05</x:v>
      </x:c>
      <x:c r="C39" s="40" t="str">
        <x:v>2605.07913</x:v>
      </x:c>
      <x:c r="D39" s="40" t="str">
        <x:v>Finite index solutions to the Bernoulli problem in three dimensions are axially symmetric</x:v>
      </x:c>
      <x:c r="E39" s="40" t="str">
        <x:v>Xavier Fernandez-Real; Enric Florit-Simon; Joaquim Serra</x:v>
      </x:c>
      <x:c r="F39" s="40" t="str">
        <x:v>Free boundary regularity</x:v>
      </x:c>
      <x:c r="G39" s="40" t="str"/>
      <x:c r="H39" s="72" t="n">
        <x:v>91.03</x:v>
      </x:c>
      <x:c r="I39" s="72" t="n">
        <x:v>90.95</x:v>
      </x:c>
      <x:c r="J39" s="72" t="n">
        <x:v>91.1</x:v>
      </x:c>
      <x:c r="K39" s="72" t="str">
        <x:v>93</x:v>
      </x:c>
      <x:c r="L39" s="72" t="str">
        <x:v>90.1</x:v>
      </x:c>
      <x:c r="M39" s="72" t="str">
        <x:v>93</x:v>
      </x:c>
      <x:c r="N39" s="72" t="str">
        <x:v>87.2</x:v>
      </x:c>
      <x:c r="O39" s="72" t="str">
        <x:v>93.1</x:v>
      </x:c>
      <x:c r="P39" s="72" t="str">
        <x:v>87</x:v>
      </x:c>
      <x:c r="Q39" s="72" t="str">
        <x:v>10</x:v>
      </x:c>
      <x:c r="R39" s="40" t="str">
        <x:v>https://arxiv.org/abs/2605.07913</x:v>
      </x:c>
      <x:c r="S39" s="40" t="str">
        <x:v>三轮复核后与原表基本一致</x:v>
      </x:c>
    </x:row>
    <x:row r="40" ht="38" customHeight="1">
      <x:c r="A40" s="40" t="n">
        <x:v>39</x:v>
      </x:c>
      <x:c r="B40" s="40" t="str">
        <x:v>2026-06</x:v>
      </x:c>
      <x:c r="C40" s="40" t="str">
        <x:v>2606.10185</x:v>
      </x:c>
      <x:c r="D40" s="40" t="str">
        <x:v>Boundary Harnack estimates of optimal order for kinetic Fokker-Planck equations</x:v>
      </x:c>
      <x:c r="E40" s="40" t="str">
        <x:v>Kyeongbae Kim; Marvin Weidner</x:v>
      </x:c>
      <x:c r="F40" s="40" t="str">
        <x:v>kinetic regularity</x:v>
      </x:c>
      <x:c r="G40" s="40" t="str">
        <x:v>59</x:v>
      </x:c>
      <x:c r="H40" s="72" t="n">
        <x:v>91.03</x:v>
      </x:c>
      <x:c r="I40" s="72" t="n">
        <x:v>91.05</x:v>
      </x:c>
      <x:c r="J40" s="72" t="n">
        <x:v>91</x:v>
      </x:c>
      <x:c r="K40" s="72" t="str">
        <x:v>92</x:v>
      </x:c>
      <x:c r="L40" s="72" t="str">
        <x:v>91.1</x:v>
      </x:c>
      <x:c r="M40" s="72" t="str">
        <x:v>93</x:v>
      </x:c>
      <x:c r="N40" s="72" t="str">
        <x:v>89.2</x:v>
      </x:c>
      <x:c r="O40" s="72" t="str">
        <x:v>93.1</x:v>
      </x:c>
      <x:c r="P40" s="72" t="str">
        <x:v>86</x:v>
      </x:c>
      <x:c r="Q40" s="72" t="str">
        <x:v>11</x:v>
      </x:c>
      <x:c r="R40" s="40" t="str">
        <x:v>https://arxiv.org/abs/2606.10185</x:v>
      </x:c>
      <x:c r="S40" s="40" t="str">
        <x:v>三轮复核后与原表基本一致</x:v>
      </x:c>
    </x:row>
    <x:row r="41" ht="38" customHeight="1">
      <x:c r="A41" s="40" t="n">
        <x:v>40</x:v>
      </x:c>
      <x:c r="B41" s="40" t="str">
        <x:v>2026-07</x:v>
      </x:c>
      <x:c r="C41" s="40" t="str">
        <x:v>2607.07618</x:v>
      </x:c>
      <x:c r="D41" s="40" t="str">
        <x:v>Fourier restriction norm method adapted to controlled paths: stochastic wave equations</x:v>
      </x:c>
      <x:c r="E41" s="40" t="str">
        <x:v>Andreia Chapouto; Jiawei Li; Tadahiro Oh</x:v>
      </x:c>
      <x:c r="F41" s="40" t="str">
        <x:v>stochastic dispersive PDE</x:v>
      </x:c>
      <x:c r="G41" s="40" t="n">
        <x:v>100</x:v>
      </x:c>
      <x:c r="H41" s="72" t="n">
        <x:v>91.03</x:v>
      </x:c>
      <x:c r="I41" s="72" t="n">
        <x:v>91.2</x:v>
      </x:c>
      <x:c r="J41" s="72" t="n">
        <x:v>90.85</x:v>
      </x:c>
      <x:c r="K41" s="72" t="n">
        <x:v>93</x:v>
      </x:c>
      <x:c r="L41" s="72" t="n">
        <x:v>91</x:v>
      </x:c>
      <x:c r="M41" s="72" t="n">
        <x:v>94</x:v>
      </x:c>
      <x:c r="N41" s="72" t="n">
        <x:v>88</x:v>
      </x:c>
      <x:c r="O41" s="72" t="n">
        <x:v>94</x:v>
      </x:c>
      <x:c r="P41" s="72" t="n">
        <x:v>84</x:v>
      </x:c>
      <x:c r="Q41" s="72" t="n">
        <x:v>13</x:v>
      </x:c>
      <x:c r="R41" s="40" t="str">
        <x:v>https://arxiv.org/abs/2607.07618</x:v>
      </x:c>
      <x:c r="S41" s="40" t="str">
        <x:v>Develops controlled-path restriction framework for stochastic waves.</x:v>
      </x:c>
    </x:row>
    <x:row r="42" ht="38" customHeight="1">
      <x:c r="A42" s="40" t="n">
        <x:v>41</x:v>
      </x:c>
      <x:c r="B42" s="40" t="str">
        <x:v>2026-05</x:v>
      </x:c>
      <x:c r="C42" s="40" t="str">
        <x:v>2605.16502</x:v>
      </x:c>
      <x:c r="D42" s="40" t="str">
        <x:v>Sharp Ill-Posedness of the Euler Equations in Lorentz Spaces</x:v>
      </x:c>
      <x:c r="E42" s="40" t="str">
        <x:v>Jeaheang Bang; Alexey Cheskidov</x:v>
      </x:c>
      <x:c r="F42" s="40" t="str">
        <x:v>Euler well/ill-posedness</x:v>
      </x:c>
      <x:c r="G42" s="40" t="str">
        <x:v>98</x:v>
      </x:c>
      <x:c r="H42" s="72" t="n">
        <x:v>90.93</x:v>
      </x:c>
      <x:c r="I42" s="72" t="n">
        <x:v>91.26</x:v>
      </x:c>
      <x:c r="J42" s="72" t="n">
        <x:v>90.6</x:v>
      </x:c>
      <x:c r="K42" s="72" t="str">
        <x:v>94.1</x:v>
      </x:c>
      <x:c r="L42" s="72" t="str">
        <x:v>90.1</x:v>
      </x:c>
      <x:c r="M42" s="72" t="str">
        <x:v>94.1</x:v>
      </x:c>
      <x:c r="N42" s="72" t="str">
        <x:v>87.2</x:v>
      </x:c>
      <x:c r="O42" s="72" t="str">
        <x:v>94.2</x:v>
      </x:c>
      <x:c r="P42" s="72" t="str">
        <x:v>84</x:v>
      </x:c>
      <x:c r="Q42" s="72" t="str">
        <x:v>14</x:v>
      </x:c>
      <x:c r="R42" s="40" t="str">
        <x:v>https://arxiv.org/abs/2605.16502</x:v>
      </x:c>
      <x:c r="S42" s="40" t="str">
        <x:v>三轮复核后与原表基本一致</x:v>
      </x:c>
    </x:row>
    <x:row r="43" ht="38" customHeight="1">
      <x:c r="A43" s="40" t="n">
        <x:v>42</x:v>
      </x:c>
      <x:c r="B43" s="40" t="str">
        <x:v>2026-07</x:v>
      </x:c>
      <x:c r="C43" s="40" t="str">
        <x:v>2607.07613</x:v>
      </x:c>
      <x:c r="D43" s="40" t="str">
        <x:v>Time-periodic vortices near translating symmetric dipole patches</x:v>
      </x:c>
      <x:c r="E43" s="40" t="str">
        <x:v>Luca Franzoi; Taoufik Hmidi; Riccardo Montalto</x:v>
      </x:c>
      <x:c r="F43" s="40" t="str">
        <x:v>Euler vortices / bifurcation</x:v>
      </x:c>
      <x:c r="G43" s="40" t="n">
        <x:v>105</x:v>
      </x:c>
      <x:c r="H43" s="72" t="n">
        <x:v>90.83</x:v>
      </x:c>
      <x:c r="I43" s="72" t="n">
        <x:v>90.85</x:v>
      </x:c>
      <x:c r="J43" s="72" t="n">
        <x:v>90.8</x:v>
      </x:c>
      <x:c r="K43" s="72" t="n">
        <x:v>93</x:v>
      </x:c>
      <x:c r="L43" s="72" t="n">
        <x:v>90</x:v>
      </x:c>
      <x:c r="M43" s="72" t="n">
        <x:v>94</x:v>
      </x:c>
      <x:c r="N43" s="72" t="n">
        <x:v>87</x:v>
      </x:c>
      <x:c r="O43" s="72" t="n">
        <x:v>94</x:v>
      </x:c>
      <x:c r="P43" s="72" t="n">
        <x:v>84</x:v>
      </x:c>
      <x:c r="Q43" s="72" t="n">
        <x:v>12</x:v>
      </x:c>
      <x:c r="R43" s="40" t="str">
        <x:v>https://arxiv.org/abs/2607.07613</x:v>
      </x:c>
      <x:c r="S43" s="40" t="str">
        <x:v>Long construction around vortex patches; high human difficulty.</x:v>
      </x:c>
    </x:row>
    <x:row r="44" ht="38" customHeight="1">
      <x:c r="A44" s="40" t="n">
        <x:v>43</x:v>
      </x:c>
      <x:c r="B44" s="40" t="str">
        <x:v>2026-06</x:v>
      </x:c>
      <x:c r="C44" s="40" t="str">
        <x:v>2606.15189</x:v>
      </x:c>
      <x:c r="D44" s="40" t="str">
        <x:v>Blow-up and uniqueness of Leray-Hopf solutions to forced Navier-Stokes equations</x:v>
      </x:c>
      <x:c r="E44" s="40" t="str">
        <x:v>Giovanni Paolo Galdi; Filippo Gazzola</x:v>
      </x:c>
      <x:c r="F44" s="40" t="str">
        <x:v>Navier-Stokes</x:v>
      </x:c>
      <x:c r="G44" s="40" t="str"/>
      <x:c r="H44" s="72" t="n">
        <x:v>90.82</x:v>
      </x:c>
      <x:c r="I44" s="72" t="n">
        <x:v>91.05</x:v>
      </x:c>
      <x:c r="J44" s="72" t="n">
        <x:v>90.6</x:v>
      </x:c>
      <x:c r="K44" s="72" t="str">
        <x:v>94.1</x:v>
      </x:c>
      <x:c r="L44" s="72" t="str">
        <x:v>90</x:v>
      </x:c>
      <x:c r="M44" s="72" t="str">
        <x:v>92.1</x:v>
      </x:c>
      <x:c r="N44" s="72" t="str">
        <x:v>88</x:v>
      </x:c>
      <x:c r="O44" s="72" t="str">
        <x:v>93.1</x:v>
      </x:c>
      <x:c r="P44" s="72" t="str">
        <x:v>86</x:v>
      </x:c>
      <x:c r="Q44" s="72" t="str">
        <x:v>11</x:v>
      </x:c>
      <x:c r="R44" s="40" t="str">
        <x:v>https://arxiv.org/abs/2606.15189</x:v>
      </x:c>
      <x:c r="S44" s="40" t="str">
        <x:v>三轮复核后与原表基本一致</x:v>
      </x:c>
    </x:row>
    <x:row r="45" ht="38" customHeight="1">
      <x:c r="A45" s="40" t="n">
        <x:v>44</x:v>
      </x:c>
      <x:c r="B45" s="40" t="str">
        <x:v>2026-05</x:v>
      </x:c>
      <x:c r="C45" s="40" t="str">
        <x:v>2605.11834</x:v>
      </x:c>
      <x:c r="D45" s="40" t="str">
        <x:v>Sharp upper bound for a branched transport problem coming from Ginzburg-Landau models</x:v>
      </x:c>
      <x:c r="E45" s="40" t="str">
        <x:v>Alessandro Cosenza; Michael Goldman; Felix Otto</x:v>
      </x:c>
      <x:c r="F45" s="40" t="str">
        <x:v>Variational PDE / Ginzburg-Landau</x:v>
      </x:c>
      <x:c r="G45" s="40" t="str">
        <x:v>27</x:v>
      </x:c>
      <x:c r="H45" s="72" t="n">
        <x:v>90.81</x:v>
      </x:c>
      <x:c r="I45" s="72" t="n">
        <x:v>90.91</x:v>
      </x:c>
      <x:c r="J45" s="72" t="n">
        <x:v>90.7</x:v>
      </x:c>
      <x:c r="K45" s="72" t="str">
        <x:v>92.1</x:v>
      </x:c>
      <x:c r="L45" s="72" t="str">
        <x:v>91.1</x:v>
      </x:c>
      <x:c r="M45" s="72" t="str">
        <x:v>92.1</x:v>
      </x:c>
      <x:c r="N45" s="72" t="str">
        <x:v>88.2</x:v>
      </x:c>
      <x:c r="O45" s="72" t="str">
        <x:v>92.2</x:v>
      </x:c>
      <x:c r="P45" s="72" t="str">
        <x:v>88</x:v>
      </x:c>
      <x:c r="Q45" s="72" t="str">
        <x:v>12</x:v>
      </x:c>
      <x:c r="R45" s="40" t="str">
        <x:v>https://arxiv.org/abs/2605.11834</x:v>
      </x:c>
      <x:c r="S45" s="40" t="str">
        <x:v>三轮复核后与原表基本一致</x:v>
      </x:c>
    </x:row>
    <x:row r="46" ht="38" customHeight="1">
      <x:c r="A46" s="40" t="n">
        <x:v>45</x:v>
      </x:c>
      <x:c r="B46" s="40" t="str">
        <x:v>2026-06</x:v>
      </x:c>
      <x:c r="C46" s="40" t="str">
        <x:v>2606.12101</x:v>
      </x:c>
      <x:c r="D46" s="40" t="str">
        <x:v>Sharp Convergence Rates for Parabolic Green's Functions in Time-Independent Periodic Homogenization</x:v>
      </x:c>
      <x:c r="E46" s="40" t="str">
        <x:v>Wei Wang</x:v>
      </x:c>
      <x:c r="F46" s="40" t="str">
        <x:v>homogenization/Green functions</x:v>
      </x:c>
      <x:c r="G46" s="40" t="str">
        <x:v>44</x:v>
      </x:c>
      <x:c r="H46" s="72" t="n">
        <x:v>90.8</x:v>
      </x:c>
      <x:c r="I46" s="72" t="n">
        <x:v>90.95</x:v>
      </x:c>
      <x:c r="J46" s="72" t="n">
        <x:v>90.65</x:v>
      </x:c>
      <x:c r="K46" s="72" t="str">
        <x:v>92</x:v>
      </x:c>
      <x:c r="L46" s="72" t="str">
        <x:v>90.1</x:v>
      </x:c>
      <x:c r="M46" s="72" t="str">
        <x:v>93</x:v>
      </x:c>
      <x:c r="N46" s="72" t="str">
        <x:v>89.2</x:v>
      </x:c>
      <x:c r="O46" s="72" t="str">
        <x:v>92.1</x:v>
      </x:c>
      <x:c r="P46" s="72" t="str">
        <x:v>87</x:v>
      </x:c>
      <x:c r="Q46" s="72" t="str">
        <x:v>11</x:v>
      </x:c>
      <x:c r="R46" s="40" t="str">
        <x:v>https://arxiv.org/abs/2606.12101</x:v>
      </x:c>
      <x:c r="S46" s="40" t="str">
        <x:v>三轮复核后与原表基本一致</x:v>
      </x:c>
    </x:row>
    <x:row r="47" ht="38" customHeight="1">
      <x:c r="A47" s="40" t="n">
        <x:v>46</x:v>
      </x:c>
      <x:c r="B47" s="40" t="str">
        <x:v>2026-06</x:v>
      </x:c>
      <x:c r="C47" s="40" t="str">
        <x:v>2606.04377</x:v>
      </x:c>
      <x:c r="D47" s="40" t="str">
        <x:v>A comparison principle for Wasserstein PDEs with state- and law-dependent common noise</x:v>
      </x:c>
      <x:c r="E47" s="40" t="str">
        <x:v>Erhan Bayraktar; Ibrahim Ekren; Xihao He; Xin Zhang</x:v>
      </x:c>
      <x:c r="F47" s="40" t="str">
        <x:v>Wasserstein PDE/control</x:v>
      </x:c>
      <x:c r="G47" s="40" t="str"/>
      <x:c r="H47" s="72" t="n">
        <x:v>90.73</x:v>
      </x:c>
      <x:c r="I47" s="72" t="n">
        <x:v>90.85</x:v>
      </x:c>
      <x:c r="J47" s="72" t="n">
        <x:v>90.6</x:v>
      </x:c>
      <x:c r="K47" s="72" t="str">
        <x:v>92</x:v>
      </x:c>
      <x:c r="L47" s="72" t="str">
        <x:v>91</x:v>
      </x:c>
      <x:c r="M47" s="72" t="str">
        <x:v>92</x:v>
      </x:c>
      <x:c r="N47" s="72" t="str">
        <x:v>89</x:v>
      </x:c>
      <x:c r="O47" s="72" t="str">
        <x:v>92</x:v>
      </x:c>
      <x:c r="P47" s="72" t="str">
        <x:v>87</x:v>
      </x:c>
      <x:c r="Q47" s="72" t="str">
        <x:v>11</x:v>
      </x:c>
      <x:c r="R47" s="40" t="str">
        <x:v>https://arxiv.org/abs/2606.04377</x:v>
      </x:c>
      <x:c r="S47" s="40" t="str">
        <x:v>三轮复核后与原表基本一致</x:v>
      </x:c>
    </x:row>
    <x:row r="48" ht="38" customHeight="1">
      <x:c r="A48" s="40" t="n">
        <x:v>47</x:v>
      </x:c>
      <x:c r="B48" s="40" t="str">
        <x:v>2026-06</x:v>
      </x:c>
      <x:c r="C48" s="40" t="str">
        <x:v>2606.10247</x:v>
      </x:c>
      <x:c r="D48" s="40" t="str">
        <x:v>The partial data Calderon problem in dimension three</x:v>
      </x:c>
      <x:c r="E48" s="40" t="str">
        <x:v>Gunther Uhlmann; Yiran Wang</x:v>
      </x:c>
      <x:c r="F48" s="40" t="str">
        <x:v>inverse problems</x:v>
      </x:c>
      <x:c r="G48" s="40" t="str"/>
      <x:c r="H48" s="72" t="n">
        <x:v>90.73</x:v>
      </x:c>
      <x:c r="I48" s="72" t="n">
        <x:v>91</x:v>
      </x:c>
      <x:c r="J48" s="72" t="n">
        <x:v>90.45</x:v>
      </x:c>
      <x:c r="K48" s="72" t="str">
        <x:v>93.1</x:v>
      </x:c>
      <x:c r="L48" s="72" t="str">
        <x:v>90</x:v>
      </x:c>
      <x:c r="M48" s="72" t="str">
        <x:v>92.1</x:v>
      </x:c>
      <x:c r="N48" s="72" t="str">
        <x:v>89</x:v>
      </x:c>
      <x:c r="O48" s="72" t="str">
        <x:v>92.1</x:v>
      </x:c>
      <x:c r="P48" s="72" t="str">
        <x:v>87</x:v>
      </x:c>
      <x:c r="Q48" s="72" t="str">
        <x:v>11</x:v>
      </x:c>
      <x:c r="R48" s="40" t="str">
        <x:v>https://arxiv.org/abs/2606.10247</x:v>
      </x:c>
      <x:c r="S48" s="40" t="str">
        <x:v>三轮复核后与原表基本一致</x:v>
      </x:c>
    </x:row>
    <x:row r="49" ht="38" customHeight="1">
      <x:c r="A49" s="40" t="n">
        <x:v>48</x:v>
      </x:c>
      <x:c r="B49" s="40" t="str">
        <x:v>2026-08</x:v>
      </x:c>
      <x:c r="C49" s="40" t="str">
        <x:v>2608.06344</x:v>
      </x:c>
      <x:c r="D49" s="40" t="str">
        <x:v>A General Aubry-Mather Theory</x:v>
      </x:c>
      <x:c r="E49" s="40" t="str">
        <x:v>Nassif Ghoussoub</x:v>
      </x:c>
      <x:c r="F49" s="40" t="str">
        <x:v>Aubry-Mather/variational PDE</x:v>
      </x:c>
      <x:c r="G49" s="40" t="n">
        <x:v>33</x:v>
      </x:c>
      <x:c r="H49" s="72" t="n">
        <x:v>90.7</x:v>
      </x:c>
      <x:c r="I49" s="72" t="n">
        <x:v>90.8</x:v>
      </x:c>
      <x:c r="J49" s="72" t="n">
        <x:v>90.6</x:v>
      </x:c>
      <x:c r="K49" s="72" t="n">
        <x:v>92</x:v>
      </x:c>
      <x:c r="L49" s="72" t="n">
        <x:v>92</x:v>
      </x:c>
      <x:c r="M49" s="72" t="n">
        <x:v>91</x:v>
      </x:c>
      <x:c r="N49" s="72" t="n">
        <x:v>89</x:v>
      </x:c>
      <x:c r="O49" s="72" t="n">
        <x:v>91</x:v>
      </x:c>
      <x:c r="P49" s="72" t="n">
        <x:v>87</x:v>
      </x:c>
      <x:c r="Q49" s="72" t="n">
        <x:v>9</x:v>
      </x:c>
      <x:c r="R49" s="40" t="str">
        <x:v>https://arxiv.org/abs/2608.06344</x:v>
      </x:c>
      <x:c r="S49" s="40" t="str">
        <x:v>Conceptual variational theory with broad potential influence.</x:v>
      </x:c>
    </x:row>
    <x:row r="50" ht="38" customHeight="1">
      <x:c r="A50" s="40" t="n">
        <x:v>49</x:v>
      </x:c>
      <x:c r="B50" s="40" t="str">
        <x:v>2026-05</x:v>
      </x:c>
      <x:c r="C50" s="40" t="str">
        <x:v>2605.10138</x:v>
      </x:c>
      <x:c r="D50" s="40" t="str">
        <x:v>Global Well-posedness for the Multi-species Boltzmann Equation with Large Amplitude Initial Data</x:v>
      </x:c>
      <x:c r="E50" s="40" t="str">
        <x:v>Gyounghun Ko; Myeong-Su Lee; Sung-Jun Son</x:v>
      </x:c>
      <x:c r="F50" s="40" t="str">
        <x:v>Boltzmann equation</x:v>
      </x:c>
      <x:c r="G50" s="40" t="str">
        <x:v>54</x:v>
      </x:c>
      <x:c r="H50" s="72" t="n">
        <x:v>90.45</x:v>
      </x:c>
      <x:c r="I50" s="72" t="n">
        <x:v>90.4</x:v>
      </x:c>
      <x:c r="J50" s="72" t="n">
        <x:v>90.5</x:v>
      </x:c>
      <x:c r="K50" s="72" t="str">
        <x:v>92.1</x:v>
      </x:c>
      <x:c r="L50" s="72" t="str">
        <x:v>89.1</x:v>
      </x:c>
      <x:c r="M50" s="72" t="str">
        <x:v>93.1</x:v>
      </x:c>
      <x:c r="N50" s="72" t="str">
        <x:v>87.2</x:v>
      </x:c>
      <x:c r="O50" s="72" t="str">
        <x:v>93.2</x:v>
      </x:c>
      <x:c r="P50" s="72" t="str">
        <x:v>86</x:v>
      </x:c>
      <x:c r="Q50" s="72" t="str">
        <x:v>12</x:v>
      </x:c>
      <x:c r="R50" s="40" t="str">
        <x:v>https://arxiv.org/abs/2605.10138</x:v>
      </x:c>
      <x:c r="S50" s="40" t="str">
        <x:v>三轮复核后与原表基本一致</x:v>
      </x:c>
    </x:row>
    <x:row r="51" ht="38" customHeight="1">
      <x:c r="A51" s="40" t="n">
        <x:v>50</x:v>
      </x:c>
      <x:c r="B51" s="40" t="str">
        <x:v>2026-06</x:v>
      </x:c>
      <x:c r="C51" s="40" t="str">
        <x:v>2606.08648</x:v>
      </x:c>
      <x:c r="D51" s="40" t="str">
        <x:v>On Brezis Open Problem 3.1</x:v>
      </x:c>
      <x:c r="E51" s="40" t="str">
        <x:v>Qi Guo; Xueping Huang; Yi C. Huang; Fanghua Lin; Juncheng Wei</x:v>
      </x:c>
      <x:c r="F51" s="40" t="str">
        <x:v>elliptic/geometric analysis</x:v>
      </x:c>
      <x:c r="G51" s="40" t="str">
        <x:v>20</x:v>
      </x:c>
      <x:c r="H51" s="72" t="n">
        <x:v>90.42</x:v>
      </x:c>
      <x:c r="I51" s="72" t="n">
        <x:v>90.4</x:v>
      </x:c>
      <x:c r="J51" s="72" t="n">
        <x:v>90.44</x:v>
      </x:c>
      <x:c r="K51" s="72" t="str">
        <x:v>92</x:v>
      </x:c>
      <x:c r="L51" s="72" t="str">
        <x:v>91</x:v>
      </x:c>
      <x:c r="M51" s="72" t="str">
        <x:v>90.8</x:v>
      </x:c>
      <x:c r="N51" s="72" t="str">
        <x:v>88</x:v>
      </x:c>
      <x:c r="O51" s="72" t="str">
        <x:v>91.9</x:v>
      </x:c>
      <x:c r="P51" s="72" t="str">
        <x:v>87</x:v>
      </x:c>
      <x:c r="Q51" s="72" t="str">
        <x:v>10.3</x:v>
      </x:c>
      <x:c r="R51" s="40" t="str">
        <x:v>https://arxiv.org/abs/2606.08648</x:v>
      </x:c>
      <x:c r="S51" s="40" t="str">
        <x:v>短文且非框架性题材，技术残差轻微回调；Brezis公开问题稿件保持原先高分附近，未做正确性认证。</x:v>
      </x:c>
    </x:row>
    <x:row r="52" ht="38" customHeight="1">
      <x:c r="A52" s="40" t="n">
        <x:v>51</x:v>
      </x:c>
      <x:c r="B52" s="40" t="str">
        <x:v>2026-06</x:v>
      </x:c>
      <x:c r="C52" s="40" t="str">
        <x:v>2606.03749</x:v>
      </x:c>
      <x:c r="D52" s="40" t="str">
        <x:v>A Density-Distance Version of the Carlen--Frank--Lieb Stability Theorem</x:v>
      </x:c>
      <x:c r="E52" s="40" t="str">
        <x:v>Gangsong Leng</x:v>
      </x:c>
      <x:c r="F52" s="40" t="str">
        <x:v>sharp inequalities/stability</x:v>
      </x:c>
      <x:c r="G52" s="40" t="str"/>
      <x:c r="H52" s="72" t="n">
        <x:v>90.4</x:v>
      </x:c>
      <x:c r="I52" s="72" t="n">
        <x:v>90.65</x:v>
      </x:c>
      <x:c r="J52" s="72" t="n">
        <x:v>90.15</x:v>
      </x:c>
      <x:c r="K52" s="72" t="str">
        <x:v>92</x:v>
      </x:c>
      <x:c r="L52" s="72" t="str">
        <x:v>91.1</x:v>
      </x:c>
      <x:c r="M52" s="72" t="str">
        <x:v>91</x:v>
      </x:c>
      <x:c r="N52" s="72" t="str">
        <x:v>89.2</x:v>
      </x:c>
      <x:c r="O52" s="72" t="str">
        <x:v>91.1</x:v>
      </x:c>
      <x:c r="P52" s="72" t="str">
        <x:v>87</x:v>
      </x:c>
      <x:c r="Q52" s="72" t="str">
        <x:v>11</x:v>
      </x:c>
      <x:c r="R52" s="40" t="str">
        <x:v>https://arxiv.org/abs/2606.03749</x:v>
      </x:c>
      <x:c r="S52" s="40" t="str">
        <x:v>三轮复核后与原表基本一致</x:v>
      </x:c>
    </x:row>
    <x:row r="53" ht="38" customHeight="1">
      <x:c r="A53" s="40" t="n">
        <x:v>52</x:v>
      </x:c>
      <x:c r="B53" s="40" t="str">
        <x:v>2026-06</x:v>
      </x:c>
      <x:c r="C53" s="40" t="str">
        <x:v>2606.29993</x:v>
      </x:c>
      <x:c r="D53" s="40" t="str">
        <x:v>Strichartz Estimates for the Liouville Equation on Euclidean Tori and Applications to Kakeya</x:v>
      </x:c>
      <x:c r="E53" s="40" t="str">
        <x:v>Pierre Germain; Mickael Latocca</x:v>
      </x:c>
      <x:c r="F53" s="40" t="str">
        <x:v>harmonic/dispersive analysis</x:v>
      </x:c>
      <x:c r="G53" s="40" t="str"/>
      <x:c r="H53" s="72" t="n">
        <x:v>90.4</x:v>
      </x:c>
      <x:c r="I53" s="72" t="n">
        <x:v>90.55</x:v>
      </x:c>
      <x:c r="J53" s="72" t="n">
        <x:v>90.25</x:v>
      </x:c>
      <x:c r="K53" s="72" t="str">
        <x:v>92</x:v>
      </x:c>
      <x:c r="L53" s="72" t="str">
        <x:v>90</x:v>
      </x:c>
      <x:c r="M53" s="72" t="str">
        <x:v>92</x:v>
      </x:c>
      <x:c r="N53" s="72" t="str">
        <x:v>89</x:v>
      </x:c>
      <x:c r="O53" s="72" t="str">
        <x:v>92</x:v>
      </x:c>
      <x:c r="P53" s="72" t="str">
        <x:v>86</x:v>
      </x:c>
      <x:c r="Q53" s="72" t="str">
        <x:v>11</x:v>
      </x:c>
      <x:c r="R53" s="40" t="str">
        <x:v>https://arxiv.org/abs/2606.29993</x:v>
      </x:c>
      <x:c r="S53" s="40" t="str">
        <x:v>三轮复核后与原表基本一致</x:v>
      </x:c>
    </x:row>
    <x:row r="54" ht="38" customHeight="1">
      <x:c r="A54" s="40" t="n">
        <x:v>53</x:v>
      </x:c>
      <x:c r="B54" s="40" t="str">
        <x:v>2026-07</x:v>
      </x:c>
      <x:c r="C54" s="40" t="str">
        <x:v>2607.11618</x:v>
      </x:c>
      <x:c r="D54" s="40" t="str">
        <x:v>Bellman Equations with Sub-Lipschitz Hessians</x:v>
      </x:c>
      <x:c r="E54" s="40" t="str">
        <x:v>Xavier Fernández-Real</x:v>
      </x:c>
      <x:c r="F54" s="40" t="str">
        <x:v>fully nonlinear PDE</x:v>
      </x:c>
      <x:c r="G54" s="40" t="str">
        <x:v>-</x:v>
      </x:c>
      <x:c r="H54" s="72" t="n">
        <x:v>90.4</x:v>
      </x:c>
      <x:c r="I54" s="72" t="n">
        <x:v>90.4</x:v>
      </x:c>
      <x:c r="J54" s="72" t="n">
        <x:v>90.4</x:v>
      </x:c>
      <x:c r="K54" s="72" t="n">
        <x:v>92</x:v>
      </x:c>
      <x:c r="L54" s="72" t="n">
        <x:v>90</x:v>
      </x:c>
      <x:c r="M54" s="72" t="n">
        <x:v>92</x:v>
      </x:c>
      <x:c r="N54" s="72" t="n">
        <x:v>88</x:v>
      </x:c>
      <x:c r="O54" s="72" t="n">
        <x:v>92</x:v>
      </x:c>
      <x:c r="P54" s="72" t="n">
        <x:v>86</x:v>
      </x:c>
      <x:c r="Q54" s="72" t="n">
        <x:v>10</x:v>
      </x:c>
      <x:c r="R54" s="40" t="str">
        <x:v>https://arxiv.org/abs/2607.11618</x:v>
      </x:c>
      <x:c r="S54" s="40" t="str">
        <x:v>Strong fully nonlinear regularity contribution; concise but high conceptual value.</x:v>
      </x:c>
    </x:row>
    <x:row r="55" ht="38" customHeight="1">
      <x:c r="A55" s="40" t="n">
        <x:v>54</x:v>
      </x:c>
      <x:c r="B55" s="40" t="str">
        <x:v>2026-07</x:v>
      </x:c>
      <x:c r="C55" s="40" t="str">
        <x:v>2607.11731</x:v>
      </x:c>
      <x:c r="D55" s="40" t="str">
        <x:v>Global asymptotic stability for the 3D Peskin Problem at critical regularity</x:v>
      </x:c>
      <x:c r="E55" s="40" t="str">
        <x:v>Eduardo García-Juárez; Susanna V. Haziot; Po-Chun Kuo; Yoichiro Mori; Han Zhou</x:v>
      </x:c>
      <x:c r="F55" s="40" t="str">
        <x:v>fluid-structure interaction</x:v>
      </x:c>
      <x:c r="G55" s="40" t="str">
        <x:v>-</x:v>
      </x:c>
      <x:c r="H55" s="72" t="n">
        <x:v>90.38</x:v>
      </x:c>
      <x:c r="I55" s="72" t="n">
        <x:v>90.3</x:v>
      </x:c>
      <x:c r="J55" s="72" t="n">
        <x:v>90.45</x:v>
      </x:c>
      <x:c r="K55" s="72" t="n">
        <x:v>92</x:v>
      </x:c>
      <x:c r="L55" s="72" t="n">
        <x:v>90</x:v>
      </x:c>
      <x:c r="M55" s="72" t="n">
        <x:v>93</x:v>
      </x:c>
      <x:c r="N55" s="72" t="n">
        <x:v>87</x:v>
      </x:c>
      <x:c r="O55" s="72" t="n">
        <x:v>93</x:v>
      </x:c>
      <x:c r="P55" s="72" t="n">
        <x:v>84</x:v>
      </x:c>
      <x:c r="Q55" s="72" t="n">
        <x:v>11</x:v>
      </x:c>
      <x:c r="R55" s="40" t="str">
        <x:v>https://arxiv.org/abs/2607.11731</x:v>
      </x:c>
      <x:c r="S55" s="40" t="str">
        <x:v>Critical-regularity global stability for a difficult fluid-structure model.</x:v>
      </x:c>
    </x:row>
    <x:row r="56" ht="38" customHeight="1">
      <x:c r="A56" s="40" t="n">
        <x:v>55</x:v>
      </x:c>
      <x:c r="B56" s="40" t="str">
        <x:v>2026-05</x:v>
      </x:c>
      <x:c r="C56" s="40" t="str">
        <x:v>2605.00189</x:v>
      </x:c>
      <x:c r="D56" s="40" t="str">
        <x:v>Local Asymptotic Patterns for Viscous Approximations of Conservation Laws</x:v>
      </x:c>
      <x:c r="E56" s="40" t="str">
        <x:v>Alberto Bressan; Laura Caravenna; Wen Shen</x:v>
      </x:c>
      <x:c r="F56" s="40" t="str">
        <x:v>Conservation laws</x:v>
      </x:c>
      <x:c r="G56" s="40" t="str"/>
      <x:c r="H56" s="72" t="n">
        <x:v>90.35</x:v>
      </x:c>
      <x:c r="I56" s="72" t="n">
        <x:v>90.41</x:v>
      </x:c>
      <x:c r="J56" s="72" t="n">
        <x:v>90.3</x:v>
      </x:c>
      <x:c r="K56" s="72" t="str">
        <x:v>92.1</x:v>
      </x:c>
      <x:c r="L56" s="72" t="str">
        <x:v>90</x:v>
      </x:c>
      <x:c r="M56" s="72" t="str">
        <x:v>92.1</x:v>
      </x:c>
      <x:c r="N56" s="72" t="str">
        <x:v>87</x:v>
      </x:c>
      <x:c r="O56" s="72" t="str">
        <x:v>92.1</x:v>
      </x:c>
      <x:c r="P56" s="72" t="str">
        <x:v>87</x:v>
      </x:c>
      <x:c r="Q56" s="72" t="str">
        <x:v>12</x:v>
      </x:c>
      <x:c r="R56" s="40" t="str">
        <x:v>https://arxiv.org/abs/2605.00189</x:v>
      </x:c>
      <x:c r="S56" s="40" t="str">
        <x:v>三轮复核后与原表基本一致</x:v>
      </x:c>
    </x:row>
    <x:row r="57" ht="38" customHeight="1">
      <x:c r="A57" s="40" t="n">
        <x:v>56</x:v>
      </x:c>
      <x:c r="B57" s="40" t="str">
        <x:v>2026-05</x:v>
      </x:c>
      <x:c r="C57" s="40" t="str">
        <x:v>2605.10788</x:v>
      </x:c>
      <x:c r="D57" s="40" t="str">
        <x:v>Entropy Structures and Long-Time Relaxation for 3-Wave Kinetic Equations</x:v>
      </x:c>
      <x:c r="E57" s="40" t="str">
        <x:v>Gigliola Staffilani; Minh-Binh Tran</x:v>
      </x:c>
      <x:c r="F57" s="40" t="str">
        <x:v>Wave kinetic equations</x:v>
      </x:c>
      <x:c r="G57" s="40" t="str"/>
      <x:c r="H57" s="72" t="n">
        <x:v>90.3</x:v>
      </x:c>
      <x:c r="I57" s="72" t="n">
        <x:v>90.45</x:v>
      </x:c>
      <x:c r="J57" s="72" t="n">
        <x:v>90.15</x:v>
      </x:c>
      <x:c r="K57" s="72" t="str">
        <x:v>92</x:v>
      </x:c>
      <x:c r="L57" s="72" t="str">
        <x:v>90.1</x:v>
      </x:c>
      <x:c r="M57" s="72" t="str">
        <x:v>92</x:v>
      </x:c>
      <x:c r="N57" s="72" t="str">
        <x:v>88.2</x:v>
      </x:c>
      <x:c r="O57" s="72" t="str">
        <x:v>92.1</x:v>
      </x:c>
      <x:c r="P57" s="72" t="str">
        <x:v>86</x:v>
      </x:c>
      <x:c r="Q57" s="72" t="str">
        <x:v>12</x:v>
      </x:c>
      <x:c r="R57" s="40" t="str">
        <x:v>https://arxiv.org/abs/2605.10788</x:v>
      </x:c>
      <x:c r="S57" s="40" t="str">
        <x:v>三轮复核后与原表基本一致</x:v>
      </x:c>
    </x:row>
    <x:row r="58" ht="38" customHeight="1">
      <x:c r="A58" s="40" t="n">
        <x:v>57</x:v>
      </x:c>
      <x:c r="B58" s="40" t="str">
        <x:v>2026-07</x:v>
      </x:c>
      <x:c r="C58" s="40" t="str">
        <x:v>2607.01939</x:v>
      </x:c>
      <x:c r="D58" s="40" t="str">
        <x:v>McLean resonances and 3d spectral instability of Stokes waves</x:v>
      </x:c>
      <x:c r="E58" s="40" t="str">
        <x:v>Massimiliano Berti; Alberto Maspero; Antonio Milosh Radakovic</x:v>
      </x:c>
      <x:c r="F58" s="40" t="str">
        <x:v>water waves / spectral instability</x:v>
      </x:c>
      <x:c r="G58" s="40" t="n">
        <x:v>80</x:v>
      </x:c>
      <x:c r="H58" s="72" t="n">
        <x:v>90.3</x:v>
      </x:c>
      <x:c r="I58" s="72" t="n">
        <x:v>90.3</x:v>
      </x:c>
      <x:c r="J58" s="72" t="n">
        <x:v>90.3</x:v>
      </x:c>
      <x:c r="K58" s="72" t="n">
        <x:v>92</x:v>
      </x:c>
      <x:c r="L58" s="72" t="n">
        <x:v>90</x:v>
      </x:c>
      <x:c r="M58" s="72" t="n">
        <x:v>93</x:v>
      </x:c>
      <x:c r="N58" s="72" t="n">
        <x:v>87</x:v>
      </x:c>
      <x:c r="O58" s="72" t="n">
        <x:v>93</x:v>
      </x:c>
      <x:c r="P58" s="72" t="n">
        <x:v>84</x:v>
      </x:c>
      <x:c r="Q58" s="72" t="n">
        <x:v>12</x:v>
      </x:c>
      <x:c r="R58" s="40" t="str">
        <x:v>https://arxiv.org/abs/2607.01939</x:v>
      </x:c>
      <x:c r="S58" s="40" t="str">
        <x:v>High-end spectral instability analysis for Stokes waves.</x:v>
      </x:c>
    </x:row>
    <x:row r="59" ht="38" customHeight="1">
      <x:c r="A59" s="40" t="n">
        <x:v>58</x:v>
      </x:c>
      <x:c r="B59" s="40" t="str">
        <x:v>2026-07</x:v>
      </x:c>
      <x:c r="C59" s="40" t="str">
        <x:v>2607.08385</x:v>
      </x:c>
      <x:c r="D59" s="40" t="str">
        <x:v>Nonlinear PDEs with modulated dispersion III: multiplicative noises</x:v>
      </x:c>
      <x:c r="E59" s="40" t="str">
        <x:v>Andreia Chapouto; Massimiliano Gubinelli; Guopeng Li; Jiawei Li; Tadahiro Oh</x:v>
      </x:c>
      <x:c r="F59" s="40" t="str">
        <x:v>random/modulated dispersive PDE</x:v>
      </x:c>
      <x:c r="G59" s="40" t="n">
        <x:v>61</x:v>
      </x:c>
      <x:c r="H59" s="72" t="n">
        <x:v>90.3</x:v>
      </x:c>
      <x:c r="I59" s="72" t="n">
        <x:v>90.45</x:v>
      </x:c>
      <x:c r="J59" s="72" t="n">
        <x:v>90.15</x:v>
      </x:c>
      <x:c r="K59" s="72" t="n">
        <x:v>92</x:v>
      </x:c>
      <x:c r="L59" s="72" t="n">
        <x:v>90</x:v>
      </x:c>
      <x:c r="M59" s="72" t="n">
        <x:v>93</x:v>
      </x:c>
      <x:c r="N59" s="72" t="n">
        <x:v>88</x:v>
      </x:c>
      <x:c r="O59" s="72" t="n">
        <x:v>93</x:v>
      </x:c>
      <x:c r="P59" s="72" t="n">
        <x:v>84</x:v>
      </x:c>
      <x:c r="Q59" s="72" t="n">
        <x:v>13</x:v>
      </x:c>
      <x:c r="R59" s="40" t="str">
        <x:v>https://arxiv.org/abs/2607.08385</x:v>
      </x:c>
      <x:c r="S59" s="40" t="str">
        <x:v>Substantial continuation of modulated dispersion program.</x:v>
      </x:c>
    </x:row>
    <x:row r="60" ht="38" customHeight="1">
      <x:c r="A60" s="40" t="n">
        <x:v>59</x:v>
      </x:c>
      <x:c r="B60" s="40" t="str">
        <x:v>2026-06</x:v>
      </x:c>
      <x:c r="C60" s="40" t="str">
        <x:v>2606.14308</x:v>
      </x:c>
      <x:c r="D60" s="40" t="str">
        <x:v>Non-uniqueness of global-in-time admissible weak solutions to the isentropic compressible Euler equations for a dense set of initial data</x:v>
      </x:c>
      <x:c r="E60" s="40" t="str">
        <x:v>Daniel W. Boutros; Simon Markfelder</x:v>
      </x:c>
      <x:c r="F60" s="40" t="str">
        <x:v>Euler/convex integration</x:v>
      </x:c>
      <x:c r="G60" s="40" t="str"/>
      <x:c r="H60" s="72" t="n">
        <x:v>90.28</x:v>
      </x:c>
      <x:c r="I60" s="72" t="n">
        <x:v>90.55</x:v>
      </x:c>
      <x:c r="J60" s="72" t="n">
        <x:v>90</x:v>
      </x:c>
      <x:c r="K60" s="72" t="str">
        <x:v>93.1</x:v>
      </x:c>
      <x:c r="L60" s="72" t="str">
        <x:v>90</x:v>
      </x:c>
      <x:c r="M60" s="72" t="str">
        <x:v>92.1</x:v>
      </x:c>
      <x:c r="N60" s="72" t="str">
        <x:v>88</x:v>
      </x:c>
      <x:c r="O60" s="72" t="str">
        <x:v>92.1</x:v>
      </x:c>
      <x:c r="P60" s="72" t="str">
        <x:v>84</x:v>
      </x:c>
      <x:c r="Q60" s="72" t="str">
        <x:v>11</x:v>
      </x:c>
      <x:c r="R60" s="40" t="str">
        <x:v>https://arxiv.org/abs/2606.14308</x:v>
      </x:c>
      <x:c r="S60" s="40" t="str">
        <x:v>三轮复核后与原表基本一致</x:v>
      </x:c>
    </x:row>
    <x:row r="61" ht="38" customHeight="1">
      <x:c r="A61" s="40" t="n">
        <x:v>60</x:v>
      </x:c>
      <x:c r="B61" s="40" t="str">
        <x:v>2026-06</x:v>
      </x:c>
      <x:c r="C61" s="40" t="str">
        <x:v>2606.29454</x:v>
      </x:c>
      <x:c r="D61" s="40" t="str">
        <x:v>Formation of quasi-singularities of shock and implosion type for compressible Euler flows</x:v>
      </x:c>
      <x:c r="E61" s="40" t="str">
        <x:v>Xieling Fan; Hongyu Liu</x:v>
      </x:c>
      <x:c r="F61" s="40" t="str">
        <x:v>compressible Euler singularity</x:v>
      </x:c>
      <x:c r="G61" s="40" t="str"/>
      <x:c r="H61" s="72" t="n">
        <x:v>90.25</x:v>
      </x:c>
      <x:c r="I61" s="72" t="n">
        <x:v>90.5</x:v>
      </x:c>
      <x:c r="J61" s="72" t="n">
        <x:v>90</x:v>
      </x:c>
      <x:c r="K61" s="72" t="str">
        <x:v>93</x:v>
      </x:c>
      <x:c r="L61" s="72" t="str">
        <x:v>90</x:v>
      </x:c>
      <x:c r="M61" s="72" t="str">
        <x:v>92.1</x:v>
      </x:c>
      <x:c r="N61" s="72" t="str">
        <x:v>87.8</x:v>
      </x:c>
      <x:c r="O61" s="72" t="str">
        <x:v>92.1</x:v>
      </x:c>
      <x:c r="P61" s="72" t="str">
        <x:v>84</x:v>
      </x:c>
      <x:c r="Q61" s="72" t="str">
        <x:v>11</x:v>
      </x:c>
      <x:c r="R61" s="40" t="str">
        <x:v>https://arxiv.org/abs/2606.29454</x:v>
      </x:c>
      <x:c r="S61" s="40" t="str">
        <x:v>范围偏专门，广度轻微回调</x:v>
      </x:c>
    </x:row>
    <x:row r="62" ht="38" customHeight="1">
      <x:c r="A62" s="40" t="n">
        <x:v>61</x:v>
      </x:c>
      <x:c r="B62" s="40" t="str">
        <x:v>2026-08</x:v>
      </x:c>
      <x:c r="C62" s="40" t="str">
        <x:v>2608.02033</x:v>
      </x:c>
      <x:c r="D62" s="40" t="str">
        <x:v>A unified theory for regularity persistence of vortex patch boundaries</x:v>
      </x:c>
      <x:c r="E62" s="40" t="str">
        <x:v>Marc Magana</x:v>
      </x:c>
      <x:c r="F62" s="40" t="str">
        <x:v>vortex patches</x:v>
      </x:c>
      <x:c r="G62" s="40" t="str">
        <x:v>-</x:v>
      </x:c>
      <x:c r="H62" s="72" t="n">
        <x:v>90.25</x:v>
      </x:c>
      <x:c r="I62" s="72" t="n">
        <x:v>90.1</x:v>
      </x:c>
      <x:c r="J62" s="72" t="n">
        <x:v>90.4</x:v>
      </x:c>
      <x:c r="K62" s="72" t="n">
        <x:v>91</x:v>
      </x:c>
      <x:c r="L62" s="72" t="n">
        <x:v>90</x:v>
      </x:c>
      <x:c r="M62" s="72" t="n">
        <x:v>92</x:v>
      </x:c>
      <x:c r="N62" s="72" t="n">
        <x:v>88</x:v>
      </x:c>
      <x:c r="O62" s="72" t="n">
        <x:v>92</x:v>
      </x:c>
      <x:c r="P62" s="72" t="n">
        <x:v>86</x:v>
      </x:c>
      <x:c r="Q62" s="72" t="n">
        <x:v>10</x:v>
      </x:c>
      <x:c r="R62" s="40" t="str">
        <x:v>https://arxiv.org/abs/2608.02033</x:v>
      </x:c>
      <x:c r="S62" s="40" t="str">
        <x:v>Unified persistence theory for vortex-patch regularity.</x:v>
      </x:c>
    </x:row>
    <x:row r="63" ht="38" customHeight="1">
      <x:c r="A63" s="40" t="n">
        <x:v>62</x:v>
      </x:c>
      <x:c r="B63" s="40" t="str">
        <x:v>2026-07</x:v>
      </x:c>
      <x:c r="C63" s="40" t="str">
        <x:v>2607.17110</x:v>
      </x:c>
      <x:c r="D63" s="40" t="str">
        <x:v>Global well-posedness for incompressible Euler in endpoint Sobolev space</x:v>
      </x:c>
      <x:c r="E63" s="40" t="str">
        <x:v>Raphaël Danchin; In-Jee Jeong</x:v>
      </x:c>
      <x:c r="F63" s="40" t="str">
        <x:v>Euler equations</x:v>
      </x:c>
      <x:c r="G63" s="40" t="n">
        <x:v>16</x:v>
      </x:c>
      <x:c r="H63" s="72" t="n">
        <x:v>90.22</x:v>
      </x:c>
      <x:c r="I63" s="72" t="n">
        <x:v>90.35</x:v>
      </x:c>
      <x:c r="J63" s="72" t="n">
        <x:v>90.1</x:v>
      </x:c>
      <x:c r="K63" s="72" t="n">
        <x:v>92</x:v>
      </x:c>
      <x:c r="L63" s="72" t="n">
        <x:v>91</x:v>
      </x:c>
      <x:c r="M63" s="72" t="n">
        <x:v>91</x:v>
      </x:c>
      <x:c r="N63" s="72" t="n">
        <x:v>88</x:v>
      </x:c>
      <x:c r="O63" s="72" t="n">
        <x:v>91</x:v>
      </x:c>
      <x:c r="P63" s="72" t="n">
        <x:v>86</x:v>
      </x:c>
      <x:c r="Q63" s="72" t="n">
        <x:v>10</x:v>
      </x:c>
      <x:c r="R63" s="40" t="str">
        <x:v>https://arxiv.org/abs/2607.17110</x:v>
      </x:c>
      <x:c r="S63" s="40" t="str">
        <x:v>Endpoint well-posedness theorem by leading authors; concise but sharp.</x:v>
      </x:c>
    </x:row>
    <x:row r="64" ht="38" customHeight="1">
      <x:c r="A64" s="40" t="n">
        <x:v>63</x:v>
      </x:c>
      <x:c r="B64" s="40" t="str">
        <x:v>2026-07</x:v>
      </x:c>
      <x:c r="C64" s="40" t="str">
        <x:v>2607.05158</x:v>
      </x:c>
      <x:c r="D64" s="40" t="str">
        <x:v>On the optimal decay rate of global solutions to the convection-diffusion equation with zero-mass initial data</x:v>
      </x:c>
      <x:c r="E64" s="40" t="str">
        <x:v>Yi C. Huang; Ryunosuke Kusaba</x:v>
      </x:c>
      <x:c r="F64" s="40" t="str">
        <x:v>convection-diffusion</x:v>
      </x:c>
      <x:c r="G64" s="40" t="n">
        <x:v>21</x:v>
      </x:c>
      <x:c r="H64" s="72" t="n">
        <x:v>90.2</x:v>
      </x:c>
      <x:c r="I64" s="72" t="n">
        <x:v>90.2</x:v>
      </x:c>
      <x:c r="J64" s="72" t="n">
        <x:v>90.2</x:v>
      </x:c>
      <x:c r="K64" s="72" t="n">
        <x:v>91</x:v>
      </x:c>
      <x:c r="L64" s="72" t="n">
        <x:v>89</x:v>
      </x:c>
      <x:c r="M64" s="72" t="n">
        <x:v>92</x:v>
      </x:c>
      <x:c r="N64" s="72" t="n">
        <x:v>88</x:v>
      </x:c>
      <x:c r="O64" s="72" t="n">
        <x:v>92</x:v>
      </x:c>
      <x:c r="P64" s="72" t="n">
        <x:v>89</x:v>
      </x:c>
      <x:c r="Q64" s="72" t="n">
        <x:v>13</x:v>
      </x:c>
      <x:c r="R64" s="40" t="str">
        <x:v>https://arxiv.org/abs/2607.05158</x:v>
      </x:c>
      <x:c r="S64" s="40" t="str">
        <x:v>Scored candidate from official July math.AP list; correctness not checked.</x:v>
      </x:c>
    </x:row>
    <x:row r="65" ht="38" customHeight="1">
      <x:c r="A65" s="40" t="n">
        <x:v>64</x:v>
      </x:c>
      <x:c r="B65" s="40" t="str">
        <x:v>2026-06</x:v>
      </x:c>
      <x:c r="C65" s="40" t="str">
        <x:v>2606.02070</x:v>
      </x:c>
      <x:c r="D65" s="40" t="str">
        <x:v>Critical mass threshold for the 2D Patlak-Keller-Segel-Navier-Stokes system</x:v>
      </x:c>
      <x:c r="E65" s="40" t="str">
        <x:v>Wendong Wang; Dongyi Wei; Zhifei Zhang</x:v>
      </x:c>
      <x:c r="F65" s="40" t="str">
        <x:v>chemotaxis-fluid threshold</x:v>
      </x:c>
      <x:c r="G65" s="40" t="str"/>
      <x:c r="H65" s="72" t="n">
        <x:v>90.18</x:v>
      </x:c>
      <x:c r="I65" s="72" t="n">
        <x:v>90.26</x:v>
      </x:c>
      <x:c r="J65" s="72" t="n">
        <x:v>90.1</x:v>
      </x:c>
      <x:c r="K65" s="72" t="str">
        <x:v>92.1</x:v>
      </x:c>
      <x:c r="L65" s="72" t="str">
        <x:v>89</x:v>
      </x:c>
      <x:c r="M65" s="72" t="str">
        <x:v>92.1</x:v>
      </x:c>
      <x:c r="N65" s="72" t="str">
        <x:v>88</x:v>
      </x:c>
      <x:c r="O65" s="72" t="str">
        <x:v>92.1</x:v>
      </x:c>
      <x:c r="P65" s="72" t="str">
        <x:v>86</x:v>
      </x:c>
      <x:c r="Q65" s="72" t="str">
        <x:v>11</x:v>
      </x:c>
      <x:c r="R65" s="40" t="str">
        <x:v>https://arxiv.org/abs/2606.02070</x:v>
      </x:c>
      <x:c r="S65" s="40" t="str">
        <x:v>三轮复核后与原表基本一致</x:v>
      </x:c>
    </x:row>
    <x:row r="66" ht="38" customHeight="1">
      <x:c r="A66" s="40" t="n">
        <x:v>65</x:v>
      </x:c>
      <x:c r="B66" s="40" t="str">
        <x:v>2026-06</x:v>
      </x:c>
      <x:c r="C66" s="40" t="str">
        <x:v>2606.12061</x:v>
      </x:c>
      <x:c r="D66" s="40" t="str">
        <x:v>Complex-ellipticity, dimensional estimates and plane wave rigidity in BV^A</x:v>
      </x:c>
      <x:c r="E66" s="40" t="str">
        <x:v>Adolfo Arroyo-Rabasa</x:v>
      </x:c>
      <x:c r="F66" s="40" t="str">
        <x:v>calculus of variations/BV</x:v>
      </x:c>
      <x:c r="G66" s="40" t="str">
        <x:v>23</x:v>
      </x:c>
      <x:c r="H66" s="72" t="n">
        <x:v>90.16</x:v>
      </x:c>
      <x:c r="I66" s="72" t="n">
        <x:v>90.2</x:v>
      </x:c>
      <x:c r="J66" s="72" t="n">
        <x:v>90.13</x:v>
      </x:c>
      <x:c r="K66" s="72" t="str">
        <x:v>91</x:v>
      </x:c>
      <x:c r="L66" s="72" t="str">
        <x:v>91.1</x:v>
      </x:c>
      <x:c r="M66" s="72" t="str">
        <x:v>91</x:v>
      </x:c>
      <x:c r="N66" s="72" t="str">
        <x:v>88.2</x:v>
      </x:c>
      <x:c r="O66" s="72" t="str">
        <x:v>91.1</x:v>
      </x:c>
      <x:c r="P66" s="72" t="str">
        <x:v>87</x:v>
      </x:c>
      <x:c r="Q66" s="72" t="str">
        <x:v>11.1</x:v>
      </x:c>
      <x:c r="R66" s="40" t="str">
        <x:v>https://arxiv.org/abs/2606.12061</x:v>
      </x:c>
      <x:c r="S66" s="40" t="str">
        <x:v>三轮复核后与原表基本一致</x:v>
      </x:c>
    </x:row>
    <x:row r="67" ht="38" customHeight="1">
      <x:c r="A67" s="40" t="n">
        <x:v>66</x:v>
      </x:c>
      <x:c r="B67" s="40" t="str">
        <x:v>2026-06</x:v>
      </x:c>
      <x:c r="C67" s="40" t="str">
        <x:v>2606.02989</x:v>
      </x:c>
      <x:c r="D67" s="40" t="str">
        <x:v>The Benjamin-Ono Equation in the Long-Time Limit: Linearized Self-Similar Universality</x:v>
      </x:c>
      <x:c r="E67" s="40" t="str">
        <x:v>Louise Gassot; Patrick Gerard; Peter D. Miller</x:v>
      </x:c>
      <x:c r="F67" s="40" t="str">
        <x:v>integrable/dispersive asymptotics</x:v>
      </x:c>
      <x:c r="G67" s="40" t="str">
        <x:v>33</x:v>
      </x:c>
      <x:c r="H67" s="72" t="n">
        <x:v>90.15</x:v>
      </x:c>
      <x:c r="I67" s="72" t="n">
        <x:v>90.14</x:v>
      </x:c>
      <x:c r="J67" s="72" t="n">
        <x:v>90.15</x:v>
      </x:c>
      <x:c r="K67" s="72" t="str">
        <x:v>90.9</x:v>
      </x:c>
      <x:c r="L67" s="72" t="str">
        <x:v>91.1</x:v>
      </x:c>
      <x:c r="M67" s="72" t="str">
        <x:v>91</x:v>
      </x:c>
      <x:c r="N67" s="72" t="str">
        <x:v>88</x:v>
      </x:c>
      <x:c r="O67" s="72" t="str">
        <x:v>91.1</x:v>
      </x:c>
      <x:c r="P67" s="72" t="str">
        <x:v>87</x:v>
      </x:c>
      <x:c r="Q67" s="72" t="str">
        <x:v>11</x:v>
      </x:c>
      <x:c r="R67" s="40" t="str">
        <x:v>https://arxiv.org/abs/2606.02989</x:v>
      </x:c>
      <x:c r="S67" s="40" t="str">
        <x:v>范围偏专门，广度轻微回调</x:v>
      </x:c>
    </x:row>
    <x:row r="68" ht="38" customHeight="1">
      <x:c r="A68" s="40" t="n">
        <x:v>67</x:v>
      </x:c>
      <x:c r="B68" s="40" t="str">
        <x:v>2026-05</x:v>
      </x:c>
      <x:c r="C68" s="40" t="str">
        <x:v>2605.02540</x:v>
      </x:c>
      <x:c r="D68" s="40" t="str">
        <x:v>On the onset of correlations in Wave Turbulence close to singularities</x:v>
      </x:c>
      <x:c r="E68" s="40" t="str">
        <x:v>M. Escobedo; J. J. L. Velazquez</x:v>
      </x:c>
      <x:c r="F68" s="40" t="str">
        <x:v>Wave turbulence</x:v>
      </x:c>
      <x:c r="G68" s="40" t="str"/>
      <x:c r="H68" s="72" t="n">
        <x:v>90.13</x:v>
      </x:c>
      <x:c r="I68" s="72" t="n">
        <x:v>90.25</x:v>
      </x:c>
      <x:c r="J68" s="72" t="n">
        <x:v>90</x:v>
      </x:c>
      <x:c r="K68" s="72" t="str">
        <x:v>92</x:v>
      </x:c>
      <x:c r="L68" s="72" t="str">
        <x:v>91</x:v>
      </x:c>
      <x:c r="M68" s="72" t="str">
        <x:v>92</x:v>
      </x:c>
      <x:c r="N68" s="72" t="str">
        <x:v>87</x:v>
      </x:c>
      <x:c r="O68" s="72" t="str">
        <x:v>92</x:v>
      </x:c>
      <x:c r="P68" s="72" t="str">
        <x:v>84</x:v>
      </x:c>
      <x:c r="Q68" s="72" t="str">
        <x:v>12</x:v>
      </x:c>
      <x:c r="R68" s="40" t="str">
        <x:v>https://arxiv.org/abs/2605.02540</x:v>
      </x:c>
      <x:c r="S68" s="40" t="str">
        <x:v>三轮复核后与原表基本一致</x:v>
      </x:c>
    </x:row>
    <x:row r="69" ht="38" customHeight="1">
      <x:c r="A69" s="40" t="n">
        <x:v>68</x:v>
      </x:c>
      <x:c r="B69" s="40" t="str">
        <x:v>2026-08</x:v>
      </x:c>
      <x:c r="C69" s="40" t="str">
        <x:v>2608.01508</x:v>
      </x:c>
      <x:c r="D69" s="40" t="str">
        <x:v>Free Boundary Regularity for Non-Convex Fully Nonlinear Alt-Phillips Problems</x:v>
      </x:c>
      <x:c r="E69" s="40" t="str">
        <x:v>Alvis Zahl</x:v>
      </x:c>
      <x:c r="F69" s="40" t="str">
        <x:v>free boundary/fully nonlinear</x:v>
      </x:c>
      <x:c r="G69" s="40" t="str">
        <x:v>-</x:v>
      </x:c>
      <x:c r="H69" s="72" t="n">
        <x:v>90.12</x:v>
      </x:c>
      <x:c r="I69" s="72" t="n">
        <x:v>90</x:v>
      </x:c>
      <x:c r="J69" s="72" t="n">
        <x:v>90.25</x:v>
      </x:c>
      <x:c r="K69" s="72" t="n">
        <x:v>91</x:v>
      </x:c>
      <x:c r="L69" s="72" t="n">
        <x:v>90</x:v>
      </x:c>
      <x:c r="M69" s="72" t="n">
        <x:v>92</x:v>
      </x:c>
      <x:c r="N69" s="72" t="n">
        <x:v>88</x:v>
      </x:c>
      <x:c r="O69" s="72" t="n">
        <x:v>92</x:v>
      </x:c>
      <x:c r="P69" s="72" t="n">
        <x:v>85</x:v>
      </x:c>
      <x:c r="Q69" s="72" t="n">
        <x:v>10</x:v>
      </x:c>
      <x:c r="R69" s="40" t="str">
        <x:v>https://arxiv.org/abs/2608.01508</x:v>
      </x:c>
      <x:c r="S69" s="40" t="str">
        <x:v>Sharp free-boundary regularity in a nonconvex fully nonlinear setting.</x:v>
      </x:c>
    </x:row>
    <x:row r="70" ht="38" customHeight="1">
      <x:c r="A70" s="40" t="n">
        <x:v>69</x:v>
      </x:c>
      <x:c r="B70" s="40" t="str">
        <x:v>2026-07</x:v>
      </x:c>
      <x:c r="C70" s="40" t="str">
        <x:v>2607.20682</x:v>
      </x:c>
      <x:c r="D70" s="40" t="str">
        <x:v>Several counterexamples to kinetic Schauder estimates</x:v>
      </x:c>
      <x:c r="E70" s="40" t="str">
        <x:v>Hongjie Dong; Weinan Wang</x:v>
      </x:c>
      <x:c r="F70" s="40" t="str">
        <x:v>kinetic regularity</x:v>
      </x:c>
      <x:c r="G70" s="40" t="str">
        <x:v>-</x:v>
      </x:c>
      <x:c r="H70" s="72" t="n">
        <x:v>90.08</x:v>
      </x:c>
      <x:c r="I70" s="72" t="n">
        <x:v>89.95</x:v>
      </x:c>
      <x:c r="J70" s="72" t="n">
        <x:v>90.2</x:v>
      </x:c>
      <x:c r="K70" s="72" t="n">
        <x:v>91</x:v>
      </x:c>
      <x:c r="L70" s="72" t="n">
        <x:v>90</x:v>
      </x:c>
      <x:c r="M70" s="72" t="n">
        <x:v>91</x:v>
      </x:c>
      <x:c r="N70" s="72" t="n">
        <x:v>88</x:v>
      </x:c>
      <x:c r="O70" s="72" t="n">
        <x:v>91</x:v>
      </x:c>
      <x:c r="P70" s="72" t="n">
        <x:v>87</x:v>
      </x:c>
      <x:c r="Q70" s="72" t="n">
        <x:v>9</x:v>
      </x:c>
      <x:c r="R70" s="40" t="str">
        <x:v>https://arxiv.org/abs/2607.20682</x:v>
      </x:c>
      <x:c r="S70" s="40" t="str">
        <x:v>Counterexamples clarify limits of kinetic Schauder theory; high robustness as negative results.</x:v>
      </x:c>
    </x:row>
    <x:row r="71" ht="38" customHeight="1">
      <x:c r="A71" s="40" t="n">
        <x:v>70</x:v>
      </x:c>
      <x:c r="B71" s="40" t="str">
        <x:v>2026-07</x:v>
      </x:c>
      <x:c r="C71" s="40" t="str">
        <x:v>2607.03602</x:v>
      </x:c>
      <x:c r="D71" s="40" t="str">
        <x:v>A remark on very weak suitable solutions and Leray solutions of Navier-Stokes equations</x:v>
      </x:c>
      <x:c r="E71" s="40" t="str">
        <x:v>Oscar Jarrín</x:v>
      </x:c>
      <x:c r="F71" s="40" t="str">
        <x:v>Navier-Stokes</x:v>
      </x:c>
      <x:c r="G71" s="40" t="n">
        <x:v>17</x:v>
      </x:c>
      <x:c r="H71" s="72" t="n">
        <x:v>90.07</x:v>
      </x:c>
      <x:c r="I71" s="72" t="n">
        <x:v>90.1</x:v>
      </x:c>
      <x:c r="J71" s="72" t="n">
        <x:v>90.05</x:v>
      </x:c>
      <x:c r="K71" s="72" t="n">
        <x:v>91</x:v>
      </x:c>
      <x:c r="L71" s="72" t="n">
        <x:v>89</x:v>
      </x:c>
      <x:c r="M71" s="72" t="n">
        <x:v>92</x:v>
      </x:c>
      <x:c r="N71" s="72" t="n">
        <x:v>88</x:v>
      </x:c>
      <x:c r="O71" s="72" t="n">
        <x:v>92</x:v>
      </x:c>
      <x:c r="P71" s="72" t="n">
        <x:v>88</x:v>
      </x:c>
      <x:c r="Q71" s="72" t="n">
        <x:v>13</x:v>
      </x:c>
      <x:c r="R71" s="40" t="str">
        <x:v>https://arxiv.org/abs/2607.03602</x:v>
      </x:c>
      <x:c r="S71" s="40" t="str">
        <x:v>Scored candidate from official July math.AP list; correctness not checked.</x:v>
      </x:c>
    </x:row>
    <x:row r="72" ht="38" customHeight="1">
      <x:c r="A72" s="40" t="n">
        <x:v>71</x:v>
      </x:c>
      <x:c r="B72" s="40" t="str">
        <x:v>2026-07</x:v>
      </x:c>
      <x:c r="C72" s="40" t="str">
        <x:v>2607.04918</x:v>
      </x:c>
      <x:c r="D72" s="40" t="str">
        <x:v>Global solutions to the Navier-Stokes equations with large vertical velocities</x:v>
      </x:c>
      <x:c r="E72" s="40" t="str">
        <x:v>Mikihiro Fujii</x:v>
      </x:c>
      <x:c r="F72" s="40" t="str">
        <x:v>Navier-Stokes</x:v>
      </x:c>
      <x:c r="G72" s="40" t="str">
        <x:v>-</x:v>
      </x:c>
      <x:c r="H72" s="72" t="n">
        <x:v>90.07</x:v>
      </x:c>
      <x:c r="I72" s="72" t="n">
        <x:v>90.1</x:v>
      </x:c>
      <x:c r="J72" s="72" t="n">
        <x:v>90.05</x:v>
      </x:c>
      <x:c r="K72" s="72" t="n">
        <x:v>91</x:v>
      </x:c>
      <x:c r="L72" s="72" t="n">
        <x:v>89</x:v>
      </x:c>
      <x:c r="M72" s="72" t="n">
        <x:v>92</x:v>
      </x:c>
      <x:c r="N72" s="72" t="n">
        <x:v>88</x:v>
      </x:c>
      <x:c r="O72" s="72" t="n">
        <x:v>92</x:v>
      </x:c>
      <x:c r="P72" s="72" t="n">
        <x:v>88</x:v>
      </x:c>
      <x:c r="Q72" s="72" t="n">
        <x:v>13</x:v>
      </x:c>
      <x:c r="R72" s="40" t="str">
        <x:v>https://arxiv.org/abs/2607.04918</x:v>
      </x:c>
      <x:c r="S72" s="40" t="str">
        <x:v>Scored candidate from official July math.AP list; correctness not checked.</x:v>
      </x:c>
    </x:row>
    <x:row r="73" ht="38" customHeight="1">
      <x:c r="A73" s="40" t="n">
        <x:v>72</x:v>
      </x:c>
      <x:c r="B73" s="40" t="str">
        <x:v>2026-08</x:v>
      </x:c>
      <x:c r="C73" s="40" t="str">
        <x:v>2608.05994</x:v>
      </x:c>
      <x:c r="D73" s="40" t="str">
        <x:v>The Prandtl-Batchelor and flux-expulsion selections for steady MHD flows in a disk</x:v>
      </x:c>
      <x:c r="E73" s="40" t="str">
        <x:v>Chen Gao; Zhiwu Lin; Jianfeng Zhao</x:v>
      </x:c>
      <x:c r="F73" s="40" t="str">
        <x:v>steady MHD</x:v>
      </x:c>
      <x:c r="G73" s="40" t="n">
        <x:v>76</x:v>
      </x:c>
      <x:c r="H73" s="72" t="n">
        <x:v>90.05</x:v>
      </x:c>
      <x:c r="I73" s="72" t="n">
        <x:v>90</x:v>
      </x:c>
      <x:c r="J73" s="72" t="n">
        <x:v>90.1</x:v>
      </x:c>
      <x:c r="K73" s="72" t="n">
        <x:v>91</x:v>
      </x:c>
      <x:c r="L73" s="72" t="n">
        <x:v>90</x:v>
      </x:c>
      <x:c r="M73" s="72" t="n">
        <x:v>92</x:v>
      </x:c>
      <x:c r="N73" s="72" t="n">
        <x:v>88</x:v>
      </x:c>
      <x:c r="O73" s="72" t="n">
        <x:v>92</x:v>
      </x:c>
      <x:c r="P73" s="72" t="n">
        <x:v>85</x:v>
      </x:c>
      <x:c r="Q73" s="72" t="n">
        <x:v>11</x:v>
      </x:c>
      <x:c r="R73" s="40" t="str">
        <x:v>https://arxiv.org/abs/2608.05994</x:v>
      </x:c>
      <x:c r="S73" s="40" t="str">
        <x:v>Large steady MHD selection result; strong fluid-mechanics relevance.</x:v>
      </x:c>
    </x:row>
    <x:row r="74" ht="38" customHeight="1">
      <x:c r="A74" s="40" t="n">
        <x:v>73</x:v>
      </x:c>
      <x:c r="B74" s="40" t="str">
        <x:v>2026-05</x:v>
      </x:c>
      <x:c r="C74" s="40" t="str">
        <x:v>2605.02034</x:v>
      </x:c>
      <x:c r="D74" s="40" t="str">
        <x:v>Serrin's overdetermined theorem and weak Bernoulli laws without Alt-Caffarelli regularity</x:v>
      </x:c>
      <x:c r="E74" s="40" t="str">
        <x:v>Yi Ru-Ya Zhang</x:v>
      </x:c>
      <x:c r="F74" s="40" t="str">
        <x:v>Free boundary / overdetermined problems</x:v>
      </x:c>
      <x:c r="G74" s="40" t="str">
        <x:v>55</x:v>
      </x:c>
      <x:c r="H74" s="72" t="n">
        <x:v>89.95</x:v>
      </x:c>
      <x:c r="I74" s="72" t="n">
        <x:v>90.3</x:v>
      </x:c>
      <x:c r="J74" s="72" t="n">
        <x:v>89.6</x:v>
      </x:c>
      <x:c r="K74" s="72" t="str">
        <x:v>92.1</x:v>
      </x:c>
      <x:c r="L74" s="72" t="str">
        <x:v>91.1</x:v>
      </x:c>
      <x:c r="M74" s="72" t="str">
        <x:v>91.1</x:v>
      </x:c>
      <x:c r="N74" s="72" t="str">
        <x:v>87.2</x:v>
      </x:c>
      <x:c r="O74" s="72" t="str">
        <x:v>91.2</x:v>
      </x:c>
      <x:c r="P74" s="72" t="str">
        <x:v>86</x:v>
      </x:c>
      <x:c r="Q74" s="72" t="str">
        <x:v>14</x:v>
      </x:c>
      <x:c r="R74" s="40" t="str">
        <x:v>https://arxiv.org/abs/2605.02034</x:v>
      </x:c>
      <x:c r="S74" s="40" t="str">
        <x:v>三轮复核后与原表基本一致</x:v>
      </x:c>
    </x:row>
    <x:row r="75" ht="38" customHeight="1">
      <x:c r="A75" s="40" t="n">
        <x:v>74</x:v>
      </x:c>
      <x:c r="B75" s="40" t="str">
        <x:v>2026-07</x:v>
      </x:c>
      <x:c r="C75" s="40" t="str">
        <x:v>2607.24053</x:v>
      </x:c>
      <x:c r="D75" s="40" t="str">
        <x:v>On a free boundary problem of the Boltzmann equation</x:v>
      </x:c>
      <x:c r="E75" s="40" t="str">
        <x:v>Shengchuang Chang; Renjun Duan; Shuangqian Liu</x:v>
      </x:c>
      <x:c r="F75" s="40" t="str">
        <x:v>kinetic free boundary</x:v>
      </x:c>
      <x:c r="G75" s="40" t="n">
        <x:v>71</x:v>
      </x:c>
      <x:c r="H75" s="72" t="n">
        <x:v>89.95</x:v>
      </x:c>
      <x:c r="I75" s="72" t="n">
        <x:v>89.8</x:v>
      </x:c>
      <x:c r="J75" s="72" t="n">
        <x:v>90.1</x:v>
      </x:c>
      <x:c r="K75" s="72" t="n">
        <x:v>91</x:v>
      </x:c>
      <x:c r="L75" s="72" t="n">
        <x:v>89</x:v>
      </x:c>
      <x:c r="M75" s="72" t="n">
        <x:v>93</x:v>
      </x:c>
      <x:c r="N75" s="72" t="n">
        <x:v>87</x:v>
      </x:c>
      <x:c r="O75" s="72" t="n">
        <x:v>93</x:v>
      </x:c>
      <x:c r="P75" s="72" t="n">
        <x:v>84</x:v>
      </x:c>
      <x:c r="Q75" s="72" t="n">
        <x:v>12</x:v>
      </x:c>
      <x:c r="R75" s="40" t="str">
        <x:v>https://arxiv.org/abs/2607.24053</x:v>
      </x:c>
      <x:c r="S75" s="40" t="str">
        <x:v>Large kinetic free-boundary paper; strong technical load.</x:v>
      </x:c>
    </x:row>
    <x:row r="76" ht="38" customHeight="1">
      <x:c r="A76" s="40" t="n">
        <x:v>75</x:v>
      </x:c>
      <x:c r="B76" s="40" t="str">
        <x:v>2026-07</x:v>
      </x:c>
      <x:c r="C76" s="40" t="str">
        <x:v>2607.09619</x:v>
      </x:c>
      <x:c r="D76" s="40" t="str">
        <x:v>On rotated backwards self-similar solutions of the incompressible 3D Navier-Stokes equations</x:v>
      </x:c>
      <x:c r="E76" s="40" t="str">
        <x:v>Ben Pineau; Vlad Vicol</x:v>
      </x:c>
      <x:c r="F76" s="40" t="str">
        <x:v>Navier-Stokes / self-similarity</x:v>
      </x:c>
      <x:c r="G76" s="40" t="n">
        <x:v>37</x:v>
      </x:c>
      <x:c r="H76" s="72" t="n">
        <x:v>89.92</x:v>
      </x:c>
      <x:c r="I76" s="72" t="n">
        <x:v>89.9</x:v>
      </x:c>
      <x:c r="J76" s="72" t="n">
        <x:v>89.95</x:v>
      </x:c>
      <x:c r="K76" s="72" t="n">
        <x:v>91</x:v>
      </x:c>
      <x:c r="L76" s="72" t="n">
        <x:v>90</x:v>
      </x:c>
      <x:c r="M76" s="72" t="n">
        <x:v>92</x:v>
      </x:c>
      <x:c r="N76" s="72" t="n">
        <x:v>88</x:v>
      </x:c>
      <x:c r="O76" s="72" t="n">
        <x:v>92</x:v>
      </x:c>
      <x:c r="P76" s="72" t="n">
        <x:v>84</x:v>
      </x:c>
      <x:c r="Q76" s="72" t="n">
        <x:v>11</x:v>
      </x:c>
      <x:c r="R76" s="40" t="str">
        <x:v>https://arxiv.org/abs/2607.09619</x:v>
      </x:c>
      <x:c r="S76" s="40" t="str">
        <x:v>Strong authorship and high conceptual relevance; arXiv id in source row 189 is 2607.09619.</x:v>
      </x:c>
    </x:row>
    <x:row r="77" ht="38" customHeight="1">
      <x:c r="A77" s="40" t="n">
        <x:v>76</x:v>
      </x:c>
      <x:c r="B77" s="40" t="str">
        <x:v>2026-08</x:v>
      </x:c>
      <x:c r="C77" s="40" t="str">
        <x:v>2608.04402</x:v>
      </x:c>
      <x:c r="D77" s="40" t="str">
        <x:v>Long-Time Dynamics and Modified Scattering for Coulomb Vlasov-Hartree</x:v>
      </x:c>
      <x:c r="E77" s="40" t="str">
        <x:v>Wenrui Huang; Mengyi Xie</x:v>
      </x:c>
      <x:c r="F77" s="40" t="str">
        <x:v>Vlasov-Hartree/scattering</x:v>
      </x:c>
      <x:c r="G77" s="40" t="str">
        <x:v>-</x:v>
      </x:c>
      <x:c r="H77" s="72" t="n">
        <x:v>89.92</x:v>
      </x:c>
      <x:c r="I77" s="72" t="n">
        <x:v>89.8</x:v>
      </x:c>
      <x:c r="J77" s="72" t="n">
        <x:v>90.05</x:v>
      </x:c>
      <x:c r="K77" s="72" t="n">
        <x:v>91</x:v>
      </x:c>
      <x:c r="L77" s="72" t="n">
        <x:v>89</x:v>
      </x:c>
      <x:c r="M77" s="72" t="n">
        <x:v>92</x:v>
      </x:c>
      <x:c r="N77" s="72" t="n">
        <x:v>88</x:v>
      </x:c>
      <x:c r="O77" s="72" t="n">
        <x:v>92</x:v>
      </x:c>
      <x:c r="P77" s="72" t="n">
        <x:v>85</x:v>
      </x:c>
      <x:c r="Q77" s="72" t="n">
        <x:v>10</x:v>
      </x:c>
      <x:c r="R77" s="40" t="str">
        <x:v>https://arxiv.org/abs/2608.04402</x:v>
      </x:c>
      <x:c r="S77" s="40" t="str">
        <x:v>Modified scattering and long-time dynamics in Coulomb Vlasov-Hartree.</x:v>
      </x:c>
    </x:row>
    <x:row r="78" ht="38" customHeight="1">
      <x:c r="A78" s="40" t="n">
        <x:v>77</x:v>
      </x:c>
      <x:c r="B78" s="40" t="str">
        <x:v>2026-07</x:v>
      </x:c>
      <x:c r="C78" s="40" t="str">
        <x:v>2607.09189</x:v>
      </x:c>
      <x:c r="D78" s="40" t="str">
        <x:v>Global dynamics of viscous gaseous stars in a physical vacuum</x:v>
      </x:c>
      <x:c r="E78" s="40" t="str">
        <x:v>Demin Wang; Jiawen Zhang; Shengguo Zhu</x:v>
      </x:c>
      <x:c r="F78" s="40" t="str">
        <x:v>free-boundary compressible fluids</x:v>
      </x:c>
      <x:c r="G78" s="40" t="n">
        <x:v>73</x:v>
      </x:c>
      <x:c r="H78" s="72" t="n">
        <x:v>89.88</x:v>
      </x:c>
      <x:c r="I78" s="72" t="n">
        <x:v>90.05</x:v>
      </x:c>
      <x:c r="J78" s="72" t="n">
        <x:v>89.7</x:v>
      </x:c>
      <x:c r="K78" s="72" t="n">
        <x:v>92</x:v>
      </x:c>
      <x:c r="L78" s="72" t="n">
        <x:v>89</x:v>
      </x:c>
      <x:c r="M78" s="72" t="n">
        <x:v>94</x:v>
      </x:c>
      <x:c r="N78" s="72" t="n">
        <x:v>87</x:v>
      </x:c>
      <x:c r="O78" s="72" t="n">
        <x:v>94</x:v>
      </x:c>
      <x:c r="P78" s="72" t="n">
        <x:v>81</x:v>
      </x:c>
      <x:c r="Q78" s="72" t="n">
        <x:v>15</x:v>
      </x:c>
      <x:c r="R78" s="40" t="str">
        <x:v>https://arxiv.org/abs/2607.09189</x:v>
      </x:c>
      <x:c r="S78" s="40" t="str">
        <x:v>Large physical-vacuum dynamics paper; text-overlap note reduces robustness slightly.</x:v>
      </x:c>
    </x:row>
    <x:row r="79" ht="38" customHeight="1">
      <x:c r="A79" s="40" t="n">
        <x:v>78</x:v>
      </x:c>
      <x:c r="B79" s="40" t="str">
        <x:v>2026-05</x:v>
      </x:c>
      <x:c r="C79" s="40" t="str">
        <x:v>2605.01933</x:v>
      </x:c>
      <x:c r="D79" s="40" t="str">
        <x:v>A sharp hypocoercive entropy decay estimate for underdamped Langevin dynamics</x:v>
      </x:c>
      <x:c r="E79" s="40" t="str">
        <x:v>Jianfeng Lu</x:v>
      </x:c>
      <x:c r="F79" s="40" t="str">
        <x:v>Hypocoercivity / Langevin</x:v>
      </x:c>
      <x:c r="G79" s="40" t="str">
        <x:v>25</x:v>
      </x:c>
      <x:c r="H79" s="72" t="n">
        <x:v>89.85</x:v>
      </x:c>
      <x:c r="I79" s="72" t="n">
        <x:v>90.16</x:v>
      </x:c>
      <x:c r="J79" s="72" t="n">
        <x:v>89.54</x:v>
      </x:c>
      <x:c r="K79" s="72" t="str">
        <x:v>91.1</x:v>
      </x:c>
      <x:c r="L79" s="72" t="str">
        <x:v>90.1</x:v>
      </x:c>
      <x:c r="M79" s="72" t="str">
        <x:v>91.1</x:v>
      </x:c>
      <x:c r="N79" s="72" t="str">
        <x:v>88.2</x:v>
      </x:c>
      <x:c r="O79" s="72" t="str">
        <x:v>90.2</x:v>
      </x:c>
      <x:c r="P79" s="72" t="str">
        <x:v>88</x:v>
      </x:c>
      <x:c r="Q79" s="72" t="str">
        <x:v>13.1</x:v>
      </x:c>
      <x:c r="R79" s="40" t="str">
        <x:v>https://arxiv.org/abs/2605.01933</x:v>
      </x:c>
      <x:c r="S79" s="40" t="str">
        <x:v>三轮复核后与原表基本一致</x:v>
      </x:c>
    </x:row>
    <x:row r="80" ht="38" customHeight="1">
      <x:c r="A80" s="40" t="n">
        <x:v>79</x:v>
      </x:c>
      <x:c r="B80" s="40" t="str">
        <x:v>2026-06</x:v>
      </x:c>
      <x:c r="C80" s="40" t="str">
        <x:v>2606.04960</x:v>
      </x:c>
      <x:c r="D80" s="40" t="str">
        <x:v>Stationary Vlasov-Poisson-Boltzmann system in a convex domain</x:v>
      </x:c>
      <x:c r="E80" s="40" t="str">
        <x:v>Hongxu Chen; Jiaxin Jin</x:v>
      </x:c>
      <x:c r="F80" s="40" t="str">
        <x:v>kinetic boundary PDE</x:v>
      </x:c>
      <x:c r="G80" s="40" t="str">
        <x:v>88</x:v>
      </x:c>
      <x:c r="H80" s="72" t="n">
        <x:v>89.85</x:v>
      </x:c>
      <x:c r="I80" s="72" t="n">
        <x:v>89.74</x:v>
      </x:c>
      <x:c r="J80" s="72" t="n">
        <x:v>89.95</x:v>
      </x:c>
      <x:c r="K80" s="72" t="str">
        <x:v>91</x:v>
      </x:c>
      <x:c r="L80" s="72" t="str">
        <x:v>89</x:v>
      </x:c>
      <x:c r="M80" s="72" t="str">
        <x:v>92.1</x:v>
      </x:c>
      <x:c r="N80" s="72" t="str">
        <x:v>86.8</x:v>
      </x:c>
      <x:c r="O80" s="72" t="str">
        <x:v>92.1</x:v>
      </x:c>
      <x:c r="P80" s="72" t="str">
        <x:v>86</x:v>
      </x:c>
      <x:c r="Q80" s="72" t="str">
        <x:v>12</x:v>
      </x:c>
      <x:c r="R80" s="40" t="str">
        <x:v>https://arxiv.org/abs/2606.04960</x:v>
      </x:c>
      <x:c r="S80" s="40" t="str">
        <x:v>范围偏专门，广度轻微回调</x:v>
      </x:c>
    </x:row>
    <x:row r="81" ht="38" customHeight="1">
      <x:c r="A81" s="40" t="n">
        <x:v>80</x:v>
      </x:c>
      <x:c r="B81" s="40" t="str">
        <x:v>2026-07</x:v>
      </x:c>
      <x:c r="C81" s="40" t="str">
        <x:v>2607.17501</x:v>
      </x:c>
      <x:c r="D81" s="40" t="str">
        <x:v>Unique inversion of smooth nonlinearity in semilinear wave equations on Lorentzian manifolds</x:v>
      </x:c>
      <x:c r="E81" s="40" t="str">
        <x:v>Xi Chen; Shuai Lu; Ruochong Zhang</x:v>
      </x:c>
      <x:c r="F81" s="40" t="str">
        <x:v>inverse problems / waves</x:v>
      </x:c>
      <x:c r="G81" s="40" t="str">
        <x:v>-</x:v>
      </x:c>
      <x:c r="H81" s="72" t="n">
        <x:v>89.85</x:v>
      </x:c>
      <x:c r="I81" s="72" t="n">
        <x:v>89.9</x:v>
      </x:c>
      <x:c r="J81" s="72" t="n">
        <x:v>89.8</x:v>
      </x:c>
      <x:c r="K81" s="72" t="n">
        <x:v>91</x:v>
      </x:c>
      <x:c r="L81" s="72" t="n">
        <x:v>90</x:v>
      </x:c>
      <x:c r="M81" s="72" t="n">
        <x:v>92</x:v>
      </x:c>
      <x:c r="N81" s="72" t="n">
        <x:v>88</x:v>
      </x:c>
      <x:c r="O81" s="72" t="n">
        <x:v>92</x:v>
      </x:c>
      <x:c r="P81" s="72" t="n">
        <x:v>84</x:v>
      </x:c>
      <x:c r="Q81" s="72" t="n">
        <x:v>12</x:v>
      </x:c>
      <x:c r="R81" s="40" t="str">
        <x:v>https://arxiv.org/abs/2607.17501</x:v>
      </x:c>
      <x:c r="S81" s="40" t="str">
        <x:v>Nonlinear inverse problem on Lorentzian manifolds; strong breadth.</x:v>
      </x:c>
    </x:row>
    <x:row r="82" ht="38" customHeight="1">
      <x:c r="A82" s="40" t="n">
        <x:v>81</x:v>
      </x:c>
      <x:c r="B82" s="40" t="str">
        <x:v>2026-06</x:v>
      </x:c>
      <x:c r="C82" s="40" t="str">
        <x:v>2606.29468</x:v>
      </x:c>
      <x:c r="D82" s="40" t="str">
        <x:v>On potential Type II blowups for the Navier-Stokes equations</x:v>
      </x:c>
      <x:c r="E82" s="40" t="str">
        <x:v>Gregory Seregin</x:v>
      </x:c>
      <x:c r="F82" s="40" t="str">
        <x:v>Navier-Stokes blow-up</x:v>
      </x:c>
      <x:c r="G82" s="40" t="str">
        <x:v>14</x:v>
      </x:c>
      <x:c r="H82" s="72" t="n">
        <x:v>89.82</x:v>
      </x:c>
      <x:c r="I82" s="72" t="n">
        <x:v>90.22</x:v>
      </x:c>
      <x:c r="J82" s="72" t="n">
        <x:v>89.41</x:v>
      </x:c>
      <x:c r="K82" s="72" t="str">
        <x:v>94.1</x:v>
      </x:c>
      <x:c r="L82" s="72" t="str">
        <x:v>87.9</x:v>
      </x:c>
      <x:c r="M82" s="72" t="str">
        <x:v>90.9</x:v>
      </x:c>
      <x:c r="N82" s="72" t="str">
        <x:v>87.9</x:v>
      </x:c>
      <x:c r="O82" s="72" t="str">
        <x:v>92</x:v>
      </x:c>
      <x:c r="P82" s="72" t="str">
        <x:v>85</x:v>
      </x:c>
      <x:c r="Q82" s="72" t="str">
        <x:v>11.3</x:v>
      </x:c>
      <x:c r="R82" s="40" t="str">
        <x:v>https://arxiv.org/abs/2606.29468</x:v>
      </x:c>
      <x:c r="S82" s="40" t="str">
        <x:v>系列/续篇按重叠性校准；短文且非框架性题材，技术残差轻微回调</x:v>
      </x:c>
    </x:row>
    <x:row r="83" ht="38" customHeight="1">
      <x:c r="A83" s="40" t="n">
        <x:v>82</x:v>
      </x:c>
      <x:c r="B83" s="40" t="str">
        <x:v>2026-07</x:v>
      </x:c>
      <x:c r="C83" s="40" t="str">
        <x:v>2607.20395</x:v>
      </x:c>
      <x:c r="D83" s="40" t="str">
        <x:v>Well-posedness of a Hele-Shaw problem in general dimensions</x:v>
      </x:c>
      <x:c r="E83" s="40" t="str">
        <x:v>Olga Turanova; Yuming Paul Zhang</x:v>
      </x:c>
      <x:c r="F83" s="40" t="str">
        <x:v>free-boundary PDE</x:v>
      </x:c>
      <x:c r="G83" s="40" t="n">
        <x:v>30</x:v>
      </x:c>
      <x:c r="H83" s="72" t="n">
        <x:v>89.77</x:v>
      </x:c>
      <x:c r="I83" s="72" t="n">
        <x:v>89.65</x:v>
      </x:c>
      <x:c r="J83" s="72" t="n">
        <x:v>89.9</x:v>
      </x:c>
      <x:c r="K83" s="72" t="n">
        <x:v>91</x:v>
      </x:c>
      <x:c r="L83" s="72" t="n">
        <x:v>89</x:v>
      </x:c>
      <x:c r="M83" s="72" t="n">
        <x:v>92</x:v>
      </x:c>
      <x:c r="N83" s="72" t="n">
        <x:v>87</x:v>
      </x:c>
      <x:c r="O83" s="72" t="n">
        <x:v>92</x:v>
      </x:c>
      <x:c r="P83" s="72" t="n">
        <x:v>85</x:v>
      </x:c>
      <x:c r="Q83" s="72" t="n">
        <x:v>11</x:v>
      </x:c>
      <x:c r="R83" s="40" t="str">
        <x:v>https://arxiv.org/abs/2607.20395</x:v>
      </x:c>
      <x:c r="S83" s="40" t="str">
        <x:v>General-dimensional Hele-Shaw well-posedness; significant free-boundary result.</x:v>
      </x:c>
    </x:row>
    <x:row r="84" ht="38" customHeight="1">
      <x:c r="A84" s="40" t="n">
        <x:v>83</x:v>
      </x:c>
      <x:c r="B84" s="40" t="str">
        <x:v>2026-05</x:v>
      </x:c>
      <x:c r="C84" s="40" t="str">
        <x:v>2605.03732</x:v>
      </x:c>
      <x:c r="D84" s="40" t="str">
        <x:v>Sharp Stability for the Affine Fractional Sobolev Inequality</x:v>
      </x:c>
      <x:c r="E84" s="40" t="str">
        <x:v>Song Fan; Gui-Dong Li; Jianjun Zhang</x:v>
      </x:c>
      <x:c r="F84" s="40" t="str">
        <x:v>Functional inequalities</x:v>
      </x:c>
      <x:c r="G84" s="40" t="str"/>
      <x:c r="H84" s="72" t="n">
        <x:v>89.75</x:v>
      </x:c>
      <x:c r="I84" s="72" t="n">
        <x:v>89.85</x:v>
      </x:c>
      <x:c r="J84" s="72" t="n">
        <x:v>89.65</x:v>
      </x:c>
      <x:c r="K84" s="72" t="str">
        <x:v>91</x:v>
      </x:c>
      <x:c r="L84" s="72" t="str">
        <x:v>90.1</x:v>
      </x:c>
      <x:c r="M84" s="72" t="str">
        <x:v>91</x:v>
      </x:c>
      <x:c r="N84" s="72" t="str">
        <x:v>87.2</x:v>
      </x:c>
      <x:c r="O84" s="72" t="str">
        <x:v>91.1</x:v>
      </x:c>
      <x:c r="P84" s="72" t="str">
        <x:v>87</x:v>
      </x:c>
      <x:c r="Q84" s="72" t="str">
        <x:v>13</x:v>
      </x:c>
      <x:c r="R84" s="40" t="str">
        <x:v>https://arxiv.org/abs/2605.03732</x:v>
      </x:c>
      <x:c r="S84" s="40" t="str">
        <x:v>三轮复核后与原表基本一致</x:v>
      </x:c>
    </x:row>
    <x:row r="85" ht="38" customHeight="1">
      <x:c r="A85" s="40" t="n">
        <x:v>84</x:v>
      </x:c>
      <x:c r="B85" s="40" t="str">
        <x:v>2026-07</x:v>
      </x:c>
      <x:c r="C85" s="40" t="str">
        <x:v>2607.01587</x:v>
      </x:c>
      <x:c r="D85" s="40" t="str">
        <x:v>On the Critical One Components Regularity for the 3-D Navier-Stokes System</x:v>
      </x:c>
      <x:c r="E85" s="40" t="str">
        <x:v>Wei Luo; Zhanyang Yin; Pei Zheng</x:v>
      </x:c>
      <x:c r="F85" s="40" t="str">
        <x:v>Navier-Stokes</x:v>
      </x:c>
      <x:c r="G85" s="40" t="str">
        <x:v>-</x:v>
      </x:c>
      <x:c r="H85" s="72" t="n">
        <x:v>89.68</x:v>
      </x:c>
      <x:c r="I85" s="72" t="n">
        <x:v>89.65</x:v>
      </x:c>
      <x:c r="J85" s="72" t="n">
        <x:v>89.7</x:v>
      </x:c>
      <x:c r="K85" s="72" t="n">
        <x:v>91</x:v>
      </x:c>
      <x:c r="L85" s="72" t="n">
        <x:v>88</x:v>
      </x:c>
      <x:c r="M85" s="72" t="n">
        <x:v>92</x:v>
      </x:c>
      <x:c r="N85" s="72" t="n">
        <x:v>87</x:v>
      </x:c>
      <x:c r="O85" s="72" t="n">
        <x:v>92</x:v>
      </x:c>
      <x:c r="P85" s="72" t="n">
        <x:v>87</x:v>
      </x:c>
      <x:c r="Q85" s="72" t="n">
        <x:v>13</x:v>
      </x:c>
      <x:c r="R85" s="40" t="str">
        <x:v>https://arxiv.org/abs/2607.01587</x:v>
      </x:c>
      <x:c r="S85" s="40" t="str">
        <x:v>Scored candidate from official July math.AP list; correctness not checked.</x:v>
      </x:c>
    </x:row>
    <x:row r="86" ht="38" customHeight="1">
      <x:c r="A86" s="40" t="n">
        <x:v>85</x:v>
      </x:c>
      <x:c r="B86" s="40" t="str">
        <x:v>2026-07</x:v>
      </x:c>
      <x:c r="C86" s="40" t="str">
        <x:v>2607.00658</x:v>
      </x:c>
      <x:c r="D86" s="40" t="str">
        <x:v>Asynchronous exponential growth for structured population models in measure space</x:v>
      </x:c>
      <x:c r="E86" s="40" t="str">
        <x:v>Christian Düll; József Z. Farkas; Piotr Gwiazda; Anna Marciniak-Czochra</x:v>
      </x:c>
      <x:c r="F86" s="40" t="str">
        <x:v>structured populations</x:v>
      </x:c>
      <x:c r="G86" s="40" t="str">
        <x:v>-</x:v>
      </x:c>
      <x:c r="H86" s="72" t="n">
        <x:v>89.67</x:v>
      </x:c>
      <x:c r="I86" s="72" t="n">
        <x:v>89.65</x:v>
      </x:c>
      <x:c r="J86" s="72" t="n">
        <x:v>89.7</x:v>
      </x:c>
      <x:c r="K86" s="72" t="n">
        <x:v>90</x:v>
      </x:c>
      <x:c r="L86" s="72" t="n">
        <x:v>89</x:v>
      </x:c>
      <x:c r="M86" s="72" t="n">
        <x:v>91</x:v>
      </x:c>
      <x:c r="N86" s="72" t="n">
        <x:v>88</x:v>
      </x:c>
      <x:c r="O86" s="72" t="n">
        <x:v>91</x:v>
      </x:c>
      <x:c r="P86" s="72" t="n">
        <x:v>89</x:v>
      </x:c>
      <x:c r="Q86" s="72" t="n">
        <x:v>13</x:v>
      </x:c>
      <x:c r="R86" s="40" t="str">
        <x:v>https://arxiv.org/abs/2607.00658</x:v>
      </x:c>
      <x:c r="S86" s="40" t="str">
        <x:v>Scored candidate from official July math.AP list; correctness not checked.</x:v>
      </x:c>
    </x:row>
    <x:row r="87" ht="38" customHeight="1">
      <x:c r="A87" s="40" t="n">
        <x:v>86</x:v>
      </x:c>
      <x:c r="B87" s="40" t="str">
        <x:v>2026-07</x:v>
      </x:c>
      <x:c r="C87" s="40" t="str">
        <x:v>2607.01857</x:v>
      </x:c>
      <x:c r="D87" s="40" t="str">
        <x:v>Refined blow-up criteria and global solutions for triangular cross-diffusion systems</x:v>
      </x:c>
      <x:c r="E87" s="40" t="str">
        <x:v>Alexandre Bertolino</x:v>
      </x:c>
      <x:c r="F87" s="40" t="str">
        <x:v>cross-diffusion</x:v>
      </x:c>
      <x:c r="G87" s="40" t="str">
        <x:v>-</x:v>
      </x:c>
      <x:c r="H87" s="72" t="n">
        <x:v>89.67</x:v>
      </x:c>
      <x:c r="I87" s="72" t="n">
        <x:v>89.65</x:v>
      </x:c>
      <x:c r="J87" s="72" t="n">
        <x:v>89.7</x:v>
      </x:c>
      <x:c r="K87" s="72" t="n">
        <x:v>90</x:v>
      </x:c>
      <x:c r="L87" s="72" t="n">
        <x:v>89</x:v>
      </x:c>
      <x:c r="M87" s="72" t="n">
        <x:v>91</x:v>
      </x:c>
      <x:c r="N87" s="72" t="n">
        <x:v>88</x:v>
      </x:c>
      <x:c r="O87" s="72" t="n">
        <x:v>91</x:v>
      </x:c>
      <x:c r="P87" s="72" t="n">
        <x:v>89</x:v>
      </x:c>
      <x:c r="Q87" s="72" t="n">
        <x:v>13</x:v>
      </x:c>
      <x:c r="R87" s="40" t="str">
        <x:v>https://arxiv.org/abs/2607.01857</x:v>
      </x:c>
      <x:c r="S87" s="40" t="str">
        <x:v>Scored candidate from official July math.AP list; correctness not checked.</x:v>
      </x:c>
    </x:row>
    <x:row r="88" ht="38" customHeight="1">
      <x:c r="A88" s="40" t="n">
        <x:v>87</x:v>
      </x:c>
      <x:c r="B88" s="40" t="str">
        <x:v>2026-07</x:v>
      </x:c>
      <x:c r="C88" s="40" t="str">
        <x:v>2607.02910</x:v>
      </x:c>
      <x:c r="D88" s="40" t="str">
        <x:v>An Asymptotic Mean Value Characterization for the Regularized p-Laplacian</x:v>
      </x:c>
      <x:c r="E88" s="40" t="str">
        <x:v>Behrooz Moosavi Ramezanzadeh</x:v>
      </x:c>
      <x:c r="F88" s="40" t="str">
        <x:v>p-Laplacian</x:v>
      </x:c>
      <x:c r="G88" s="40" t="str">
        <x:v>-</x:v>
      </x:c>
      <x:c r="H88" s="72" t="n">
        <x:v>89.67</x:v>
      </x:c>
      <x:c r="I88" s="72" t="n">
        <x:v>89.65</x:v>
      </x:c>
      <x:c r="J88" s="72" t="n">
        <x:v>89.7</x:v>
      </x:c>
      <x:c r="K88" s="72" t="n">
        <x:v>90</x:v>
      </x:c>
      <x:c r="L88" s="72" t="n">
        <x:v>89</x:v>
      </x:c>
      <x:c r="M88" s="72" t="n">
        <x:v>91</x:v>
      </x:c>
      <x:c r="N88" s="72" t="n">
        <x:v>88</x:v>
      </x:c>
      <x:c r="O88" s="72" t="n">
        <x:v>91</x:v>
      </x:c>
      <x:c r="P88" s="72" t="n">
        <x:v>89</x:v>
      </x:c>
      <x:c r="Q88" s="72" t="n">
        <x:v>13</x:v>
      </x:c>
      <x:c r="R88" s="40" t="str">
        <x:v>https://arxiv.org/abs/2607.02910</x:v>
      </x:c>
      <x:c r="S88" s="40" t="str">
        <x:v>Scored candidate from official July math.AP list; correctness not checked.</x:v>
      </x:c>
    </x:row>
    <x:row r="89" ht="38" customHeight="1">
      <x:c r="A89" s="40" t="n">
        <x:v>88</x:v>
      </x:c>
      <x:c r="B89" s="40" t="str">
        <x:v>2026-07</x:v>
      </x:c>
      <x:c r="C89" s="40" t="str">
        <x:v>2607.03667</x:v>
      </x:c>
      <x:c r="D89" s="40" t="str">
        <x:v>Holder maps under Pfaffian constraints</x:v>
      </x:c>
      <x:c r="E89" s="40" t="str">
        <x:v>Armin Schikorra</x:v>
      </x:c>
      <x:c r="F89" s="40" t="str">
        <x:v>geometric analysis</x:v>
      </x:c>
      <x:c r="G89" s="40" t="str">
        <x:v>-</x:v>
      </x:c>
      <x:c r="H89" s="72" t="n">
        <x:v>89.67</x:v>
      </x:c>
      <x:c r="I89" s="72" t="n">
        <x:v>89.65</x:v>
      </x:c>
      <x:c r="J89" s="72" t="n">
        <x:v>89.7</x:v>
      </x:c>
      <x:c r="K89" s="72" t="n">
        <x:v>90</x:v>
      </x:c>
      <x:c r="L89" s="72" t="n">
        <x:v>89</x:v>
      </x:c>
      <x:c r="M89" s="72" t="n">
        <x:v>91</x:v>
      </x:c>
      <x:c r="N89" s="72" t="n">
        <x:v>88</x:v>
      </x:c>
      <x:c r="O89" s="72" t="n">
        <x:v>91</x:v>
      </x:c>
      <x:c r="P89" s="72" t="n">
        <x:v>89</x:v>
      </x:c>
      <x:c r="Q89" s="72" t="n">
        <x:v>13</x:v>
      </x:c>
      <x:c r="R89" s="40" t="str">
        <x:v>https://arxiv.org/abs/2607.03667</x:v>
      </x:c>
      <x:c r="S89" s="40" t="str">
        <x:v>Scored candidate from official July math.AP list; correctness not checked.</x:v>
      </x:c>
    </x:row>
    <x:row r="90" ht="38" customHeight="1">
      <x:c r="A90" s="40" t="n">
        <x:v>89</x:v>
      </x:c>
      <x:c r="B90" s="40" t="str">
        <x:v>2026-07</x:v>
      </x:c>
      <x:c r="C90" s="40" t="str">
        <x:v>2607.04604</x:v>
      </x:c>
      <x:c r="D90" s="40" t="str">
        <x:v>Gevrey instability in the inviscid inflow-outflow problem</x:v>
      </x:c>
      <x:c r="E90" s="40" t="str">
        <x:v>Igor Kukavica; Wojciech Ozanski; Qi Xu</x:v>
      </x:c>
      <x:c r="F90" s="40" t="str">
        <x:v>fluid instability</x:v>
      </x:c>
      <x:c r="G90" s="40" t="n">
        <x:v>25</x:v>
      </x:c>
      <x:c r="H90" s="72" t="n">
        <x:v>89.67</x:v>
      </x:c>
      <x:c r="I90" s="72" t="n">
        <x:v>89.65</x:v>
      </x:c>
      <x:c r="J90" s="72" t="n">
        <x:v>89.7</x:v>
      </x:c>
      <x:c r="K90" s="72" t="n">
        <x:v>90</x:v>
      </x:c>
      <x:c r="L90" s="72" t="n">
        <x:v>89</x:v>
      </x:c>
      <x:c r="M90" s="72" t="n">
        <x:v>91</x:v>
      </x:c>
      <x:c r="N90" s="72" t="n">
        <x:v>88</x:v>
      </x:c>
      <x:c r="O90" s="72" t="n">
        <x:v>91</x:v>
      </x:c>
      <x:c r="P90" s="72" t="n">
        <x:v>89</x:v>
      </x:c>
      <x:c r="Q90" s="72" t="n">
        <x:v>13</x:v>
      </x:c>
      <x:c r="R90" s="40" t="str">
        <x:v>https://arxiv.org/abs/2607.04604</x:v>
      </x:c>
      <x:c r="S90" s="40" t="str">
        <x:v>Scored candidate from official July math.AP list; correctness not checked.</x:v>
      </x:c>
    </x:row>
    <x:row r="91" ht="38" customHeight="1">
      <x:c r="A91" s="40" t="n">
        <x:v>90</x:v>
      </x:c>
      <x:c r="B91" s="40" t="str">
        <x:v>2026-07</x:v>
      </x:c>
      <x:c r="C91" s="40" t="str">
        <x:v>2607.07024</x:v>
      </x:c>
      <x:c r="D91" s="40" t="str">
        <x:v>Linear Stability and Jacobi Kernels of Three-Dimensional Sessile Drops</x:v>
      </x:c>
      <x:c r="E91" s="40" t="str">
        <x:v>Xiaoding Yang</x:v>
      </x:c>
      <x:c r="F91" s="40" t="str">
        <x:v>capillary geometry</x:v>
      </x:c>
      <x:c r="G91" s="40" t="str">
        <x:v>-</x:v>
      </x:c>
      <x:c r="H91" s="72" t="n">
        <x:v>89.67</x:v>
      </x:c>
      <x:c r="I91" s="72" t="n">
        <x:v>89.65</x:v>
      </x:c>
      <x:c r="J91" s="72" t="n">
        <x:v>89.7</x:v>
      </x:c>
      <x:c r="K91" s="72" t="n">
        <x:v>90</x:v>
      </x:c>
      <x:c r="L91" s="72" t="n">
        <x:v>89</x:v>
      </x:c>
      <x:c r="M91" s="72" t="n">
        <x:v>91</x:v>
      </x:c>
      <x:c r="N91" s="72" t="n">
        <x:v>88</x:v>
      </x:c>
      <x:c r="O91" s="72" t="n">
        <x:v>91</x:v>
      </x:c>
      <x:c r="P91" s="72" t="n">
        <x:v>89</x:v>
      </x:c>
      <x:c r="Q91" s="72" t="n">
        <x:v>13</x:v>
      </x:c>
      <x:c r="R91" s="40" t="str">
        <x:v>https://arxiv.org/abs/2607.07024</x:v>
      </x:c>
      <x:c r="S91" s="40" t="str">
        <x:v>Scored candidate from official July math.AP list; correctness not checked.</x:v>
      </x:c>
    </x:row>
    <x:row r="92" ht="38" customHeight="1">
      <x:c r="A92" s="40" t="n">
        <x:v>91</x:v>
      </x:c>
      <x:c r="B92" s="40" t="str">
        <x:v>2026-07</x:v>
      </x:c>
      <x:c r="C92" s="40" t="str">
        <x:v>2607.12159</x:v>
      </x:c>
      <x:c r="D92" s="40" t="str">
        <x:v>Homothetic Self-Similar Solutions to Incompressible Navier-Stokes</x:v>
      </x:c>
      <x:c r="E92" s="40" t="str">
        <x:v>Tim Binz; Matei P. Coiculescu</x:v>
      </x:c>
      <x:c r="F92" s="40" t="str">
        <x:v>Navier-Stokes / self-similarity</x:v>
      </x:c>
      <x:c r="G92" s="40" t="n">
        <x:v>49</x:v>
      </x:c>
      <x:c r="H92" s="72" t="n">
        <x:v>89.65</x:v>
      </x:c>
      <x:c r="I92" s="72" t="n">
        <x:v>89.55</x:v>
      </x:c>
      <x:c r="J92" s="72" t="n">
        <x:v>89.75</x:v>
      </x:c>
      <x:c r="K92" s="72" t="n">
        <x:v>91</x:v>
      </x:c>
      <x:c r="L92" s="72" t="n">
        <x:v>89</x:v>
      </x:c>
      <x:c r="M92" s="72" t="n">
        <x:v>92</x:v>
      </x:c>
      <x:c r="N92" s="72" t="n">
        <x:v>87</x:v>
      </x:c>
      <x:c r="O92" s="72" t="n">
        <x:v>92</x:v>
      </x:c>
      <x:c r="P92" s="72" t="n">
        <x:v>84</x:v>
      </x:c>
      <x:c r="Q92" s="72" t="n">
        <x:v>11</x:v>
      </x:c>
      <x:c r="R92" s="40" t="str">
        <x:v>https://arxiv.org/abs/2607.12159</x:v>
      </x:c>
      <x:c r="S92" s="40" t="str">
        <x:v>Self-similar construction in Navier-Stokes; conceptually central theme.</x:v>
      </x:c>
    </x:row>
    <x:row r="93" ht="38" customHeight="1">
      <x:c r="A93" s="40" t="n">
        <x:v>92</x:v>
      </x:c>
      <x:c r="B93" s="40" t="str">
        <x:v>2026-08</x:v>
      </x:c>
      <x:c r="C93" s="40" t="str">
        <x:v>2608.00438</x:v>
      </x:c>
      <x:c r="D93" s="40" t="str">
        <x:v>Homogenization of viscous sublinear Hamilton-Jacobi equations with u/epsilon-dependence</x:v>
      </x:c>
      <x:c r="E93" s="40" t="str">
        <x:v>Guyu Jin</x:v>
      </x:c>
      <x:c r="F93" s="40" t="str">
        <x:v>Hamilton-Jacobi homogenization</x:v>
      </x:c>
      <x:c r="G93" s="40" t="n">
        <x:v>47</x:v>
      </x:c>
      <x:c r="H93" s="72" t="n">
        <x:v>89.6</x:v>
      </x:c>
      <x:c r="I93" s="72" t="n">
        <x:v>89.5</x:v>
      </x:c>
      <x:c r="J93" s="72" t="n">
        <x:v>89.7</x:v>
      </x:c>
      <x:c r="K93" s="72" t="n">
        <x:v>91</x:v>
      </x:c>
      <x:c r="L93" s="72" t="n">
        <x:v>89</x:v>
      </x:c>
      <x:c r="M93" s="72" t="n">
        <x:v>91</x:v>
      </x:c>
      <x:c r="N93" s="72" t="n">
        <x:v>87</x:v>
      </x:c>
      <x:c r="O93" s="72" t="n">
        <x:v>91</x:v>
      </x:c>
      <x:c r="P93" s="72" t="n">
        <x:v>86</x:v>
      </x:c>
      <x:c r="Q93" s="72" t="n">
        <x:v>10</x:v>
      </x:c>
      <x:c r="R93" s="40" t="str">
        <x:v>https://arxiv.org/abs/2608.00438</x:v>
      </x:c>
      <x:c r="S93" s="40" t="str">
        <x:v>Strong homogenization contribution with nonstandard dependence.</x:v>
      </x:c>
    </x:row>
    <x:row r="94" ht="38" customHeight="1">
      <x:c r="A94" s="40" t="n">
        <x:v>93</x:v>
      </x:c>
      <x:c r="B94" s="40" t="str">
        <x:v>2026-06</x:v>
      </x:c>
      <x:c r="C94" s="40" t="str">
        <x:v>2606.22355</x:v>
      </x:c>
      <x:c r="D94" s="40" t="str">
        <x:v>Uncountably many non-rotationally symmetric type II ancient Yamabe flows on the sphere</x:v>
      </x:c>
      <x:c r="E94" s="40" t="str">
        <x:v>Haixia Chen; Seunghyeok Kim; Monica Musso</x:v>
      </x:c>
      <x:c r="F94" s="40" t="str">
        <x:v>Yamabe flow/geometric PDE</x:v>
      </x:c>
      <x:c r="G94" s="40" t="str"/>
      <x:c r="H94" s="72" t="n">
        <x:v>89.58</x:v>
      </x:c>
      <x:c r="I94" s="72" t="n">
        <x:v>89.67</x:v>
      </x:c>
      <x:c r="J94" s="72" t="n">
        <x:v>89.48</x:v>
      </x:c>
      <x:c r="K94" s="72" t="str">
        <x:v>91</x:v>
      </x:c>
      <x:c r="L94" s="72" t="str">
        <x:v>90.9</x:v>
      </x:c>
      <x:c r="M94" s="72" t="str">
        <x:v>91</x:v>
      </x:c>
      <x:c r="N94" s="72" t="str">
        <x:v>86.9</x:v>
      </x:c>
      <x:c r="O94" s="72" t="str">
        <x:v>91</x:v>
      </x:c>
      <x:c r="P94" s="72" t="str">
        <x:v>84</x:v>
      </x:c>
      <x:c r="Q94" s="72" t="str">
        <x:v>12</x:v>
      </x:c>
      <x:c r="R94" s="40" t="str">
        <x:v>https://arxiv.org/abs/2606.22355</x:v>
      </x:c>
      <x:c r="S94" s="40" t="str">
        <x:v>系列/续篇按重叠性校准</x:v>
      </x:c>
    </x:row>
    <x:row r="95" ht="38" customHeight="1">
      <x:c r="A95" s="40" t="n">
        <x:v>94</x:v>
      </x:c>
      <x:c r="B95" s="40" t="str">
        <x:v>2026-06</x:v>
      </x:c>
      <x:c r="C95" s="40" t="str">
        <x:v>2606.02811</x:v>
      </x:c>
      <x:c r="D95" s="40" t="str">
        <x:v>Navier-Stokes Equations in Complex Space</x:v>
      </x:c>
      <x:c r="E95" s="40" t="str">
        <x:v>Nikolai Nadirashvili</x:v>
      </x:c>
      <x:c r="F95" s="40" t="str">
        <x:v>Navier-Stokes/complex variables</x:v>
      </x:c>
      <x:c r="G95" s="40" t="str"/>
      <x:c r="H95" s="72" t="n">
        <x:v>89.56</x:v>
      </x:c>
      <x:c r="I95" s="72" t="n">
        <x:v>89.61</x:v>
      </x:c>
      <x:c r="J95" s="72" t="n">
        <x:v>89.5</x:v>
      </x:c>
      <x:c r="K95" s="72" t="str">
        <x:v>91.1</x:v>
      </x:c>
      <x:c r="L95" s="72" t="str">
        <x:v>91</x:v>
      </x:c>
      <x:c r="M95" s="72" t="str">
        <x:v>90.1</x:v>
      </x:c>
      <x:c r="N95" s="72" t="str">
        <x:v>87</x:v>
      </x:c>
      <x:c r="O95" s="72" t="str">
        <x:v>91.1</x:v>
      </x:c>
      <x:c r="P95" s="72" t="str">
        <x:v>85</x:v>
      </x:c>
      <x:c r="Q95" s="72" t="str">
        <x:v>12</x:v>
      </x:c>
      <x:c r="R95" s="40" t="str">
        <x:v>https://arxiv.org/abs/2606.02811</x:v>
      </x:c>
      <x:c r="S95" s="40" t="str">
        <x:v>三轮复核后与原表基本一致</x:v>
      </x:c>
    </x:row>
    <x:row r="96" ht="38" customHeight="1">
      <x:c r="A96" s="40" t="n">
        <x:v>95</x:v>
      </x:c>
      <x:c r="B96" s="40" t="str">
        <x:v>2026-06</x:v>
      </x:c>
      <x:c r="C96" s="40" t="str">
        <x:v>2606.11055</x:v>
      </x:c>
      <x:c r="D96" s="40" t="str">
        <x:v>Exponential mixing and enhanced dissipation on the unit sphere with Rossby-Haurwitz flows</x:v>
      </x:c>
      <x:c r="E96" s="40" t="str">
        <x:v>Augusto Del Zotto; Marc Nualart</x:v>
      </x:c>
      <x:c r="F96" s="40" t="str">
        <x:v>mixing/enhanced dissipation</x:v>
      </x:c>
      <x:c r="G96" s="40" t="str">
        <x:v>84</x:v>
      </x:c>
      <x:c r="H96" s="72" t="n">
        <x:v>89.55</x:v>
      </x:c>
      <x:c r="I96" s="72" t="n">
        <x:v>89.44</x:v>
      </x:c>
      <x:c r="J96" s="72" t="n">
        <x:v>89.65</x:v>
      </x:c>
      <x:c r="K96" s="72" t="str">
        <x:v>89.9</x:v>
      </x:c>
      <x:c r="L96" s="72" t="str">
        <x:v>91</x:v>
      </x:c>
      <x:c r="M96" s="72" t="str">
        <x:v>91</x:v>
      </x:c>
      <x:c r="N96" s="72" t="str">
        <x:v>86.8</x:v>
      </x:c>
      <x:c r="O96" s="72" t="str">
        <x:v>91</x:v>
      </x:c>
      <x:c r="P96" s="72" t="str">
        <x:v>85</x:v>
      </x:c>
      <x:c r="Q96" s="72" t="str">
        <x:v>12</x:v>
      </x:c>
      <x:c r="R96" s="40" t="str">
        <x:v>https://arxiv.org/abs/2606.11055</x:v>
      </x:c>
      <x:c r="S96" s="40" t="str">
        <x:v>范围偏专门，广度轻微回调</x:v>
      </x:c>
    </x:row>
    <x:row r="97" ht="38" customHeight="1">
      <x:c r="A97" s="40" t="n">
        <x:v>96</x:v>
      </x:c>
      <x:c r="B97" s="40" t="str">
        <x:v>2026-06</x:v>
      </x:c>
      <x:c r="C97" s="40" t="str">
        <x:v>2606.15168</x:v>
      </x:c>
      <x:c r="D97" s="40" t="str">
        <x:v>Long-time asymptotics and invariant manifold for fractional 2D Navier-Stokes equation</x:v>
      </x:c>
      <x:c r="E97" s="40" t="str">
        <x:v>Jingchi Huang; Dandan Li; Shuai Zhang</x:v>
      </x:c>
      <x:c r="F97" s="40" t="str">
        <x:v>fractional Navier-Stokes</x:v>
      </x:c>
      <x:c r="G97" s="40" t="str">
        <x:v>44</x:v>
      </x:c>
      <x:c r="H97" s="72" t="n">
        <x:v>89.55</x:v>
      </x:c>
      <x:c r="I97" s="72" t="n">
        <x:v>89.6</x:v>
      </x:c>
      <x:c r="J97" s="72" t="n">
        <x:v>89.5</x:v>
      </x:c>
      <x:c r="K97" s="72" t="str">
        <x:v>91.1</x:v>
      </x:c>
      <x:c r="L97" s="72" t="str">
        <x:v>89.1</x:v>
      </x:c>
      <x:c r="M97" s="72" t="str">
        <x:v>91.1</x:v>
      </x:c>
      <x:c r="N97" s="72" t="str">
        <x:v>87.2</x:v>
      </x:c>
      <x:c r="O97" s="72" t="str">
        <x:v>91.2</x:v>
      </x:c>
      <x:c r="P97" s="72" t="str">
        <x:v>86</x:v>
      </x:c>
      <x:c r="Q97" s="72" t="str">
        <x:v>12</x:v>
      </x:c>
      <x:c r="R97" s="40" t="str">
        <x:v>https://arxiv.org/abs/2606.15168</x:v>
      </x:c>
      <x:c r="S97" s="40" t="str">
        <x:v>三轮复核后与原表基本一致</x:v>
      </x:c>
    </x:row>
    <x:row r="98" ht="38" customHeight="1">
      <x:c r="A98" s="40" t="n">
        <x:v>97</x:v>
      </x:c>
      <x:c r="B98" s="40" t="str">
        <x:v>2026-08</x:v>
      </x:c>
      <x:c r="C98" s="40" t="str">
        <x:v>2608.06173</x:v>
      </x:c>
      <x:c r="D98" s="40" t="str">
        <x:v>Vanishing viscosity limit to two interacting shocks from the same family for compressible Navier-Stokes equations</x:v>
      </x:c>
      <x:c r="E98" s="40" t="str">
        <x:v>Lin-An Li; Dehua Wang; Yi Wang</x:v>
      </x:c>
      <x:c r="F98" s="40" t="str">
        <x:v>compressible Navier-Stokes/shocks</x:v>
      </x:c>
      <x:c r="G98" s="40" t="str">
        <x:v>-</x:v>
      </x:c>
      <x:c r="H98" s="72" t="n">
        <x:v>89.5</x:v>
      </x:c>
      <x:c r="I98" s="72" t="n">
        <x:v>89.25</x:v>
      </x:c>
      <x:c r="J98" s="72" t="n">
        <x:v>89.75</x:v>
      </x:c>
      <x:c r="K98" s="72" t="n">
        <x:v>90</x:v>
      </x:c>
      <x:c r="L98" s="72" t="n">
        <x:v>89</x:v>
      </x:c>
      <x:c r="M98" s="72" t="n">
        <x:v>92</x:v>
      </x:c>
      <x:c r="N98" s="72" t="n">
        <x:v>87</x:v>
      </x:c>
      <x:c r="O98" s="72" t="n">
        <x:v>92</x:v>
      </x:c>
      <x:c r="P98" s="72" t="n">
        <x:v>84</x:v>
      </x:c>
      <x:c r="Q98" s="72" t="n">
        <x:v>11</x:v>
      </x:c>
      <x:c r="R98" s="40" t="str">
        <x:v>https://arxiv.org/abs/2608.06173</x:v>
      </x:c>
      <x:c r="S98" s="40" t="str">
        <x:v>Difficult shock interaction limit for compressible NS.</x:v>
      </x:c>
    </x:row>
    <x:row r="99" ht="38" customHeight="1">
      <x:c r="A99" s="40" t="n">
        <x:v>98</x:v>
      </x:c>
      <x:c r="B99" s="40" t="str">
        <x:v>2026-06</x:v>
      </x:c>
      <x:c r="C99" s="40" t="str">
        <x:v>2606.09657</x:v>
      </x:c>
      <x:c r="D99" s="40" t="str">
        <x:v>Benjamin-Feir spectrum of hydroelastic Stokes waves</x:v>
      </x:c>
      <x:c r="E99" s="40" t="str">
        <x:v>Ting-Yang Hsiao; Zirui Li; Ye Zhang; Chengbin Zhu</x:v>
      </x:c>
      <x:c r="F99" s="40" t="str">
        <x:v>water waves/spectral</x:v>
      </x:c>
      <x:c r="G99" s="40" t="str">
        <x:v>55</x:v>
      </x:c>
      <x:c r="H99" s="72" t="n">
        <x:v>89.38</x:v>
      </x:c>
      <x:c r="I99" s="72" t="n">
        <x:v>89.3</x:v>
      </x:c>
      <x:c r="J99" s="72" t="n">
        <x:v>89.45</x:v>
      </x:c>
      <x:c r="K99" s="72" t="str">
        <x:v>90</x:v>
      </x:c>
      <x:c r="L99" s="72" t="str">
        <x:v>90</x:v>
      </x:c>
      <x:c r="M99" s="72" t="str">
        <x:v>91</x:v>
      </x:c>
      <x:c r="N99" s="72" t="str">
        <x:v>87</x:v>
      </x:c>
      <x:c r="O99" s="72" t="str">
        <x:v>91</x:v>
      </x:c>
      <x:c r="P99" s="72" t="str">
        <x:v>85</x:v>
      </x:c>
      <x:c r="Q99" s="72" t="str">
        <x:v>12</x:v>
      </x:c>
      <x:c r="R99" s="40" t="str">
        <x:v>https://arxiv.org/abs/2606.09657</x:v>
      </x:c>
      <x:c r="S99" s="40" t="str">
        <x:v>三轮复核后与原表基本一致</x:v>
      </x:c>
    </x:row>
    <x:row r="100" ht="38" customHeight="1">
      <x:c r="A100" s="40" t="n">
        <x:v>99</x:v>
      </x:c>
      <x:c r="B100" s="40" t="str">
        <x:v>2026-06</x:v>
      </x:c>
      <x:c r="C100" s="40" t="str">
        <x:v>2606.06729</x:v>
      </x:c>
      <x:c r="D100" s="40" t="str">
        <x:v>Determination of radial nonlocal nonlinearities from the scattering map</x:v>
      </x:c>
      <x:c r="E100" s="40" t="str">
        <x:v>Luccas Campos; Rowan Killip; Jason Murphy; Monica Visan</x:v>
      </x:c>
      <x:c r="F100" s="40" t="str">
        <x:v>inverse scattering/dispersive</x:v>
      </x:c>
      <x:c r="G100" s="40" t="str">
        <x:v>12</x:v>
      </x:c>
      <x:c r="H100" s="72" t="n">
        <x:v>89.37</x:v>
      </x:c>
      <x:c r="I100" s="72" t="n">
        <x:v>89.39</x:v>
      </x:c>
      <x:c r="J100" s="72" t="n">
        <x:v>89.34</x:v>
      </x:c>
      <x:c r="K100" s="72" t="str">
        <x:v>89.9</x:v>
      </x:c>
      <x:c r="L100" s="72" t="str">
        <x:v>91</x:v>
      </x:c>
      <x:c r="M100" s="72" t="str">
        <x:v>89.8</x:v>
      </x:c>
      <x:c r="N100" s="72" t="str">
        <x:v>87.8</x:v>
      </x:c>
      <x:c r="O100" s="72" t="str">
        <x:v>89.9</x:v>
      </x:c>
      <x:c r="P100" s="72" t="str">
        <x:v>86</x:v>
      </x:c>
      <x:c r="Q100" s="72" t="str">
        <x:v>11.3</x:v>
      </x:c>
      <x:c r="R100" s="40" t="str">
        <x:v>https://arxiv.org/abs/2606.06729</x:v>
      </x:c>
      <x:c r="S100" s="40" t="str">
        <x:v>范围偏专门，广度轻微回调；短文且非框架性题材，技术残差轻微回调</x:v>
      </x:c>
    </x:row>
    <x:row r="101" ht="38" customHeight="1">
      <x:c r="A101" s="40" t="n">
        <x:v>100</x:v>
      </x:c>
      <x:c r="B101" s="40" t="str">
        <x:v>2026-07</x:v>
      </x:c>
      <x:c r="C101" s="40" t="str">
        <x:v>2607.03342</x:v>
      </x:c>
      <x:c r="D101" s="40" t="str">
        <x:v>Level sets of fractional Sobolev functions</x:v>
      </x:c>
      <x:c r="E101" s="40" t="str">
        <x:v>Camillo De Lellis; Ming-Yuan Chang; Svitlana Mayboroda</x:v>
      </x:c>
      <x:c r="F101" s="40" t="str">
        <x:v>fractional Sobolev / regularity</x:v>
      </x:c>
      <x:c r="G101" s="40" t="n">
        <x:v>26</x:v>
      </x:c>
      <x:c r="H101" s="72" t="n">
        <x:v>89.35</x:v>
      </x:c>
      <x:c r="I101" s="72" t="n">
        <x:v>89.15</x:v>
      </x:c>
      <x:c r="J101" s="72" t="n">
        <x:v>89.55</x:v>
      </x:c>
      <x:c r="K101" s="72" t="n">
        <x:v>90</x:v>
      </x:c>
      <x:c r="L101" s="72" t="n">
        <x:v>90</x:v>
      </x:c>
      <x:c r="M101" s="72" t="n">
        <x:v>90</x:v>
      </x:c>
      <x:c r="N101" s="72" t="n">
        <x:v>87</x:v>
      </x:c>
      <x:c r="O101" s="72" t="n">
        <x:v>90</x:v>
      </x:c>
      <x:c r="P101" s="72" t="n">
        <x:v>86</x:v>
      </x:c>
      <x:c r="Q101" s="72" t="n">
        <x:v>9</x:v>
      </x:c>
      <x:c r="R101" s="40" t="str">
        <x:v>https://arxiv.org/abs/2607.03342</x:v>
      </x:c>
      <x:c r="S101" s="40" t="str">
        <x:v>Short but potentially influential regularity/measure-theoretic result.</x:v>
      </x:c>
    </x:row>
  </x:sheetData>
  <x:conditionalFormatting sqref="Q2:Q1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b71d63277ef498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4" hidden="0" customWidth="1"/>
    <x:col min="5" max="5" width="48" hidden="0" customWidth="1"/>
    <x:col min="6" max="6" width="30" hidden="0" customWidth="1"/>
    <x:col min="7" max="7" width="24" hidden="0" customWidth="1"/>
    <x:col min="8" max="8" width="8" hidden="0" customWidth="1"/>
    <x:col min="9" max="9" width="10" hidden="0" customWidth="1"/>
    <x:col min="10" max="10" width="10" hidden="0" customWidth="1"/>
    <x:col min="11" max="11" width="10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30" hidden="0" customWidth="1"/>
    <x:col min="20" max="20" width="48" hidden="0" customWidth="1"/>
  </x:cols>
  <x:sheetData>
    <x:row r="1" ht="30" customHeight="1">
      <x:c r="A1" s="125" t="str">
        <x:v>OverallRank_5_8</x:v>
      </x:c>
      <x:c r="B1" s="125" t="str">
        <x:v>Month</x:v>
      </x:c>
      <x:c r="C1" s="125" t="str">
        <x:v>MonthRank</x:v>
      </x:c>
      <x:c r="D1" s="125" t="str">
        <x:v>arXiv</x:v>
      </x:c>
      <x:c r="E1" s="125" t="str">
        <x:v>Title</x:v>
      </x:c>
      <x:c r="F1" s="125" t="str">
        <x:v>Authors</x:v>
      </x:c>
      <x:c r="G1" s="125" t="str">
        <x:v>Theme</x:v>
      </x:c>
      <x:c r="H1" s="125" t="str">
        <x:v>Pages</x:v>
      </x:c>
      <x:c r="I1" s="125" t="str">
        <x:v>S_eq</x:v>
      </x:c>
      <x:c r="J1" s="125" t="str">
        <x:v>V</x:v>
      </x:c>
      <x:c r="K1" s="125" t="str">
        <x:v>S_H</x:v>
      </x:c>
      <x:c r="L1" s="125" t="str">
        <x:v>I</x:v>
      </x:c>
      <x:c r="M1" s="125" t="str">
        <x:v>O</x:v>
      </x:c>
      <x:c r="N1" s="125" t="str">
        <x:v>T</x:v>
      </x:c>
      <x:c r="O1" s="125" t="str">
        <x:v>B</x:v>
      </x:c>
      <x:c r="P1" s="125" t="str">
        <x:v>H</x:v>
      </x:c>
      <x:c r="Q1" s="125" t="str">
        <x:v>R</x:v>
      </x:c>
      <x:c r="R1" s="125" t="str">
        <x:v>AI_pct</x:v>
      </x:c>
      <x:c r="S1" s="125" t="str">
        <x:v>SourceURL</x:v>
      </x:c>
      <x:c r="T1" s="125" t="str">
        <x:v>综合判断</x:v>
      </x:c>
    </x:row>
    <x:row r="2" ht="28" customHeight="1">
      <x:c r="A2" s="129" t="n">
        <x:v>1</x:v>
      </x:c>
      <x:c r="B2" s="129" t="str">
        <x:v>2026-06</x:v>
      </x:c>
      <x:c r="C2" s="129" t="n">
        <x:v>1</x:v>
      </x:c>
      <x:c r="D2" s="129" t="str">
        <x:v>2606.28008</x:v>
      </x:c>
      <x:c r="E2" s="128" t="str">
        <x:v>(Non-)Linear waves on asymptotically flat spacetimes. II: trapping, bound states, nonlinear applications</x:v>
      </x:c>
      <x:c r="F2" s="128" t="str">
        <x:v>Peter Hintz</x:v>
      </x:c>
      <x:c r="G2" s="128" t="str">
        <x:v>GR/nonlinear waves</x:v>
      </x:c>
      <x:c r="H2" s="129" t="str">
        <x:v>285</x:v>
      </x:c>
      <x:c r="I2" s="130" t="n">
        <x:v>95.8</x:v>
      </x:c>
      <x:c r="J2" s="130" t="n">
        <x:v>96.17</x:v>
      </x:c>
      <x:c r="K2" s="130" t="n">
        <x:v>95.43</x:v>
      </x:c>
      <x:c r="L2" s="130" t="n">
        <x:v>99</x:v>
      </x:c>
      <x:c r="M2" s="130" t="n">
        <x:v>95.7</x:v>
      </x:c>
      <x:c r="N2" s="130" t="n">
        <x:v>99.3</x:v>
      </x:c>
      <x:c r="O2" s="130" t="n">
        <x:v>92.7</x:v>
      </x:c>
      <x:c r="P2" s="130" t="n">
        <x:v>99.1</x:v>
      </x:c>
      <x:c r="Q2" s="130" t="n">
        <x:v>86</x:v>
      </x:c>
      <x:c r="R2" s="130" t="n">
        <x:v>8</x:v>
      </x:c>
      <x:c r="S2" s="128" t="str">
        <x:v>https://arxiv.org/abs/2606.28008</x:v>
      </x:c>
      <x:c r="T2" s="128" t="str">
        <x:v>系列/续篇按重叠性校准；285页大型框架，仍为六月第一；因系列论文属性轻微压低原创性/广度。</x:v>
      </x:c>
    </x:row>
    <x:row r="3" ht="28" customHeight="1">
      <x:c r="A3" s="129" t="n">
        <x:v>2</x:v>
      </x:c>
      <x:c r="B3" s="129" t="str">
        <x:v>2026-05</x:v>
      </x:c>
      <x:c r="C3" s="129" t="n">
        <x:v>1</x:v>
      </x:c>
      <x:c r="D3" s="129" t="str">
        <x:v>2605.00808</x:v>
      </x:c>
      <x:c r="E3" s="128" t="str">
        <x:v>Smooth and stable Euler implosions</x:v>
      </x:c>
      <x:c r="F3" s="128" t="str">
        <x:v>Jiajie Chen; Steve Shkoller; Vlad Vicol</x:v>
      </x:c>
      <x:c r="G3" s="128" t="str">
        <x:v>Fluid singularities / Euler</x:v>
      </x:c>
      <x:c r="H3" s="129" t="str">
        <x:v>153</x:v>
      </x:c>
      <x:c r="I3" s="130" t="n">
        <x:v>95.36</x:v>
      </x:c>
      <x:c r="J3" s="130" t="n">
        <x:v>95.98</x:v>
      </x:c>
      <x:c r="K3" s="130" t="n">
        <x:v>94.74</x:v>
      </x:c>
      <x:c r="L3" s="130" t="n">
        <x:v>99.2</x:v>
      </x:c>
      <x:c r="M3" s="130" t="n">
        <x:v>96.1</x:v>
      </x:c>
      <x:c r="N3" s="130" t="n">
        <x:v>98.3</x:v>
      </x:c>
      <x:c r="O3" s="130" t="n">
        <x:v>92.2</x:v>
      </x:c>
      <x:c r="P3" s="130" t="n">
        <x:v>98.2</x:v>
      </x:c>
      <x:c r="Q3" s="130" t="n">
        <x:v>86</x:v>
      </x:c>
      <x:c r="R3" s="130" t="n">
        <x:v>10</x:v>
      </x:c>
      <x:c r="S3" s="128" t="str">
        <x:v>https://arxiv.org/abs/2605.00808</x:v>
      </x:c>
      <x:c r="T3" s="128" t="str">
        <x:v>稳定光滑Euler implosion构造在跨月比较中保持最高层级。</x:v>
      </x:c>
    </x:row>
    <x:row r="4" ht="28" customHeight="1">
      <x:c r="A4" s="129" t="n">
        <x:v>3</x:v>
      </x:c>
      <x:c r="B4" s="129" t="str">
        <x:v>2026-05</x:v>
      </x:c>
      <x:c r="C4" s="129" t="n">
        <x:v>2</x:v>
      </x:c>
      <x:c r="D4" s="129" t="str">
        <x:v>2605.15130</x:v>
      </x:c>
      <x:c r="E4" s="128" t="str">
        <x:v>Asymptotically Self-Similar Blowup for 3D Incompressible Euler with C^{1,1/3-} Velocity II: 3D Profiles, Blowup, and Limiting Behavior</x:v>
      </x:c>
      <x:c r="F4" s="128" t="str">
        <x:v>Jiajie Chen</x:v>
      </x:c>
      <x:c r="G4" s="128" t="str">
        <x:v>Fluid singularities / Euler</x:v>
      </x:c>
      <x:c r="H4" s="129" t="str">
        <x:v>133</x:v>
      </x:c>
      <x:c r="I4" s="130" t="n">
        <x:v>94.32</x:v>
      </x:c>
      <x:c r="J4" s="130" t="n">
        <x:v>94.82</x:v>
      </x:c>
      <x:c r="K4" s="130" t="n">
        <x:v>93.81</x:v>
      </x:c>
      <x:c r="L4" s="130" t="n">
        <x:v>98.1</x:v>
      </x:c>
      <x:c r="M4" s="130" t="n">
        <x:v>94.7</x:v>
      </x:c>
      <x:c r="N4" s="130" t="n">
        <x:v>97.3</x:v>
      </x:c>
      <x:c r="O4" s="130" t="n">
        <x:v>90.8</x:v>
      </x:c>
      <x:c r="P4" s="130" t="n">
        <x:v>97.2</x:v>
      </x:c>
      <x:c r="Q4" s="130" t="n">
        <x:v>85</x:v>
      </x:c>
      <x:c r="R4" s="130" t="n">
        <x:v>10</x:v>
      </x:c>
      <x:c r="S4" s="128" t="str">
        <x:v>https://arxiv.org/abs/2605.15130</x:v>
      </x:c>
      <x:c r="T4" s="128" t="str">
        <x:v>系列/续篇按重叠性校准；Part II 属于大型Euler blow-up program，略按系列重叠校准。</x:v>
      </x:c>
    </x:row>
    <x:row r="5" ht="28" customHeight="1">
      <x:c r="A5" s="129" t="n">
        <x:v>4</x:v>
      </x:c>
      <x:c r="B5" s="129" t="str">
        <x:v>2026-06</x:v>
      </x:c>
      <x:c r="C5" s="129" t="n">
        <x:v>2</x:v>
      </x:c>
      <x:c r="D5" s="129" t="str">
        <x:v>2606.27658</x:v>
      </x:c>
      <x:c r="E5" s="128" t="str">
        <x:v>Constraint damping on subextremal Kerr spacetimes</x:v>
      </x:c>
      <x:c r="F5" s="128" t="str">
        <x:v>Peter Hintz</x:v>
      </x:c>
      <x:c r="G5" s="128" t="str">
        <x:v>Kerr/GR hyperbolic PDE</x:v>
      </x:c>
      <x:c r="H5" s="129" t="str">
        <x:v>100</x:v>
      </x:c>
      <x:c r="I5" s="130" t="n">
        <x:v>94.22</x:v>
      </x:c>
      <x:c r="J5" s="130" t="n">
        <x:v>94.48</x:v>
      </x:c>
      <x:c r="K5" s="130" t="n">
        <x:v>93.95</x:v>
      </x:c>
      <x:c r="L5" s="130" t="n">
        <x:v>97.1</x:v>
      </x:c>
      <x:c r="M5" s="130" t="n">
        <x:v>94</x:v>
      </x:c>
      <x:c r="N5" s="130" t="n">
        <x:v>97.2</x:v>
      </x:c>
      <x:c r="O5" s="130" t="n">
        <x:v>91</x:v>
      </x:c>
      <x:c r="P5" s="130" t="n">
        <x:v>97.2</x:v>
      </x:c>
      <x:c r="Q5" s="130" t="n">
        <x:v>86</x:v>
      </x:c>
      <x:c r="R5" s="130" t="n">
        <x:v>9</x:v>
      </x:c>
      <x:c r="S5" s="128" t="str">
        <x:v>https://arxiv.org/abs/2606.27658</x:v>
      </x:c>
      <x:c r="T5" s="128" t="str">
        <x:v>三轮复核后与原表基本一致</x:v>
      </x:c>
    </x:row>
    <x:row r="6" ht="28" customHeight="1">
      <x:c r="A6" s="129" t="n">
        <x:v>5</x:v>
      </x:c>
      <x:c r="B6" s="129" t="str">
        <x:v>2026-06</x:v>
      </x:c>
      <x:c r="C6" s="129" t="n">
        <x:v>3</x:v>
      </x:c>
      <x:c r="D6" s="129" t="str">
        <x:v>2606.04449</x:v>
      </x:c>
      <x:c r="E6" s="128" t="str">
        <x:v>Construction of multi-bubble solutions for the energy-critical wave equation in dimension four</x:v>
      </x:c>
      <x:c r="F6" s="128" t="str">
        <x:v>Jingyuan Gu; Jacek Jendrej; Lifeng Zhao</x:v>
      </x:c>
      <x:c r="G6" s="128" t="str">
        <x:v>nonlinear wave blow-up</x:v>
      </x:c>
      <x:c r="H6" s="129" t="str">
        <x:v>90</x:v>
      </x:c>
      <x:c r="I6" s="130" t="n">
        <x:v>93.96</x:v>
      </x:c>
      <x:c r="J6" s="130" t="n">
        <x:v>94.01</x:v>
      </x:c>
      <x:c r="K6" s="130" t="n">
        <x:v>93.9</x:v>
      </x:c>
      <x:c r="L6" s="130" t="n">
        <x:v>96.1</x:v>
      </x:c>
      <x:c r="M6" s="130" t="n">
        <x:v>94</x:v>
      </x:c>
      <x:c r="N6" s="130" t="n">
        <x:v>97.1</x:v>
      </x:c>
      <x:c r="O6" s="130" t="n">
        <x:v>90</x:v>
      </x:c>
      <x:c r="P6" s="130" t="n">
        <x:v>97.1</x:v>
      </x:c>
      <x:c r="Q6" s="130" t="n">
        <x:v>86</x:v>
      </x:c>
      <x:c r="R6" s="130" t="n">
        <x:v>9</x:v>
      </x:c>
      <x:c r="S6" s="128" t="str">
        <x:v>https://arxiv.org/abs/2606.04449</x:v>
      </x:c>
      <x:c r="T6" s="128" t="str">
        <x:v>三轮复核后与原表基本一致</x:v>
      </x:c>
    </x:row>
    <x:row r="7" ht="28" customHeight="1">
      <x:c r="A7" s="129" t="n">
        <x:v>6</x:v>
      </x:c>
      <x:c r="B7" s="129" t="str">
        <x:v>2026-05</x:v>
      </x:c>
      <x:c r="C7" s="129" t="n">
        <x:v>3</x:v>
      </x:c>
      <x:c r="D7" s="129" t="str">
        <x:v>2605.19143</x:v>
      </x:c>
      <x:c r="E7" s="128" t="str">
        <x:v>Weak cosmic censorship for the circularly symmetric Einstein-scalar field system in 2+1 dimensions</x:v>
      </x:c>
      <x:c r="F7" s="128" t="str">
        <x:v>Serban Cicortas</x:v>
      </x:c>
      <x:c r="G7" s="128" t="str">
        <x:v>Geometric hyperbolic PDE / GR</x:v>
      </x:c>
      <x:c r="H7" s="129" t="str">
        <x:v>65</x:v>
      </x:c>
      <x:c r="I7" s="130" t="n">
        <x:v>93.76</x:v>
      </x:c>
      <x:c r="J7" s="130" t="n">
        <x:v>94.27</x:v>
      </x:c>
      <x:c r="K7" s="130" t="n">
        <x:v>93.24</x:v>
      </x:c>
      <x:c r="L7" s="130" t="n">
        <x:v>98</x:v>
      </x:c>
      <x:c r="M7" s="130" t="n">
        <x:v>94.1</x:v>
      </x:c>
      <x:c r="N7" s="130" t="n">
        <x:v>96.1</x:v>
      </x:c>
      <x:c r="O7" s="130" t="n">
        <x:v>90.8</x:v>
      </x:c>
      <x:c r="P7" s="130" t="n">
        <x:v>96</x:v>
      </x:c>
      <x:c r="Q7" s="130" t="n">
        <x:v>84</x:v>
      </x:c>
      <x:c r="R7" s="130" t="n">
        <x:v>8</x:v>
      </x:c>
      <x:c r="S7" s="128" t="str">
        <x:v>https://arxiv.org/abs/2605.19143</x:v>
      </x:c>
      <x:c r="T7" s="128" t="str">
        <x:v>弱宇宙监督问题价值很高；因2+1圆对称模型范围略调低广度。</x:v>
      </x:c>
    </x:row>
    <x:row r="8" ht="28" customHeight="1">
      <x:c r="A8" s="129" t="n">
        <x:v>7</x:v>
      </x:c>
      <x:c r="B8" s="129" t="str">
        <x:v>2026-07</x:v>
      </x:c>
      <x:c r="C8" s="129" t="n">
        <x:v>1</x:v>
      </x:c>
      <x:c r="D8" s="129" t="str">
        <x:v>2607.10686</x:v>
      </x:c>
      <x:c r="E8" s="128" t="str">
        <x:v>Singular mean-field limits via a multiscale mollification metric</x:v>
      </x:c>
      <x:c r="F8" s="128" t="str">
        <x:v>Quoc Hung Nguyen; Sylvia Serfaty</x:v>
      </x:c>
      <x:c r="G8" s="128" t="str">
        <x:v>mean-field limits / Coulomb-type PDE</x:v>
      </x:c>
      <x:c r="H8" s="129" t="n">
        <x:v>105</x:v>
      </x:c>
      <x:c r="I8" s="130" t="n">
        <x:v>93.6</x:v>
      </x:c>
      <x:c r="J8" s="130" t="n">
        <x:v>94</x:v>
      </x:c>
      <x:c r="K8" s="130" t="n">
        <x:v>93.2</x:v>
      </x:c>
      <x:c r="L8" s="130" t="n">
        <x:v>96</x:v>
      </x:c>
      <x:c r="M8" s="130" t="n">
        <x:v>94</x:v>
      </x:c>
      <x:c r="N8" s="130" t="n">
        <x:v>96</x:v>
      </x:c>
      <x:c r="O8" s="130" t="n">
        <x:v>92</x:v>
      </x:c>
      <x:c r="P8" s="130" t="n">
        <x:v>96</x:v>
      </x:c>
      <x:c r="Q8" s="130" t="n">
        <x:v>86</x:v>
      </x:c>
      <x:c r="R8" s="130" t="n">
        <x:v>10</x:v>
      </x:c>
      <x:c r="S8" s="128" t="str">
        <x:v>https://arxiv.org/abs/2607.10686</x:v>
      </x:c>
      <x:c r="T8" s="128" t="str">
        <x:v>Large-scale singular mean-field limit framework; broad PDE/probability transfer.</x:v>
      </x:c>
    </x:row>
    <x:row r="9" ht="28" customHeight="1">
      <x:c r="A9" s="129" t="n">
        <x:v>8</x:v>
      </x:c>
      <x:c r="B9" s="129" t="str">
        <x:v>2026-05</x:v>
      </x:c>
      <x:c r="C9" s="129" t="n">
        <x:v>5</x:v>
      </x:c>
      <x:c r="D9" s="129" t="str">
        <x:v>2605.05041</x:v>
      </x:c>
      <x:c r="E9" s="128" t="str">
        <x:v>An Optimal Regularity Theory for Immersed Stable Minimal Hypersurfaces with Small Singular Set</x:v>
      </x:c>
      <x:c r="F9" s="128" t="str">
        <x:v>Paul Minter; Zhengyi Xiao</x:v>
      </x:c>
      <x:c r="G9" s="128" t="str">
        <x:v>Minimal hypersurfaces / regularity</x:v>
      </x:c>
      <x:c r="H9" s="129" t="str">
        <x:v>65</x:v>
      </x:c>
      <x:c r="I9" s="130" t="n">
        <x:v>93.19</x:v>
      </x:c>
      <x:c r="J9" s="130" t="n">
        <x:v>93.43</x:v>
      </x:c>
      <x:c r="K9" s="130" t="n">
        <x:v>92.95</x:v>
      </x:c>
      <x:c r="L9" s="130" t="n">
        <x:v>96.2</x:v>
      </x:c>
      <x:c r="M9" s="130" t="n">
        <x:v>93.1</x:v>
      </x:c>
      <x:c r="N9" s="130" t="n">
        <x:v>95.2</x:v>
      </x:c>
      <x:c r="O9" s="130" t="n">
        <x:v>90.3</x:v>
      </x:c>
      <x:c r="P9" s="130" t="n">
        <x:v>95.3</x:v>
      </x:c>
      <x:c r="Q9" s="130" t="n">
        <x:v>86</x:v>
      </x:c>
      <x:c r="R9" s="130" t="n">
        <x:v>8</x:v>
      </x:c>
      <x:c r="S9" s="128" t="str">
        <x:v>https://arxiv.org/abs/2605.05041</x:v>
      </x:c>
      <x:c r="T9" s="128" t="str">
        <x:v>小奇异集稳定极小超曲面最优正则性，跨方向影响上调。</x:v>
      </x:c>
    </x:row>
    <x:row r="10" ht="28" customHeight="1">
      <x:c r="A10" s="129" t="n">
        <x:v>9</x:v>
      </x:c>
      <x:c r="B10" s="129" t="str">
        <x:v>2026-05</x:v>
      </x:c>
      <x:c r="C10" s="129" t="n">
        <x:v>4</x:v>
      </x:c>
      <x:c r="D10" s="129" t="str">
        <x:v>2605.15149</x:v>
      </x:c>
      <x:c r="E10" s="128" t="str">
        <x:v>Asymptotically Self-Similar Blowup for 3D Incompressible Euler with C^{1,1/3-} Velocity I: C^infty 1D Limiting Profiles</x:v>
      </x:c>
      <x:c r="F10" s="128" t="str">
        <x:v>Jiajie Chen</x:v>
      </x:c>
      <x:c r="G10" s="128" t="str">
        <x:v>Fluid singularities / Euler</x:v>
      </x:c>
      <x:c r="H10" s="129" t="str">
        <x:v>92</x:v>
      </x:c>
      <x:c r="I10" s="130" t="n">
        <x:v>93.09</x:v>
      </x:c>
      <x:c r="J10" s="130" t="n">
        <x:v>93.18</x:v>
      </x:c>
      <x:c r="K10" s="130" t="n">
        <x:v>92.99</x:v>
      </x:c>
      <x:c r="L10" s="130" t="n">
        <x:v>96</x:v>
      </x:c>
      <x:c r="M10" s="130" t="n">
        <x:v>93.6</x:v>
      </x:c>
      <x:c r="N10" s="130" t="n">
        <x:v>96.1</x:v>
      </x:c>
      <x:c r="O10" s="130" t="n">
        <x:v>87.6</x:v>
      </x:c>
      <x:c r="P10" s="130" t="n">
        <x:v>96</x:v>
      </x:c>
      <x:c r="Q10" s="130" t="n">
        <x:v>85</x:v>
      </x:c>
      <x:c r="R10" s="130" t="n">
        <x:v>10</x:v>
      </x:c>
      <x:c r="S10" s="128" t="str">
        <x:v>https://arxiv.org/abs/2605.15149</x:v>
      </x:c>
      <x:c r="T10" s="128" t="str">
        <x:v>系列/续篇按重叠性校准；Part I/1D profile component按系列重叠轻微下调。</x:v>
      </x:c>
    </x:row>
    <x:row r="11" ht="28" customHeight="1">
      <x:c r="A11" s="129" t="n">
        <x:v>10</x:v>
      </x:c>
      <x:c r="B11" s="129" t="str">
        <x:v>2026-06</x:v>
      </x:c>
      <x:c r="C11" s="129" t="n">
        <x:v>4</x:v>
      </x:c>
      <x:c r="D11" s="129" t="str">
        <x:v>2606.00538</x:v>
      </x:c>
      <x:c r="E11" s="128" t="str">
        <x:v>Classification of blow-ups for the Alt--Phillips problem in three dimensions</x:v>
      </x:c>
      <x:c r="F11" s="128" t="str">
        <x:v>Xavier Fernandez-Real</x:v>
      </x:c>
      <x:c r="G11" s="128" t="str">
        <x:v>free boundary/regularity</x:v>
      </x:c>
      <x:c r="H11" s="129"/>
      <x:c r="I11" s="130" t="n">
        <x:v>93.05</x:v>
      </x:c>
      <x:c r="J11" s="130" t="n">
        <x:v>93.43</x:v>
      </x:c>
      <x:c r="K11" s="130" t="n">
        <x:v>92.67</x:v>
      </x:c>
      <x:c r="L11" s="130" t="n">
        <x:v>96</x:v>
      </x:c>
      <x:c r="M11" s="130" t="n">
        <x:v>93.2</x:v>
      </x:c>
      <x:c r="N11" s="130" t="n">
        <x:v>94</x:v>
      </x:c>
      <x:c r="O11" s="130" t="n">
        <x:v>91.3</x:v>
      </x:c>
      <x:c r="P11" s="130" t="n">
        <x:v>95.1</x:v>
      </x:c>
      <x:c r="Q11" s="130" t="n">
        <x:v>88</x:v>
      </x:c>
      <x:c r="R11" s="130" t="n">
        <x:v>10</x:v>
      </x:c>
      <x:c r="S11" s="128" t="str">
        <x:v>https://arxiv.org/abs/2606.00538</x:v>
      </x:c>
      <x:c r="T11" s="128" t="str">
        <x:v>三维Alt--Phillips blow-up分类保持Top层级，广度略上调。</x:v>
      </x:c>
    </x:row>
    <x:row r="12" ht="28" customHeight="1">
      <x:c r="A12" s="129" t="n">
        <x:v>11</x:v>
      </x:c>
      <x:c r="B12" s="129" t="str">
        <x:v>2026-05</x:v>
      </x:c>
      <x:c r="C12" s="129" t="n">
        <x:v>6</x:v>
      </x:c>
      <x:c r="D12" s="129" t="str">
        <x:v>2605.20426</x:v>
      </x:c>
      <x:c r="E12" s="128" t="str">
        <x:v>Pointwise bounds and obstructions to blowup for the Landau and Boltzmann equations</x:v>
      </x:c>
      <x:c r="F12" s="128" t="str">
        <x:v>William Golding; Christopher Henderson; Luis Silvestre</x:v>
      </x:c>
      <x:c r="G12" s="128" t="str">
        <x:v>Kinetic PDE</x:v>
      </x:c>
      <x:c r="H12" s="129" t="str">
        <x:v>23</x:v>
      </x:c>
      <x:c r="I12" s="130" t="n">
        <x:v>92.8</x:v>
      </x:c>
      <x:c r="J12" s="130" t="n">
        <x:v>93.32</x:v>
      </x:c>
      <x:c r="K12" s="130" t="n">
        <x:v>92.28</x:v>
      </x:c>
      <x:c r="L12" s="130" t="n">
        <x:v>96.3</x:v>
      </x:c>
      <x:c r="M12" s="130" t="n">
        <x:v>93.1</x:v>
      </x:c>
      <x:c r="N12" s="130" t="n">
        <x:v>94.3</x:v>
      </x:c>
      <x:c r="O12" s="130" t="n">
        <x:v>90.2</x:v>
      </x:c>
      <x:c r="P12" s="130" t="n">
        <x:v>94.2</x:v>
      </x:c>
      <x:c r="Q12" s="130" t="n">
        <x:v>87</x:v>
      </x:c>
      <x:c r="R12" s="130" t="n">
        <x:v>10.1</x:v>
      </x:c>
      <x:c r="S12" s="128" t="str">
        <x:v>https://arxiv.org/abs/2605.20426</x:v>
      </x:c>
      <x:c r="T12" s="128" t="str">
        <x:v>Landau/Boltzmann blow-up obstruction的可迁移估计价值上调。</x:v>
      </x:c>
    </x:row>
    <x:row r="13" ht="28" customHeight="1">
      <x:c r="A13" s="129" t="n">
        <x:v>12</x:v>
      </x:c>
      <x:c r="B13" s="129" t="str">
        <x:v>2026-08</x:v>
      </x:c>
      <x:c r="C13" s="129" t="n">
        <x:v>1</x:v>
      </x:c>
      <x:c r="D13" s="129" t="str">
        <x:v>2608.00802</x:v>
      </x:c>
      <x:c r="E13" s="128" t="str">
        <x:v>Counterexamples to Landis' conjecture in dimensions three and higher</x:v>
      </x:c>
      <x:c r="F13" s="128" t="str">
        <x:v>Rupert L. Frank; Paata Ivanisvili</x:v>
      </x:c>
      <x:c r="G13" s="128" t="str">
        <x:v>unique continuation/counterexamples</x:v>
      </x:c>
      <x:c r="H13" s="129" t="n">
        <x:v>34</x:v>
      </x:c>
      <x:c r="I13" s="130" t="n">
        <x:v>92.65</x:v>
      </x:c>
      <x:c r="J13" s="130" t="n">
        <x:v>93</x:v>
      </x:c>
      <x:c r="K13" s="130" t="n">
        <x:v>92.3</x:v>
      </x:c>
      <x:c r="L13" s="130" t="n">
        <x:v>95</x:v>
      </x:c>
      <x:c r="M13" s="130" t="n">
        <x:v>94</x:v>
      </x:c>
      <x:c r="N13" s="130" t="n">
        <x:v>93</x:v>
      </x:c>
      <x:c r="O13" s="130" t="n">
        <x:v>91</x:v>
      </x:c>
      <x:c r="P13" s="130" t="n">
        <x:v>93</x:v>
      </x:c>
      <x:c r="Q13" s="130" t="n">
        <x:v>88</x:v>
      </x:c>
      <x:c r="R13" s="130" t="n">
        <x:v>8</x:v>
      </x:c>
      <x:c r="S13" s="128" t="str">
        <x:v>https://arxiv.org/abs/2608.00802</x:v>
      </x:c>
      <x:c r="T13" s="128" t="str">
        <x:v>Major counterexample to a famous unique-continuation conjecture; concise and high impact.</x:v>
      </x:c>
    </x:row>
    <x:row r="14" ht="28" customHeight="1">
      <x:c r="A14" s="129" t="n">
        <x:v>13</x:v>
      </x:c>
      <x:c r="B14" s="129" t="str">
        <x:v>2026-06</x:v>
      </x:c>
      <x:c r="C14" s="129" t="n">
        <x:v>5</x:v>
      </x:c>
      <x:c r="D14" s="129" t="str">
        <x:v>2606.01331</x:v>
      </x:c>
      <x:c r="E14" s="128" t="str">
        <x:v>Sharp H_x^s Ill-posedness of the Hard-sphere Boltzmann Equation</x:v>
      </x:c>
      <x:c r="F14" s="128" t="str">
        <x:v>Xuwen Chen; Yan Guo; Shunlin Shen; Zhifei Zhang</x:v>
      </x:c>
      <x:c r="G14" s="128" t="str">
        <x:v>kinetic PDE</x:v>
      </x:c>
      <x:c r="H14" s="129"/>
      <x:c r="I14" s="130" t="n">
        <x:v>92.55</x:v>
      </x:c>
      <x:c r="J14" s="130" t="n">
        <x:v>92.7</x:v>
      </x:c>
      <x:c r="K14" s="130" t="n">
        <x:v>92.4</x:v>
      </x:c>
      <x:c r="L14" s="130" t="n">
        <x:v>95.1</x:v>
      </x:c>
      <x:c r="M14" s="130" t="n">
        <x:v>92.1</x:v>
      </x:c>
      <x:c r="N14" s="130" t="n">
        <x:v>95.1</x:v>
      </x:c>
      <x:c r="O14" s="130" t="n">
        <x:v>89.2</x:v>
      </x:c>
      <x:c r="P14" s="130" t="n">
        <x:v>95.2</x:v>
      </x:c>
      <x:c r="Q14" s="130" t="n">
        <x:v>86</x:v>
      </x:c>
      <x:c r="R14" s="130" t="n">
        <x:v>10</x:v>
      </x:c>
      <x:c r="S14" s="128" t="str">
        <x:v>https://arxiv.org/abs/2606.01331</x:v>
      </x:c>
      <x:c r="T14" s="128" t="str">
        <x:v>三轮复核后与原表基本一致</x:v>
      </x:c>
    </x:row>
    <x:row r="15" ht="28" customHeight="1">
      <x:c r="A15" s="129" t="n">
        <x:v>14</x:v>
      </x:c>
      <x:c r="B15" s="129" t="str">
        <x:v>2026-06</x:v>
      </x:c>
      <x:c r="C15" s="129" t="n">
        <x:v>6</x:v>
      </x:c>
      <x:c r="D15" s="129" t="str">
        <x:v>2606.12192</x:v>
      </x:c>
      <x:c r="E15" s="128" t="str">
        <x:v>A Generalized Framework for L^r Convex Integration and its Application to Geophysical Models</x:v>
      </x:c>
      <x:c r="F15" s="128" t="str">
        <x:v>Daniel W. Boutros; Simon Markfelder; Edriss S. Titi</x:v>
      </x:c>
      <x:c r="G15" s="128" t="str">
        <x:v>convex integration/geophysical PDE</x:v>
      </x:c>
      <x:c r="H15" s="129" t="str">
        <x:v>90</x:v>
      </x:c>
      <x:c r="I15" s="130" t="n">
        <x:v>92.45</x:v>
      </x:c>
      <x:c r="J15" s="130" t="n">
        <x:v>92.58</x:v>
      </x:c>
      <x:c r="K15" s="130" t="n">
        <x:v>92.31</x:v>
      </x:c>
      <x:c r="L15" s="130" t="n">
        <x:v>94</x:v>
      </x:c>
      <x:c r="M15" s="130" t="n">
        <x:v>93.3</x:v>
      </x:c>
      <x:c r="N15" s="130" t="n">
        <x:v>95.1</x:v>
      </x:c>
      <x:c r="O15" s="130" t="n">
        <x:v>90.3</x:v>
      </x:c>
      <x:c r="P15" s="130" t="n">
        <x:v>95.1</x:v>
      </x:c>
      <x:c r="Q15" s="130" t="n">
        <x:v>84</x:v>
      </x:c>
      <x:c r="R15" s="130" t="n">
        <x:v>10</x:v>
      </x:c>
      <x:c r="S15" s="128" t="str">
        <x:v>https://arxiv.org/abs/2606.12192</x:v>
      </x:c>
      <x:c r="T15" s="128" t="str">
        <x:v>convex integration general framework 有广度，略上调。</x:v>
      </x:c>
    </x:row>
    <x:row r="16" ht="28" customHeight="1">
      <x:c r="A16" s="129" t="n">
        <x:v>15</x:v>
      </x:c>
      <x:c r="B16" s="129" t="str">
        <x:v>2026-05</x:v>
      </x:c>
      <x:c r="C16" s="129" t="n">
        <x:v>7</x:v>
      </x:c>
      <x:c r="D16" s="129" t="str">
        <x:v>2605.24200</x:v>
      </x:c>
      <x:c r="E16" s="128" t="str">
        <x:v>Refined asymptotics of the steady Navier Stokes equation around small Landau solutions</x:v>
      </x:c>
      <x:c r="F16" s="128" t="str">
        <x:v>Hao Jia; Vladimir Sverak</x:v>
      </x:c>
      <x:c r="G16" s="128" t="str">
        <x:v>Navier-Stokes / asymptotics</x:v>
      </x:c>
      <x:c r="H16" s="129" t="str">
        <x:v>50</x:v>
      </x:c>
      <x:c r="I16" s="130" t="n">
        <x:v>92.13</x:v>
      </x:c>
      <x:c r="J16" s="130" t="n">
        <x:v>92.25</x:v>
      </x:c>
      <x:c r="K16" s="130" t="n">
        <x:v>92</x:v>
      </x:c>
      <x:c r="L16" s="130" t="n">
        <x:v>95</x:v>
      </x:c>
      <x:c r="M16" s="130" t="n">
        <x:v>91.1</x:v>
      </x:c>
      <x:c r="N16" s="130" t="n">
        <x:v>94.1</x:v>
      </x:c>
      <x:c r="O16" s="130" t="n">
        <x:v>88</x:v>
      </x:c>
      <x:c r="P16" s="130" t="n">
        <x:v>94.2</x:v>
      </x:c>
      <x:c r="Q16" s="130" t="n">
        <x:v>88</x:v>
      </x:c>
      <x:c r="R16" s="130" t="n">
        <x:v>10</x:v>
      </x:c>
      <x:c r="S16" s="128" t="str">
        <x:v>https://arxiv.org/abs/2605.24200</x:v>
      </x:c>
      <x:c r="T16" s="128" t="str">
        <x:v>范围偏专门，广度轻微回调</x:v>
      </x:c>
    </x:row>
    <x:row r="17" ht="28" customHeight="1">
      <x:c r="A17" s="129" t="n">
        <x:v>16</x:v>
      </x:c>
      <x:c r="B17" s="129" t="str">
        <x:v>2026-06</x:v>
      </x:c>
      <x:c r="C17" s="129" t="n">
        <x:v>7</x:v>
      </x:c>
      <x:c r="D17" s="129" t="str">
        <x:v>2606.01359</x:v>
      </x:c>
      <x:c r="E17" s="128" t="str">
        <x:v>Intrinsic Schauder estimates at nearly linear growth</x:v>
      </x:c>
      <x:c r="F17" s="128" t="str">
        <x:v>Cristiana De Filippis; Filomena De Filippis; Peter Hasto</x:v>
      </x:c>
      <x:c r="G17" s="128" t="str">
        <x:v>regularity theory</x:v>
      </x:c>
      <x:c r="H17" s="129" t="str">
        <x:v>42</x:v>
      </x:c>
      <x:c r="I17" s="130" t="n">
        <x:v>92.08</x:v>
      </x:c>
      <x:c r="J17" s="130" t="n">
        <x:v>92.26</x:v>
      </x:c>
      <x:c r="K17" s="130" t="n">
        <x:v>91.89</x:v>
      </x:c>
      <x:c r="L17" s="130" t="n">
        <x:v>94.1</x:v>
      </x:c>
      <x:c r="M17" s="130" t="n">
        <x:v>91.3</x:v>
      </x:c>
      <x:c r="N17" s="130" t="n">
        <x:v>94.1</x:v>
      </x:c>
      <x:c r="O17" s="130" t="n">
        <x:v>90.3</x:v>
      </x:c>
      <x:c r="P17" s="130" t="n">
        <x:v>94.2</x:v>
      </x:c>
      <x:c r="Q17" s="130" t="n">
        <x:v>87</x:v>
      </x:c>
      <x:c r="R17" s="130" t="n">
        <x:v>10</x:v>
      </x:c>
      <x:c r="S17" s="128" t="str">
        <x:v>https://arxiv.org/abs/2606.01359</x:v>
      </x:c>
      <x:c r="T17" s="128" t="str">
        <x:v>nearly linear growth Schauder估计可迁移性强，略上调。</x:v>
      </x:c>
    </x:row>
    <x:row r="18" ht="28" customHeight="1">
      <x:c r="A18" s="129" t="n">
        <x:v>17</x:v>
      </x:c>
      <x:c r="B18" s="129" t="str">
        <x:v>2026-05</x:v>
      </x:c>
      <x:c r="C18" s="129" t="n">
        <x:v>7</x:v>
      </x:c>
      <x:c r="D18" s="129" t="str">
        <x:v>2605.02561</x:v>
      </x:c>
      <x:c r="E18" s="128" t="str">
        <x:v>Quantitative homogenization of elliptic equations with infinitely many scales</x:v>
      </x:c>
      <x:c r="F18" s="128" t="str">
        <x:v>Zhongwei Shen; Yao Xu; Jinping Zhuge</x:v>
      </x:c>
      <x:c r="G18" s="128" t="str">
        <x:v>Homogenization</x:v>
      </x:c>
      <x:c r="H18" s="129" t="str">
        <x:v>57</x:v>
      </x:c>
      <x:c r="I18" s="130" t="n">
        <x:v>92.07</x:v>
      </x:c>
      <x:c r="J18" s="130" t="n">
        <x:v>92.6</x:v>
      </x:c>
      <x:c r="K18" s="130" t="n">
        <x:v>91.55</x:v>
      </x:c>
      <x:c r="L18" s="130" t="n">
        <x:v>94</x:v>
      </x:c>
      <x:c r="M18" s="130" t="n">
        <x:v>92.1</x:v>
      </x:c>
      <x:c r="N18" s="130" t="n">
        <x:v>94</x:v>
      </x:c>
      <x:c r="O18" s="130" t="n">
        <x:v>91.2</x:v>
      </x:c>
      <x:c r="P18" s="130" t="n">
        <x:v>93.1</x:v>
      </x:c>
      <x:c r="Q18" s="130" t="n">
        <x:v>88</x:v>
      </x:c>
      <x:c r="R18" s="130" t="n">
        <x:v>12</x:v>
      </x:c>
      <x:c r="S18" s="128" t="str">
        <x:v>https://arxiv.org/abs/2605.02561</x:v>
      </x:c>
      <x:c r="T18" s="128" t="str">
        <x:v>三轮复核后与原表基本一致</x:v>
      </x:c>
    </x:row>
    <x:row r="19" ht="28" customHeight="1">
      <x:c r="A19" s="129" t="n">
        <x:v>18</x:v>
      </x:c>
      <x:c r="B19" s="129" t="str">
        <x:v>2026-08</x:v>
      </x:c>
      <x:c r="C19" s="129" t="n">
        <x:v>2</x:v>
      </x:c>
      <x:c r="D19" s="129" t="str">
        <x:v>2608.00268</x:v>
      </x:c>
      <x:c r="E19" s="128" t="str">
        <x:v>A good commutator approach to global asymptotics for Schrodinger equation with variable coefficients</x:v>
      </x:c>
      <x:c r="F19" s="128" t="str">
        <x:v>Sung-Jin Oh; Federico Pasqualotto; Ning Tang</x:v>
      </x:c>
      <x:c r="G19" s="128" t="str">
        <x:v>Schrodinger asymptotics</x:v>
      </x:c>
      <x:c r="H19" s="129" t="n">
        <x:v>68</x:v>
      </x:c>
      <x:c r="I19" s="130" t="n">
        <x:v>92</x:v>
      </x:c>
      <x:c r="J19" s="130" t="n">
        <x:v>92.2</x:v>
      </x:c>
      <x:c r="K19" s="130" t="n">
        <x:v>91.8</x:v>
      </x:c>
      <x:c r="L19" s="130" t="n">
        <x:v>94</x:v>
      </x:c>
      <x:c r="M19" s="130" t="n">
        <x:v>92</x:v>
      </x:c>
      <x:c r="N19" s="130" t="n">
        <x:v>94</x:v>
      </x:c>
      <x:c r="O19" s="130" t="n">
        <x:v>90</x:v>
      </x:c>
      <x:c r="P19" s="130" t="n">
        <x:v>94</x:v>
      </x:c>
      <x:c r="Q19" s="130" t="n">
        <x:v>86</x:v>
      </x:c>
      <x:c r="R19" s="130" t="n">
        <x:v>10</x:v>
      </x:c>
      <x:c r="S19" s="128" t="str">
        <x:v>https://arxiv.org/abs/2608.00268</x:v>
      </x:c>
      <x:c r="T19" s="128" t="str">
        <x:v>Long global asymptotic analysis by leading dispersive/PDE authors.</x:v>
      </x:c>
    </x:row>
    <x:row r="20" ht="28" customHeight="1">
      <x:c r="A20" s="129" t="n">
        <x:v>19</x:v>
      </x:c>
      <x:c r="B20" s="129" t="str">
        <x:v>2026-05</x:v>
      </x:c>
      <x:c r="C20" s="129" t="n">
        <x:v>9</x:v>
      </x:c>
      <x:c r="D20" s="129" t="str">
        <x:v>2605.28677</x:v>
      </x:c>
      <x:c r="E20" s="128" t="str">
        <x:v>Weak universality for stochastic reaction-diffusion models with long-range correlated noise</x:v>
      </x:c>
      <x:c r="F20" s="128" t="str">
        <x:v>Simon Gabriel; Markus Tempelmayr</x:v>
      </x:c>
      <x:c r="G20" s="128" t="str">
        <x:v>Singular stochastic PDE</x:v>
      </x:c>
      <x:c r="H20" s="129" t="str">
        <x:v>66</x:v>
      </x:c>
      <x:c r="I20" s="130" t="n">
        <x:v>91.98</x:v>
      </x:c>
      <x:c r="J20" s="130" t="n">
        <x:v>92.4</x:v>
      </x:c>
      <x:c r="K20" s="130" t="n">
        <x:v>91.55</x:v>
      </x:c>
      <x:c r="L20" s="130" t="n">
        <x:v>94</x:v>
      </x:c>
      <x:c r="M20" s="130" t="n">
        <x:v>92.1</x:v>
      </x:c>
      <x:c r="N20" s="130" t="n">
        <x:v>94</x:v>
      </x:c>
      <x:c r="O20" s="130" t="n">
        <x:v>91.2</x:v>
      </x:c>
      <x:c r="P20" s="130" t="n">
        <x:v>94.1</x:v>
      </x:c>
      <x:c r="Q20" s="130" t="n">
        <x:v>86</x:v>
      </x:c>
      <x:c r="R20" s="130" t="n">
        <x:v>12</x:v>
      </x:c>
      <x:c r="S20" s="128" t="str">
        <x:v>https://arxiv.org/abs/2605.28677</x:v>
      </x:c>
      <x:c r="T20" s="128" t="str">
        <x:v>三轮复核后与原表基本一致</x:v>
      </x:c>
    </x:row>
    <x:row r="21" ht="28" customHeight="1">
      <x:c r="A21" s="129" t="n">
        <x:v>20</x:v>
      </x:c>
      <x:c r="B21" s="129" t="str">
        <x:v>2026-05</x:v>
      </x:c>
      <x:c r="C21" s="129" t="n">
        <x:v>10</x:v>
      </x:c>
      <x:c r="D21" s="129" t="str">
        <x:v>2605.02058</x:v>
      </x:c>
      <x:c r="E21" s="128" t="str">
        <x:v>Quantitative Estimates for Mean-Field Limits and Correlation Functions through a Duality Framework</x:v>
      </x:c>
      <x:c r="F21" s="128" t="str">
        <x:v>Nadia Khoury; Pierre-Emmanuel Jabin</x:v>
      </x:c>
      <x:c r="G21" s="128" t="str">
        <x:v>Mean-field limits</x:v>
      </x:c>
      <x:c r="H21" s="129" t="str">
        <x:v>42</x:v>
      </x:c>
      <x:c r="I21" s="130" t="n">
        <x:v>91.9</x:v>
      </x:c>
      <x:c r="J21" s="130" t="n">
        <x:v>92.4</x:v>
      </x:c>
      <x:c r="K21" s="130" t="n">
        <x:v>91.4</x:v>
      </x:c>
      <x:c r="L21" s="130" t="n">
        <x:v>94.1</x:v>
      </x:c>
      <x:c r="M21" s="130" t="n">
        <x:v>92.1</x:v>
      </x:c>
      <x:c r="N21" s="130" t="n">
        <x:v>93.1</x:v>
      </x:c>
      <x:c r="O21" s="130" t="n">
        <x:v>91.2</x:v>
      </x:c>
      <x:c r="P21" s="130" t="n">
        <x:v>93.2</x:v>
      </x:c>
      <x:c r="Q21" s="130" t="n">
        <x:v>88</x:v>
      </x:c>
      <x:c r="R21" s="130" t="n">
        <x:v>12</x:v>
      </x:c>
      <x:c r="S21" s="128" t="str">
        <x:v>https://arxiv.org/abs/2605.02058</x:v>
      </x:c>
      <x:c r="T21" s="128" t="str">
        <x:v>三轮复核后与原表基本一致</x:v>
      </x:c>
    </x:row>
    <x:row r="22" ht="28" customHeight="1">
      <x:c r="A22" s="129" t="n">
        <x:v>21</x:v>
      </x:c>
      <x:c r="B22" s="129" t="str">
        <x:v>2026-07</x:v>
      </x:c>
      <x:c r="C22" s="129" t="n">
        <x:v>2</x:v>
      </x:c>
      <x:c r="D22" s="129" t="str">
        <x:v>2607.00891</x:v>
      </x:c>
      <x:c r="E22" s="128" t="str">
        <x:v>Low-regularity a priori estimates, blow-up criterion, and self-intersection singularities for free-boundary ideal magnetohydrodynamics with surface tension</x:v>
      </x:c>
      <x:c r="F22" s="128" t="str">
        <x:v>Tao Luo; Siqi Yang</x:v>
      </x:c>
      <x:c r="G22" s="128" t="str">
        <x:v>free-boundary MHD</x:v>
      </x:c>
      <x:c r="H22" s="129" t="n">
        <x:v>48</x:v>
      </x:c>
      <x:c r="I22" s="130" t="n">
        <x:v>91.9</x:v>
      </x:c>
      <x:c r="J22" s="130" t="n">
        <x:v>92</x:v>
      </x:c>
      <x:c r="K22" s="130" t="n">
        <x:v>91.8</x:v>
      </x:c>
      <x:c r="L22" s="130" t="n">
        <x:v>94</x:v>
      </x:c>
      <x:c r="M22" s="130" t="n">
        <x:v>91</x:v>
      </x:c>
      <x:c r="N22" s="130" t="n">
        <x:v>95</x:v>
      </x:c>
      <x:c r="O22" s="130" t="n">
        <x:v>89</x:v>
      </x:c>
      <x:c r="P22" s="130" t="n">
        <x:v>95</x:v>
      </x:c>
      <x:c r="Q22" s="130" t="n">
        <x:v>85</x:v>
      </x:c>
      <x:c r="R22" s="130" t="n">
        <x:v>11</x:v>
      </x:c>
      <x:c r="S22" s="128" t="str">
        <x:v>https://arxiv.org/abs/2607.00891</x:v>
      </x:c>
      <x:c r="T22" s="128" t="str">
        <x:v>Difficult free-boundary MHD estimates and singularity criteria.</x:v>
      </x:c>
    </x:row>
    <x:row r="23" ht="28" customHeight="1">
      <x:c r="A23" s="129" t="n">
        <x:v>22</x:v>
      </x:c>
      <x:c r="B23" s="129" t="str">
        <x:v>2026-07</x:v>
      </x:c>
      <x:c r="C23" s="129" t="n">
        <x:v>3</x:v>
      </x:c>
      <x:c r="D23" s="129" t="str">
        <x:v>2607.15256</x:v>
      </x:c>
      <x:c r="E23" s="128" t="str">
        <x:v>Analytic finite-rank corrections for singularly weighted estimates in a computer-assisted proof of 3D Euler singularity</x:v>
      </x:c>
      <x:c r="F23" s="128" t="str">
        <x:v>Jiajie Chen; Thomas Y. Hou</x:v>
      </x:c>
      <x:c r="G23" s="128" t="str">
        <x:v>Euler singularity / computer-assisted analysis</x:v>
      </x:c>
      <x:c r="H23" s="129" t="n">
        <x:v>24</x:v>
      </x:c>
      <x:c r="I23" s="130" t="n">
        <x:v>91.78</x:v>
      </x:c>
      <x:c r="J23" s="130" t="n">
        <x:v>92.95</x:v>
      </x:c>
      <x:c r="K23" s="130" t="n">
        <x:v>90.6</x:v>
      </x:c>
      <x:c r="L23" s="130" t="n">
        <x:v>95</x:v>
      </x:c>
      <x:c r="M23" s="130" t="n">
        <x:v>94</x:v>
      </x:c>
      <x:c r="N23" s="130" t="n">
        <x:v>95</x:v>
      </x:c>
      <x:c r="O23" s="130" t="n">
        <x:v>90</x:v>
      </x:c>
      <x:c r="P23" s="130" t="n">
        <x:v>95</x:v>
      </x:c>
      <x:c r="Q23" s="130" t="n">
        <x:v>84</x:v>
      </x:c>
      <x:c r="R23" s="130" t="n">
        <x:v>22</x:v>
      </x:c>
      <x:c r="S23" s="128" t="str">
        <x:v>https://arxiv.org/abs/2607.15256</x:v>
      </x:c>
      <x:c r="T23" s="128" t="str">
        <x:v>Major correction/certification component in 3D Euler singularity program; high value but partly computational.</x:v>
      </x:c>
    </x:row>
    <x:row r="24" ht="28" customHeight="1">
      <x:c r="A24" s="129" t="n">
        <x:v>23</x:v>
      </x:c>
      <x:c r="B24" s="129" t="str">
        <x:v>2026-05</x:v>
      </x:c>
      <x:c r="C24" s="129" t="n">
        <x:v>11</x:v>
      </x:c>
      <x:c r="D24" s="129" t="str">
        <x:v>2605.24443</x:v>
      </x:c>
      <x:c r="E24" s="128" t="str">
        <x:v>A dimension-free interpolation of Caffarelli's contraction theorem</x:v>
      </x:c>
      <x:c r="F24" s="128" t="str">
        <x:v>Bader Ammari; Alessio Figalli</x:v>
      </x:c>
      <x:c r="G24" s="128" t="str">
        <x:v>Optimal transport / convexity</x:v>
      </x:c>
      <x:c r="H24" s="129"/>
      <x:c r="I24" s="130" t="n">
        <x:v>91.77</x:v>
      </x:c>
      <x:c r="J24" s="130" t="n">
        <x:v>92.12</x:v>
      </x:c>
      <x:c r="K24" s="130" t="n">
        <x:v>91.42</x:v>
      </x:c>
      <x:c r="L24" s="130" t="n">
        <x:v>93.2</x:v>
      </x:c>
      <x:c r="M24" s="130" t="n">
        <x:v>93.3</x:v>
      </x:c>
      <x:c r="N24" s="130" t="n">
        <x:v>92</x:v>
      </x:c>
      <x:c r="O24" s="130" t="n">
        <x:v>91.3</x:v>
      </x:c>
      <x:c r="P24" s="130" t="n">
        <x:v>92.2</x:v>
      </x:c>
      <x:c r="Q24" s="130" t="n">
        <x:v>88</x:v>
      </x:c>
      <x:c r="R24" s="130" t="n">
        <x:v>10</x:v>
      </x:c>
      <x:c r="S24" s="128" t="str">
        <x:v>https://arxiv.org/abs/2605.24443</x:v>
      </x:c>
      <x:c r="T24" s="128" t="str">
        <x:v>dimension-free Caffarelli contraction interpolation 的概念价值上调。</x:v>
      </x:c>
    </x:row>
    <x:row r="25" ht="28" customHeight="1">
      <x:c r="A25" s="129" t="n">
        <x:v>24</x:v>
      </x:c>
      <x:c r="B25" s="129" t="str">
        <x:v>2026-06</x:v>
      </x:c>
      <x:c r="C25" s="129" t="n">
        <x:v>9</x:v>
      </x:c>
      <x:c r="D25" s="129" t="str">
        <x:v>2606.03680</x:v>
      </x:c>
      <x:c r="E25" s="128" t="str">
        <x:v>Global regularity of the 2D fractional Boussinesq equations with subcritical dissipation</x:v>
      </x:c>
      <x:c r="F25" s="128" t="str">
        <x:v>Atanas Stefanov; Jiahong Wu; Xiaojing Xu; Zhuan Ye</x:v>
      </x:c>
      <x:c r="G25" s="128" t="str">
        <x:v>fluid regularity</x:v>
      </x:c>
      <x:c r="H25" s="129" t="str">
        <x:v>43</x:v>
      </x:c>
      <x:c r="I25" s="130" t="n">
        <x:v>91.7</x:v>
      </x:c>
      <x:c r="J25" s="130" t="n">
        <x:v>91.74</x:v>
      </x:c>
      <x:c r="K25" s="130" t="n">
        <x:v>91.65</x:v>
      </x:c>
      <x:c r="L25" s="130" t="n">
        <x:v>94</x:v>
      </x:c>
      <x:c r="M25" s="130" t="n">
        <x:v>91.1</x:v>
      </x:c>
      <x:c r="N25" s="130" t="n">
        <x:v>93.1</x:v>
      </x:c>
      <x:c r="O25" s="130" t="n">
        <x:v>89</x:v>
      </x:c>
      <x:c r="P25" s="130" t="n">
        <x:v>94.2</x:v>
      </x:c>
      <x:c r="Q25" s="130" t="n">
        <x:v>87</x:v>
      </x:c>
      <x:c r="R25" s="130" t="n">
        <x:v>10</x:v>
      </x:c>
      <x:c r="S25" s="128" t="str">
        <x:v>https://arxiv.org/abs/2606.03680</x:v>
      </x:c>
      <x:c r="T25" s="128" t="str">
        <x:v>范围偏专门，广度轻微回调</x:v>
      </x:c>
    </x:row>
    <x:row r="26" ht="28" customHeight="1">
      <x:c r="A26" s="129" t="n">
        <x:v>25</x:v>
      </x:c>
      <x:c r="B26" s="129" t="str">
        <x:v>2026-06</x:v>
      </x:c>
      <x:c r="C26" s="129" t="n">
        <x:v>8</x:v>
      </x:c>
      <x:c r="D26" s="129" t="str">
        <x:v>2606.27691</x:v>
      </x:c>
      <x:c r="E26" s="128" t="str">
        <x:v>Singular Limits for Three-Dimensional Global Minimizers of Ginzburg-Landau-Type Functionals: Uniform Estimates and Singular Sets</x:v>
      </x:c>
      <x:c r="F26" s="128" t="str">
        <x:v>Giacomo Canevari; Haotong Fu; Wei Wang</x:v>
      </x:c>
      <x:c r="G26" s="128" t="str">
        <x:v>variational/singular limits</x:v>
      </x:c>
      <x:c r="H26" s="129" t="str">
        <x:v>72</x:v>
      </x:c>
      <x:c r="I26" s="130" t="n">
        <x:v>91.7</x:v>
      </x:c>
      <x:c r="J26" s="130" t="n">
        <x:v>91.9</x:v>
      </x:c>
      <x:c r="K26" s="130" t="n">
        <x:v>91.5</x:v>
      </x:c>
      <x:c r="L26" s="130" t="n">
        <x:v>94.1</x:v>
      </x:c>
      <x:c r="M26" s="130" t="n">
        <x:v>91</x:v>
      </x:c>
      <x:c r="N26" s="130" t="n">
        <x:v>94.1</x:v>
      </x:c>
      <x:c r="O26" s="130" t="n">
        <x:v>89</x:v>
      </x:c>
      <x:c r="P26" s="130" t="n">
        <x:v>94.1</x:v>
      </x:c>
      <x:c r="Q26" s="130" t="n">
        <x:v>86</x:v>
      </x:c>
      <x:c r="R26" s="130" t="n">
        <x:v>11</x:v>
      </x:c>
      <x:c r="S26" s="128" t="str">
        <x:v>https://arxiv.org/abs/2606.27691</x:v>
      </x:c>
      <x:c r="T26" s="128" t="str">
        <x:v>三轮复核后与原表基本一致</x:v>
      </x:c>
    </x:row>
    <x:row r="27" ht="28" customHeight="1">
      <x:c r="A27" s="129" t="n">
        <x:v>26</x:v>
      </x:c>
      <x:c r="B27" s="129" t="str">
        <x:v>2026-05</x:v>
      </x:c>
      <x:c r="C27" s="129" t="n">
        <x:v>11</x:v>
      </x:c>
      <x:c r="D27" s="129" t="str">
        <x:v>2605.19574</x:v>
      </x:c>
      <x:c r="E27" s="128" t="str">
        <x:v>Flowing to free boundary minimal surfaces</x:v>
      </x:c>
      <x:c r="F27" s="128" t="str">
        <x:v>Melanie Rupflin; Michael Struwe; Christopher Wright</x:v>
      </x:c>
      <x:c r="G27" s="128" t="str">
        <x:v>Geometric PDE / minimal surfaces</x:v>
      </x:c>
      <x:c r="H27" s="129"/>
      <x:c r="I27" s="130" t="n">
        <x:v>91.65</x:v>
      </x:c>
      <x:c r="J27" s="130" t="n">
        <x:v>91.7</x:v>
      </x:c>
      <x:c r="K27" s="130" t="n">
        <x:v>91.6</x:v>
      </x:c>
      <x:c r="L27" s="130" t="n">
        <x:v>94</x:v>
      </x:c>
      <x:c r="M27" s="130" t="n">
        <x:v>91</x:v>
      </x:c>
      <x:c r="N27" s="130" t="n">
        <x:v>94</x:v>
      </x:c>
      <x:c r="O27" s="130" t="n">
        <x:v>88</x:v>
      </x:c>
      <x:c r="P27" s="130" t="n">
        <x:v>94</x:v>
      </x:c>
      <x:c r="Q27" s="130" t="n">
        <x:v>86</x:v>
      </x:c>
      <x:c r="R27" s="130" t="n">
        <x:v>10</x:v>
      </x:c>
      <x:c r="S27" s="128" t="str">
        <x:v>https://arxiv.org/abs/2605.19574</x:v>
      </x:c>
      <x:c r="T27" s="128" t="str">
        <x:v>三轮复核后与原表基本一致</x:v>
      </x:c>
    </x:row>
    <x:row r="28" ht="28" customHeight="1">
      <x:c r="A28" s="129" t="n">
        <x:v>27</x:v>
      </x:c>
      <x:c r="B28" s="129" t="str">
        <x:v>2026-05</x:v>
      </x:c>
      <x:c r="C28" s="129" t="n">
        <x:v>13</x:v>
      </x:c>
      <x:c r="D28" s="129" t="str">
        <x:v>2605.19716</x:v>
      </x:c>
      <x:c r="E28" s="128" t="str">
        <x:v>Self-similar blow-up solutions of d-dimensional incompressible Euler equations with C^{1,(1-2/d)-} velocity</x:v>
      </x:c>
      <x:c r="F28" s="128" t="str">
        <x:v>Feng Shao; Dongyi Wei; Ping Zhang; Zhifei Zhang</x:v>
      </x:c>
      <x:c r="G28" s="128" t="str">
        <x:v>Fluid singularities / Euler</x:v>
      </x:c>
      <x:c r="H28" s="129" t="str">
        <x:v>103</x:v>
      </x:c>
      <x:c r="I28" s="130" t="n">
        <x:v>91.62</x:v>
      </x:c>
      <x:c r="J28" s="130" t="n">
        <x:v>92.08</x:v>
      </x:c>
      <x:c r="K28" s="130" t="n">
        <x:v>91.15</x:v>
      </x:c>
      <x:c r="L28" s="130" t="n">
        <x:v>95.1</x:v>
      </x:c>
      <x:c r="M28" s="130" t="n">
        <x:v>92</x:v>
      </x:c>
      <x:c r="N28" s="130" t="n">
        <x:v>94.2</x:v>
      </x:c>
      <x:c r="O28" s="130" t="n">
        <x:v>88</x:v>
      </x:c>
      <x:c r="P28" s="130" t="n">
        <x:v>94.2</x:v>
      </x:c>
      <x:c r="Q28" s="130" t="n">
        <x:v>84</x:v>
      </x:c>
      <x:c r="R28" s="130" t="n">
        <x:v>13</x:v>
      </x:c>
      <x:c r="S28" s="128" t="str">
        <x:v>https://arxiv.org/abs/2605.19716</x:v>
      </x:c>
      <x:c r="T28" s="128" t="str">
        <x:v>三轮复核后与原表基本一致</x:v>
      </x:c>
    </x:row>
    <x:row r="29" ht="28" customHeight="1">
      <x:c r="A29" s="129" t="n">
        <x:v>28</x:v>
      </x:c>
      <x:c r="B29" s="129" t="str">
        <x:v>2026-05</x:v>
      </x:c>
      <x:c r="C29" s="129" t="n">
        <x:v>14</x:v>
      </x:c>
      <x:c r="D29" s="129" t="str">
        <x:v>2605.24392</x:v>
      </x:c>
      <x:c r="E29" s="128" t="str">
        <x:v>Hydrodynamic Limit of the Boltzmann Equation toward Generic Riemann Solutions with Shocks</x:v>
      </x:c>
      <x:c r="F29" s="128" t="str">
        <x:v>Mingi Choe; Moon-jin Kang; Chanwoo Kim</x:v>
      </x:c>
      <x:c r="G29" s="128" t="str">
        <x:v>Kinetic theory / hydrodynamic limits</x:v>
      </x:c>
      <x:c r="H29" s="129"/>
      <x:c r="I29" s="130" t="n">
        <x:v>91.56</x:v>
      </x:c>
      <x:c r="J29" s="130" t="n">
        <x:v>91.83</x:v>
      </x:c>
      <x:c r="K29" s="130" t="n">
        <x:v>91.29</x:v>
      </x:c>
      <x:c r="L29" s="130" t="n">
        <x:v>94.3</x:v>
      </x:c>
      <x:c r="M29" s="130" t="n">
        <x:v>91.1</x:v>
      </x:c>
      <x:c r="N29" s="130" t="n">
        <x:v>94.3</x:v>
      </x:c>
      <x:c r="O29" s="130" t="n">
        <x:v>88.3</x:v>
      </x:c>
      <x:c r="P29" s="130" t="n">
        <x:v>94.2</x:v>
      </x:c>
      <x:c r="Q29" s="130" t="n">
        <x:v>85</x:v>
      </x:c>
      <x:c r="R29" s="130" t="n">
        <x:v>12</x:v>
      </x:c>
      <x:c r="S29" s="128" t="str">
        <x:v>https://arxiv.org/abs/2605.24392</x:v>
      </x:c>
      <x:c r="T29" s="128" t="str">
        <x:v>带激波Riemann解的Boltzmann流体极限，广度和技术性上调。</x:v>
      </x:c>
    </x:row>
    <x:row r="30" ht="28" customHeight="1">
      <x:c r="A30" s="129" t="n">
        <x:v>29</x:v>
      </x:c>
      <x:c r="B30" s="129" t="str">
        <x:v>2026-07</x:v>
      </x:c>
      <x:c r="C30" s="129" t="n">
        <x:v>4</x:v>
      </x:c>
      <x:c r="D30" s="129" t="str">
        <x:v>2607.08685</x:v>
      </x:c>
      <x:c r="E30" s="128" t="str">
        <x:v>A Short Proof of Optimal Regularity for minimizers of the Alt-Phillips Problem</x:v>
      </x:c>
      <x:c r="F30" s="128" t="str">
        <x:v>Kunyi Ma</x:v>
      </x:c>
      <x:c r="G30" s="128" t="str">
        <x:v>free boundary</x:v>
      </x:c>
      <x:c r="H30" s="129" t="str">
        <x:v>-</x:v>
      </x:c>
      <x:c r="I30" s="130" t="n">
        <x:v>91.53</x:v>
      </x:c>
      <x:c r="J30" s="130" t="n">
        <x:v>91.65</x:v>
      </x:c>
      <x:c r="K30" s="130" t="n">
        <x:v>91.4</x:v>
      </x:c>
      <x:c r="L30" s="130" t="n">
        <x:v>93</x:v>
      </x:c>
      <x:c r="M30" s="130" t="n">
        <x:v>90</x:v>
      </x:c>
      <x:c r="N30" s="130" t="n">
        <x:v>94</x:v>
      </x:c>
      <x:c r="O30" s="130" t="n">
        <x:v>89</x:v>
      </x:c>
      <x:c r="P30" s="130" t="n">
        <x:v>94</x:v>
      </x:c>
      <x:c r="Q30" s="130" t="n">
        <x:v>89</x:v>
      </x:c>
      <x:c r="R30" s="130" t="n">
        <x:v>13</x:v>
      </x:c>
      <x:c r="S30" s="128" t="str">
        <x:v>https://arxiv.org/abs/2607.08685</x:v>
      </x:c>
      <x:c r="T30" s="128" t="str">
        <x:v>Scored candidate from official July math.AP list; correctness not checked.</x:v>
      </x:c>
    </x:row>
    <x:row r="31" ht="28" customHeight="1">
      <x:c r="A31" s="129" t="n">
        <x:v>30</x:v>
      </x:c>
      <x:c r="B31" s="129" t="str">
        <x:v>2026-05</x:v>
      </x:c>
      <x:c r="C31" s="129" t="n">
        <x:v>15</x:v>
      </x:c>
      <x:c r="D31" s="129" t="str">
        <x:v>2605.24214</x:v>
      </x:c>
      <x:c r="E31" s="128" t="str">
        <x:v>Variational formulation of hyperbolic conservation laws</x:v>
      </x:c>
      <x:c r="F31" s="128" t="str">
        <x:v>Eitan Tadmor</x:v>
      </x:c>
      <x:c r="G31" s="128" t="str">
        <x:v>Conservation laws</x:v>
      </x:c>
      <x:c r="H31" s="129"/>
      <x:c r="I31" s="130" t="n">
        <x:v>91.41</x:v>
      </x:c>
      <x:c r="J31" s="130" t="n">
        <x:v>92.21</x:v>
      </x:c>
      <x:c r="K31" s="130" t="n">
        <x:v>90.62</x:v>
      </x:c>
      <x:c r="L31" s="130" t="n">
        <x:v>94.3</x:v>
      </x:c>
      <x:c r="M31" s="130" t="n">
        <x:v>93.4</x:v>
      </x:c>
      <x:c r="N31" s="130" t="n">
        <x:v>90.9</x:v>
      </x:c>
      <x:c r="O31" s="130" t="n">
        <x:v>91.4</x:v>
      </x:c>
      <x:c r="P31" s="130" t="n">
        <x:v>91.2</x:v>
      </x:c>
      <x:c r="Q31" s="130" t="n">
        <x:v>88</x:v>
      </x:c>
      <x:c r="R31" s="130" t="n">
        <x:v>12</x:v>
      </x:c>
      <x:c r="S31" s="128" t="str">
        <x:v>https://arxiv.org/abs/2605.24214</x:v>
      </x:c>
      <x:c r="T31" s="128" t="str">
        <x:v>概念性变分框架广度上调，证明深度轻微回调。</x:v>
      </x:c>
    </x:row>
    <x:row r="32" ht="28" customHeight="1">
      <x:c r="A32" s="129" t="n">
        <x:v>31</x:v>
      </x:c>
      <x:c r="B32" s="129" t="str">
        <x:v>2026-06</x:v>
      </x:c>
      <x:c r="C32" s="129" t="n">
        <x:v>10</x:v>
      </x:c>
      <x:c r="D32" s="129" t="str">
        <x:v>2606.05098</x:v>
      </x:c>
      <x:c r="E32" s="128" t="str">
        <x:v>Quantitative Homogenization Theory for Lame-Stokes Coupled Systems</x:v>
      </x:c>
      <x:c r="F32" s="128" t="str">
        <x:v>Beichen Wang</x:v>
      </x:c>
      <x:c r="G32" s="128" t="str">
        <x:v>homogenization</x:v>
      </x:c>
      <x:c r="H32" s="129" t="str">
        <x:v>92</x:v>
      </x:c>
      <x:c r="I32" s="130" t="n">
        <x:v>91.4</x:v>
      </x:c>
      <x:c r="J32" s="130" t="n">
        <x:v>91.65</x:v>
      </x:c>
      <x:c r="K32" s="130" t="n">
        <x:v>91.15</x:v>
      </x:c>
      <x:c r="L32" s="130" t="n">
        <x:v>93</x:v>
      </x:c>
      <x:c r="M32" s="130" t="n">
        <x:v>90.1</x:v>
      </x:c>
      <x:c r="N32" s="130" t="n">
        <x:v>94</x:v>
      </x:c>
      <x:c r="O32" s="130" t="n">
        <x:v>90.2</x:v>
      </x:c>
      <x:c r="P32" s="130" t="n">
        <x:v>93.1</x:v>
      </x:c>
      <x:c r="Q32" s="130" t="n">
        <x:v>87</x:v>
      </x:c>
      <x:c r="R32" s="130" t="n">
        <x:v>11</x:v>
      </x:c>
      <x:c r="S32" s="128" t="str">
        <x:v>https://arxiv.org/abs/2606.05098</x:v>
      </x:c>
      <x:c r="T32" s="128" t="str">
        <x:v>三轮复核后与原表基本一致</x:v>
      </x:c>
    </x:row>
    <x:row r="33" ht="28" customHeight="1">
      <x:c r="A33" s="129" t="n">
        <x:v>32</x:v>
      </x:c>
      <x:c r="B33" s="129" t="str">
        <x:v>2026-07</x:v>
      </x:c>
      <x:c r="C33" s="129" t="n">
        <x:v>5</x:v>
      </x:c>
      <x:c r="D33" s="129" t="str">
        <x:v>2607.02493</x:v>
      </x:c>
      <x:c r="E33" s="128" t="str">
        <x:v>Stability of global self-similar solutions to the cubic wave equation and the wave maps equation</x:v>
      </x:c>
      <x:c r="F33" s="128" t="str">
        <x:v>Akansha Sanwal; Birgit Schörkhuber; David Wallauch</x:v>
      </x:c>
      <x:c r="G33" s="128" t="str">
        <x:v>nonlinear waves / stability</x:v>
      </x:c>
      <x:c r="H33" s="129" t="n">
        <x:v>91</x:v>
      </x:c>
      <x:c r="I33" s="130" t="n">
        <x:v>91.38</x:v>
      </x:c>
      <x:c r="J33" s="130" t="n">
        <x:v>91.6</x:v>
      </x:c>
      <x:c r="K33" s="130" t="n">
        <x:v>91.15</x:v>
      </x:c>
      <x:c r="L33" s="130" t="n">
        <x:v>94</x:v>
      </x:c>
      <x:c r="M33" s="130" t="n">
        <x:v>91</x:v>
      </x:c>
      <x:c r="N33" s="130" t="n">
        <x:v>94</x:v>
      </x:c>
      <x:c r="O33" s="130" t="n">
        <x:v>88</x:v>
      </x:c>
      <x:c r="P33" s="130" t="n">
        <x:v>94</x:v>
      </x:c>
      <x:c r="Q33" s="130" t="n">
        <x:v>85</x:v>
      </x:c>
      <x:c r="R33" s="130" t="n">
        <x:v>12</x:v>
      </x:c>
      <x:c r="S33" s="128" t="str">
        <x:v>https://arxiv.org/abs/2607.02493</x:v>
      </x:c>
      <x:c r="T33" s="128" t="str">
        <x:v>Long nonlinear stability analysis of self-similar wave profiles.</x:v>
      </x:c>
    </x:row>
    <x:row r="34" ht="28" customHeight="1">
      <x:c r="A34" s="129" t="n">
        <x:v>33</x:v>
      </x:c>
      <x:c r="B34" s="129" t="str">
        <x:v>2026-07</x:v>
      </x:c>
      <x:c r="C34" s="129" t="n">
        <x:v>6</x:v>
      </x:c>
      <x:c r="D34" s="129" t="str">
        <x:v>2607.07154</x:v>
      </x:c>
      <x:c r="E34" s="128" t="str">
        <x:v>Nonlocal minimal surfaces are generically unique, and smooth in one extra dimension</x:v>
      </x:c>
      <x:c r="F34" s="128" t="str">
        <x:v>Serena Dipierro; Xavier Fernández-Real; Enrico Valdinoci</x:v>
      </x:c>
      <x:c r="G34" s="128" t="str">
        <x:v>nonlocal minimal surfaces</x:v>
      </x:c>
      <x:c r="H34" s="129" t="str">
        <x:v>-</x:v>
      </x:c>
      <x:c r="I34" s="130" t="n">
        <x:v>91.2</x:v>
      </x:c>
      <x:c r="J34" s="130" t="n">
        <x:v>91.3</x:v>
      </x:c>
      <x:c r="K34" s="130" t="n">
        <x:v>91.1</x:v>
      </x:c>
      <x:c r="L34" s="130" t="n">
        <x:v>93</x:v>
      </x:c>
      <x:c r="M34" s="130" t="n">
        <x:v>91</x:v>
      </x:c>
      <x:c r="N34" s="130" t="n">
        <x:v>93</x:v>
      </x:c>
      <x:c r="O34" s="130" t="n">
        <x:v>89</x:v>
      </x:c>
      <x:c r="P34" s="130" t="n">
        <x:v>93</x:v>
      </x:c>
      <x:c r="Q34" s="130" t="n">
        <x:v>86</x:v>
      </x:c>
      <x:c r="R34" s="130" t="n">
        <x:v>10</x:v>
      </x:c>
      <x:c r="S34" s="128" t="str">
        <x:v>https://arxiv.org/abs/2607.07154</x:v>
      </x:c>
      <x:c r="T34" s="128" t="str">
        <x:v>Conceptual regularity/generic uniqueness result in nonlocal geometric PDE.</x:v>
      </x:c>
    </x:row>
    <x:row r="35" ht="28" customHeight="1">
      <x:c r="A35" s="129" t="n">
        <x:v>34</x:v>
      </x:c>
      <x:c r="B35" s="129" t="str">
        <x:v>2026-06</x:v>
      </x:c>
      <x:c r="C35" s="129" t="n">
        <x:v>11</x:v>
      </x:c>
      <x:c r="D35" s="129" t="str">
        <x:v>2606.09614</x:v>
      </x:c>
      <x:c r="E35" s="128" t="str">
        <x:v>The L^p Neumann problem for parabolic operators with coefficients satisfying small Carleson condition</x:v>
      </x:c>
      <x:c r="F35" s="128" t="str">
        <x:v>Martin Dindos; Linhan Li; Jill Pipher</x:v>
      </x:c>
      <x:c r="G35" s="128" t="str">
        <x:v>parabolic boundary value</x:v>
      </x:c>
      <x:c r="H35" s="129" t="str">
        <x:v>100</x:v>
      </x:c>
      <x:c r="I35" s="130" t="n">
        <x:v>91.19</x:v>
      </x:c>
      <x:c r="J35" s="130" t="n">
        <x:v>91.37</x:v>
      </x:c>
      <x:c r="K35" s="130" t="n">
        <x:v>91</x:v>
      </x:c>
      <x:c r="L35" s="130" t="n">
        <x:v>93</x:v>
      </x:c>
      <x:c r="M35" s="130" t="n">
        <x:v>90</x:v>
      </x:c>
      <x:c r="N35" s="130" t="n">
        <x:v>94.1</x:v>
      </x:c>
      <x:c r="O35" s="130" t="n">
        <x:v>89</x:v>
      </x:c>
      <x:c r="P35" s="130" t="n">
        <x:v>93.1</x:v>
      </x:c>
      <x:c r="Q35" s="130" t="n">
        <x:v>86</x:v>
      </x:c>
      <x:c r="R35" s="130" t="n">
        <x:v>11</x:v>
      </x:c>
      <x:c r="S35" s="128" t="str">
        <x:v>https://arxiv.org/abs/2606.09614</x:v>
      </x:c>
      <x:c r="T35" s="128" t="str">
        <x:v>三轮复核后与原表基本一致</x:v>
      </x:c>
    </x:row>
    <x:row r="36" ht="28" customHeight="1">
      <x:c r="A36" s="129" t="n">
        <x:v>35</x:v>
      </x:c>
      <x:c r="B36" s="129" t="str">
        <x:v>2026-06</x:v>
      </x:c>
      <x:c r="C36" s="129" t="n">
        <x:v>12</x:v>
      </x:c>
      <x:c r="D36" s="129" t="str">
        <x:v>2606.28211</x:v>
      </x:c>
      <x:c r="E36" s="128" t="str">
        <x:v>A regularity theorem for stationary measures</x:v>
      </x:c>
      <x:c r="F36" s="128" t="str">
        <x:v>Luigi Ambrosio; Giovanni Siclari</x:v>
      </x:c>
      <x:c r="G36" s="128" t="str">
        <x:v>measure/PDE regularity</x:v>
      </x:c>
      <x:c r="H36" s="129"/>
      <x:c r="I36" s="130" t="n">
        <x:v>91.15</x:v>
      </x:c>
      <x:c r="J36" s="130" t="n">
        <x:v>91.29</x:v>
      </x:c>
      <x:c r="K36" s="130" t="n">
        <x:v>91</x:v>
      </x:c>
      <x:c r="L36" s="130" t="n">
        <x:v>92.9</x:v>
      </x:c>
      <x:c r="M36" s="130" t="n">
        <x:v>91.1</x:v>
      </x:c>
      <x:c r="N36" s="130" t="n">
        <x:v>93</x:v>
      </x:c>
      <x:c r="O36" s="130" t="n">
        <x:v>89</x:v>
      </x:c>
      <x:c r="P36" s="130" t="n">
        <x:v>93.1</x:v>
      </x:c>
      <x:c r="Q36" s="130" t="n">
        <x:v>86</x:v>
      </x:c>
      <x:c r="R36" s="130" t="n">
        <x:v>11</x:v>
      </x:c>
      <x:c r="S36" s="128" t="str">
        <x:v>https://arxiv.org/abs/2606.28211</x:v>
      </x:c>
      <x:c r="T36" s="128" t="str">
        <x:v>范围偏专门，广度轻微回调</x:v>
      </x:c>
    </x:row>
    <x:row r="37" ht="28" customHeight="1">
      <x:c r="A37" s="129" t="n">
        <x:v>36</x:v>
      </x:c>
      <x:c r="B37" s="129" t="str">
        <x:v>2026-06</x:v>
      </x:c>
      <x:c r="C37" s="129" t="n">
        <x:v>13</x:v>
      </x:c>
      <x:c r="D37" s="129" t="str">
        <x:v>2606.07010</x:v>
      </x:c>
      <x:c r="E37" s="128" t="str">
        <x:v>Gauge transforms, random averaging operator ansatz and improved probabilistic well-posedness for the radial NLS on the 3d ball</x:v>
      </x:c>
      <x:c r="F37" s="128" t="str">
        <x:v>Nicolas Burq; Nicolas Camps; Chenmin Sun; Nikolay Tzvetkov</x:v>
      </x:c>
      <x:c r="G37" s="128" t="str">
        <x:v>probabilistic dispersive PDE</x:v>
      </x:c>
      <x:c r="H37" s="129" t="str">
        <x:v>75</x:v>
      </x:c>
      <x:c r="I37" s="130" t="n">
        <x:v>91.1</x:v>
      </x:c>
      <x:c r="J37" s="130" t="n">
        <x:v>91.19</x:v>
      </x:c>
      <x:c r="K37" s="130" t="n">
        <x:v>91</x:v>
      </x:c>
      <x:c r="L37" s="130" t="n">
        <x:v>92.9</x:v>
      </x:c>
      <x:c r="M37" s="130" t="n">
        <x:v>92</x:v>
      </x:c>
      <x:c r="N37" s="130" t="n">
        <x:v>93</x:v>
      </x:c>
      <x:c r="O37" s="130" t="n">
        <x:v>87.8</x:v>
      </x:c>
      <x:c r="P37" s="130" t="n">
        <x:v>93</x:v>
      </x:c>
      <x:c r="Q37" s="130" t="n">
        <x:v>85</x:v>
      </x:c>
      <x:c r="R37" s="130" t="n">
        <x:v>11</x:v>
      </x:c>
      <x:c r="S37" s="128" t="str">
        <x:v>https://arxiv.org/abs/2606.07010</x:v>
      </x:c>
      <x:c r="T37" s="128" t="str">
        <x:v>范围偏专门，广度轻微回调</x:v>
      </x:c>
    </x:row>
    <x:row r="38" ht="28" customHeight="1">
      <x:c r="A38" s="129" t="n">
        <x:v>37</x:v>
      </x:c>
      <x:c r="B38" s="129" t="str">
        <x:v>2026-08</x:v>
      </x:c>
      <x:c r="C38" s="129" t="n">
        <x:v>3</x:v>
      </x:c>
      <x:c r="D38" s="129" t="str">
        <x:v>2608.01440</x:v>
      </x:c>
      <x:c r="E38" s="128" t="str">
        <x:v>Local smoothing for rough wave equations</x:v>
      </x:c>
      <x:c r="F38" s="128" t="str">
        <x:v>Jan Rozendaal; Robert Schippa</x:v>
      </x:c>
      <x:c r="G38" s="128" t="str">
        <x:v>wave equations/harmonic analysis</x:v>
      </x:c>
      <x:c r="H38" s="129" t="n">
        <x:v>57</x:v>
      </x:c>
      <x:c r="I38" s="130" t="n">
        <x:v>91.05</x:v>
      </x:c>
      <x:c r="J38" s="130" t="n">
        <x:v>91</x:v>
      </x:c>
      <x:c r="K38" s="130" t="n">
        <x:v>91.1</x:v>
      </x:c>
      <x:c r="L38" s="130" t="n">
        <x:v>92</x:v>
      </x:c>
      <x:c r="M38" s="130" t="n">
        <x:v>91</x:v>
      </x:c>
      <x:c r="N38" s="130" t="n">
        <x:v>93</x:v>
      </x:c>
      <x:c r="O38" s="130" t="n">
        <x:v>89</x:v>
      </x:c>
      <x:c r="P38" s="130" t="n">
        <x:v>93</x:v>
      </x:c>
      <x:c r="Q38" s="130" t="n">
        <x:v>86</x:v>
      </x:c>
      <x:c r="R38" s="130" t="n">
        <x:v>10</x:v>
      </x:c>
      <x:c r="S38" s="128" t="str">
        <x:v>https://arxiv.org/abs/2608.01440</x:v>
      </x:c>
      <x:c r="T38" s="128" t="str">
        <x:v>Rough-coefficient local smoothing; broad dispersive and microlocal relevance.</x:v>
      </x:c>
    </x:row>
    <x:row r="39" ht="28" customHeight="1">
      <x:c r="A39" s="129" t="n">
        <x:v>38</x:v>
      </x:c>
      <x:c r="B39" s="129" t="str">
        <x:v>2026-05</x:v>
      </x:c>
      <x:c r="C39" s="129" t="n">
        <x:v>16</x:v>
      </x:c>
      <x:c r="D39" s="129" t="str">
        <x:v>2605.07913</x:v>
      </x:c>
      <x:c r="E39" s="128" t="str">
        <x:v>Finite index solutions to the Bernoulli problem in three dimensions are axially symmetric</x:v>
      </x:c>
      <x:c r="F39" s="128" t="str">
        <x:v>Xavier Fernandez-Real; Enric Florit-Simon; Joaquim Serra</x:v>
      </x:c>
      <x:c r="G39" s="128" t="str">
        <x:v>Free boundary regularity</x:v>
      </x:c>
      <x:c r="H39" s="129"/>
      <x:c r="I39" s="130" t="n">
        <x:v>91.03</x:v>
      </x:c>
      <x:c r="J39" s="130" t="n">
        <x:v>90.95</x:v>
      </x:c>
      <x:c r="K39" s="130" t="n">
        <x:v>91.1</x:v>
      </x:c>
      <x:c r="L39" s="130" t="n">
        <x:v>93</x:v>
      </x:c>
      <x:c r="M39" s="130" t="n">
        <x:v>90.1</x:v>
      </x:c>
      <x:c r="N39" s="130" t="n">
        <x:v>93</x:v>
      </x:c>
      <x:c r="O39" s="130" t="n">
        <x:v>87.2</x:v>
      </x:c>
      <x:c r="P39" s="130" t="n">
        <x:v>93.1</x:v>
      </x:c>
      <x:c r="Q39" s="130" t="n">
        <x:v>87</x:v>
      </x:c>
      <x:c r="R39" s="130" t="n">
        <x:v>10</x:v>
      </x:c>
      <x:c r="S39" s="128" t="str">
        <x:v>https://arxiv.org/abs/2605.07913</x:v>
      </x:c>
      <x:c r="T39" s="128" t="str">
        <x:v>三轮复核后与原表基本一致</x:v>
      </x:c>
    </x:row>
    <x:row r="40" ht="28" customHeight="1">
      <x:c r="A40" s="129" t="n">
        <x:v>39</x:v>
      </x:c>
      <x:c r="B40" s="129" t="str">
        <x:v>2026-06</x:v>
      </x:c>
      <x:c r="C40" s="129" t="n">
        <x:v>14</x:v>
      </x:c>
      <x:c r="D40" s="129" t="str">
        <x:v>2606.10185</x:v>
      </x:c>
      <x:c r="E40" s="128" t="str">
        <x:v>Boundary Harnack estimates of optimal order for kinetic Fokker-Planck equations</x:v>
      </x:c>
      <x:c r="F40" s="128" t="str">
        <x:v>Kyeongbae Kim; Marvin Weidner</x:v>
      </x:c>
      <x:c r="G40" s="128" t="str">
        <x:v>kinetic regularity</x:v>
      </x:c>
      <x:c r="H40" s="129" t="str">
        <x:v>59</x:v>
      </x:c>
      <x:c r="I40" s="130" t="n">
        <x:v>91.03</x:v>
      </x:c>
      <x:c r="J40" s="130" t="n">
        <x:v>91.05</x:v>
      </x:c>
      <x:c r="K40" s="130" t="n">
        <x:v>91</x:v>
      </x:c>
      <x:c r="L40" s="130" t="n">
        <x:v>92</x:v>
      </x:c>
      <x:c r="M40" s="130" t="n">
        <x:v>91.1</x:v>
      </x:c>
      <x:c r="N40" s="130" t="n">
        <x:v>93</x:v>
      </x:c>
      <x:c r="O40" s="130" t="n">
        <x:v>89.2</x:v>
      </x:c>
      <x:c r="P40" s="130" t="n">
        <x:v>93.1</x:v>
      </x:c>
      <x:c r="Q40" s="130" t="n">
        <x:v>86</x:v>
      </x:c>
      <x:c r="R40" s="130" t="n">
        <x:v>11</x:v>
      </x:c>
      <x:c r="S40" s="128" t="str">
        <x:v>https://arxiv.org/abs/2606.10185</x:v>
      </x:c>
      <x:c r="T40" s="128" t="str">
        <x:v>三轮复核后与原表基本一致</x:v>
      </x:c>
    </x:row>
    <x:row r="41" ht="28" customHeight="1">
      <x:c r="A41" s="129" t="n">
        <x:v>40</x:v>
      </x:c>
      <x:c r="B41" s="129" t="str">
        <x:v>2026-07</x:v>
      </x:c>
      <x:c r="C41" s="129" t="n">
        <x:v>7</x:v>
      </x:c>
      <x:c r="D41" s="129" t="str">
        <x:v>2607.07618</x:v>
      </x:c>
      <x:c r="E41" s="128" t="str">
        <x:v>Fourier restriction norm method adapted to controlled paths: stochastic wave equations</x:v>
      </x:c>
      <x:c r="F41" s="128" t="str">
        <x:v>Andreia Chapouto; Jiawei Li; Tadahiro Oh</x:v>
      </x:c>
      <x:c r="G41" s="128" t="str">
        <x:v>stochastic dispersive PDE</x:v>
      </x:c>
      <x:c r="H41" s="129" t="n">
        <x:v>100</x:v>
      </x:c>
      <x:c r="I41" s="130" t="n">
        <x:v>91.03</x:v>
      </x:c>
      <x:c r="J41" s="130" t="n">
        <x:v>91.2</x:v>
      </x:c>
      <x:c r="K41" s="130" t="n">
        <x:v>90.85</x:v>
      </x:c>
      <x:c r="L41" s="130" t="n">
        <x:v>93</x:v>
      </x:c>
      <x:c r="M41" s="130" t="n">
        <x:v>91</x:v>
      </x:c>
      <x:c r="N41" s="130" t="n">
        <x:v>94</x:v>
      </x:c>
      <x:c r="O41" s="130" t="n">
        <x:v>88</x:v>
      </x:c>
      <x:c r="P41" s="130" t="n">
        <x:v>94</x:v>
      </x:c>
      <x:c r="Q41" s="130" t="n">
        <x:v>84</x:v>
      </x:c>
      <x:c r="R41" s="130" t="n">
        <x:v>13</x:v>
      </x:c>
      <x:c r="S41" s="128" t="str">
        <x:v>https://arxiv.org/abs/2607.07618</x:v>
      </x:c>
      <x:c r="T41" s="128" t="str">
        <x:v>Develops controlled-path restriction framework for stochastic waves.</x:v>
      </x:c>
    </x:row>
    <x:row r="42" ht="28" customHeight="1">
      <x:c r="A42" s="129" t="n">
        <x:v>41</x:v>
      </x:c>
      <x:c r="B42" s="129" t="str">
        <x:v>2026-05</x:v>
      </x:c>
      <x:c r="C42" s="129" t="n">
        <x:v>17</x:v>
      </x:c>
      <x:c r="D42" s="129" t="str">
        <x:v>2605.16502</x:v>
      </x:c>
      <x:c r="E42" s="128" t="str">
        <x:v>Sharp Ill-Posedness of the Euler Equations in Lorentz Spaces</x:v>
      </x:c>
      <x:c r="F42" s="128" t="str">
        <x:v>Jeaheang Bang; Alexey Cheskidov</x:v>
      </x:c>
      <x:c r="G42" s="128" t="str">
        <x:v>Euler well/ill-posedness</x:v>
      </x:c>
      <x:c r="H42" s="129" t="str">
        <x:v>98</x:v>
      </x:c>
      <x:c r="I42" s="130" t="n">
        <x:v>90.93</x:v>
      </x:c>
      <x:c r="J42" s="130" t="n">
        <x:v>91.26</x:v>
      </x:c>
      <x:c r="K42" s="130" t="n">
        <x:v>90.6</x:v>
      </x:c>
      <x:c r="L42" s="130" t="n">
        <x:v>94.1</x:v>
      </x:c>
      <x:c r="M42" s="130" t="n">
        <x:v>90.1</x:v>
      </x:c>
      <x:c r="N42" s="130" t="n">
        <x:v>94.1</x:v>
      </x:c>
      <x:c r="O42" s="130" t="n">
        <x:v>87.2</x:v>
      </x:c>
      <x:c r="P42" s="130" t="n">
        <x:v>94.2</x:v>
      </x:c>
      <x:c r="Q42" s="130" t="n">
        <x:v>84</x:v>
      </x:c>
      <x:c r="R42" s="130" t="n">
        <x:v>14</x:v>
      </x:c>
      <x:c r="S42" s="128" t="str">
        <x:v>https://arxiv.org/abs/2605.16502</x:v>
      </x:c>
      <x:c r="T42" s="128" t="str">
        <x:v>三轮复核后与原表基本一致</x:v>
      </x:c>
    </x:row>
    <x:row r="43" ht="28" customHeight="1">
      <x:c r="A43" s="129" t="n">
        <x:v>42</x:v>
      </x:c>
      <x:c r="B43" s="129" t="str">
        <x:v>2026-07</x:v>
      </x:c>
      <x:c r="C43" s="129" t="n">
        <x:v>8</x:v>
      </x:c>
      <x:c r="D43" s="129" t="str">
        <x:v>2607.07613</x:v>
      </x:c>
      <x:c r="E43" s="128" t="str">
        <x:v>Time-periodic vortices near translating symmetric dipole patches</x:v>
      </x:c>
      <x:c r="F43" s="128" t="str">
        <x:v>Luca Franzoi; Taoufik Hmidi; Riccardo Montalto</x:v>
      </x:c>
      <x:c r="G43" s="128" t="str">
        <x:v>Euler vortices / bifurcation</x:v>
      </x:c>
      <x:c r="H43" s="129" t="n">
        <x:v>105</x:v>
      </x:c>
      <x:c r="I43" s="130" t="n">
        <x:v>90.83</x:v>
      </x:c>
      <x:c r="J43" s="130" t="n">
        <x:v>90.85</x:v>
      </x:c>
      <x:c r="K43" s="130" t="n">
        <x:v>90.8</x:v>
      </x:c>
      <x:c r="L43" s="130" t="n">
        <x:v>93</x:v>
      </x:c>
      <x:c r="M43" s="130" t="n">
        <x:v>90</x:v>
      </x:c>
      <x:c r="N43" s="130" t="n">
        <x:v>94</x:v>
      </x:c>
      <x:c r="O43" s="130" t="n">
        <x:v>87</x:v>
      </x:c>
      <x:c r="P43" s="130" t="n">
        <x:v>94</x:v>
      </x:c>
      <x:c r="Q43" s="130" t="n">
        <x:v>84</x:v>
      </x:c>
      <x:c r="R43" s="130" t="n">
        <x:v>12</x:v>
      </x:c>
      <x:c r="S43" s="128" t="str">
        <x:v>https://arxiv.org/abs/2607.07613</x:v>
      </x:c>
      <x:c r="T43" s="128" t="str">
        <x:v>Long construction around vortex patches; high human difficulty.</x:v>
      </x:c>
    </x:row>
    <x:row r="44" ht="28" customHeight="1">
      <x:c r="A44" s="129" t="n">
        <x:v>43</x:v>
      </x:c>
      <x:c r="B44" s="129" t="str">
        <x:v>2026-06</x:v>
      </x:c>
      <x:c r="C44" s="129" t="n">
        <x:v>15</x:v>
      </x:c>
      <x:c r="D44" s="129" t="str">
        <x:v>2606.15189</x:v>
      </x:c>
      <x:c r="E44" s="128" t="str">
        <x:v>Blow-up and uniqueness of Leray-Hopf solutions to forced Navier-Stokes equations</x:v>
      </x:c>
      <x:c r="F44" s="128" t="str">
        <x:v>Giovanni Paolo Galdi; Filippo Gazzola</x:v>
      </x:c>
      <x:c r="G44" s="128" t="str">
        <x:v>Navier-Stokes</x:v>
      </x:c>
      <x:c r="H44" s="129"/>
      <x:c r="I44" s="130" t="n">
        <x:v>90.82</x:v>
      </x:c>
      <x:c r="J44" s="130" t="n">
        <x:v>91.05</x:v>
      </x:c>
      <x:c r="K44" s="130" t="n">
        <x:v>90.6</x:v>
      </x:c>
      <x:c r="L44" s="130" t="n">
        <x:v>94.1</x:v>
      </x:c>
      <x:c r="M44" s="130" t="n">
        <x:v>90</x:v>
      </x:c>
      <x:c r="N44" s="130" t="n">
        <x:v>92.1</x:v>
      </x:c>
      <x:c r="O44" s="130" t="n">
        <x:v>88</x:v>
      </x:c>
      <x:c r="P44" s="130" t="n">
        <x:v>93.1</x:v>
      </x:c>
      <x:c r="Q44" s="130" t="n">
        <x:v>86</x:v>
      </x:c>
      <x:c r="R44" s="130" t="n">
        <x:v>11</x:v>
      </x:c>
      <x:c r="S44" s="128" t="str">
        <x:v>https://arxiv.org/abs/2606.15189</x:v>
      </x:c>
      <x:c r="T44" s="128" t="str">
        <x:v>三轮复核后与原表基本一致</x:v>
      </x:c>
    </x:row>
    <x:row r="45" ht="28" customHeight="1">
      <x:c r="A45" s="129" t="n">
        <x:v>44</x:v>
      </x:c>
      <x:c r="B45" s="129" t="str">
        <x:v>2026-05</x:v>
      </x:c>
      <x:c r="C45" s="129" t="n">
        <x:v>18</x:v>
      </x:c>
      <x:c r="D45" s="129" t="str">
        <x:v>2605.11834</x:v>
      </x:c>
      <x:c r="E45" s="128" t="str">
        <x:v>Sharp upper bound for a branched transport problem coming from Ginzburg-Landau models</x:v>
      </x:c>
      <x:c r="F45" s="128" t="str">
        <x:v>Alessandro Cosenza; Michael Goldman; Felix Otto</x:v>
      </x:c>
      <x:c r="G45" s="128" t="str">
        <x:v>Variational PDE / Ginzburg-Landau</x:v>
      </x:c>
      <x:c r="H45" s="129" t="str">
        <x:v>27</x:v>
      </x:c>
      <x:c r="I45" s="130" t="n">
        <x:v>90.81</x:v>
      </x:c>
      <x:c r="J45" s="130" t="n">
        <x:v>90.91</x:v>
      </x:c>
      <x:c r="K45" s="130" t="n">
        <x:v>90.7</x:v>
      </x:c>
      <x:c r="L45" s="130" t="n">
        <x:v>92.1</x:v>
      </x:c>
      <x:c r="M45" s="130" t="n">
        <x:v>91.1</x:v>
      </x:c>
      <x:c r="N45" s="130" t="n">
        <x:v>92.1</x:v>
      </x:c>
      <x:c r="O45" s="130" t="n">
        <x:v>88.2</x:v>
      </x:c>
      <x:c r="P45" s="130" t="n">
        <x:v>92.2</x:v>
      </x:c>
      <x:c r="Q45" s="130" t="n">
        <x:v>88</x:v>
      </x:c>
      <x:c r="R45" s="130" t="n">
        <x:v>12</x:v>
      </x:c>
      <x:c r="S45" s="128" t="str">
        <x:v>https://arxiv.org/abs/2605.11834</x:v>
      </x:c>
      <x:c r="T45" s="128" t="str">
        <x:v>三轮复核后与原表基本一致</x:v>
      </x:c>
    </x:row>
    <x:row r="46" ht="28" customHeight="1">
      <x:c r="A46" s="129" t="n">
        <x:v>45</x:v>
      </x:c>
      <x:c r="B46" s="129" t="str">
        <x:v>2026-06</x:v>
      </x:c>
      <x:c r="C46" s="129" t="n">
        <x:v>16</x:v>
      </x:c>
      <x:c r="D46" s="129" t="str">
        <x:v>2606.12101</x:v>
      </x:c>
      <x:c r="E46" s="128" t="str">
        <x:v>Sharp Convergence Rates for Parabolic Green's Functions in Time-Independent Periodic Homogenization</x:v>
      </x:c>
      <x:c r="F46" s="128" t="str">
        <x:v>Wei Wang</x:v>
      </x:c>
      <x:c r="G46" s="128" t="str">
        <x:v>homogenization/Green functions</x:v>
      </x:c>
      <x:c r="H46" s="129" t="str">
        <x:v>44</x:v>
      </x:c>
      <x:c r="I46" s="130" t="n">
        <x:v>90.8</x:v>
      </x:c>
      <x:c r="J46" s="130" t="n">
        <x:v>90.95</x:v>
      </x:c>
      <x:c r="K46" s="130" t="n">
        <x:v>90.65</x:v>
      </x:c>
      <x:c r="L46" s="130" t="n">
        <x:v>92</x:v>
      </x:c>
      <x:c r="M46" s="130" t="n">
        <x:v>90.1</x:v>
      </x:c>
      <x:c r="N46" s="130" t="n">
        <x:v>93</x:v>
      </x:c>
      <x:c r="O46" s="130" t="n">
        <x:v>89.2</x:v>
      </x:c>
      <x:c r="P46" s="130" t="n">
        <x:v>92.1</x:v>
      </x:c>
      <x:c r="Q46" s="130" t="n">
        <x:v>87</x:v>
      </x:c>
      <x:c r="R46" s="130" t="n">
        <x:v>11</x:v>
      </x:c>
      <x:c r="S46" s="128" t="str">
        <x:v>https://arxiv.org/abs/2606.12101</x:v>
      </x:c>
      <x:c r="T46" s="128" t="str">
        <x:v>三轮复核后与原表基本一致</x:v>
      </x:c>
    </x:row>
    <x:row r="47" ht="28" customHeight="1">
      <x:c r="A47" s="129" t="n">
        <x:v>46</x:v>
      </x:c>
      <x:c r="B47" s="129" t="str">
        <x:v>2026-06</x:v>
      </x:c>
      <x:c r="C47" s="129" t="n">
        <x:v>17</x:v>
      </x:c>
      <x:c r="D47" s="129" t="str">
        <x:v>2606.04377</x:v>
      </x:c>
      <x:c r="E47" s="128" t="str">
        <x:v>A comparison principle for Wasserstein PDEs with state- and law-dependent common noise</x:v>
      </x:c>
      <x:c r="F47" s="128" t="str">
        <x:v>Erhan Bayraktar; Ibrahim Ekren; Xihao He; Xin Zhang</x:v>
      </x:c>
      <x:c r="G47" s="128" t="str">
        <x:v>Wasserstein PDE/control</x:v>
      </x:c>
      <x:c r="H47" s="129"/>
      <x:c r="I47" s="130" t="n">
        <x:v>90.73</x:v>
      </x:c>
      <x:c r="J47" s="130" t="n">
        <x:v>90.85</x:v>
      </x:c>
      <x:c r="K47" s="130" t="n">
        <x:v>90.6</x:v>
      </x:c>
      <x:c r="L47" s="130" t="n">
        <x:v>92</x:v>
      </x:c>
      <x:c r="M47" s="130" t="n">
        <x:v>91</x:v>
      </x:c>
      <x:c r="N47" s="130" t="n">
        <x:v>92</x:v>
      </x:c>
      <x:c r="O47" s="130" t="n">
        <x:v>89</x:v>
      </x:c>
      <x:c r="P47" s="130" t="n">
        <x:v>92</x:v>
      </x:c>
      <x:c r="Q47" s="130" t="n">
        <x:v>87</x:v>
      </x:c>
      <x:c r="R47" s="130" t="n">
        <x:v>11</x:v>
      </x:c>
      <x:c r="S47" s="128" t="str">
        <x:v>https://arxiv.org/abs/2606.04377</x:v>
      </x:c>
      <x:c r="T47" s="128" t="str">
        <x:v>三轮复核后与原表基本一致</x:v>
      </x:c>
    </x:row>
    <x:row r="48" ht="28" customHeight="1">
      <x:c r="A48" s="129" t="n">
        <x:v>47</x:v>
      </x:c>
      <x:c r="B48" s="129" t="str">
        <x:v>2026-06</x:v>
      </x:c>
      <x:c r="C48" s="129" t="n">
        <x:v>18</x:v>
      </x:c>
      <x:c r="D48" s="129" t="str">
        <x:v>2606.10247</x:v>
      </x:c>
      <x:c r="E48" s="128" t="str">
        <x:v>The partial data Calderon problem in dimension three</x:v>
      </x:c>
      <x:c r="F48" s="128" t="str">
        <x:v>Gunther Uhlmann; Yiran Wang</x:v>
      </x:c>
      <x:c r="G48" s="128" t="str">
        <x:v>inverse problems</x:v>
      </x:c>
      <x:c r="H48" s="129"/>
      <x:c r="I48" s="130" t="n">
        <x:v>90.73</x:v>
      </x:c>
      <x:c r="J48" s="130" t="n">
        <x:v>91</x:v>
      </x:c>
      <x:c r="K48" s="130" t="n">
        <x:v>90.45</x:v>
      </x:c>
      <x:c r="L48" s="130" t="n">
        <x:v>93.1</x:v>
      </x:c>
      <x:c r="M48" s="130" t="n">
        <x:v>90</x:v>
      </x:c>
      <x:c r="N48" s="130" t="n">
        <x:v>92.1</x:v>
      </x:c>
      <x:c r="O48" s="130" t="n">
        <x:v>89</x:v>
      </x:c>
      <x:c r="P48" s="130" t="n">
        <x:v>92.1</x:v>
      </x:c>
      <x:c r="Q48" s="130" t="n">
        <x:v>87</x:v>
      </x:c>
      <x:c r="R48" s="130" t="n">
        <x:v>11</x:v>
      </x:c>
      <x:c r="S48" s="128" t="str">
        <x:v>https://arxiv.org/abs/2606.10247</x:v>
      </x:c>
      <x:c r="T48" s="128" t="str">
        <x:v>三轮复核后与原表基本一致</x:v>
      </x:c>
    </x:row>
    <x:row r="49" ht="28" customHeight="1">
      <x:c r="A49" s="129" t="n">
        <x:v>48</x:v>
      </x:c>
      <x:c r="B49" s="129" t="str">
        <x:v>2026-08</x:v>
      </x:c>
      <x:c r="C49" s="129" t="n">
        <x:v>4</x:v>
      </x:c>
      <x:c r="D49" s="129" t="str">
        <x:v>2608.06344</x:v>
      </x:c>
      <x:c r="E49" s="128" t="str">
        <x:v>A General Aubry-Mather Theory</x:v>
      </x:c>
      <x:c r="F49" s="128" t="str">
        <x:v>Nassif Ghoussoub</x:v>
      </x:c>
      <x:c r="G49" s="128" t="str">
        <x:v>Aubry-Mather/variational PDE</x:v>
      </x:c>
      <x:c r="H49" s="129" t="n">
        <x:v>33</x:v>
      </x:c>
      <x:c r="I49" s="130" t="n">
        <x:v>90.7</x:v>
      </x:c>
      <x:c r="J49" s="130" t="n">
        <x:v>90.8</x:v>
      </x:c>
      <x:c r="K49" s="130" t="n">
        <x:v>90.6</x:v>
      </x:c>
      <x:c r="L49" s="130" t="n">
        <x:v>92</x:v>
      </x:c>
      <x:c r="M49" s="130" t="n">
        <x:v>92</x:v>
      </x:c>
      <x:c r="N49" s="130" t="n">
        <x:v>91</x:v>
      </x:c>
      <x:c r="O49" s="130" t="n">
        <x:v>89</x:v>
      </x:c>
      <x:c r="P49" s="130" t="n">
        <x:v>91</x:v>
      </x:c>
      <x:c r="Q49" s="130" t="n">
        <x:v>87</x:v>
      </x:c>
      <x:c r="R49" s="130" t="n">
        <x:v>9</x:v>
      </x:c>
      <x:c r="S49" s="128" t="str">
        <x:v>https://arxiv.org/abs/2608.06344</x:v>
      </x:c>
      <x:c r="T49" s="128" t="str">
        <x:v>Conceptual variational theory with broad potential influence.</x:v>
      </x:c>
    </x:row>
    <x:row r="50" ht="28" customHeight="1">
      <x:c r="A50" s="129" t="n">
        <x:v>49</x:v>
      </x:c>
      <x:c r="B50" s="129" t="str">
        <x:v>2026-05</x:v>
      </x:c>
      <x:c r="C50" s="129" t="n">
        <x:v>19</x:v>
      </x:c>
      <x:c r="D50" s="129" t="str">
        <x:v>2605.10138</x:v>
      </x:c>
      <x:c r="E50" s="128" t="str">
        <x:v>Global Well-posedness for the Multi-species Boltzmann Equation with Large Amplitude Initial Data</x:v>
      </x:c>
      <x:c r="F50" s="128" t="str">
        <x:v>Gyounghun Ko; Myeong-Su Lee; Sung-Jun Son</x:v>
      </x:c>
      <x:c r="G50" s="128" t="str">
        <x:v>Boltzmann equation</x:v>
      </x:c>
      <x:c r="H50" s="129" t="str">
        <x:v>54</x:v>
      </x:c>
      <x:c r="I50" s="130" t="n">
        <x:v>90.45</x:v>
      </x:c>
      <x:c r="J50" s="130" t="n">
        <x:v>90.4</x:v>
      </x:c>
      <x:c r="K50" s="130" t="n">
        <x:v>90.5</x:v>
      </x:c>
      <x:c r="L50" s="130" t="n">
        <x:v>92.1</x:v>
      </x:c>
      <x:c r="M50" s="130" t="n">
        <x:v>89.1</x:v>
      </x:c>
      <x:c r="N50" s="130" t="n">
        <x:v>93.1</x:v>
      </x:c>
      <x:c r="O50" s="130" t="n">
        <x:v>87.2</x:v>
      </x:c>
      <x:c r="P50" s="130" t="n">
        <x:v>93.2</x:v>
      </x:c>
      <x:c r="Q50" s="130" t="n">
        <x:v>86</x:v>
      </x:c>
      <x:c r="R50" s="130" t="n">
        <x:v>12</x:v>
      </x:c>
      <x:c r="S50" s="128" t="str">
        <x:v>https://arxiv.org/abs/2605.10138</x:v>
      </x:c>
      <x:c r="T50" s="128" t="str">
        <x:v>三轮复核后与原表基本一致</x:v>
      </x:c>
    </x:row>
    <x:row r="51" ht="28" customHeight="1">
      <x:c r="A51" s="129" t="n">
        <x:v>50</x:v>
      </x:c>
      <x:c r="B51" s="129" t="str">
        <x:v>2026-06</x:v>
      </x:c>
      <x:c r="C51" s="129" t="n">
        <x:v>19</x:v>
      </x:c>
      <x:c r="D51" s="129" t="str">
        <x:v>2606.08648</x:v>
      </x:c>
      <x:c r="E51" s="128" t="str">
        <x:v>On Brezis Open Problem 3.1</x:v>
      </x:c>
      <x:c r="F51" s="128" t="str">
        <x:v>Qi Guo; Xueping Huang; Yi C. Huang; Fanghua Lin; Juncheng Wei</x:v>
      </x:c>
      <x:c r="G51" s="128" t="str">
        <x:v>elliptic/geometric analysis</x:v>
      </x:c>
      <x:c r="H51" s="129" t="str">
        <x:v>20</x:v>
      </x:c>
      <x:c r="I51" s="130" t="n">
        <x:v>90.42</x:v>
      </x:c>
      <x:c r="J51" s="130" t="n">
        <x:v>90.4</x:v>
      </x:c>
      <x:c r="K51" s="130" t="n">
        <x:v>90.44</x:v>
      </x:c>
      <x:c r="L51" s="130" t="n">
        <x:v>92</x:v>
      </x:c>
      <x:c r="M51" s="130" t="n">
        <x:v>91</x:v>
      </x:c>
      <x:c r="N51" s="130" t="n">
        <x:v>90.8</x:v>
      </x:c>
      <x:c r="O51" s="130" t="n">
        <x:v>88</x:v>
      </x:c>
      <x:c r="P51" s="130" t="n">
        <x:v>91.9</x:v>
      </x:c>
      <x:c r="Q51" s="130" t="n">
        <x:v>87</x:v>
      </x:c>
      <x:c r="R51" s="130" t="n">
        <x:v>10.3</x:v>
      </x:c>
      <x:c r="S51" s="128" t="str">
        <x:v>https://arxiv.org/abs/2606.08648</x:v>
      </x:c>
      <x:c r="T51" s="128" t="str">
        <x:v>短文且非框架性题材，技术残差轻微回调；Brezis公开问题稿件保持原先高分附近，未做正确性认证。</x:v>
      </x:c>
    </x:row>
    <x:row r="52" ht="28" customHeight="1">
      <x:c r="A52" s="129" t="n">
        <x:v>51</x:v>
      </x:c>
      <x:c r="B52" s="129" t="str">
        <x:v>2026-06</x:v>
      </x:c>
      <x:c r="C52" s="129" t="n">
        <x:v>21</x:v>
      </x:c>
      <x:c r="D52" s="129" t="str">
        <x:v>2606.03749</x:v>
      </x:c>
      <x:c r="E52" s="128" t="str">
        <x:v>A Density-Distance Version of the Carlen--Frank--Lieb Stability Theorem</x:v>
      </x:c>
      <x:c r="F52" s="128" t="str">
        <x:v>Gangsong Leng</x:v>
      </x:c>
      <x:c r="G52" s="128" t="str">
        <x:v>sharp inequalities/stability</x:v>
      </x:c>
      <x:c r="H52" s="129"/>
      <x:c r="I52" s="130" t="n">
        <x:v>90.4</x:v>
      </x:c>
      <x:c r="J52" s="130" t="n">
        <x:v>90.65</x:v>
      </x:c>
      <x:c r="K52" s="130" t="n">
        <x:v>90.15</x:v>
      </x:c>
      <x:c r="L52" s="130" t="n">
        <x:v>92</x:v>
      </x:c>
      <x:c r="M52" s="130" t="n">
        <x:v>91.1</x:v>
      </x:c>
      <x:c r="N52" s="130" t="n">
        <x:v>91</x:v>
      </x:c>
      <x:c r="O52" s="130" t="n">
        <x:v>89.2</x:v>
      </x:c>
      <x:c r="P52" s="130" t="n">
        <x:v>91.1</x:v>
      </x:c>
      <x:c r="Q52" s="130" t="n">
        <x:v>87</x:v>
      </x:c>
      <x:c r="R52" s="130" t="n">
        <x:v>11</x:v>
      </x:c>
      <x:c r="S52" s="128" t="str">
        <x:v>https://arxiv.org/abs/2606.03749</x:v>
      </x:c>
      <x:c r="T52" s="128" t="str">
        <x:v>三轮复核后与原表基本一致</x:v>
      </x:c>
    </x:row>
    <x:row r="53" ht="28" customHeight="1">
      <x:c r="A53" s="129" t="n">
        <x:v>52</x:v>
      </x:c>
      <x:c r="B53" s="129" t="str">
        <x:v>2026-06</x:v>
      </x:c>
      <x:c r="C53" s="129" t="n">
        <x:v>20</x:v>
      </x:c>
      <x:c r="D53" s="129" t="str">
        <x:v>2606.29993</x:v>
      </x:c>
      <x:c r="E53" s="128" t="str">
        <x:v>Strichartz Estimates for the Liouville Equation on Euclidean Tori and Applications to Kakeya</x:v>
      </x:c>
      <x:c r="F53" s="128" t="str">
        <x:v>Pierre Germain; Mickael Latocca</x:v>
      </x:c>
      <x:c r="G53" s="128" t="str">
        <x:v>harmonic/dispersive analysis</x:v>
      </x:c>
      <x:c r="H53" s="129"/>
      <x:c r="I53" s="130" t="n">
        <x:v>90.4</x:v>
      </x:c>
      <x:c r="J53" s="130" t="n">
        <x:v>90.55</x:v>
      </x:c>
      <x:c r="K53" s="130" t="n">
        <x:v>90.25</x:v>
      </x:c>
      <x:c r="L53" s="130" t="n">
        <x:v>92</x:v>
      </x:c>
      <x:c r="M53" s="130" t="n">
        <x:v>90</x:v>
      </x:c>
      <x:c r="N53" s="130" t="n">
        <x:v>92</x:v>
      </x:c>
      <x:c r="O53" s="130" t="n">
        <x:v>89</x:v>
      </x:c>
      <x:c r="P53" s="130" t="n">
        <x:v>92</x:v>
      </x:c>
      <x:c r="Q53" s="130" t="n">
        <x:v>86</x:v>
      </x:c>
      <x:c r="R53" s="130" t="n">
        <x:v>11</x:v>
      </x:c>
      <x:c r="S53" s="128" t="str">
        <x:v>https://arxiv.org/abs/2606.29993</x:v>
      </x:c>
      <x:c r="T53" s="128" t="str">
        <x:v>三轮复核后与原表基本一致</x:v>
      </x:c>
    </x:row>
    <x:row r="54" ht="28" customHeight="1">
      <x:c r="A54" s="129" t="n">
        <x:v>53</x:v>
      </x:c>
      <x:c r="B54" s="129" t="str">
        <x:v>2026-07</x:v>
      </x:c>
      <x:c r="C54" s="129" t="n">
        <x:v>9</x:v>
      </x:c>
      <x:c r="D54" s="129" t="str">
        <x:v>2607.11618</x:v>
      </x:c>
      <x:c r="E54" s="128" t="str">
        <x:v>Bellman Equations with Sub-Lipschitz Hessians</x:v>
      </x:c>
      <x:c r="F54" s="128" t="str">
        <x:v>Xavier Fernández-Real</x:v>
      </x:c>
      <x:c r="G54" s="128" t="str">
        <x:v>fully nonlinear PDE</x:v>
      </x:c>
      <x:c r="H54" s="129" t="str">
        <x:v>-</x:v>
      </x:c>
      <x:c r="I54" s="130" t="n">
        <x:v>90.4</x:v>
      </x:c>
      <x:c r="J54" s="130" t="n">
        <x:v>90.4</x:v>
      </x:c>
      <x:c r="K54" s="130" t="n">
        <x:v>90.4</x:v>
      </x:c>
      <x:c r="L54" s="130" t="n">
        <x:v>92</x:v>
      </x:c>
      <x:c r="M54" s="130" t="n">
        <x:v>90</x:v>
      </x:c>
      <x:c r="N54" s="130" t="n">
        <x:v>92</x:v>
      </x:c>
      <x:c r="O54" s="130" t="n">
        <x:v>88</x:v>
      </x:c>
      <x:c r="P54" s="130" t="n">
        <x:v>92</x:v>
      </x:c>
      <x:c r="Q54" s="130" t="n">
        <x:v>86</x:v>
      </x:c>
      <x:c r="R54" s="130" t="n">
        <x:v>10</x:v>
      </x:c>
      <x:c r="S54" s="128" t="str">
        <x:v>https://arxiv.org/abs/2607.11618</x:v>
      </x:c>
      <x:c r="T54" s="128" t="str">
        <x:v>Strong fully nonlinear regularity contribution; concise but high conceptual value.</x:v>
      </x:c>
    </x:row>
    <x:row r="55" ht="28" customHeight="1">
      <x:c r="A55" s="129" t="n">
        <x:v>54</x:v>
      </x:c>
      <x:c r="B55" s="129" t="str">
        <x:v>2026-07</x:v>
      </x:c>
      <x:c r="C55" s="129" t="n">
        <x:v>10</x:v>
      </x:c>
      <x:c r="D55" s="129" t="str">
        <x:v>2607.11731</x:v>
      </x:c>
      <x:c r="E55" s="128" t="str">
        <x:v>Global asymptotic stability for the 3D Peskin Problem at critical regularity</x:v>
      </x:c>
      <x:c r="F55" s="128" t="str">
        <x:v>Eduardo García-Juárez; Susanna V. Haziot; Po-Chun Kuo; Yoichiro Mori; Han Zhou</x:v>
      </x:c>
      <x:c r="G55" s="128" t="str">
        <x:v>fluid-structure interaction</x:v>
      </x:c>
      <x:c r="H55" s="129" t="str">
        <x:v>-</x:v>
      </x:c>
      <x:c r="I55" s="130" t="n">
        <x:v>90.38</x:v>
      </x:c>
      <x:c r="J55" s="130" t="n">
        <x:v>90.3</x:v>
      </x:c>
      <x:c r="K55" s="130" t="n">
        <x:v>90.45</x:v>
      </x:c>
      <x:c r="L55" s="130" t="n">
        <x:v>92</x:v>
      </x:c>
      <x:c r="M55" s="130" t="n">
        <x:v>90</x:v>
      </x:c>
      <x:c r="N55" s="130" t="n">
        <x:v>93</x:v>
      </x:c>
      <x:c r="O55" s="130" t="n">
        <x:v>87</x:v>
      </x:c>
      <x:c r="P55" s="130" t="n">
        <x:v>93</x:v>
      </x:c>
      <x:c r="Q55" s="130" t="n">
        <x:v>84</x:v>
      </x:c>
      <x:c r="R55" s="130" t="n">
        <x:v>11</x:v>
      </x:c>
      <x:c r="S55" s="128" t="str">
        <x:v>https://arxiv.org/abs/2607.11731</x:v>
      </x:c>
      <x:c r="T55" s="128" t="str">
        <x:v>Critical-regularity global stability for a difficult fluid-structure model.</x:v>
      </x:c>
    </x:row>
    <x:row r="56" ht="28" customHeight="1">
      <x:c r="A56" s="129" t="n">
        <x:v>55</x:v>
      </x:c>
      <x:c r="B56" s="129" t="str">
        <x:v>2026-05</x:v>
      </x:c>
      <x:c r="C56" s="129" t="n">
        <x:v>19</x:v>
      </x:c>
      <x:c r="D56" s="129" t="str">
        <x:v>2605.00189</x:v>
      </x:c>
      <x:c r="E56" s="128" t="str">
        <x:v>Local Asymptotic Patterns for Viscous Approximations of Conservation Laws</x:v>
      </x:c>
      <x:c r="F56" s="128" t="str">
        <x:v>Alberto Bressan; Laura Caravenna; Wen Shen</x:v>
      </x:c>
      <x:c r="G56" s="128" t="str">
        <x:v>Conservation laws</x:v>
      </x:c>
      <x:c r="H56" s="129"/>
      <x:c r="I56" s="130" t="n">
        <x:v>90.35</x:v>
      </x:c>
      <x:c r="J56" s="130" t="n">
        <x:v>90.41</x:v>
      </x:c>
      <x:c r="K56" s="130" t="n">
        <x:v>90.3</x:v>
      </x:c>
      <x:c r="L56" s="130" t="n">
        <x:v>92.1</x:v>
      </x:c>
      <x:c r="M56" s="130" t="n">
        <x:v>90</x:v>
      </x:c>
      <x:c r="N56" s="130" t="n">
        <x:v>92.1</x:v>
      </x:c>
      <x:c r="O56" s="130" t="n">
        <x:v>87</x:v>
      </x:c>
      <x:c r="P56" s="130" t="n">
        <x:v>92.1</x:v>
      </x:c>
      <x:c r="Q56" s="130" t="n">
        <x:v>87</x:v>
      </x:c>
      <x:c r="R56" s="130" t="n">
        <x:v>12</x:v>
      </x:c>
      <x:c r="S56" s="128" t="str">
        <x:v>https://arxiv.org/abs/2605.00189</x:v>
      </x:c>
      <x:c r="T56" s="128" t="str">
        <x:v>三轮复核后与原表基本一致</x:v>
      </x:c>
    </x:row>
    <x:row r="57" ht="28" customHeight="1">
      <x:c r="A57" s="129" t="n">
        <x:v>56</x:v>
      </x:c>
      <x:c r="B57" s="129" t="str">
        <x:v>2026-05</x:v>
      </x:c>
      <x:c r="C57" s="129" t="n">
        <x:v>21</x:v>
      </x:c>
      <x:c r="D57" s="129" t="str">
        <x:v>2605.10788</x:v>
      </x:c>
      <x:c r="E57" s="128" t="str">
        <x:v>Entropy Structures and Long-Time Relaxation for 3-Wave Kinetic Equations</x:v>
      </x:c>
      <x:c r="F57" s="128" t="str">
        <x:v>Gigliola Staffilani; Minh-Binh Tran</x:v>
      </x:c>
      <x:c r="G57" s="128" t="str">
        <x:v>Wave kinetic equations</x:v>
      </x:c>
      <x:c r="H57" s="129"/>
      <x:c r="I57" s="130" t="n">
        <x:v>90.3</x:v>
      </x:c>
      <x:c r="J57" s="130" t="n">
        <x:v>90.45</x:v>
      </x:c>
      <x:c r="K57" s="130" t="n">
        <x:v>90.15</x:v>
      </x:c>
      <x:c r="L57" s="130" t="n">
        <x:v>92</x:v>
      </x:c>
      <x:c r="M57" s="130" t="n">
        <x:v>90.1</x:v>
      </x:c>
      <x:c r="N57" s="130" t="n">
        <x:v>92</x:v>
      </x:c>
      <x:c r="O57" s="130" t="n">
        <x:v>88.2</x:v>
      </x:c>
      <x:c r="P57" s="130" t="n">
        <x:v>92.1</x:v>
      </x:c>
      <x:c r="Q57" s="130" t="n">
        <x:v>86</x:v>
      </x:c>
      <x:c r="R57" s="130" t="n">
        <x:v>12</x:v>
      </x:c>
      <x:c r="S57" s="128" t="str">
        <x:v>https://arxiv.org/abs/2605.10788</x:v>
      </x:c>
      <x:c r="T57" s="128" t="str">
        <x:v>三轮复核后与原表基本一致</x:v>
      </x:c>
    </x:row>
    <x:row r="58" ht="28" customHeight="1">
      <x:c r="A58" s="129" t="n">
        <x:v>57</x:v>
      </x:c>
      <x:c r="B58" s="129" t="str">
        <x:v>2026-07</x:v>
      </x:c>
      <x:c r="C58" s="129" t="n">
        <x:v>11</x:v>
      </x:c>
      <x:c r="D58" s="129" t="str">
        <x:v>2607.01939</x:v>
      </x:c>
      <x:c r="E58" s="128" t="str">
        <x:v>McLean resonances and 3d spectral instability of Stokes waves</x:v>
      </x:c>
      <x:c r="F58" s="128" t="str">
        <x:v>Massimiliano Berti; Alberto Maspero; Antonio Milosh Radakovic</x:v>
      </x:c>
      <x:c r="G58" s="128" t="str">
        <x:v>water waves / spectral instability</x:v>
      </x:c>
      <x:c r="H58" s="129" t="n">
        <x:v>80</x:v>
      </x:c>
      <x:c r="I58" s="130" t="n">
        <x:v>90.3</x:v>
      </x:c>
      <x:c r="J58" s="130" t="n">
        <x:v>90.3</x:v>
      </x:c>
      <x:c r="K58" s="130" t="n">
        <x:v>90.3</x:v>
      </x:c>
      <x:c r="L58" s="130" t="n">
        <x:v>92</x:v>
      </x:c>
      <x:c r="M58" s="130" t="n">
        <x:v>90</x:v>
      </x:c>
      <x:c r="N58" s="130" t="n">
        <x:v>93</x:v>
      </x:c>
      <x:c r="O58" s="130" t="n">
        <x:v>87</x:v>
      </x:c>
      <x:c r="P58" s="130" t="n">
        <x:v>93</x:v>
      </x:c>
      <x:c r="Q58" s="130" t="n">
        <x:v>84</x:v>
      </x:c>
      <x:c r="R58" s="130" t="n">
        <x:v>12</x:v>
      </x:c>
      <x:c r="S58" s="128" t="str">
        <x:v>https://arxiv.org/abs/2607.01939</x:v>
      </x:c>
      <x:c r="T58" s="128" t="str">
        <x:v>High-end spectral instability analysis for Stokes waves.</x:v>
      </x:c>
    </x:row>
    <x:row r="59" ht="28" customHeight="1">
      <x:c r="A59" s="129" t="n">
        <x:v>58</x:v>
      </x:c>
      <x:c r="B59" s="129" t="str">
        <x:v>2026-07</x:v>
      </x:c>
      <x:c r="C59" s="129" t="n">
        <x:v>12</x:v>
      </x:c>
      <x:c r="D59" s="129" t="str">
        <x:v>2607.08385</x:v>
      </x:c>
      <x:c r="E59" s="128" t="str">
        <x:v>Nonlinear PDEs with modulated dispersion III: multiplicative noises</x:v>
      </x:c>
      <x:c r="F59" s="128" t="str">
        <x:v>Andreia Chapouto; Massimiliano Gubinelli; Guopeng Li; Jiawei Li; Tadahiro Oh</x:v>
      </x:c>
      <x:c r="G59" s="128" t="str">
        <x:v>random/modulated dispersive PDE</x:v>
      </x:c>
      <x:c r="H59" s="129" t="n">
        <x:v>61</x:v>
      </x:c>
      <x:c r="I59" s="130" t="n">
        <x:v>90.3</x:v>
      </x:c>
      <x:c r="J59" s="130" t="n">
        <x:v>90.45</x:v>
      </x:c>
      <x:c r="K59" s="130" t="n">
        <x:v>90.15</x:v>
      </x:c>
      <x:c r="L59" s="130" t="n">
        <x:v>92</x:v>
      </x:c>
      <x:c r="M59" s="130" t="n">
        <x:v>90</x:v>
      </x:c>
      <x:c r="N59" s="130" t="n">
        <x:v>93</x:v>
      </x:c>
      <x:c r="O59" s="130" t="n">
        <x:v>88</x:v>
      </x:c>
      <x:c r="P59" s="130" t="n">
        <x:v>93</x:v>
      </x:c>
      <x:c r="Q59" s="130" t="n">
        <x:v>84</x:v>
      </x:c>
      <x:c r="R59" s="130" t="n">
        <x:v>13</x:v>
      </x:c>
      <x:c r="S59" s="128" t="str">
        <x:v>https://arxiv.org/abs/2607.08385</x:v>
      </x:c>
      <x:c r="T59" s="128" t="str">
        <x:v>Substantial continuation of modulated dispersion program.</x:v>
      </x:c>
    </x:row>
    <x:row r="60" ht="28" customHeight="1">
      <x:c r="A60" s="129" t="n">
        <x:v>59</x:v>
      </x:c>
      <x:c r="B60" s="129" t="str">
        <x:v>2026-06</x:v>
      </x:c>
      <x:c r="C60" s="129" t="n">
        <x:v>22</x:v>
      </x:c>
      <x:c r="D60" s="129" t="str">
        <x:v>2606.14308</x:v>
      </x:c>
      <x:c r="E60" s="128" t="str">
        <x:v>Non-uniqueness of global-in-time admissible weak solutions to the isentropic compressible Euler equations for a dense set of initial data</x:v>
      </x:c>
      <x:c r="F60" s="128" t="str">
        <x:v>Daniel W. Boutros; Simon Markfelder</x:v>
      </x:c>
      <x:c r="G60" s="128" t="str">
        <x:v>Euler/convex integration</x:v>
      </x:c>
      <x:c r="H60" s="129"/>
      <x:c r="I60" s="130" t="n">
        <x:v>90.28</x:v>
      </x:c>
      <x:c r="J60" s="130" t="n">
        <x:v>90.55</x:v>
      </x:c>
      <x:c r="K60" s="130" t="n">
        <x:v>90</x:v>
      </x:c>
      <x:c r="L60" s="130" t="n">
        <x:v>93.1</x:v>
      </x:c>
      <x:c r="M60" s="130" t="n">
        <x:v>90</x:v>
      </x:c>
      <x:c r="N60" s="130" t="n">
        <x:v>92.1</x:v>
      </x:c>
      <x:c r="O60" s="130" t="n">
        <x:v>88</x:v>
      </x:c>
      <x:c r="P60" s="130" t="n">
        <x:v>92.1</x:v>
      </x:c>
      <x:c r="Q60" s="130" t="n">
        <x:v>84</x:v>
      </x:c>
      <x:c r="R60" s="130" t="n">
        <x:v>11</x:v>
      </x:c>
      <x:c r="S60" s="128" t="str">
        <x:v>https://arxiv.org/abs/2606.14308</x:v>
      </x:c>
      <x:c r="T60" s="128" t="str">
        <x:v>三轮复核后与原表基本一致</x:v>
      </x:c>
    </x:row>
    <x:row r="61" ht="28" customHeight="1">
      <x:c r="A61" s="129" t="n">
        <x:v>60</x:v>
      </x:c>
      <x:c r="B61" s="129" t="str">
        <x:v>2026-06</x:v>
      </x:c>
      <x:c r="C61" s="129" t="n">
        <x:v>22</x:v>
      </x:c>
      <x:c r="D61" s="129" t="str">
        <x:v>2606.29454</x:v>
      </x:c>
      <x:c r="E61" s="128" t="str">
        <x:v>Formation of quasi-singularities of shock and implosion type for compressible Euler flows</x:v>
      </x:c>
      <x:c r="F61" s="128" t="str">
        <x:v>Xieling Fan; Hongyu Liu</x:v>
      </x:c>
      <x:c r="G61" s="128" t="str">
        <x:v>compressible Euler singularity</x:v>
      </x:c>
      <x:c r="H61" s="129"/>
      <x:c r="I61" s="130" t="n">
        <x:v>90.25</x:v>
      </x:c>
      <x:c r="J61" s="130" t="n">
        <x:v>90.5</x:v>
      </x:c>
      <x:c r="K61" s="130" t="n">
        <x:v>90</x:v>
      </x:c>
      <x:c r="L61" s="130" t="n">
        <x:v>93</x:v>
      </x:c>
      <x:c r="M61" s="130" t="n">
        <x:v>90</x:v>
      </x:c>
      <x:c r="N61" s="130" t="n">
        <x:v>92.1</x:v>
      </x:c>
      <x:c r="O61" s="130" t="n">
        <x:v>87.8</x:v>
      </x:c>
      <x:c r="P61" s="130" t="n">
        <x:v>92.1</x:v>
      </x:c>
      <x:c r="Q61" s="130" t="n">
        <x:v>84</x:v>
      </x:c>
      <x:c r="R61" s="130" t="n">
        <x:v>11</x:v>
      </x:c>
      <x:c r="S61" s="128" t="str">
        <x:v>https://arxiv.org/abs/2606.29454</x:v>
      </x:c>
      <x:c r="T61" s="128" t="str">
        <x:v>范围偏专门，广度轻微回调</x:v>
      </x:c>
    </x:row>
    <x:row r="62" ht="28" customHeight="1">
      <x:c r="A62" s="129" t="n">
        <x:v>61</x:v>
      </x:c>
      <x:c r="B62" s="129" t="str">
        <x:v>2026-08</x:v>
      </x:c>
      <x:c r="C62" s="129" t="n">
        <x:v>5</x:v>
      </x:c>
      <x:c r="D62" s="129" t="str">
        <x:v>2608.02033</x:v>
      </x:c>
      <x:c r="E62" s="128" t="str">
        <x:v>A unified theory for regularity persistence of vortex patch boundaries</x:v>
      </x:c>
      <x:c r="F62" s="128" t="str">
        <x:v>Marc Magana</x:v>
      </x:c>
      <x:c r="G62" s="128" t="str">
        <x:v>vortex patches</x:v>
      </x:c>
      <x:c r="H62" s="129" t="str">
        <x:v>-</x:v>
      </x:c>
      <x:c r="I62" s="130" t="n">
        <x:v>90.25</x:v>
      </x:c>
      <x:c r="J62" s="130" t="n">
        <x:v>90.1</x:v>
      </x:c>
      <x:c r="K62" s="130" t="n">
        <x:v>90.4</x:v>
      </x:c>
      <x:c r="L62" s="130" t="n">
        <x:v>91</x:v>
      </x:c>
      <x:c r="M62" s="130" t="n">
        <x:v>90</x:v>
      </x:c>
      <x:c r="N62" s="130" t="n">
        <x:v>92</x:v>
      </x:c>
      <x:c r="O62" s="130" t="n">
        <x:v>88</x:v>
      </x:c>
      <x:c r="P62" s="130" t="n">
        <x:v>92</x:v>
      </x:c>
      <x:c r="Q62" s="130" t="n">
        <x:v>86</x:v>
      </x:c>
      <x:c r="R62" s="130" t="n">
        <x:v>10</x:v>
      </x:c>
      <x:c r="S62" s="128" t="str">
        <x:v>https://arxiv.org/abs/2608.02033</x:v>
      </x:c>
      <x:c r="T62" s="128" t="str">
        <x:v>Unified persistence theory for vortex-patch regularity.</x:v>
      </x:c>
    </x:row>
    <x:row r="63" ht="28" customHeight="1">
      <x:c r="A63" s="129" t="n">
        <x:v>62</x:v>
      </x:c>
      <x:c r="B63" s="129" t="str">
        <x:v>2026-07</x:v>
      </x:c>
      <x:c r="C63" s="129" t="n">
        <x:v>13</x:v>
      </x:c>
      <x:c r="D63" s="129" t="str">
        <x:v>2607.17110</x:v>
      </x:c>
      <x:c r="E63" s="128" t="str">
        <x:v>Global well-posedness for incompressible Euler in endpoint Sobolev space</x:v>
      </x:c>
      <x:c r="F63" s="128" t="str">
        <x:v>Raphaël Danchin; In-Jee Jeong</x:v>
      </x:c>
      <x:c r="G63" s="128" t="str">
        <x:v>Euler equations</x:v>
      </x:c>
      <x:c r="H63" s="129" t="n">
        <x:v>16</x:v>
      </x:c>
      <x:c r="I63" s="130" t="n">
        <x:v>90.22</x:v>
      </x:c>
      <x:c r="J63" s="130" t="n">
        <x:v>90.35</x:v>
      </x:c>
      <x:c r="K63" s="130" t="n">
        <x:v>90.1</x:v>
      </x:c>
      <x:c r="L63" s="130" t="n">
        <x:v>92</x:v>
      </x:c>
      <x:c r="M63" s="130" t="n">
        <x:v>91</x:v>
      </x:c>
      <x:c r="N63" s="130" t="n">
        <x:v>91</x:v>
      </x:c>
      <x:c r="O63" s="130" t="n">
        <x:v>88</x:v>
      </x:c>
      <x:c r="P63" s="130" t="n">
        <x:v>91</x:v>
      </x:c>
      <x:c r="Q63" s="130" t="n">
        <x:v>86</x:v>
      </x:c>
      <x:c r="R63" s="130" t="n">
        <x:v>10</x:v>
      </x:c>
      <x:c r="S63" s="128" t="str">
        <x:v>https://arxiv.org/abs/2607.17110</x:v>
      </x:c>
      <x:c r="T63" s="128" t="str">
        <x:v>Endpoint well-posedness theorem by leading authors; concise but sharp.</x:v>
      </x:c>
    </x:row>
    <x:row r="64" ht="28" customHeight="1">
      <x:c r="A64" s="129" t="n">
        <x:v>63</x:v>
      </x:c>
      <x:c r="B64" s="129" t="str">
        <x:v>2026-07</x:v>
      </x:c>
      <x:c r="C64" s="129" t="n">
        <x:v>14</x:v>
      </x:c>
      <x:c r="D64" s="129" t="str">
        <x:v>2607.05158</x:v>
      </x:c>
      <x:c r="E64" s="128" t="str">
        <x:v>On the optimal decay rate of global solutions to the convection-diffusion equation with zero-mass initial data</x:v>
      </x:c>
      <x:c r="F64" s="128" t="str">
        <x:v>Yi C. Huang; Ryunosuke Kusaba</x:v>
      </x:c>
      <x:c r="G64" s="128" t="str">
        <x:v>convection-diffusion</x:v>
      </x:c>
      <x:c r="H64" s="129" t="n">
        <x:v>21</x:v>
      </x:c>
      <x:c r="I64" s="130" t="n">
        <x:v>90.2</x:v>
      </x:c>
      <x:c r="J64" s="130" t="n">
        <x:v>90.2</x:v>
      </x:c>
      <x:c r="K64" s="130" t="n">
        <x:v>90.2</x:v>
      </x:c>
      <x:c r="L64" s="130" t="n">
        <x:v>91</x:v>
      </x:c>
      <x:c r="M64" s="130" t="n">
        <x:v>89</x:v>
      </x:c>
      <x:c r="N64" s="130" t="n">
        <x:v>92</x:v>
      </x:c>
      <x:c r="O64" s="130" t="n">
        <x:v>88</x:v>
      </x:c>
      <x:c r="P64" s="130" t="n">
        <x:v>92</x:v>
      </x:c>
      <x:c r="Q64" s="130" t="n">
        <x:v>89</x:v>
      </x:c>
      <x:c r="R64" s="130" t="n">
        <x:v>13</x:v>
      </x:c>
      <x:c r="S64" s="128" t="str">
        <x:v>https://arxiv.org/abs/2607.05158</x:v>
      </x:c>
      <x:c r="T64" s="128" t="str">
        <x:v>Scored candidate from official July math.AP list; correctness not checked.</x:v>
      </x:c>
    </x:row>
    <x:row r="65" ht="28" customHeight="1">
      <x:c r="A65" s="129" t="n">
        <x:v>64</x:v>
      </x:c>
      <x:c r="B65" s="129" t="str">
        <x:v>2026-06</x:v>
      </x:c>
      <x:c r="C65" s="129" t="n">
        <x:v>24</x:v>
      </x:c>
      <x:c r="D65" s="129" t="str">
        <x:v>2606.02070</x:v>
      </x:c>
      <x:c r="E65" s="128" t="str">
        <x:v>Critical mass threshold for the 2D Patlak-Keller-Segel-Navier-Stokes system</x:v>
      </x:c>
      <x:c r="F65" s="128" t="str">
        <x:v>Wendong Wang; Dongyi Wei; Zhifei Zhang</x:v>
      </x:c>
      <x:c r="G65" s="128" t="str">
        <x:v>chemotaxis-fluid threshold</x:v>
      </x:c>
      <x:c r="H65" s="129"/>
      <x:c r="I65" s="130" t="n">
        <x:v>90.18</x:v>
      </x:c>
      <x:c r="J65" s="130" t="n">
        <x:v>90.26</x:v>
      </x:c>
      <x:c r="K65" s="130" t="n">
        <x:v>90.1</x:v>
      </x:c>
      <x:c r="L65" s="130" t="n">
        <x:v>92.1</x:v>
      </x:c>
      <x:c r="M65" s="130" t="n">
        <x:v>89</x:v>
      </x:c>
      <x:c r="N65" s="130" t="n">
        <x:v>92.1</x:v>
      </x:c>
      <x:c r="O65" s="130" t="n">
        <x:v>88</x:v>
      </x:c>
      <x:c r="P65" s="130" t="n">
        <x:v>92.1</x:v>
      </x:c>
      <x:c r="Q65" s="130" t="n">
        <x:v>86</x:v>
      </x:c>
      <x:c r="R65" s="130" t="n">
        <x:v>11</x:v>
      </x:c>
      <x:c r="S65" s="128" t="str">
        <x:v>https://arxiv.org/abs/2606.02070</x:v>
      </x:c>
      <x:c r="T65" s="128" t="str">
        <x:v>三轮复核后与原表基本一致</x:v>
      </x:c>
    </x:row>
    <x:row r="66" ht="28" customHeight="1">
      <x:c r="A66" s="129" t="n">
        <x:v>65</x:v>
      </x:c>
      <x:c r="B66" s="129" t="str">
        <x:v>2026-06</x:v>
      </x:c>
      <x:c r="C66" s="129" t="n">
        <x:v>25</x:v>
      </x:c>
      <x:c r="D66" s="129" t="str">
        <x:v>2606.12061</x:v>
      </x:c>
      <x:c r="E66" s="128" t="str">
        <x:v>Complex-ellipticity, dimensional estimates and plane wave rigidity in BV^A</x:v>
      </x:c>
      <x:c r="F66" s="128" t="str">
        <x:v>Adolfo Arroyo-Rabasa</x:v>
      </x:c>
      <x:c r="G66" s="128" t="str">
        <x:v>calculus of variations/BV</x:v>
      </x:c>
      <x:c r="H66" s="129" t="str">
        <x:v>23</x:v>
      </x:c>
      <x:c r="I66" s="130" t="n">
        <x:v>90.16</x:v>
      </x:c>
      <x:c r="J66" s="130" t="n">
        <x:v>90.2</x:v>
      </x:c>
      <x:c r="K66" s="130" t="n">
        <x:v>90.13</x:v>
      </x:c>
      <x:c r="L66" s="130" t="n">
        <x:v>91</x:v>
      </x:c>
      <x:c r="M66" s="130" t="n">
        <x:v>91.1</x:v>
      </x:c>
      <x:c r="N66" s="130" t="n">
        <x:v>91</x:v>
      </x:c>
      <x:c r="O66" s="130" t="n">
        <x:v>88.2</x:v>
      </x:c>
      <x:c r="P66" s="130" t="n">
        <x:v>91.1</x:v>
      </x:c>
      <x:c r="Q66" s="130" t="n">
        <x:v>87</x:v>
      </x:c>
      <x:c r="R66" s="130" t="n">
        <x:v>11.1</x:v>
      </x:c>
      <x:c r="S66" s="128" t="str">
        <x:v>https://arxiv.org/abs/2606.12061</x:v>
      </x:c>
      <x:c r="T66" s="128" t="str">
        <x:v>三轮复核后与原表基本一致</x:v>
      </x:c>
    </x:row>
    <x:row r="67" ht="28" customHeight="1">
      <x:c r="A67" s="129" t="n">
        <x:v>66</x:v>
      </x:c>
      <x:c r="B67" s="129" t="str">
        <x:v>2026-06</x:v>
      </x:c>
      <x:c r="C67" s="129" t="n">
        <x:v>25</x:v>
      </x:c>
      <x:c r="D67" s="129" t="str">
        <x:v>2606.02989</x:v>
      </x:c>
      <x:c r="E67" s="128" t="str">
        <x:v>The Benjamin-Ono Equation in the Long-Time Limit: Linearized Self-Similar Universality</x:v>
      </x:c>
      <x:c r="F67" s="128" t="str">
        <x:v>Louise Gassot; Patrick Gerard; Peter D. Miller</x:v>
      </x:c>
      <x:c r="G67" s="128" t="str">
        <x:v>integrable/dispersive asymptotics</x:v>
      </x:c>
      <x:c r="H67" s="129" t="str">
        <x:v>33</x:v>
      </x:c>
      <x:c r="I67" s="130" t="n">
        <x:v>90.15</x:v>
      </x:c>
      <x:c r="J67" s="130" t="n">
        <x:v>90.14</x:v>
      </x:c>
      <x:c r="K67" s="130" t="n">
        <x:v>90.15</x:v>
      </x:c>
      <x:c r="L67" s="130" t="n">
        <x:v>90.9</x:v>
      </x:c>
      <x:c r="M67" s="130" t="n">
        <x:v>91.1</x:v>
      </x:c>
      <x:c r="N67" s="130" t="n">
        <x:v>91</x:v>
      </x:c>
      <x:c r="O67" s="130" t="n">
        <x:v>88</x:v>
      </x:c>
      <x:c r="P67" s="130" t="n">
        <x:v>91.1</x:v>
      </x:c>
      <x:c r="Q67" s="130" t="n">
        <x:v>87</x:v>
      </x:c>
      <x:c r="R67" s="130" t="n">
        <x:v>11</x:v>
      </x:c>
      <x:c r="S67" s="128" t="str">
        <x:v>https://arxiv.org/abs/2606.02989</x:v>
      </x:c>
      <x:c r="T67" s="128" t="str">
        <x:v>范围偏专门，广度轻微回调</x:v>
      </x:c>
    </x:row>
    <x:row r="68" ht="28" customHeight="1">
      <x:c r="A68" s="129" t="n">
        <x:v>67</x:v>
      </x:c>
      <x:c r="B68" s="129" t="str">
        <x:v>2026-05</x:v>
      </x:c>
      <x:c r="C68" s="129" t="n">
        <x:v>22</x:v>
      </x:c>
      <x:c r="D68" s="129" t="str">
        <x:v>2605.02540</x:v>
      </x:c>
      <x:c r="E68" s="128" t="str">
        <x:v>On the onset of correlations in Wave Turbulence close to singularities</x:v>
      </x:c>
      <x:c r="F68" s="128" t="str">
        <x:v>M. Escobedo; J. J. L. Velazquez</x:v>
      </x:c>
      <x:c r="G68" s="128" t="str">
        <x:v>Wave turbulence</x:v>
      </x:c>
      <x:c r="H68" s="129"/>
      <x:c r="I68" s="130" t="n">
        <x:v>90.13</x:v>
      </x:c>
      <x:c r="J68" s="130" t="n">
        <x:v>90.25</x:v>
      </x:c>
      <x:c r="K68" s="130" t="n">
        <x:v>90</x:v>
      </x:c>
      <x:c r="L68" s="130" t="n">
        <x:v>92</x:v>
      </x:c>
      <x:c r="M68" s="130" t="n">
        <x:v>91</x:v>
      </x:c>
      <x:c r="N68" s="130" t="n">
        <x:v>92</x:v>
      </x:c>
      <x:c r="O68" s="130" t="n">
        <x:v>87</x:v>
      </x:c>
      <x:c r="P68" s="130" t="n">
        <x:v>92</x:v>
      </x:c>
      <x:c r="Q68" s="130" t="n">
        <x:v>84</x:v>
      </x:c>
      <x:c r="R68" s="130" t="n">
        <x:v>12</x:v>
      </x:c>
      <x:c r="S68" s="128" t="str">
        <x:v>https://arxiv.org/abs/2605.02540</x:v>
      </x:c>
      <x:c r="T68" s="128" t="str">
        <x:v>三轮复核后与原表基本一致</x:v>
      </x:c>
    </x:row>
    <x:row r="69" ht="28" customHeight="1">
      <x:c r="A69" s="129" t="n">
        <x:v>68</x:v>
      </x:c>
      <x:c r="B69" s="129" t="str">
        <x:v>2026-08</x:v>
      </x:c>
      <x:c r="C69" s="129" t="n">
        <x:v>6</x:v>
      </x:c>
      <x:c r="D69" s="129" t="str">
        <x:v>2608.01508</x:v>
      </x:c>
      <x:c r="E69" s="128" t="str">
        <x:v>Free Boundary Regularity for Non-Convex Fully Nonlinear Alt-Phillips Problems</x:v>
      </x:c>
      <x:c r="F69" s="128" t="str">
        <x:v>Alvis Zahl</x:v>
      </x:c>
      <x:c r="G69" s="128" t="str">
        <x:v>free boundary/fully nonlinear</x:v>
      </x:c>
      <x:c r="H69" s="129" t="str">
        <x:v>-</x:v>
      </x:c>
      <x:c r="I69" s="130" t="n">
        <x:v>90.12</x:v>
      </x:c>
      <x:c r="J69" s="130" t="n">
        <x:v>90</x:v>
      </x:c>
      <x:c r="K69" s="130" t="n">
        <x:v>90.25</x:v>
      </x:c>
      <x:c r="L69" s="130" t="n">
        <x:v>91</x:v>
      </x:c>
      <x:c r="M69" s="130" t="n">
        <x:v>90</x:v>
      </x:c>
      <x:c r="N69" s="130" t="n">
        <x:v>92</x:v>
      </x:c>
      <x:c r="O69" s="130" t="n">
        <x:v>88</x:v>
      </x:c>
      <x:c r="P69" s="130" t="n">
        <x:v>92</x:v>
      </x:c>
      <x:c r="Q69" s="130" t="n">
        <x:v>85</x:v>
      </x:c>
      <x:c r="R69" s="130" t="n">
        <x:v>10</x:v>
      </x:c>
      <x:c r="S69" s="128" t="str">
        <x:v>https://arxiv.org/abs/2608.01508</x:v>
      </x:c>
      <x:c r="T69" s="128" t="str">
        <x:v>Sharp free-boundary regularity in a nonconvex fully nonlinear setting.</x:v>
      </x:c>
    </x:row>
    <x:row r="70" ht="28" customHeight="1">
      <x:c r="A70" s="129" t="n">
        <x:v>69</x:v>
      </x:c>
      <x:c r="B70" s="129" t="str">
        <x:v>2026-07</x:v>
      </x:c>
      <x:c r="C70" s="129" t="n">
        <x:v>15</x:v>
      </x:c>
      <x:c r="D70" s="129" t="str">
        <x:v>2607.20682</x:v>
      </x:c>
      <x:c r="E70" s="128" t="str">
        <x:v>Several counterexamples to kinetic Schauder estimates</x:v>
      </x:c>
      <x:c r="F70" s="128" t="str">
        <x:v>Hongjie Dong; Weinan Wang</x:v>
      </x:c>
      <x:c r="G70" s="128" t="str">
        <x:v>kinetic regularity</x:v>
      </x:c>
      <x:c r="H70" s="129" t="str">
        <x:v>-</x:v>
      </x:c>
      <x:c r="I70" s="130" t="n">
        <x:v>90.08</x:v>
      </x:c>
      <x:c r="J70" s="130" t="n">
        <x:v>89.95</x:v>
      </x:c>
      <x:c r="K70" s="130" t="n">
        <x:v>90.2</x:v>
      </x:c>
      <x:c r="L70" s="130" t="n">
        <x:v>91</x:v>
      </x:c>
      <x:c r="M70" s="130" t="n">
        <x:v>90</x:v>
      </x:c>
      <x:c r="N70" s="130" t="n">
        <x:v>91</x:v>
      </x:c>
      <x:c r="O70" s="130" t="n">
        <x:v>88</x:v>
      </x:c>
      <x:c r="P70" s="130" t="n">
        <x:v>91</x:v>
      </x:c>
      <x:c r="Q70" s="130" t="n">
        <x:v>87</x:v>
      </x:c>
      <x:c r="R70" s="130" t="n">
        <x:v>9</x:v>
      </x:c>
      <x:c r="S70" s="128" t="str">
        <x:v>https://arxiv.org/abs/2607.20682</x:v>
      </x:c>
      <x:c r="T70" s="128" t="str">
        <x:v>Counterexamples clarify limits of kinetic Schauder theory; high robustness as negative results.</x:v>
      </x:c>
    </x:row>
    <x:row r="71" ht="28" customHeight="1">
      <x:c r="A71" s="129" t="n">
        <x:v>70</x:v>
      </x:c>
      <x:c r="B71" s="129" t="str">
        <x:v>2026-07</x:v>
      </x:c>
      <x:c r="C71" s="129" t="n">
        <x:v>16</x:v>
      </x:c>
      <x:c r="D71" s="129" t="str">
        <x:v>2607.03602</x:v>
      </x:c>
      <x:c r="E71" s="128" t="str">
        <x:v>A remark on very weak suitable solutions and Leray solutions of Navier-Stokes equations</x:v>
      </x:c>
      <x:c r="F71" s="128" t="str">
        <x:v>Oscar Jarrín</x:v>
      </x:c>
      <x:c r="G71" s="128" t="str">
        <x:v>Navier-Stokes</x:v>
      </x:c>
      <x:c r="H71" s="129" t="n">
        <x:v>17</x:v>
      </x:c>
      <x:c r="I71" s="130" t="n">
        <x:v>90.07</x:v>
      </x:c>
      <x:c r="J71" s="130" t="n">
        <x:v>90.1</x:v>
      </x:c>
      <x:c r="K71" s="130" t="n">
        <x:v>90.05</x:v>
      </x:c>
      <x:c r="L71" s="130" t="n">
        <x:v>91</x:v>
      </x:c>
      <x:c r="M71" s="130" t="n">
        <x:v>89</x:v>
      </x:c>
      <x:c r="N71" s="130" t="n">
        <x:v>92</x:v>
      </x:c>
      <x:c r="O71" s="130" t="n">
        <x:v>88</x:v>
      </x:c>
      <x:c r="P71" s="130" t="n">
        <x:v>92</x:v>
      </x:c>
      <x:c r="Q71" s="130" t="n">
        <x:v>88</x:v>
      </x:c>
      <x:c r="R71" s="130" t="n">
        <x:v>13</x:v>
      </x:c>
      <x:c r="S71" s="128" t="str">
        <x:v>https://arxiv.org/abs/2607.03602</x:v>
      </x:c>
      <x:c r="T71" s="128" t="str">
        <x:v>Scored candidate from official July math.AP list; correctness not checked.</x:v>
      </x:c>
    </x:row>
    <x:row r="72" ht="28" customHeight="1">
      <x:c r="A72" s="129" t="n">
        <x:v>71</x:v>
      </x:c>
      <x:c r="B72" s="129" t="str">
        <x:v>2026-07</x:v>
      </x:c>
      <x:c r="C72" s="129" t="n">
        <x:v>17</x:v>
      </x:c>
      <x:c r="D72" s="129" t="str">
        <x:v>2607.04918</x:v>
      </x:c>
      <x:c r="E72" s="128" t="str">
        <x:v>Global solutions to the Navier-Stokes equations with large vertical velocities</x:v>
      </x:c>
      <x:c r="F72" s="128" t="str">
        <x:v>Mikihiro Fujii</x:v>
      </x:c>
      <x:c r="G72" s="128" t="str">
        <x:v>Navier-Stokes</x:v>
      </x:c>
      <x:c r="H72" s="129" t="str">
        <x:v>-</x:v>
      </x:c>
      <x:c r="I72" s="130" t="n">
        <x:v>90.07</x:v>
      </x:c>
      <x:c r="J72" s="130" t="n">
        <x:v>90.1</x:v>
      </x:c>
      <x:c r="K72" s="130" t="n">
        <x:v>90.05</x:v>
      </x:c>
      <x:c r="L72" s="130" t="n">
        <x:v>91</x:v>
      </x:c>
      <x:c r="M72" s="130" t="n">
        <x:v>89</x:v>
      </x:c>
      <x:c r="N72" s="130" t="n">
        <x:v>92</x:v>
      </x:c>
      <x:c r="O72" s="130" t="n">
        <x:v>88</x:v>
      </x:c>
      <x:c r="P72" s="130" t="n">
        <x:v>92</x:v>
      </x:c>
      <x:c r="Q72" s="130" t="n">
        <x:v>88</x:v>
      </x:c>
      <x:c r="R72" s="130" t="n">
        <x:v>13</x:v>
      </x:c>
      <x:c r="S72" s="128" t="str">
        <x:v>https://arxiv.org/abs/2607.04918</x:v>
      </x:c>
      <x:c r="T72" s="128" t="str">
        <x:v>Scored candidate from official July math.AP list; correctness not checked.</x:v>
      </x:c>
    </x:row>
    <x:row r="73" ht="28" customHeight="1">
      <x:c r="A73" s="129" t="n">
        <x:v>72</x:v>
      </x:c>
      <x:c r="B73" s="129" t="str">
        <x:v>2026-08</x:v>
      </x:c>
      <x:c r="C73" s="129" t="n">
        <x:v>7</x:v>
      </x:c>
      <x:c r="D73" s="129" t="str">
        <x:v>2608.05994</x:v>
      </x:c>
      <x:c r="E73" s="128" t="str">
        <x:v>The Prandtl-Batchelor and flux-expulsion selections for steady MHD flows in a disk</x:v>
      </x:c>
      <x:c r="F73" s="128" t="str">
        <x:v>Chen Gao; Zhiwu Lin; Jianfeng Zhao</x:v>
      </x:c>
      <x:c r="G73" s="128" t="str">
        <x:v>steady MHD</x:v>
      </x:c>
      <x:c r="H73" s="129" t="n">
        <x:v>76</x:v>
      </x:c>
      <x:c r="I73" s="130" t="n">
        <x:v>90.05</x:v>
      </x:c>
      <x:c r="J73" s="130" t="n">
        <x:v>90</x:v>
      </x:c>
      <x:c r="K73" s="130" t="n">
        <x:v>90.1</x:v>
      </x:c>
      <x:c r="L73" s="130" t="n">
        <x:v>91</x:v>
      </x:c>
      <x:c r="M73" s="130" t="n">
        <x:v>90</x:v>
      </x:c>
      <x:c r="N73" s="130" t="n">
        <x:v>92</x:v>
      </x:c>
      <x:c r="O73" s="130" t="n">
        <x:v>88</x:v>
      </x:c>
      <x:c r="P73" s="130" t="n">
        <x:v>92</x:v>
      </x:c>
      <x:c r="Q73" s="130" t="n">
        <x:v>85</x:v>
      </x:c>
      <x:c r="R73" s="130" t="n">
        <x:v>11</x:v>
      </x:c>
      <x:c r="S73" s="128" t="str">
        <x:v>https://arxiv.org/abs/2608.05994</x:v>
      </x:c>
      <x:c r="T73" s="128" t="str">
        <x:v>Large steady MHD selection result; strong fluid-mechanics relevance.</x:v>
      </x:c>
    </x:row>
    <x:row r="74" ht="28" customHeight="1">
      <x:c r="A74" s="129" t="n">
        <x:v>73</x:v>
      </x:c>
      <x:c r="B74" s="129" t="str">
        <x:v>2026-05</x:v>
      </x:c>
      <x:c r="C74" s="129" t="n">
        <x:v>23</x:v>
      </x:c>
      <x:c r="D74" s="129" t="str">
        <x:v>2605.02034</x:v>
      </x:c>
      <x:c r="E74" s="128" t="str">
        <x:v>Serrin's overdetermined theorem and weak Bernoulli laws without Alt-Caffarelli regularity</x:v>
      </x:c>
      <x:c r="F74" s="128" t="str">
        <x:v>Yi Ru-Ya Zhang</x:v>
      </x:c>
      <x:c r="G74" s="128" t="str">
        <x:v>Free boundary / overdetermined problems</x:v>
      </x:c>
      <x:c r="H74" s="129" t="str">
        <x:v>55</x:v>
      </x:c>
      <x:c r="I74" s="130" t="n">
        <x:v>89.95</x:v>
      </x:c>
      <x:c r="J74" s="130" t="n">
        <x:v>90.3</x:v>
      </x:c>
      <x:c r="K74" s="130" t="n">
        <x:v>89.6</x:v>
      </x:c>
      <x:c r="L74" s="130" t="n">
        <x:v>92.1</x:v>
      </x:c>
      <x:c r="M74" s="130" t="n">
        <x:v>91.1</x:v>
      </x:c>
      <x:c r="N74" s="130" t="n">
        <x:v>91.1</x:v>
      </x:c>
      <x:c r="O74" s="130" t="n">
        <x:v>87.2</x:v>
      </x:c>
      <x:c r="P74" s="130" t="n">
        <x:v>91.2</x:v>
      </x:c>
      <x:c r="Q74" s="130" t="n">
        <x:v>86</x:v>
      </x:c>
      <x:c r="R74" s="130" t="n">
        <x:v>14</x:v>
      </x:c>
      <x:c r="S74" s="128" t="str">
        <x:v>https://arxiv.org/abs/2605.02034</x:v>
      </x:c>
      <x:c r="T74" s="128" t="str">
        <x:v>三轮复核后与原表基本一致</x:v>
      </x:c>
    </x:row>
    <x:row r="75" ht="28" customHeight="1">
      <x:c r="A75" s="129" t="n">
        <x:v>74</x:v>
      </x:c>
      <x:c r="B75" s="129" t="str">
        <x:v>2026-07</x:v>
      </x:c>
      <x:c r="C75" s="129" t="n">
        <x:v>18</x:v>
      </x:c>
      <x:c r="D75" s="129" t="str">
        <x:v>2607.24053</x:v>
      </x:c>
      <x:c r="E75" s="128" t="str">
        <x:v>On a free boundary problem of the Boltzmann equation</x:v>
      </x:c>
      <x:c r="F75" s="128" t="str">
        <x:v>Shengchuang Chang; Renjun Duan; Shuangqian Liu</x:v>
      </x:c>
      <x:c r="G75" s="128" t="str">
        <x:v>kinetic free boundary</x:v>
      </x:c>
      <x:c r="H75" s="129" t="n">
        <x:v>71</x:v>
      </x:c>
      <x:c r="I75" s="130" t="n">
        <x:v>89.95</x:v>
      </x:c>
      <x:c r="J75" s="130" t="n">
        <x:v>89.8</x:v>
      </x:c>
      <x:c r="K75" s="130" t="n">
        <x:v>90.1</x:v>
      </x:c>
      <x:c r="L75" s="130" t="n">
        <x:v>91</x:v>
      </x:c>
      <x:c r="M75" s="130" t="n">
        <x:v>89</x:v>
      </x:c>
      <x:c r="N75" s="130" t="n">
        <x:v>93</x:v>
      </x:c>
      <x:c r="O75" s="130" t="n">
        <x:v>87</x:v>
      </x:c>
      <x:c r="P75" s="130" t="n">
        <x:v>93</x:v>
      </x:c>
      <x:c r="Q75" s="130" t="n">
        <x:v>84</x:v>
      </x:c>
      <x:c r="R75" s="130" t="n">
        <x:v>12</x:v>
      </x:c>
      <x:c r="S75" s="128" t="str">
        <x:v>https://arxiv.org/abs/2607.24053</x:v>
      </x:c>
      <x:c r="T75" s="128" t="str">
        <x:v>Large kinetic free-boundary paper; strong technical load.</x:v>
      </x:c>
    </x:row>
    <x:row r="76" ht="28" customHeight="1">
      <x:c r="A76" s="129" t="n">
        <x:v>75</x:v>
      </x:c>
      <x:c r="B76" s="129" t="str">
        <x:v>2026-07</x:v>
      </x:c>
      <x:c r="C76" s="129" t="n">
        <x:v>19</x:v>
      </x:c>
      <x:c r="D76" s="129" t="str">
        <x:v>2607.09619</x:v>
      </x:c>
      <x:c r="E76" s="128" t="str">
        <x:v>On rotated backwards self-similar solutions of the incompressible 3D Navier-Stokes equations</x:v>
      </x:c>
      <x:c r="F76" s="128" t="str">
        <x:v>Ben Pineau; Vlad Vicol</x:v>
      </x:c>
      <x:c r="G76" s="128" t="str">
        <x:v>Navier-Stokes / self-similarity</x:v>
      </x:c>
      <x:c r="H76" s="129" t="n">
        <x:v>37</x:v>
      </x:c>
      <x:c r="I76" s="130" t="n">
        <x:v>89.92</x:v>
      </x:c>
      <x:c r="J76" s="130" t="n">
        <x:v>89.9</x:v>
      </x:c>
      <x:c r="K76" s="130" t="n">
        <x:v>89.95</x:v>
      </x:c>
      <x:c r="L76" s="130" t="n">
        <x:v>91</x:v>
      </x:c>
      <x:c r="M76" s="130" t="n">
        <x:v>90</x:v>
      </x:c>
      <x:c r="N76" s="130" t="n">
        <x:v>92</x:v>
      </x:c>
      <x:c r="O76" s="130" t="n">
        <x:v>88</x:v>
      </x:c>
      <x:c r="P76" s="130" t="n">
        <x:v>92</x:v>
      </x:c>
      <x:c r="Q76" s="130" t="n">
        <x:v>84</x:v>
      </x:c>
      <x:c r="R76" s="130" t="n">
        <x:v>11</x:v>
      </x:c>
      <x:c r="S76" s="128" t="str">
        <x:v>https://arxiv.org/abs/2607.09619</x:v>
      </x:c>
      <x:c r="T76" s="128" t="str">
        <x:v>Strong authorship and high conceptual relevance; arXiv id in source row 189 is 2607.09619.</x:v>
      </x:c>
    </x:row>
    <x:row r="77" ht="28" customHeight="1">
      <x:c r="A77" s="129" t="n">
        <x:v>76</x:v>
      </x:c>
      <x:c r="B77" s="129" t="str">
        <x:v>2026-08</x:v>
      </x:c>
      <x:c r="C77" s="129" t="n">
        <x:v>8</x:v>
      </x:c>
      <x:c r="D77" s="129" t="str">
        <x:v>2608.04402</x:v>
      </x:c>
      <x:c r="E77" s="128" t="str">
        <x:v>Long-Time Dynamics and Modified Scattering for Coulomb Vlasov-Hartree</x:v>
      </x:c>
      <x:c r="F77" s="128" t="str">
        <x:v>Wenrui Huang; Mengyi Xie</x:v>
      </x:c>
      <x:c r="G77" s="128" t="str">
        <x:v>Vlasov-Hartree/scattering</x:v>
      </x:c>
      <x:c r="H77" s="129" t="str">
        <x:v>-</x:v>
      </x:c>
      <x:c r="I77" s="130" t="n">
        <x:v>89.92</x:v>
      </x:c>
      <x:c r="J77" s="130" t="n">
        <x:v>89.8</x:v>
      </x:c>
      <x:c r="K77" s="130" t="n">
        <x:v>90.05</x:v>
      </x:c>
      <x:c r="L77" s="130" t="n">
        <x:v>91</x:v>
      </x:c>
      <x:c r="M77" s="130" t="n">
        <x:v>89</x:v>
      </x:c>
      <x:c r="N77" s="130" t="n">
        <x:v>92</x:v>
      </x:c>
      <x:c r="O77" s="130" t="n">
        <x:v>88</x:v>
      </x:c>
      <x:c r="P77" s="130" t="n">
        <x:v>92</x:v>
      </x:c>
      <x:c r="Q77" s="130" t="n">
        <x:v>85</x:v>
      </x:c>
      <x:c r="R77" s="130" t="n">
        <x:v>10</x:v>
      </x:c>
      <x:c r="S77" s="128" t="str">
        <x:v>https://arxiv.org/abs/2608.04402</x:v>
      </x:c>
      <x:c r="T77" s="128" t="str">
        <x:v>Modified scattering and long-time dynamics in Coulomb Vlasov-Hartree.</x:v>
      </x:c>
    </x:row>
    <x:row r="78" ht="28" customHeight="1">
      <x:c r="A78" s="129" t="n">
        <x:v>77</x:v>
      </x:c>
      <x:c r="B78" s="129" t="str">
        <x:v>2026-07</x:v>
      </x:c>
      <x:c r="C78" s="129" t="n">
        <x:v>20</x:v>
      </x:c>
      <x:c r="D78" s="129" t="str">
        <x:v>2607.09189</x:v>
      </x:c>
      <x:c r="E78" s="128" t="str">
        <x:v>Global dynamics of viscous gaseous stars in a physical vacuum</x:v>
      </x:c>
      <x:c r="F78" s="128" t="str">
        <x:v>Demin Wang; Jiawen Zhang; Shengguo Zhu</x:v>
      </x:c>
      <x:c r="G78" s="128" t="str">
        <x:v>free-boundary compressible fluids</x:v>
      </x:c>
      <x:c r="H78" s="129" t="n">
        <x:v>73</x:v>
      </x:c>
      <x:c r="I78" s="130" t="n">
        <x:v>89.88</x:v>
      </x:c>
      <x:c r="J78" s="130" t="n">
        <x:v>90.05</x:v>
      </x:c>
      <x:c r="K78" s="130" t="n">
        <x:v>89.7</x:v>
      </x:c>
      <x:c r="L78" s="130" t="n">
        <x:v>92</x:v>
      </x:c>
      <x:c r="M78" s="130" t="n">
        <x:v>89</x:v>
      </x:c>
      <x:c r="N78" s="130" t="n">
        <x:v>94</x:v>
      </x:c>
      <x:c r="O78" s="130" t="n">
        <x:v>87</x:v>
      </x:c>
      <x:c r="P78" s="130" t="n">
        <x:v>94</x:v>
      </x:c>
      <x:c r="Q78" s="130" t="n">
        <x:v>81</x:v>
      </x:c>
      <x:c r="R78" s="130" t="n">
        <x:v>15</x:v>
      </x:c>
      <x:c r="S78" s="128" t="str">
        <x:v>https://arxiv.org/abs/2607.09189</x:v>
      </x:c>
      <x:c r="T78" s="128" t="str">
        <x:v>Large physical-vacuum dynamics paper; text-overlap note reduces robustness slightly.</x:v>
      </x:c>
    </x:row>
    <x:row r="79" ht="28" customHeight="1">
      <x:c r="A79" s="129" t="n">
        <x:v>78</x:v>
      </x:c>
      <x:c r="B79" s="129" t="str">
        <x:v>2026-05</x:v>
      </x:c>
      <x:c r="C79" s="129" t="n">
        <x:v>24</x:v>
      </x:c>
      <x:c r="D79" s="129" t="str">
        <x:v>2605.01933</x:v>
      </x:c>
      <x:c r="E79" s="128" t="str">
        <x:v>A sharp hypocoercive entropy decay estimate for underdamped Langevin dynamics</x:v>
      </x:c>
      <x:c r="F79" s="128" t="str">
        <x:v>Jianfeng Lu</x:v>
      </x:c>
      <x:c r="G79" s="128" t="str">
        <x:v>Hypocoercivity / Langevin</x:v>
      </x:c>
      <x:c r="H79" s="129" t="str">
        <x:v>25</x:v>
      </x:c>
      <x:c r="I79" s="130" t="n">
        <x:v>89.85</x:v>
      </x:c>
      <x:c r="J79" s="130" t="n">
        <x:v>90.16</x:v>
      </x:c>
      <x:c r="K79" s="130" t="n">
        <x:v>89.54</x:v>
      </x:c>
      <x:c r="L79" s="130" t="n">
        <x:v>91.1</x:v>
      </x:c>
      <x:c r="M79" s="130" t="n">
        <x:v>90.1</x:v>
      </x:c>
      <x:c r="N79" s="130" t="n">
        <x:v>91.1</x:v>
      </x:c>
      <x:c r="O79" s="130" t="n">
        <x:v>88.2</x:v>
      </x:c>
      <x:c r="P79" s="130" t="n">
        <x:v>90.2</x:v>
      </x:c>
      <x:c r="Q79" s="130" t="n">
        <x:v>88</x:v>
      </x:c>
      <x:c r="R79" s="130" t="n">
        <x:v>13.1</x:v>
      </x:c>
      <x:c r="S79" s="128" t="str">
        <x:v>https://arxiv.org/abs/2605.01933</x:v>
      </x:c>
      <x:c r="T79" s="128" t="str">
        <x:v>三轮复核后与原表基本一致</x:v>
      </x:c>
    </x:row>
    <x:row r="80" ht="28" customHeight="1">
      <x:c r="A80" s="129" t="n">
        <x:v>79</x:v>
      </x:c>
      <x:c r="B80" s="129" t="str">
        <x:v>2026-06</x:v>
      </x:c>
      <x:c r="C80" s="129" t="n">
        <x:v>28</x:v>
      </x:c>
      <x:c r="D80" s="129" t="str">
        <x:v>2606.04960</x:v>
      </x:c>
      <x:c r="E80" s="128" t="str">
        <x:v>Stationary Vlasov-Poisson-Boltzmann system in a convex domain</x:v>
      </x:c>
      <x:c r="F80" s="128" t="str">
        <x:v>Hongxu Chen; Jiaxin Jin</x:v>
      </x:c>
      <x:c r="G80" s="128" t="str">
        <x:v>kinetic boundary PDE</x:v>
      </x:c>
      <x:c r="H80" s="129" t="str">
        <x:v>88</x:v>
      </x:c>
      <x:c r="I80" s="130" t="n">
        <x:v>89.85</x:v>
      </x:c>
      <x:c r="J80" s="130" t="n">
        <x:v>89.74</x:v>
      </x:c>
      <x:c r="K80" s="130" t="n">
        <x:v>89.95</x:v>
      </x:c>
      <x:c r="L80" s="130" t="n">
        <x:v>91</x:v>
      </x:c>
      <x:c r="M80" s="130" t="n">
        <x:v>89</x:v>
      </x:c>
      <x:c r="N80" s="130" t="n">
        <x:v>92.1</x:v>
      </x:c>
      <x:c r="O80" s="130" t="n">
        <x:v>86.8</x:v>
      </x:c>
      <x:c r="P80" s="130" t="n">
        <x:v>92.1</x:v>
      </x:c>
      <x:c r="Q80" s="130" t="n">
        <x:v>86</x:v>
      </x:c>
      <x:c r="R80" s="130" t="n">
        <x:v>12</x:v>
      </x:c>
      <x:c r="S80" s="128" t="str">
        <x:v>https://arxiv.org/abs/2606.04960</x:v>
      </x:c>
      <x:c r="T80" s="128" t="str">
        <x:v>范围偏专门，广度轻微回调</x:v>
      </x:c>
    </x:row>
    <x:row r="81" ht="28" customHeight="1">
      <x:c r="A81" s="129" t="n">
        <x:v>80</x:v>
      </x:c>
      <x:c r="B81" s="129" t="str">
        <x:v>2026-07</x:v>
      </x:c>
      <x:c r="C81" s="129" t="n">
        <x:v>21</x:v>
      </x:c>
      <x:c r="D81" s="129" t="str">
        <x:v>2607.17501</x:v>
      </x:c>
      <x:c r="E81" s="128" t="str">
        <x:v>Unique inversion of smooth nonlinearity in semilinear wave equations on Lorentzian manifolds</x:v>
      </x:c>
      <x:c r="F81" s="128" t="str">
        <x:v>Xi Chen; Shuai Lu; Ruochong Zhang</x:v>
      </x:c>
      <x:c r="G81" s="128" t="str">
        <x:v>inverse problems / waves</x:v>
      </x:c>
      <x:c r="H81" s="129" t="str">
        <x:v>-</x:v>
      </x:c>
      <x:c r="I81" s="130" t="n">
        <x:v>89.85</x:v>
      </x:c>
      <x:c r="J81" s="130" t="n">
        <x:v>89.9</x:v>
      </x:c>
      <x:c r="K81" s="130" t="n">
        <x:v>89.8</x:v>
      </x:c>
      <x:c r="L81" s="130" t="n">
        <x:v>91</x:v>
      </x:c>
      <x:c r="M81" s="130" t="n">
        <x:v>90</x:v>
      </x:c>
      <x:c r="N81" s="130" t="n">
        <x:v>92</x:v>
      </x:c>
      <x:c r="O81" s="130" t="n">
        <x:v>88</x:v>
      </x:c>
      <x:c r="P81" s="130" t="n">
        <x:v>92</x:v>
      </x:c>
      <x:c r="Q81" s="130" t="n">
        <x:v>84</x:v>
      </x:c>
      <x:c r="R81" s="130" t="n">
        <x:v>12</x:v>
      </x:c>
      <x:c r="S81" s="128" t="str">
        <x:v>https://arxiv.org/abs/2607.17501</x:v>
      </x:c>
      <x:c r="T81" s="128" t="str">
        <x:v>Nonlinear inverse problem on Lorentzian manifolds; strong breadth.</x:v>
      </x:c>
    </x:row>
    <x:row r="82" ht="28" customHeight="1">
      <x:c r="A82" s="129" t="n">
        <x:v>81</x:v>
      </x:c>
      <x:c r="B82" s="129" t="str">
        <x:v>2026-06</x:v>
      </x:c>
      <x:c r="C82" s="129" t="n">
        <x:v>27</x:v>
      </x:c>
      <x:c r="D82" s="129" t="str">
        <x:v>2606.29468</x:v>
      </x:c>
      <x:c r="E82" s="128" t="str">
        <x:v>On potential Type II blowups for the Navier-Stokes equations</x:v>
      </x:c>
      <x:c r="F82" s="128" t="str">
        <x:v>Gregory Seregin</x:v>
      </x:c>
      <x:c r="G82" s="128" t="str">
        <x:v>Navier-Stokes blow-up</x:v>
      </x:c>
      <x:c r="H82" s="129" t="str">
        <x:v>14</x:v>
      </x:c>
      <x:c r="I82" s="130" t="n">
        <x:v>89.82</x:v>
      </x:c>
      <x:c r="J82" s="130" t="n">
        <x:v>90.22</x:v>
      </x:c>
      <x:c r="K82" s="130" t="n">
        <x:v>89.41</x:v>
      </x:c>
      <x:c r="L82" s="130" t="n">
        <x:v>94.1</x:v>
      </x:c>
      <x:c r="M82" s="130" t="n">
        <x:v>87.9</x:v>
      </x:c>
      <x:c r="N82" s="130" t="n">
        <x:v>90.9</x:v>
      </x:c>
      <x:c r="O82" s="130" t="n">
        <x:v>87.9</x:v>
      </x:c>
      <x:c r="P82" s="130" t="n">
        <x:v>92</x:v>
      </x:c>
      <x:c r="Q82" s="130" t="n">
        <x:v>85</x:v>
      </x:c>
      <x:c r="R82" s="130" t="n">
        <x:v>11.3</x:v>
      </x:c>
      <x:c r="S82" s="128" t="str">
        <x:v>https://arxiv.org/abs/2606.29468</x:v>
      </x:c>
      <x:c r="T82" s="128" t="str">
        <x:v>系列/续篇按重叠性校准；短文且非框架性题材，技术残差轻微回调</x:v>
      </x:c>
    </x:row>
    <x:row r="83" ht="28" customHeight="1">
      <x:c r="A83" s="129" t="n">
        <x:v>82</x:v>
      </x:c>
      <x:c r="B83" s="129" t="str">
        <x:v>2026-07</x:v>
      </x:c>
      <x:c r="C83" s="129" t="n">
        <x:v>22</x:v>
      </x:c>
      <x:c r="D83" s="129" t="str">
        <x:v>2607.20395</x:v>
      </x:c>
      <x:c r="E83" s="128" t="str">
        <x:v>Well-posedness of a Hele-Shaw problem in general dimensions</x:v>
      </x:c>
      <x:c r="F83" s="128" t="str">
        <x:v>Olga Turanova; Yuming Paul Zhang</x:v>
      </x:c>
      <x:c r="G83" s="128" t="str">
        <x:v>free-boundary PDE</x:v>
      </x:c>
      <x:c r="H83" s="129" t="n">
        <x:v>30</x:v>
      </x:c>
      <x:c r="I83" s="130" t="n">
        <x:v>89.77</x:v>
      </x:c>
      <x:c r="J83" s="130" t="n">
        <x:v>89.65</x:v>
      </x:c>
      <x:c r="K83" s="130" t="n">
        <x:v>89.9</x:v>
      </x:c>
      <x:c r="L83" s="130" t="n">
        <x:v>91</x:v>
      </x:c>
      <x:c r="M83" s="130" t="n">
        <x:v>89</x:v>
      </x:c>
      <x:c r="N83" s="130" t="n">
        <x:v>92</x:v>
      </x:c>
      <x:c r="O83" s="130" t="n">
        <x:v>87</x:v>
      </x:c>
      <x:c r="P83" s="130" t="n">
        <x:v>92</x:v>
      </x:c>
      <x:c r="Q83" s="130" t="n">
        <x:v>85</x:v>
      </x:c>
      <x:c r="R83" s="130" t="n">
        <x:v>11</x:v>
      </x:c>
      <x:c r="S83" s="128" t="str">
        <x:v>https://arxiv.org/abs/2607.20395</x:v>
      </x:c>
      <x:c r="T83" s="128" t="str">
        <x:v>General-dimensional Hele-Shaw well-posedness; significant free-boundary result.</x:v>
      </x:c>
    </x:row>
    <x:row r="84" ht="28" customHeight="1">
      <x:c r="A84" s="129" t="n">
        <x:v>83</x:v>
      </x:c>
      <x:c r="B84" s="129" t="str">
        <x:v>2026-05</x:v>
      </x:c>
      <x:c r="C84" s="129" t="n">
        <x:v>25</x:v>
      </x:c>
      <x:c r="D84" s="129" t="str">
        <x:v>2605.03732</x:v>
      </x:c>
      <x:c r="E84" s="128" t="str">
        <x:v>Sharp Stability for the Affine Fractional Sobolev Inequality</x:v>
      </x:c>
      <x:c r="F84" s="128" t="str">
        <x:v>Song Fan; Gui-Dong Li; Jianjun Zhang</x:v>
      </x:c>
      <x:c r="G84" s="128" t="str">
        <x:v>Functional inequalities</x:v>
      </x:c>
      <x:c r="H84" s="129"/>
      <x:c r="I84" s="130" t="n">
        <x:v>89.75</x:v>
      </x:c>
      <x:c r="J84" s="130" t="n">
        <x:v>89.85</x:v>
      </x:c>
      <x:c r="K84" s="130" t="n">
        <x:v>89.65</x:v>
      </x:c>
      <x:c r="L84" s="130" t="n">
        <x:v>91</x:v>
      </x:c>
      <x:c r="M84" s="130" t="n">
        <x:v>90.1</x:v>
      </x:c>
      <x:c r="N84" s="130" t="n">
        <x:v>91</x:v>
      </x:c>
      <x:c r="O84" s="130" t="n">
        <x:v>87.2</x:v>
      </x:c>
      <x:c r="P84" s="130" t="n">
        <x:v>91.1</x:v>
      </x:c>
      <x:c r="Q84" s="130" t="n">
        <x:v>87</x:v>
      </x:c>
      <x:c r="R84" s="130" t="n">
        <x:v>13</x:v>
      </x:c>
      <x:c r="S84" s="128" t="str">
        <x:v>https://arxiv.org/abs/2605.03732</x:v>
      </x:c>
      <x:c r="T84" s="128" t="str">
        <x:v>三轮复核后与原表基本一致</x:v>
      </x:c>
    </x:row>
    <x:row r="85" ht="28" customHeight="1">
      <x:c r="A85" s="129" t="n">
        <x:v>84</x:v>
      </x:c>
      <x:c r="B85" s="129" t="str">
        <x:v>2026-07</x:v>
      </x:c>
      <x:c r="C85" s="129" t="n">
        <x:v>23</x:v>
      </x:c>
      <x:c r="D85" s="129" t="str">
        <x:v>2607.01587</x:v>
      </x:c>
      <x:c r="E85" s="128" t="str">
        <x:v>On the Critical One Components Regularity for the 3-D Navier-Stokes System</x:v>
      </x:c>
      <x:c r="F85" s="128" t="str">
        <x:v>Wei Luo; Zhanyang Yin; Pei Zheng</x:v>
      </x:c>
      <x:c r="G85" s="128" t="str">
        <x:v>Navier-Stokes</x:v>
      </x:c>
      <x:c r="H85" s="129" t="str">
        <x:v>-</x:v>
      </x:c>
      <x:c r="I85" s="130" t="n">
        <x:v>89.68</x:v>
      </x:c>
      <x:c r="J85" s="130" t="n">
        <x:v>89.65</x:v>
      </x:c>
      <x:c r="K85" s="130" t="n">
        <x:v>89.7</x:v>
      </x:c>
      <x:c r="L85" s="130" t="n">
        <x:v>91</x:v>
      </x:c>
      <x:c r="M85" s="130" t="n">
        <x:v>88</x:v>
      </x:c>
      <x:c r="N85" s="130" t="n">
        <x:v>92</x:v>
      </x:c>
      <x:c r="O85" s="130" t="n">
        <x:v>87</x:v>
      </x:c>
      <x:c r="P85" s="130" t="n">
        <x:v>92</x:v>
      </x:c>
      <x:c r="Q85" s="130" t="n">
        <x:v>87</x:v>
      </x:c>
      <x:c r="R85" s="130" t="n">
        <x:v>13</x:v>
      </x:c>
      <x:c r="S85" s="128" t="str">
        <x:v>https://arxiv.org/abs/2607.01587</x:v>
      </x:c>
      <x:c r="T85" s="128" t="str">
        <x:v>Scored candidate from official July math.AP list; correctness not checked.</x:v>
      </x:c>
    </x:row>
    <x:row r="86" ht="28" customHeight="1">
      <x:c r="A86" s="129" t="n">
        <x:v>85</x:v>
      </x:c>
      <x:c r="B86" s="129" t="str">
        <x:v>2026-07</x:v>
      </x:c>
      <x:c r="C86" s="129" t="n">
        <x:v>24</x:v>
      </x:c>
      <x:c r="D86" s="129" t="str">
        <x:v>2607.00658</x:v>
      </x:c>
      <x:c r="E86" s="128" t="str">
        <x:v>Asynchronous exponential growth for structured population models in measure space</x:v>
      </x:c>
      <x:c r="F86" s="128" t="str">
        <x:v>Christian Düll; József Z. Farkas; Piotr Gwiazda; Anna Marciniak-Czochra</x:v>
      </x:c>
      <x:c r="G86" s="128" t="str">
        <x:v>structured populations</x:v>
      </x:c>
      <x:c r="H86" s="129" t="str">
        <x:v>-</x:v>
      </x:c>
      <x:c r="I86" s="130" t="n">
        <x:v>89.67</x:v>
      </x:c>
      <x:c r="J86" s="130" t="n">
        <x:v>89.65</x:v>
      </x:c>
      <x:c r="K86" s="130" t="n">
        <x:v>89.7</x:v>
      </x:c>
      <x:c r="L86" s="130" t="n">
        <x:v>90</x:v>
      </x:c>
      <x:c r="M86" s="130" t="n">
        <x:v>89</x:v>
      </x:c>
      <x:c r="N86" s="130" t="n">
        <x:v>91</x:v>
      </x:c>
      <x:c r="O86" s="130" t="n">
        <x:v>88</x:v>
      </x:c>
      <x:c r="P86" s="130" t="n">
        <x:v>91</x:v>
      </x:c>
      <x:c r="Q86" s="130" t="n">
        <x:v>89</x:v>
      </x:c>
      <x:c r="R86" s="130" t="n">
        <x:v>13</x:v>
      </x:c>
      <x:c r="S86" s="128" t="str">
        <x:v>https://arxiv.org/abs/2607.00658</x:v>
      </x:c>
      <x:c r="T86" s="128" t="str">
        <x:v>Scored candidate from official July math.AP list; correctness not checked.</x:v>
      </x:c>
    </x:row>
    <x:row r="87" ht="28" customHeight="1">
      <x:c r="A87" s="129" t="n">
        <x:v>86</x:v>
      </x:c>
      <x:c r="B87" s="129" t="str">
        <x:v>2026-07</x:v>
      </x:c>
      <x:c r="C87" s="129" t="n">
        <x:v>25</x:v>
      </x:c>
      <x:c r="D87" s="129" t="str">
        <x:v>2607.01857</x:v>
      </x:c>
      <x:c r="E87" s="128" t="str">
        <x:v>Refined blow-up criteria and global solutions for triangular cross-diffusion systems</x:v>
      </x:c>
      <x:c r="F87" s="128" t="str">
        <x:v>Alexandre Bertolino</x:v>
      </x:c>
      <x:c r="G87" s="128" t="str">
        <x:v>cross-diffusion</x:v>
      </x:c>
      <x:c r="H87" s="129" t="str">
        <x:v>-</x:v>
      </x:c>
      <x:c r="I87" s="130" t="n">
        <x:v>89.67</x:v>
      </x:c>
      <x:c r="J87" s="130" t="n">
        <x:v>89.65</x:v>
      </x:c>
      <x:c r="K87" s="130" t="n">
        <x:v>89.7</x:v>
      </x:c>
      <x:c r="L87" s="130" t="n">
        <x:v>90</x:v>
      </x:c>
      <x:c r="M87" s="130" t="n">
        <x:v>89</x:v>
      </x:c>
      <x:c r="N87" s="130" t="n">
        <x:v>91</x:v>
      </x:c>
      <x:c r="O87" s="130" t="n">
        <x:v>88</x:v>
      </x:c>
      <x:c r="P87" s="130" t="n">
        <x:v>91</x:v>
      </x:c>
      <x:c r="Q87" s="130" t="n">
        <x:v>89</x:v>
      </x:c>
      <x:c r="R87" s="130" t="n">
        <x:v>13</x:v>
      </x:c>
      <x:c r="S87" s="128" t="str">
        <x:v>https://arxiv.org/abs/2607.01857</x:v>
      </x:c>
      <x:c r="T87" s="128" t="str">
        <x:v>Scored candidate from official July math.AP list; correctness not checked.</x:v>
      </x:c>
    </x:row>
    <x:row r="88" ht="28" customHeight="1">
      <x:c r="A88" s="129" t="n">
        <x:v>87</x:v>
      </x:c>
      <x:c r="B88" s="129" t="str">
        <x:v>2026-07</x:v>
      </x:c>
      <x:c r="C88" s="129" t="n">
        <x:v>26</x:v>
      </x:c>
      <x:c r="D88" s="129" t="str">
        <x:v>2607.02910</x:v>
      </x:c>
      <x:c r="E88" s="128" t="str">
        <x:v>An Asymptotic Mean Value Characterization for the Regularized p-Laplacian</x:v>
      </x:c>
      <x:c r="F88" s="128" t="str">
        <x:v>Behrooz Moosavi Ramezanzadeh</x:v>
      </x:c>
      <x:c r="G88" s="128" t="str">
        <x:v>p-Laplacian</x:v>
      </x:c>
      <x:c r="H88" s="129" t="str">
        <x:v>-</x:v>
      </x:c>
      <x:c r="I88" s="130" t="n">
        <x:v>89.67</x:v>
      </x:c>
      <x:c r="J88" s="130" t="n">
        <x:v>89.65</x:v>
      </x:c>
      <x:c r="K88" s="130" t="n">
        <x:v>89.7</x:v>
      </x:c>
      <x:c r="L88" s="130" t="n">
        <x:v>90</x:v>
      </x:c>
      <x:c r="M88" s="130" t="n">
        <x:v>89</x:v>
      </x:c>
      <x:c r="N88" s="130" t="n">
        <x:v>91</x:v>
      </x:c>
      <x:c r="O88" s="130" t="n">
        <x:v>88</x:v>
      </x:c>
      <x:c r="P88" s="130" t="n">
        <x:v>91</x:v>
      </x:c>
      <x:c r="Q88" s="130" t="n">
        <x:v>89</x:v>
      </x:c>
      <x:c r="R88" s="130" t="n">
        <x:v>13</x:v>
      </x:c>
      <x:c r="S88" s="128" t="str">
        <x:v>https://arxiv.org/abs/2607.02910</x:v>
      </x:c>
      <x:c r="T88" s="128" t="str">
        <x:v>Scored candidate from official July math.AP list; correctness not checked.</x:v>
      </x:c>
    </x:row>
    <x:row r="89" ht="28" customHeight="1">
      <x:c r="A89" s="129" t="n">
        <x:v>88</x:v>
      </x:c>
      <x:c r="B89" s="129" t="str">
        <x:v>2026-07</x:v>
      </x:c>
      <x:c r="C89" s="129" t="n">
        <x:v>27</x:v>
      </x:c>
      <x:c r="D89" s="129" t="str">
        <x:v>2607.03667</x:v>
      </x:c>
      <x:c r="E89" s="128" t="str">
        <x:v>Holder maps under Pfaffian constraints</x:v>
      </x:c>
      <x:c r="F89" s="128" t="str">
        <x:v>Armin Schikorra</x:v>
      </x:c>
      <x:c r="G89" s="128" t="str">
        <x:v>geometric analysis</x:v>
      </x:c>
      <x:c r="H89" s="129" t="str">
        <x:v>-</x:v>
      </x:c>
      <x:c r="I89" s="130" t="n">
        <x:v>89.67</x:v>
      </x:c>
      <x:c r="J89" s="130" t="n">
        <x:v>89.65</x:v>
      </x:c>
      <x:c r="K89" s="130" t="n">
        <x:v>89.7</x:v>
      </x:c>
      <x:c r="L89" s="130" t="n">
        <x:v>90</x:v>
      </x:c>
      <x:c r="M89" s="130" t="n">
        <x:v>89</x:v>
      </x:c>
      <x:c r="N89" s="130" t="n">
        <x:v>91</x:v>
      </x:c>
      <x:c r="O89" s="130" t="n">
        <x:v>88</x:v>
      </x:c>
      <x:c r="P89" s="130" t="n">
        <x:v>91</x:v>
      </x:c>
      <x:c r="Q89" s="130" t="n">
        <x:v>89</x:v>
      </x:c>
      <x:c r="R89" s="130" t="n">
        <x:v>13</x:v>
      </x:c>
      <x:c r="S89" s="128" t="str">
        <x:v>https://arxiv.org/abs/2607.03667</x:v>
      </x:c>
      <x:c r="T89" s="128" t="str">
        <x:v>Scored candidate from official July math.AP list; correctness not checked.</x:v>
      </x:c>
    </x:row>
    <x:row r="90" ht="28" customHeight="1">
      <x:c r="A90" s="129" t="n">
        <x:v>89</x:v>
      </x:c>
      <x:c r="B90" s="129" t="str">
        <x:v>2026-07</x:v>
      </x:c>
      <x:c r="C90" s="129" t="n">
        <x:v>28</x:v>
      </x:c>
      <x:c r="D90" s="129" t="str">
        <x:v>2607.04604</x:v>
      </x:c>
      <x:c r="E90" s="128" t="str">
        <x:v>Gevrey instability in the inviscid inflow-outflow problem</x:v>
      </x:c>
      <x:c r="F90" s="128" t="str">
        <x:v>Igor Kukavica; Wojciech Ozanski; Qi Xu</x:v>
      </x:c>
      <x:c r="G90" s="128" t="str">
        <x:v>fluid instability</x:v>
      </x:c>
      <x:c r="H90" s="129" t="n">
        <x:v>25</x:v>
      </x:c>
      <x:c r="I90" s="130" t="n">
        <x:v>89.67</x:v>
      </x:c>
      <x:c r="J90" s="130" t="n">
        <x:v>89.65</x:v>
      </x:c>
      <x:c r="K90" s="130" t="n">
        <x:v>89.7</x:v>
      </x:c>
      <x:c r="L90" s="130" t="n">
        <x:v>90</x:v>
      </x:c>
      <x:c r="M90" s="130" t="n">
        <x:v>89</x:v>
      </x:c>
      <x:c r="N90" s="130" t="n">
        <x:v>91</x:v>
      </x:c>
      <x:c r="O90" s="130" t="n">
        <x:v>88</x:v>
      </x:c>
      <x:c r="P90" s="130" t="n">
        <x:v>91</x:v>
      </x:c>
      <x:c r="Q90" s="130" t="n">
        <x:v>89</x:v>
      </x:c>
      <x:c r="R90" s="130" t="n">
        <x:v>13</x:v>
      </x:c>
      <x:c r="S90" s="128" t="str">
        <x:v>https://arxiv.org/abs/2607.04604</x:v>
      </x:c>
      <x:c r="T90" s="128" t="str">
        <x:v>Scored candidate from official July math.AP list; correctness not checked.</x:v>
      </x:c>
    </x:row>
    <x:row r="91" ht="28" customHeight="1">
      <x:c r="A91" s="129" t="n">
        <x:v>90</x:v>
      </x:c>
      <x:c r="B91" s="129" t="str">
        <x:v>2026-07</x:v>
      </x:c>
      <x:c r="C91" s="129" t="n">
        <x:v>29</x:v>
      </x:c>
      <x:c r="D91" s="129" t="str">
        <x:v>2607.07024</x:v>
      </x:c>
      <x:c r="E91" s="128" t="str">
        <x:v>Linear Stability and Jacobi Kernels of Three-Dimensional Sessile Drops</x:v>
      </x:c>
      <x:c r="F91" s="128" t="str">
        <x:v>Xiaoding Yang</x:v>
      </x:c>
      <x:c r="G91" s="128" t="str">
        <x:v>capillary geometry</x:v>
      </x:c>
      <x:c r="H91" s="129" t="str">
        <x:v>-</x:v>
      </x:c>
      <x:c r="I91" s="130" t="n">
        <x:v>89.67</x:v>
      </x:c>
      <x:c r="J91" s="130" t="n">
        <x:v>89.65</x:v>
      </x:c>
      <x:c r="K91" s="130" t="n">
        <x:v>89.7</x:v>
      </x:c>
      <x:c r="L91" s="130" t="n">
        <x:v>90</x:v>
      </x:c>
      <x:c r="M91" s="130" t="n">
        <x:v>89</x:v>
      </x:c>
      <x:c r="N91" s="130" t="n">
        <x:v>91</x:v>
      </x:c>
      <x:c r="O91" s="130" t="n">
        <x:v>88</x:v>
      </x:c>
      <x:c r="P91" s="130" t="n">
        <x:v>91</x:v>
      </x:c>
      <x:c r="Q91" s="130" t="n">
        <x:v>89</x:v>
      </x:c>
      <x:c r="R91" s="130" t="n">
        <x:v>13</x:v>
      </x:c>
      <x:c r="S91" s="128" t="str">
        <x:v>https://arxiv.org/abs/2607.07024</x:v>
      </x:c>
      <x:c r="T91" s="128" t="str">
        <x:v>Scored candidate from official July math.AP list; correctness not checked.</x:v>
      </x:c>
    </x:row>
    <x:row r="92" ht="28" customHeight="1">
      <x:c r="A92" s="129" t="n">
        <x:v>91</x:v>
      </x:c>
      <x:c r="B92" s="129" t="str">
        <x:v>2026-07</x:v>
      </x:c>
      <x:c r="C92" s="129" t="n">
        <x:v>30</x:v>
      </x:c>
      <x:c r="D92" s="129" t="str">
        <x:v>2607.12159</x:v>
      </x:c>
      <x:c r="E92" s="128" t="str">
        <x:v>Homothetic Self-Similar Solutions to Incompressible Navier-Stokes</x:v>
      </x:c>
      <x:c r="F92" s="128" t="str">
        <x:v>Tim Binz; Matei P. Coiculescu</x:v>
      </x:c>
      <x:c r="G92" s="128" t="str">
        <x:v>Navier-Stokes / self-similarity</x:v>
      </x:c>
      <x:c r="H92" s="129" t="n">
        <x:v>49</x:v>
      </x:c>
      <x:c r="I92" s="130" t="n">
        <x:v>89.65</x:v>
      </x:c>
      <x:c r="J92" s="130" t="n">
        <x:v>89.55</x:v>
      </x:c>
      <x:c r="K92" s="130" t="n">
        <x:v>89.75</x:v>
      </x:c>
      <x:c r="L92" s="130" t="n">
        <x:v>91</x:v>
      </x:c>
      <x:c r="M92" s="130" t="n">
        <x:v>89</x:v>
      </x:c>
      <x:c r="N92" s="130" t="n">
        <x:v>92</x:v>
      </x:c>
      <x:c r="O92" s="130" t="n">
        <x:v>87</x:v>
      </x:c>
      <x:c r="P92" s="130" t="n">
        <x:v>92</x:v>
      </x:c>
      <x:c r="Q92" s="130" t="n">
        <x:v>84</x:v>
      </x:c>
      <x:c r="R92" s="130" t="n">
        <x:v>11</x:v>
      </x:c>
      <x:c r="S92" s="128" t="str">
        <x:v>https://arxiv.org/abs/2607.12159</x:v>
      </x:c>
      <x:c r="T92" s="128" t="str">
        <x:v>Self-similar construction in Navier-Stokes; conceptually central theme.</x:v>
      </x:c>
    </x:row>
    <x:row r="93" ht="28" customHeight="1">
      <x:c r="A93" s="129" t="n">
        <x:v>92</x:v>
      </x:c>
      <x:c r="B93" s="129" t="str">
        <x:v>2026-08</x:v>
      </x:c>
      <x:c r="C93" s="129" t="n">
        <x:v>9</x:v>
      </x:c>
      <x:c r="D93" s="129" t="str">
        <x:v>2608.00438</x:v>
      </x:c>
      <x:c r="E93" s="128" t="str">
        <x:v>Homogenization of viscous sublinear Hamilton-Jacobi equations with u/epsilon-dependence</x:v>
      </x:c>
      <x:c r="F93" s="128" t="str">
        <x:v>Guyu Jin</x:v>
      </x:c>
      <x:c r="G93" s="128" t="str">
        <x:v>Hamilton-Jacobi homogenization</x:v>
      </x:c>
      <x:c r="H93" s="129" t="n">
        <x:v>47</x:v>
      </x:c>
      <x:c r="I93" s="130" t="n">
        <x:v>89.6</x:v>
      </x:c>
      <x:c r="J93" s="130" t="n">
        <x:v>89.5</x:v>
      </x:c>
      <x:c r="K93" s="130" t="n">
        <x:v>89.7</x:v>
      </x:c>
      <x:c r="L93" s="130" t="n">
        <x:v>91</x:v>
      </x:c>
      <x:c r="M93" s="130" t="n">
        <x:v>89</x:v>
      </x:c>
      <x:c r="N93" s="130" t="n">
        <x:v>91</x:v>
      </x:c>
      <x:c r="O93" s="130" t="n">
        <x:v>87</x:v>
      </x:c>
      <x:c r="P93" s="130" t="n">
        <x:v>91</x:v>
      </x:c>
      <x:c r="Q93" s="130" t="n">
        <x:v>86</x:v>
      </x:c>
      <x:c r="R93" s="130" t="n">
        <x:v>10</x:v>
      </x:c>
      <x:c r="S93" s="128" t="str">
        <x:v>https://arxiv.org/abs/2608.00438</x:v>
      </x:c>
      <x:c r="T93" s="128" t="str">
        <x:v>Strong homogenization contribution with nonstandard dependence.</x:v>
      </x:c>
    </x:row>
    <x:row r="94" ht="28" customHeight="1">
      <x:c r="A94" s="129" t="n">
        <x:v>93</x:v>
      </x:c>
      <x:c r="B94" s="129" t="str">
        <x:v>2026-06</x:v>
      </x:c>
      <x:c r="C94" s="129" t="n">
        <x:v>29</x:v>
      </x:c>
      <x:c r="D94" s="129" t="str">
        <x:v>2606.22355</x:v>
      </x:c>
      <x:c r="E94" s="128" t="str">
        <x:v>Uncountably many non-rotationally symmetric type II ancient Yamabe flows on the sphere</x:v>
      </x:c>
      <x:c r="F94" s="128" t="str">
        <x:v>Haixia Chen; Seunghyeok Kim; Monica Musso</x:v>
      </x:c>
      <x:c r="G94" s="128" t="str">
        <x:v>Yamabe flow/geometric PDE</x:v>
      </x:c>
      <x:c r="H94" s="129"/>
      <x:c r="I94" s="130" t="n">
        <x:v>89.58</x:v>
      </x:c>
      <x:c r="J94" s="130" t="n">
        <x:v>89.67</x:v>
      </x:c>
      <x:c r="K94" s="130" t="n">
        <x:v>89.48</x:v>
      </x:c>
      <x:c r="L94" s="130" t="n">
        <x:v>91</x:v>
      </x:c>
      <x:c r="M94" s="130" t="n">
        <x:v>90.9</x:v>
      </x:c>
      <x:c r="N94" s="130" t="n">
        <x:v>91</x:v>
      </x:c>
      <x:c r="O94" s="130" t="n">
        <x:v>86.9</x:v>
      </x:c>
      <x:c r="P94" s="130" t="n">
        <x:v>91</x:v>
      </x:c>
      <x:c r="Q94" s="130" t="n">
        <x:v>84</x:v>
      </x:c>
      <x:c r="R94" s="130" t="n">
        <x:v>12</x:v>
      </x:c>
      <x:c r="S94" s="128" t="str">
        <x:v>https://arxiv.org/abs/2606.22355</x:v>
      </x:c>
      <x:c r="T94" s="128" t="str">
        <x:v>系列/续篇按重叠性校准</x:v>
      </x:c>
    </x:row>
    <x:row r="95" ht="28" customHeight="1">
      <x:c r="A95" s="129" t="n">
        <x:v>94</x:v>
      </x:c>
      <x:c r="B95" s="129" t="str">
        <x:v>2026-06</x:v>
      </x:c>
      <x:c r="C95" s="129" t="n">
        <x:v>31</x:v>
      </x:c>
      <x:c r="D95" s="129" t="str">
        <x:v>2606.02811</x:v>
      </x:c>
      <x:c r="E95" s="128" t="str">
        <x:v>Navier-Stokes Equations in Complex Space</x:v>
      </x:c>
      <x:c r="F95" s="128" t="str">
        <x:v>Nikolai Nadirashvili</x:v>
      </x:c>
      <x:c r="G95" s="128" t="str">
        <x:v>Navier-Stokes/complex variables</x:v>
      </x:c>
      <x:c r="H95" s="129"/>
      <x:c r="I95" s="130" t="n">
        <x:v>89.56</x:v>
      </x:c>
      <x:c r="J95" s="130" t="n">
        <x:v>89.61</x:v>
      </x:c>
      <x:c r="K95" s="130" t="n">
        <x:v>89.5</x:v>
      </x:c>
      <x:c r="L95" s="130" t="n">
        <x:v>91.1</x:v>
      </x:c>
      <x:c r="M95" s="130" t="n">
        <x:v>91</x:v>
      </x:c>
      <x:c r="N95" s="130" t="n">
        <x:v>90.1</x:v>
      </x:c>
      <x:c r="O95" s="130" t="n">
        <x:v>87</x:v>
      </x:c>
      <x:c r="P95" s="130" t="n">
        <x:v>91.1</x:v>
      </x:c>
      <x:c r="Q95" s="130" t="n">
        <x:v>85</x:v>
      </x:c>
      <x:c r="R95" s="130" t="n">
        <x:v>12</x:v>
      </x:c>
      <x:c r="S95" s="128" t="str">
        <x:v>https://arxiv.org/abs/2606.02811</x:v>
      </x:c>
      <x:c r="T95" s="128" t="str">
        <x:v>三轮复核后与原表基本一致</x:v>
      </x:c>
    </x:row>
    <x:row r="96" ht="28" customHeight="1">
      <x:c r="A96" s="129" t="n">
        <x:v>95</x:v>
      </x:c>
      <x:c r="B96" s="129" t="str">
        <x:v>2026-06</x:v>
      </x:c>
      <x:c r="C96" s="129" t="n">
        <x:v>30</x:v>
      </x:c>
      <x:c r="D96" s="129" t="str">
        <x:v>2606.11055</x:v>
      </x:c>
      <x:c r="E96" s="128" t="str">
        <x:v>Exponential mixing and enhanced dissipation on the unit sphere with Rossby-Haurwitz flows</x:v>
      </x:c>
      <x:c r="F96" s="128" t="str">
        <x:v>Augusto Del Zotto; Marc Nualart</x:v>
      </x:c>
      <x:c r="G96" s="128" t="str">
        <x:v>mixing/enhanced dissipation</x:v>
      </x:c>
      <x:c r="H96" s="129" t="str">
        <x:v>84</x:v>
      </x:c>
      <x:c r="I96" s="130" t="n">
        <x:v>89.55</x:v>
      </x:c>
      <x:c r="J96" s="130" t="n">
        <x:v>89.44</x:v>
      </x:c>
      <x:c r="K96" s="130" t="n">
        <x:v>89.65</x:v>
      </x:c>
      <x:c r="L96" s="130" t="n">
        <x:v>89.9</x:v>
      </x:c>
      <x:c r="M96" s="130" t="n">
        <x:v>91</x:v>
      </x:c>
      <x:c r="N96" s="130" t="n">
        <x:v>91</x:v>
      </x:c>
      <x:c r="O96" s="130" t="n">
        <x:v>86.8</x:v>
      </x:c>
      <x:c r="P96" s="130" t="n">
        <x:v>91</x:v>
      </x:c>
      <x:c r="Q96" s="130" t="n">
        <x:v>85</x:v>
      </x:c>
      <x:c r="R96" s="130" t="n">
        <x:v>12</x:v>
      </x:c>
      <x:c r="S96" s="128" t="str">
        <x:v>https://arxiv.org/abs/2606.11055</x:v>
      </x:c>
      <x:c r="T96" s="128" t="str">
        <x:v>范围偏专门，广度轻微回调</x:v>
      </x:c>
    </x:row>
    <x:row r="97" ht="28" customHeight="1">
      <x:c r="A97" s="129" t="n">
        <x:v>96</x:v>
      </x:c>
      <x:c r="B97" s="129" t="str">
        <x:v>2026-06</x:v>
      </x:c>
      <x:c r="C97" s="129" t="n">
        <x:v>33</x:v>
      </x:c>
      <x:c r="D97" s="129" t="str">
        <x:v>2606.15168</x:v>
      </x:c>
      <x:c r="E97" s="128" t="str">
        <x:v>Long-time asymptotics and invariant manifold for fractional 2D Navier-Stokes equation</x:v>
      </x:c>
      <x:c r="F97" s="128" t="str">
        <x:v>Jingchi Huang; Dandan Li; Shuai Zhang</x:v>
      </x:c>
      <x:c r="G97" s="128" t="str">
        <x:v>fractional Navier-Stokes</x:v>
      </x:c>
      <x:c r="H97" s="129" t="str">
        <x:v>44</x:v>
      </x:c>
      <x:c r="I97" s="130" t="n">
        <x:v>89.55</x:v>
      </x:c>
      <x:c r="J97" s="130" t="n">
        <x:v>89.6</x:v>
      </x:c>
      <x:c r="K97" s="130" t="n">
        <x:v>89.5</x:v>
      </x:c>
      <x:c r="L97" s="130" t="n">
        <x:v>91.1</x:v>
      </x:c>
      <x:c r="M97" s="130" t="n">
        <x:v>89.1</x:v>
      </x:c>
      <x:c r="N97" s="130" t="n">
        <x:v>91.1</x:v>
      </x:c>
      <x:c r="O97" s="130" t="n">
        <x:v>87.2</x:v>
      </x:c>
      <x:c r="P97" s="130" t="n">
        <x:v>91.2</x:v>
      </x:c>
      <x:c r="Q97" s="130" t="n">
        <x:v>86</x:v>
      </x:c>
      <x:c r="R97" s="130" t="n">
        <x:v>12</x:v>
      </x:c>
      <x:c r="S97" s="128" t="str">
        <x:v>https://arxiv.org/abs/2606.15168</x:v>
      </x:c>
      <x:c r="T97" s="128" t="str">
        <x:v>三轮复核后与原表基本一致</x:v>
      </x:c>
    </x:row>
    <x:row r="98" ht="28" customHeight="1">
      <x:c r="A98" s="129" t="n">
        <x:v>97</x:v>
      </x:c>
      <x:c r="B98" s="129" t="str">
        <x:v>2026-08</x:v>
      </x:c>
      <x:c r="C98" s="129" t="n">
        <x:v>10</x:v>
      </x:c>
      <x:c r="D98" s="129" t="str">
        <x:v>2608.06173</x:v>
      </x:c>
      <x:c r="E98" s="128" t="str">
        <x:v>Vanishing viscosity limit to two interacting shocks from the same family for compressible Navier-Stokes equations</x:v>
      </x:c>
      <x:c r="F98" s="128" t="str">
        <x:v>Lin-An Li; Dehua Wang; Yi Wang</x:v>
      </x:c>
      <x:c r="G98" s="128" t="str">
        <x:v>compressible Navier-Stokes/shocks</x:v>
      </x:c>
      <x:c r="H98" s="129" t="str">
        <x:v>-</x:v>
      </x:c>
      <x:c r="I98" s="130" t="n">
        <x:v>89.5</x:v>
      </x:c>
      <x:c r="J98" s="130" t="n">
        <x:v>89.25</x:v>
      </x:c>
      <x:c r="K98" s="130" t="n">
        <x:v>89.75</x:v>
      </x:c>
      <x:c r="L98" s="130" t="n">
        <x:v>90</x:v>
      </x:c>
      <x:c r="M98" s="130" t="n">
        <x:v>89</x:v>
      </x:c>
      <x:c r="N98" s="130" t="n">
        <x:v>92</x:v>
      </x:c>
      <x:c r="O98" s="130" t="n">
        <x:v>87</x:v>
      </x:c>
      <x:c r="P98" s="130" t="n">
        <x:v>92</x:v>
      </x:c>
      <x:c r="Q98" s="130" t="n">
        <x:v>84</x:v>
      </x:c>
      <x:c r="R98" s="130" t="n">
        <x:v>11</x:v>
      </x:c>
      <x:c r="S98" s="128" t="str">
        <x:v>https://arxiv.org/abs/2608.06173</x:v>
      </x:c>
      <x:c r="T98" s="128" t="str">
        <x:v>Difficult shock interaction limit for compressible NS.</x:v>
      </x:c>
    </x:row>
    <x:row r="99" ht="28" customHeight="1">
      <x:c r="A99" s="129" t="n">
        <x:v>98</x:v>
      </x:c>
      <x:c r="B99" s="129" t="str">
        <x:v>2026-06</x:v>
      </x:c>
      <x:c r="C99" s="129" t="n">
        <x:v>34</x:v>
      </x:c>
      <x:c r="D99" s="129" t="str">
        <x:v>2606.09657</x:v>
      </x:c>
      <x:c r="E99" s="128" t="str">
        <x:v>Benjamin-Feir spectrum of hydroelastic Stokes waves</x:v>
      </x:c>
      <x:c r="F99" s="128" t="str">
        <x:v>Ting-Yang Hsiao; Zirui Li; Ye Zhang; Chengbin Zhu</x:v>
      </x:c>
      <x:c r="G99" s="128" t="str">
        <x:v>water waves/spectral</x:v>
      </x:c>
      <x:c r="H99" s="129" t="str">
        <x:v>55</x:v>
      </x:c>
      <x:c r="I99" s="130" t="n">
        <x:v>89.38</x:v>
      </x:c>
      <x:c r="J99" s="130" t="n">
        <x:v>89.3</x:v>
      </x:c>
      <x:c r="K99" s="130" t="n">
        <x:v>89.45</x:v>
      </x:c>
      <x:c r="L99" s="130" t="n">
        <x:v>90</x:v>
      </x:c>
      <x:c r="M99" s="130" t="n">
        <x:v>90</x:v>
      </x:c>
      <x:c r="N99" s="130" t="n">
        <x:v>91</x:v>
      </x:c>
      <x:c r="O99" s="130" t="n">
        <x:v>87</x:v>
      </x:c>
      <x:c r="P99" s="130" t="n">
        <x:v>91</x:v>
      </x:c>
      <x:c r="Q99" s="130" t="n">
        <x:v>85</x:v>
      </x:c>
      <x:c r="R99" s="130" t="n">
        <x:v>12</x:v>
      </x:c>
      <x:c r="S99" s="128" t="str">
        <x:v>https://arxiv.org/abs/2606.09657</x:v>
      </x:c>
      <x:c r="T99" s="128" t="str">
        <x:v>三轮复核后与原表基本一致</x:v>
      </x:c>
    </x:row>
    <x:row r="100" ht="28" customHeight="1">
      <x:c r="A100" s="129" t="n">
        <x:v>99</x:v>
      </x:c>
      <x:c r="B100" s="129" t="str">
        <x:v>2026-06</x:v>
      </x:c>
      <x:c r="C100" s="129" t="n">
        <x:v>32</x:v>
      </x:c>
      <x:c r="D100" s="129" t="str">
        <x:v>2606.06729</x:v>
      </x:c>
      <x:c r="E100" s="128" t="str">
        <x:v>Determination of radial nonlocal nonlinearities from the scattering map</x:v>
      </x:c>
      <x:c r="F100" s="128" t="str">
        <x:v>Luccas Campos; Rowan Killip; Jason Murphy; Monica Visan</x:v>
      </x:c>
      <x:c r="G100" s="128" t="str">
        <x:v>inverse scattering/dispersive</x:v>
      </x:c>
      <x:c r="H100" s="129" t="str">
        <x:v>12</x:v>
      </x:c>
      <x:c r="I100" s="130" t="n">
        <x:v>89.37</x:v>
      </x:c>
      <x:c r="J100" s="130" t="n">
        <x:v>89.39</x:v>
      </x:c>
      <x:c r="K100" s="130" t="n">
        <x:v>89.34</x:v>
      </x:c>
      <x:c r="L100" s="130" t="n">
        <x:v>89.9</x:v>
      </x:c>
      <x:c r="M100" s="130" t="n">
        <x:v>91</x:v>
      </x:c>
      <x:c r="N100" s="130" t="n">
        <x:v>89.8</x:v>
      </x:c>
      <x:c r="O100" s="130" t="n">
        <x:v>87.8</x:v>
      </x:c>
      <x:c r="P100" s="130" t="n">
        <x:v>89.9</x:v>
      </x:c>
      <x:c r="Q100" s="130" t="n">
        <x:v>86</x:v>
      </x:c>
      <x:c r="R100" s="130" t="n">
        <x:v>11.3</x:v>
      </x:c>
      <x:c r="S100" s="128" t="str">
        <x:v>https://arxiv.org/abs/2606.06729</x:v>
      </x:c>
      <x:c r="T100" s="128" t="str">
        <x:v>范围偏专门，广度轻微回调；短文且非框架性题材，技术残差轻微回调</x:v>
      </x:c>
    </x:row>
    <x:row r="101" ht="28" customHeight="1">
      <x:c r="A101" s="129" t="n">
        <x:v>100</x:v>
      </x:c>
      <x:c r="B101" s="129" t="str">
        <x:v>2026-07</x:v>
      </x:c>
      <x:c r="C101" s="129" t="n">
        <x:v>31</x:v>
      </x:c>
      <x:c r="D101" s="129" t="str">
        <x:v>2607.03342</x:v>
      </x:c>
      <x:c r="E101" s="128" t="str">
        <x:v>Level sets of fractional Sobolev functions</x:v>
      </x:c>
      <x:c r="F101" s="128" t="str">
        <x:v>Camillo De Lellis; Ming-Yuan Chang; Svitlana Mayboroda</x:v>
      </x:c>
      <x:c r="G101" s="128" t="str">
        <x:v>fractional Sobolev / regularity</x:v>
      </x:c>
      <x:c r="H101" s="129" t="n">
        <x:v>26</x:v>
      </x:c>
      <x:c r="I101" s="130" t="n">
        <x:v>89.35</x:v>
      </x:c>
      <x:c r="J101" s="130" t="n">
        <x:v>89.15</x:v>
      </x:c>
      <x:c r="K101" s="130" t="n">
        <x:v>89.55</x:v>
      </x:c>
      <x:c r="L101" s="130" t="n">
        <x:v>90</x:v>
      </x:c>
      <x:c r="M101" s="130" t="n">
        <x:v>90</x:v>
      </x:c>
      <x:c r="N101" s="130" t="n">
        <x:v>90</x:v>
      </x:c>
      <x:c r="O101" s="130" t="n">
        <x:v>87</x:v>
      </x:c>
      <x:c r="P101" s="130" t="n">
        <x:v>90</x:v>
      </x:c>
      <x:c r="Q101" s="130" t="n">
        <x:v>86</x:v>
      </x:c>
      <x:c r="R101" s="130" t="n">
        <x:v>9</x:v>
      </x:c>
      <x:c r="S101" s="128" t="str">
        <x:v>https://arxiv.org/abs/2607.03342</x:v>
      </x:c>
      <x:c r="T101" s="128" t="str">
        <x:v>Short but potentially influential regularity/measure-theoretic result.</x:v>
      </x:c>
    </x:row>
    <x:row r="102" ht="28" customHeight="1">
      <x:c r="A102" s="129" t="n">
        <x:v>101</x:v>
      </x:c>
      <x:c r="B102" s="129" t="str">
        <x:v>2026-06</x:v>
      </x:c>
      <x:c r="C102" s="129" t="n">
        <x:v>36</x:v>
      </x:c>
      <x:c r="D102" s="129" t="str">
        <x:v>2606.08939</x:v>
      </x:c>
      <x:c r="E102" s="128" t="str">
        <x:v>Caffarelli-Kohn-Nirenberg and Weighted Gaussian Poincare Inequalities: a complete characterization of sharp L^2 stability and L^p extensions</x:v>
      </x:c>
      <x:c r="F102" s="128" t="str">
        <x:v>Anh Xuan Do; Nguyen Lam; Guozhen Lu; Van Hoang Nguyen</x:v>
      </x:c>
      <x:c r="G102" s="128" t="str">
        <x:v>inequalities/stability</x:v>
      </x:c>
      <x:c r="H102" s="129"/>
      <x:c r="I102" s="130" t="n">
        <x:v>89.33</x:v>
      </x:c>
      <x:c r="J102" s="130" t="n">
        <x:v>89.46</x:v>
      </x:c>
      <x:c r="K102" s="130" t="n">
        <x:v>89.2</x:v>
      </x:c>
      <x:c r="L102" s="130" t="n">
        <x:v>90.1</x:v>
      </x:c>
      <x:c r="M102" s="130" t="n">
        <x:v>89.1</x:v>
      </x:c>
      <x:c r="N102" s="130" t="n">
        <x:v>91.1</x:v>
      </x:c>
      <x:c r="O102" s="130" t="n">
        <x:v>88.2</x:v>
      </x:c>
      <x:c r="P102" s="130" t="n">
        <x:v>90.2</x:v>
      </x:c>
      <x:c r="Q102" s="130" t="n">
        <x:v>86</x:v>
      </x:c>
      <x:c r="R102" s="130" t="n">
        <x:v>12</x:v>
      </x:c>
      <x:c r="S102" s="128" t="str">
        <x:v>https://arxiv.org/abs/2606.08939</x:v>
      </x:c>
      <x:c r="T102" s="128" t="str">
        <x:v>三轮复核后与原表基本一致</x:v>
      </x:c>
    </x:row>
    <x:row r="103" ht="28" customHeight="1">
      <x:c r="A103" s="129" t="n">
        <x:v>102</x:v>
      </x:c>
      <x:c r="B103" s="129" t="str">
        <x:v>2026-07</x:v>
      </x:c>
      <x:c r="C103" s="129" t="n">
        <x:v>32</x:v>
      </x:c>
      <x:c r="D103" s="129" t="str">
        <x:v>2607.17588</x:v>
      </x:c>
      <x:c r="E103" s="128" t="str">
        <x:v>Sharp Gradient Stability for Sobolev Trace Inequality</x:v>
      </x:c>
      <x:c r="F103" s="128" t="str">
        <x:v>Xi-Nan Ma; Yitian Zhang; Yang Zhou</x:v>
      </x:c>
      <x:c r="G103" s="128" t="str">
        <x:v>sharp inequalities</x:v>
      </x:c>
      <x:c r="H103" s="129" t="n">
        <x:v>60</x:v>
      </x:c>
      <x:c r="I103" s="130" t="n">
        <x:v>89.32</x:v>
      </x:c>
      <x:c r="J103" s="130" t="n">
        <x:v>89.1</x:v>
      </x:c>
      <x:c r="K103" s="130" t="n">
        <x:v>89.55</x:v>
      </x:c>
      <x:c r="L103" s="130" t="n">
        <x:v>90</x:v>
      </x:c>
      <x:c r="M103" s="130" t="n">
        <x:v>89</x:v>
      </x:c>
      <x:c r="N103" s="130" t="n">
        <x:v>91</x:v>
      </x:c>
      <x:c r="O103" s="130" t="n">
        <x:v>87</x:v>
      </x:c>
      <x:c r="P103" s="130" t="n">
        <x:v>91</x:v>
      </x:c>
      <x:c r="Q103" s="130" t="n">
        <x:v>85</x:v>
      </x:c>
      <x:c r="R103" s="130" t="n">
        <x:v>10</x:v>
      </x:c>
      <x:c r="S103" s="128" t="str">
        <x:v>https://arxiv.org/abs/2607.17588</x:v>
      </x:c>
      <x:c r="T103" s="128" t="str">
        <x:v>Sharp stability for trace inequality; high technical inequality work.</x:v>
      </x:c>
    </x:row>
    <x:row r="104" ht="28" customHeight="1">
      <x:c r="A104" s="129" t="n">
        <x:v>103</x:v>
      </x:c>
      <x:c r="B104" s="129" t="str">
        <x:v>2026-08</x:v>
      </x:c>
      <x:c r="C104" s="129" t="n">
        <x:v>11</x:v>
      </x:c>
      <x:c r="D104" s="129" t="str">
        <x:v>2608.00430</x:v>
      </x:c>
      <x:c r="E104" s="128" t="str">
        <x:v>Self-similar solutions of the 3D Muskat problem with surface tension</x:v>
      </x:c>
      <x:c r="F104" s="128" t="str">
        <x:v>Lizhe Wan; Jiaqi Yang</x:v>
      </x:c>
      <x:c r="G104" s="128" t="str">
        <x:v>Muskat/free-boundary fluids</x:v>
      </x:c>
      <x:c r="H104" s="129" t="n">
        <x:v>40</x:v>
      </x:c>
      <x:c r="I104" s="130" t="n">
        <x:v>89.32</x:v>
      </x:c>
      <x:c r="J104" s="130" t="n">
        <x:v>89.1</x:v>
      </x:c>
      <x:c r="K104" s="130" t="n">
        <x:v>89.55</x:v>
      </x:c>
      <x:c r="L104" s="130" t="n">
        <x:v>90</x:v>
      </x:c>
      <x:c r="M104" s="130" t="n">
        <x:v>89</x:v>
      </x:c>
      <x:c r="N104" s="130" t="n">
        <x:v>91</x:v>
      </x:c>
      <x:c r="O104" s="130" t="n">
        <x:v>87</x:v>
      </x:c>
      <x:c r="P104" s="130" t="n">
        <x:v>91</x:v>
      </x:c>
      <x:c r="Q104" s="130" t="n">
        <x:v>85</x:v>
      </x:c>
      <x:c r="R104" s="130" t="n">
        <x:v>10</x:v>
      </x:c>
      <x:c r="S104" s="128" t="str">
        <x:v>https://arxiv.org/abs/2608.00430</x:v>
      </x:c>
      <x:c r="T104" s="128" t="str">
        <x:v>Self-similar 3D Muskat construction with surface tension.</x:v>
      </x:c>
    </x:row>
    <x:row r="105" ht="28" customHeight="1">
      <x:c r="A105" s="129" t="n">
        <x:v>104</x:v>
      </x:c>
      <x:c r="B105" s="129" t="str">
        <x:v>2026-08</x:v>
      </x:c>
      <x:c r="C105" s="129" t="n">
        <x:v>12</x:v>
      </x:c>
      <x:c r="D105" s="129" t="str">
        <x:v>2608.00951</x:v>
      </x:c>
      <x:c r="E105" s="128" t="str">
        <x:v>Global well-posedness and scattering for defocusing energy supercritical nonlinear Schrodinger equations in high dimensions</x:v>
      </x:c>
      <x:c r="F105" s="128" t="str">
        <x:v>Xuan Liu</x:v>
      </x:c>
      <x:c r="G105" s="128" t="str">
        <x:v>energy-supercritical NLS</x:v>
      </x:c>
      <x:c r="H105" s="129" t="str">
        <x:v>-</x:v>
      </x:c>
      <x:c r="I105" s="130" t="n">
        <x:v>89.32</x:v>
      </x:c>
      <x:c r="J105" s="130" t="n">
        <x:v>89.1</x:v>
      </x:c>
      <x:c r="K105" s="130" t="n">
        <x:v>89.55</x:v>
      </x:c>
      <x:c r="L105" s="130" t="n">
        <x:v>90</x:v>
      </x:c>
      <x:c r="M105" s="130" t="n">
        <x:v>89</x:v>
      </x:c>
      <x:c r="N105" s="130" t="n">
        <x:v>91</x:v>
      </x:c>
      <x:c r="O105" s="130" t="n">
        <x:v>87</x:v>
      </x:c>
      <x:c r="P105" s="130" t="n">
        <x:v>91</x:v>
      </x:c>
      <x:c r="Q105" s="130" t="n">
        <x:v>85</x:v>
      </x:c>
      <x:c r="R105" s="130" t="n">
        <x:v>10</x:v>
      </x:c>
      <x:c r="S105" s="128" t="str">
        <x:v>https://arxiv.org/abs/2608.00951</x:v>
      </x:c>
      <x:c r="T105" s="128" t="str">
        <x:v>High-dimensional energy-supercritical NLS scattering.</x:v>
      </x:c>
    </x:row>
    <x:row r="106" ht="28" customHeight="1">
      <x:c r="A106" s="129" t="n">
        <x:v>105</x:v>
      </x:c>
      <x:c r="B106" s="129" t="str">
        <x:v>2026-08</x:v>
      </x:c>
      <x:c r="C106" s="129" t="n">
        <x:v>13</x:v>
      </x:c>
      <x:c r="D106" s="129" t="str">
        <x:v>2608.04422</x:v>
      </x:c>
      <x:c r="E106" s="128" t="str">
        <x:v>Optimal Rigidity and Classification for k-Hessian Lane-Emden Equations</x:v>
      </x:c>
      <x:c r="F106" s="128" t="str">
        <x:v>Wei Dai; Jingze Fu; Changfeng Gui; Guolin Qin</x:v>
      </x:c>
      <x:c r="G106" s="128" t="str">
        <x:v>Hessian/Lane-Emden</x:v>
      </x:c>
      <x:c r="H106" s="129" t="str">
        <x:v>-</x:v>
      </x:c>
      <x:c r="I106" s="130" t="n">
        <x:v>89.32</x:v>
      </x:c>
      <x:c r="J106" s="130" t="n">
        <x:v>89.1</x:v>
      </x:c>
      <x:c r="K106" s="130" t="n">
        <x:v>89.55</x:v>
      </x:c>
      <x:c r="L106" s="130" t="n">
        <x:v>90</x:v>
      </x:c>
      <x:c r="M106" s="130" t="n">
        <x:v>89</x:v>
      </x:c>
      <x:c r="N106" s="130" t="n">
        <x:v>91</x:v>
      </x:c>
      <x:c r="O106" s="130" t="n">
        <x:v>87</x:v>
      </x:c>
      <x:c r="P106" s="130" t="n">
        <x:v>91</x:v>
      </x:c>
      <x:c r="Q106" s="130" t="n">
        <x:v>85</x:v>
      </x:c>
      <x:c r="R106" s="130" t="n">
        <x:v>10</x:v>
      </x:c>
      <x:c r="S106" s="128" t="str">
        <x:v>https://arxiv.org/abs/2608.04422</x:v>
      </x:c>
      <x:c r="T106" s="128" t="str">
        <x:v>Rigidity and classification for nonlinear Hessian equations.</x:v>
      </x:c>
    </x:row>
    <x:row r="107" ht="28" customHeight="1">
      <x:c r="A107" s="129" t="n">
        <x:v>106</x:v>
      </x:c>
      <x:c r="B107" s="129" t="str">
        <x:v>2026-08</x:v>
      </x:c>
      <x:c r="C107" s="129" t="n">
        <x:v>14</x:v>
      </x:c>
      <x:c r="D107" s="129" t="str">
        <x:v>2608.04908</x:v>
      </x:c>
      <x:c r="E107" s="128" t="str">
        <x:v>On the absence of point defects in biaxial Landau-de Gennes theory</x:v>
      </x:c>
      <x:c r="F107" s="128" t="str">
        <x:v>Haotong Fu; Huaijie Wang; Wei Wang; Zhifei Zhang</x:v>
      </x:c>
      <x:c r="G107" s="128" t="str">
        <x:v>liquid crystals/variational PDE</x:v>
      </x:c>
      <x:c r="H107" s="129" t="n">
        <x:v>28</x:v>
      </x:c>
      <x:c r="I107" s="130" t="n">
        <x:v>89.32</x:v>
      </x:c>
      <x:c r="J107" s="130" t="n">
        <x:v>89.1</x:v>
      </x:c>
      <x:c r="K107" s="130" t="n">
        <x:v>89.55</x:v>
      </x:c>
      <x:c r="L107" s="130" t="n">
        <x:v>90</x:v>
      </x:c>
      <x:c r="M107" s="130" t="n">
        <x:v>89</x:v>
      </x:c>
      <x:c r="N107" s="130" t="n">
        <x:v>91</x:v>
      </x:c>
      <x:c r="O107" s="130" t="n">
        <x:v>87</x:v>
      </x:c>
      <x:c r="P107" s="130" t="n">
        <x:v>91</x:v>
      </x:c>
      <x:c r="Q107" s="130" t="n">
        <x:v>85</x:v>
      </x:c>
      <x:c r="R107" s="130" t="n">
        <x:v>10</x:v>
      </x:c>
      <x:c r="S107" s="128" t="str">
        <x:v>https://arxiv.org/abs/2608.04908</x:v>
      </x:c>
      <x:c r="T107" s="128" t="str">
        <x:v>Variational regularity/exclusion result in Landau-de Gennes theory.</x:v>
      </x:c>
    </x:row>
    <x:row r="108" ht="28" customHeight="1">
      <x:c r="A108" s="129" t="n">
        <x:v>107</x:v>
      </x:c>
      <x:c r="B108" s="129" t="str">
        <x:v>2026-07</x:v>
      </x:c>
      <x:c r="C108" s="129" t="n">
        <x:v>33</x:v>
      </x:c>
      <x:c r="D108" s="129" t="str">
        <x:v>2607.11685</x:v>
      </x:c>
      <x:c r="E108" s="128" t="str">
        <x:v>A stochastic Fokker-Planck equation for the mean-field limit of noisy integrate-and-fire neurons</x:v>
      </x:c>
      <x:c r="F108" s="128" t="str">
        <x:v>Ben Hambly; Aldair Petronilia; Christoph Reisinger; Andreas Sojmark</x:v>
      </x:c>
      <x:c r="G108" s="128" t="str">
        <x:v>stochastic Fokker-Planck</x:v>
      </x:c>
      <x:c r="H108" s="129" t="n">
        <x:v>43</x:v>
      </x:c>
      <x:c r="I108" s="130" t="n">
        <x:v>89.28</x:v>
      </x:c>
      <x:c r="J108" s="130" t="n">
        <x:v>89.2</x:v>
      </x:c>
      <x:c r="K108" s="130" t="n">
        <x:v>89.35</x:v>
      </x:c>
      <x:c r="L108" s="130" t="n">
        <x:v>90</x:v>
      </x:c>
      <x:c r="M108" s="130" t="n">
        <x:v>88</x:v>
      </x:c>
      <x:c r="N108" s="130" t="n">
        <x:v>91</x:v>
      </x:c>
      <x:c r="O108" s="130" t="n">
        <x:v>87</x:v>
      </x:c>
      <x:c r="P108" s="130" t="n">
        <x:v>91</x:v>
      </x:c>
      <x:c r="Q108" s="130" t="n">
        <x:v>88</x:v>
      </x:c>
      <x:c r="R108" s="130" t="n">
        <x:v>13</x:v>
      </x:c>
      <x:c r="S108" s="128" t="str">
        <x:v>https://arxiv.org/abs/2607.11685</x:v>
      </x:c>
      <x:c r="T108" s="128" t="str">
        <x:v>Scored candidate from official July math.AP list; correctness not checked.</x:v>
      </x:c>
    </x:row>
    <x:row r="109" ht="28" customHeight="1">
      <x:c r="A109" s="129" t="n">
        <x:v>108</x:v>
      </x:c>
      <x:c r="B109" s="129" t="str">
        <x:v>2026-06</x:v>
      </x:c>
      <x:c r="C109" s="129" t="n">
        <x:v>35</x:v>
      </x:c>
      <x:c r="D109" s="129" t="str">
        <x:v>2606.15585</x:v>
      </x:c>
      <x:c r="E109" s="128" t="str">
        <x:v>Weakly inhomogeneous solutions to a nonlinear Vlasov-Fokker-Planck equation in a domain</x:v>
      </x:c>
      <x:c r="F109" s="128" t="str">
        <x:v>Sihyun Song</x:v>
      </x:c>
      <x:c r="G109" s="128" t="str">
        <x:v>kinetic PDE</x:v>
      </x:c>
      <x:c r="H109" s="129" t="n">
        <x:v>71</x:v>
      </x:c>
      <x:c r="I109" s="130" t="n">
        <x:v>89.27</x:v>
      </x:c>
      <x:c r="J109" s="130" t="n">
        <x:v>89.14</x:v>
      </x:c>
      <x:c r="K109" s="130" t="n">
        <x:v>89.4</x:v>
      </x:c>
      <x:c r="L109" s="130" t="n">
        <x:v>89.9</x:v>
      </x:c>
      <x:c r="M109" s="130" t="n">
        <x:v>89</x:v>
      </x:c>
      <x:c r="N109" s="130" t="n">
        <x:v>91</x:v>
      </x:c>
      <x:c r="O109" s="130" t="n">
        <x:v>86.8</x:v>
      </x:c>
      <x:c r="P109" s="130" t="n">
        <x:v>91</x:v>
      </x:c>
      <x:c r="Q109" s="130" t="n">
        <x:v>86</x:v>
      </x:c>
      <x:c r="R109" s="130" t="n">
        <x:v>12</x:v>
      </x:c>
      <x:c r="S109" s="128" t="str">
        <x:v>https://arxiv.org/abs/2606.15585</x:v>
      </x:c>
      <x:c r="T109" s="128" t="str">
        <x:v>范围偏专门，广度轻微回调</x:v>
      </x:c>
    </x:row>
    <x:row r="110" ht="28" customHeight="1">
      <x:c r="A110" s="129" t="n">
        <x:v>109</x:v>
      </x:c>
      <x:c r="B110" s="129" t="str">
        <x:v>2026-05</x:v>
      </x:c>
      <x:c r="C110" s="129" t="n">
        <x:v>26</x:v>
      </x:c>
      <x:c r="D110" s="129" t="str">
        <x:v>2605.27695</x:v>
      </x:c>
      <x:c r="E110" s="128" t="str">
        <x:v>Non Maxwellian long-time asymptotics for Homoenergetic Boltzmann flows under strong shear</x:v>
      </x:c>
      <x:c r="F110" s="128" t="str">
        <x:v>Alessia Nota; Juan J. L. Velazquez</x:v>
      </x:c>
      <x:c r="G110" s="128" t="str">
        <x:v>Boltzmann asymptotics</x:v>
      </x:c>
      <x:c r="H110" s="129" t="n">
        <x:v>57</x:v>
      </x:c>
      <x:c r="I110" s="130" t="n">
        <x:v>89.25</x:v>
      </x:c>
      <x:c r="J110" s="130" t="n">
        <x:v>89.1</x:v>
      </x:c>
      <x:c r="K110" s="130" t="n">
        <x:v>89.4</x:v>
      </x:c>
      <x:c r="L110" s="130" t="n">
        <x:v>90.1</x:v>
      </x:c>
      <x:c r="M110" s="130" t="n">
        <x:v>90.1</x:v>
      </x:c>
      <x:c r="N110" s="130" t="n">
        <x:v>91.1</x:v>
      </x:c>
      <x:c r="O110" s="130" t="n">
        <x:v>85.2</x:v>
      </x:c>
      <x:c r="P110" s="130" t="n">
        <x:v>91.2</x:v>
      </x:c>
      <x:c r="Q110" s="130" t="n">
        <x:v>85</x:v>
      </x:c>
      <x:c r="R110" s="130" t="n">
        <x:v>13</x:v>
      </x:c>
      <x:c r="S110" s="128" t="str">
        <x:v>https://arxiv.org/abs/2605.27695</x:v>
      </x:c>
      <x:c r="T110" s="128" t="str">
        <x:v>三轮复核后与原表基本一致</x:v>
      </x:c>
    </x:row>
    <x:row r="111" ht="28" customHeight="1">
      <x:c r="A111" s="129" t="n">
        <x:v>110</x:v>
      </x:c>
      <x:c r="B111" s="129" t="str">
        <x:v>2026-07</x:v>
      </x:c>
      <x:c r="C111" s="129" t="n">
        <x:v>34</x:v>
      </x:c>
      <x:c r="D111" s="129" t="str">
        <x:v>2607.06415</x:v>
      </x:c>
      <x:c r="E111" s="128" t="str">
        <x:v>Stability for the Affine Sobolev Inequality and its Critical Points for p&gt;=2</x:v>
      </x:c>
      <x:c r="F111" s="128" t="str">
        <x:v>Rupert L. Frank; Yinqin Li; Dachun Yang</x:v>
      </x:c>
      <x:c r="G111" s="128" t="str">
        <x:v>sharp inequalities</x:v>
      </x:c>
      <x:c r="H111" s="129" t="n">
        <x:v>56</x:v>
      </x:c>
      <x:c r="I111" s="130" t="n">
        <x:v>89.25</x:v>
      </x:c>
      <x:c r="J111" s="130" t="n">
        <x:v>88.95</x:v>
      </x:c>
      <x:c r="K111" s="130" t="n">
        <x:v>89.55</x:v>
      </x:c>
      <x:c r="L111" s="130" t="n">
        <x:v>90</x:v>
      </x:c>
      <x:c r="M111" s="130" t="n">
        <x:v>89</x:v>
      </x:c>
      <x:c r="N111" s="130" t="n">
        <x:v>91</x:v>
      </x:c>
      <x:c r="O111" s="130" t="n">
        <x:v>86</x:v>
      </x:c>
      <x:c r="P111" s="130" t="n">
        <x:v>91</x:v>
      </x:c>
      <x:c r="Q111" s="130" t="n">
        <x:v>85</x:v>
      </x:c>
      <x:c r="R111" s="130" t="n">
        <x:v>10</x:v>
      </x:c>
      <x:c r="S111" s="128" t="str">
        <x:v>https://arxiv.org/abs/2607.06415</x:v>
      </x:c>
      <x:c r="T111" s="128" t="str">
        <x:v>Stability of affine Sobolev inequality; high authorship and reusable inequality machinery.</x:v>
      </x:c>
    </x:row>
    <x:row r="112" ht="28" customHeight="1">
      <x:c r="A112" s="129" t="n">
        <x:v>111</x:v>
      </x:c>
      <x:c r="B112" s="129" t="str">
        <x:v>2026-07</x:v>
      </x:c>
      <x:c r="C112" s="129" t="n">
        <x:v>35</x:v>
      </x:c>
      <x:c r="D112" s="129" t="str">
        <x:v>2607.20290</x:v>
      </x:c>
      <x:c r="E112" s="128" t="str">
        <x:v>Lifespan Bounds and Super-Classical Propagation for Weak Solutions of 3D Compressible Euler</x:v>
      </x:c>
      <x:c r="F112" s="128" t="str">
        <x:v>Thomas C. Sideris</x:v>
      </x:c>
      <x:c r="G112" s="128" t="str">
        <x:v>compressible Euler</x:v>
      </x:c>
      <x:c r="H112" s="129" t="n">
        <x:v>42</x:v>
      </x:c>
      <x:c r="I112" s="130" t="n">
        <x:v>89.25</x:v>
      </x:c>
      <x:c r="J112" s="130" t="n">
        <x:v>88.95</x:v>
      </x:c>
      <x:c r="K112" s="130" t="n">
        <x:v>89.55</x:v>
      </x:c>
      <x:c r="L112" s="130" t="n">
        <x:v>90</x:v>
      </x:c>
      <x:c r="M112" s="130" t="n">
        <x:v>89</x:v>
      </x:c>
      <x:c r="N112" s="130" t="n">
        <x:v>91</x:v>
      </x:c>
      <x:c r="O112" s="130" t="n">
        <x:v>86</x:v>
      </x:c>
      <x:c r="P112" s="130" t="n">
        <x:v>91</x:v>
      </x:c>
      <x:c r="Q112" s="130" t="n">
        <x:v>85</x:v>
      </x:c>
      <x:c r="R112" s="130" t="n">
        <x:v>10</x:v>
      </x:c>
      <x:c r="S112" s="128" t="str">
        <x:v>https://arxiv.org/abs/2607.20290</x:v>
      </x:c>
      <x:c r="T112" s="128" t="str">
        <x:v>Classical-author contribution to compressible Euler weak-solution lifespan.</x:v>
      </x:c>
    </x:row>
    <x:row r="113" ht="28" customHeight="1">
      <x:c r="A113" s="129" t="n">
        <x:v>112</x:v>
      </x:c>
      <x:c r="B113" s="129" t="str">
        <x:v>2026-06</x:v>
      </x:c>
      <x:c r="C113" s="129" t="n">
        <x:v>37</x:v>
      </x:c>
      <x:c r="D113" s="129" t="str">
        <x:v>2606.01448</x:v>
      </x:c>
      <x:c r="E113" s="128" t="str">
        <x:v>Convergence to global equilibrium for the semiconductor Boltzmann equation</x:v>
      </x:c>
      <x:c r="F113" s="128" t="str">
        <x:v>Gayrat Toshpulatov</x:v>
      </x:c>
      <x:c r="G113" s="128" t="str">
        <x:v>kinetic relaxation</x:v>
      </x:c>
      <x:c r="H113" s="129"/>
      <x:c r="I113" s="130" t="n">
        <x:v>89.16</x:v>
      </x:c>
      <x:c r="J113" s="130" t="n">
        <x:v>89.06</x:v>
      </x:c>
      <x:c r="K113" s="130" t="n">
        <x:v>89.25</x:v>
      </x:c>
      <x:c r="L113" s="130" t="n">
        <x:v>90.1</x:v>
      </x:c>
      <x:c r="M113" s="130" t="n">
        <x:v>88</x:v>
      </x:c>
      <x:c r="N113" s="130" t="n">
        <x:v>91.1</x:v>
      </x:c>
      <x:c r="O113" s="130" t="n">
        <x:v>87</x:v>
      </x:c>
      <x:c r="P113" s="130" t="n">
        <x:v>91.1</x:v>
      </x:c>
      <x:c r="Q113" s="130" t="n">
        <x:v>86</x:v>
      </x:c>
      <x:c r="R113" s="130" t="n">
        <x:v>12</x:v>
      </x:c>
      <x:c r="S113" s="128" t="str">
        <x:v>https://arxiv.org/abs/2606.01448</x:v>
      </x:c>
      <x:c r="T113" s="128" t="str">
        <x:v>三轮复核后与原表基本一致</x:v>
      </x:c>
    </x:row>
    <x:row r="114" ht="28" customHeight="1">
      <x:c r="A114" s="129" t="n">
        <x:v>113</x:v>
      </x:c>
      <x:c r="B114" s="129" t="str">
        <x:v>2026-05</x:v>
      </x:c>
      <x:c r="C114" s="129" t="n">
        <x:v>26</x:v>
      </x:c>
      <x:c r="D114" s="129" t="str">
        <x:v>2605.07538</x:v>
      </x:c>
      <x:c r="E114" s="128" t="str">
        <x:v>Nonlinear stability threshold for 3D compressible Couette flow</x:v>
      </x:c>
      <x:c r="F114" s="128" t="str">
        <x:v>Rui Li; Fei Wang; Lingda Xu; Zeren Zhang</x:v>
      </x:c>
      <x:c r="G114" s="128" t="str">
        <x:v>Hydrodynamic stability</x:v>
      </x:c>
      <x:c r="H114" s="129"/>
      <x:c r="I114" s="130" t="n">
        <x:v>89.15</x:v>
      </x:c>
      <x:c r="J114" s="130" t="n">
        <x:v>89.2</x:v>
      </x:c>
      <x:c r="K114" s="130" t="n">
        <x:v>89.1</x:v>
      </x:c>
      <x:c r="L114" s="130" t="n">
        <x:v>91</x:v>
      </x:c>
      <x:c r="M114" s="130" t="n">
        <x:v>88</x:v>
      </x:c>
      <x:c r="N114" s="130" t="n">
        <x:v>92</x:v>
      </x:c>
      <x:c r="O114" s="130" t="n">
        <x:v>86</x:v>
      </x:c>
      <x:c r="P114" s="130" t="n">
        <x:v>92</x:v>
      </x:c>
      <x:c r="Q114" s="130" t="n">
        <x:v>84</x:v>
      </x:c>
      <x:c r="R114" s="130" t="n">
        <x:v>14</x:v>
      </x:c>
      <x:c r="S114" s="128" t="str">
        <x:v>https://arxiv.org/abs/2605.07538</x:v>
      </x:c>
      <x:c r="T114" s="128" t="str">
        <x:v>三轮复核后与原表基本一致</x:v>
      </x:c>
    </x:row>
    <x:row r="115" ht="28" customHeight="1">
      <x:c r="A115" s="129" t="n">
        <x:v>114</x:v>
      </x:c>
      <x:c r="B115" s="129" t="str">
        <x:v>2026-07</x:v>
      </x:c>
      <x:c r="C115" s="129" t="n">
        <x:v>36</x:v>
      </x:c>
      <x:c r="D115" s="129" t="str">
        <x:v>2607.08140</x:v>
      </x:c>
      <x:c r="E115" s="128" t="str">
        <x:v>Nonlinear Media via Nonlocal Homogenisation</x:v>
      </x:c>
      <x:c r="F115" s="128" t="str">
        <x:v>Andreas Buchinger; Nathanael Skrepek; Marcus Waurick</x:v>
      </x:c>
      <x:c r="G115" s="128" t="str">
        <x:v>homogenization</x:v>
      </x:c>
      <x:c r="H115" s="129" t="n">
        <x:v>12</x:v>
      </x:c>
      <x:c r="I115" s="130" t="n">
        <x:v>89.15</x:v>
      </x:c>
      <x:c r="J115" s="130" t="n">
        <x:v>89.1</x:v>
      </x:c>
      <x:c r="K115" s="130" t="n">
        <x:v>89.2</x:v>
      </x:c>
      <x:c r="L115" s="130" t="n">
        <x:v>90</x:v>
      </x:c>
      <x:c r="M115" s="130" t="n">
        <x:v>88</x:v>
      </x:c>
      <x:c r="N115" s="130" t="n">
        <x:v>91</x:v>
      </x:c>
      <x:c r="O115" s="130" t="n">
        <x:v>87</x:v>
      </x:c>
      <x:c r="P115" s="130" t="n">
        <x:v>91</x:v>
      </x:c>
      <x:c r="Q115" s="130" t="n">
        <x:v>87</x:v>
      </x:c>
      <x:c r="R115" s="130" t="n">
        <x:v>13</x:v>
      </x:c>
      <x:c r="S115" s="128" t="str">
        <x:v>https://arxiv.org/abs/2607.08140</x:v>
      </x:c>
      <x:c r="T115" s="128" t="str">
        <x:v>Scored candidate from official July math.AP list; correctness not checked.</x:v>
      </x:c>
    </x:row>
    <x:row r="116" ht="28" customHeight="1">
      <x:c r="A116" s="129" t="n">
        <x:v>115</x:v>
      </x:c>
      <x:c r="B116" s="129" t="str">
        <x:v>2026-07</x:v>
      </x:c>
      <x:c r="C116" s="129" t="n">
        <x:v>37</x:v>
      </x:c>
      <x:c r="D116" s="129" t="str">
        <x:v>2607.11478</x:v>
      </x:c>
      <x:c r="E116" s="128" t="str">
        <x:v>From diffusion to transmission via EDP-convergence: a paradigmatic multiscale limit</x:v>
      </x:c>
      <x:c r="F116" s="128" t="str">
        <x:v>Thomas Frenzel; Alexander Mielke</x:v>
      </x:c>
      <x:c r="G116" s="128" t="str">
        <x:v>gradient flows / multiscale limits</x:v>
      </x:c>
      <x:c r="H116" s="129" t="n">
        <x:v>47</x:v>
      </x:c>
      <x:c r="I116" s="130" t="n">
        <x:v>89.08</x:v>
      </x:c>
      <x:c r="J116" s="130" t="n">
        <x:v>88.95</x:v>
      </x:c>
      <x:c r="K116" s="130" t="n">
        <x:v>89.2</x:v>
      </x:c>
      <x:c r="L116" s="130" t="n">
        <x:v>90</x:v>
      </x:c>
      <x:c r="M116" s="130" t="n">
        <x:v>89</x:v>
      </x:c>
      <x:c r="N116" s="130" t="n">
        <x:v>90</x:v>
      </x:c>
      <x:c r="O116" s="130" t="n">
        <x:v>87</x:v>
      </x:c>
      <x:c r="P116" s="130" t="n">
        <x:v>90</x:v>
      </x:c>
      <x:c r="Q116" s="130" t="n">
        <x:v>86</x:v>
      </x:c>
      <x:c r="R116" s="130" t="n">
        <x:v>10</x:v>
      </x:c>
      <x:c r="S116" s="128" t="str">
        <x:v>https://arxiv.org/abs/2607.11478</x:v>
      </x:c>
      <x:c r="T116" s="128" t="str">
        <x:v>EDP-convergence bridge between diffusion and transmission.</x:v>
      </x:c>
    </x:row>
    <x:row r="117" ht="28" customHeight="1">
      <x:c r="A117" s="129" t="n">
        <x:v>116</x:v>
      </x:c>
      <x:c r="B117" s="129" t="str">
        <x:v>2026-06</x:v>
      </x:c>
      <x:c r="C117" s="129" t="n">
        <x:v>38</x:v>
      </x:c>
      <x:c r="D117" s="129" t="str">
        <x:v>2606.02517</x:v>
      </x:c>
      <x:c r="E117" s="128" t="str">
        <x:v>Weak-strong uniqueness and low Mach number limit for a viscous compressible fluid around a rotating body</x:v>
      </x:c>
      <x:c r="F117" s="128" t="str">
        <x:v>Thomas Eiter; Sarka Necasova; Florian Oschmann</x:v>
      </x:c>
      <x:c r="G117" s="128" t="str">
        <x:v>fluid limits</x:v>
      </x:c>
      <x:c r="H117" s="129"/>
      <x:c r="I117" s="130" t="n">
        <x:v>89.07</x:v>
      </x:c>
      <x:c r="J117" s="130" t="n">
        <x:v>89.1</x:v>
      </x:c>
      <x:c r="K117" s="130" t="n">
        <x:v>89.05</x:v>
      </x:c>
      <x:c r="L117" s="130" t="n">
        <x:v>90</x:v>
      </x:c>
      <x:c r="M117" s="130" t="n">
        <x:v>88</x:v>
      </x:c>
      <x:c r="N117" s="130" t="n">
        <x:v>91</x:v>
      </x:c>
      <x:c r="O117" s="130" t="n">
        <x:v>87</x:v>
      </x:c>
      <x:c r="P117" s="130" t="n">
        <x:v>90</x:v>
      </x:c>
      <x:c r="Q117" s="130" t="n">
        <x:v>87</x:v>
      </x:c>
      <x:c r="R117" s="130" t="n">
        <x:v>12</x:v>
      </x:c>
      <x:c r="S117" s="128" t="str">
        <x:v>https://arxiv.org/abs/2606.02517</x:v>
      </x:c>
      <x:c r="T117" s="128" t="str">
        <x:v>三轮复核后与原表基本一致</x:v>
      </x:c>
    </x:row>
    <x:row r="118" ht="28" customHeight="1">
      <x:c r="A118" s="129" t="n">
        <x:v>117</x:v>
      </x:c>
      <x:c r="B118" s="129" t="str">
        <x:v>2026-05</x:v>
      </x:c>
      <x:c r="C118" s="129" t="n">
        <x:v>28</x:v>
      </x:c>
      <x:c r="D118" s="129" t="str">
        <x:v>2605.19598</x:v>
      </x:c>
      <x:c r="E118" s="128" t="str">
        <x:v>Wrinkling in the Lame problem: a Gamma-convergence approach</x:v>
      </x:c>
      <x:c r="F118" s="128" t="str">
        <x:v>Roberta Marziani</x:v>
      </x:c>
      <x:c r="G118" s="128" t="str">
        <x:v>Calculus of variations / elasticity</x:v>
      </x:c>
      <x:c r="H118" s="129" t="n">
        <x:v>56</x:v>
      </x:c>
      <x:c r="I118" s="130" t="n">
        <x:v>88.98</x:v>
      </x:c>
      <x:c r="J118" s="130" t="n">
        <x:v>89</x:v>
      </x:c>
      <x:c r="K118" s="130" t="n">
        <x:v>88.95</x:v>
      </x:c>
      <x:c r="L118" s="130" t="n">
        <x:v>90</x:v>
      </x:c>
      <x:c r="M118" s="130" t="n">
        <x:v>90</x:v>
      </x:c>
      <x:c r="N118" s="130" t="n">
        <x:v>90</x:v>
      </x:c>
      <x:c r="O118" s="130" t="n">
        <x:v>86</x:v>
      </x:c>
      <x:c r="P118" s="130" t="n">
        <x:v>90</x:v>
      </x:c>
      <x:c r="Q118" s="130" t="n">
        <x:v>86</x:v>
      </x:c>
      <x:c r="R118" s="130" t="n">
        <x:v>13</x:v>
      </x:c>
      <x:c r="S118" s="128" t="str">
        <x:v>https://arxiv.org/abs/2605.19598</x:v>
      </x:c>
      <x:c r="T118" s="128" t="str">
        <x:v>三轮复核后与原表基本一致</x:v>
      </x:c>
    </x:row>
    <x:row r="119" ht="28" customHeight="1">
      <x:c r="A119" s="129" t="n">
        <x:v>118</x:v>
      </x:c>
      <x:c r="B119" s="129" t="str">
        <x:v>2026-07</x:v>
      </x:c>
      <x:c r="C119" s="129" t="n">
        <x:v>38</x:v>
      </x:c>
      <x:c r="D119" s="129" t="str">
        <x:v>2607.02257</x:v>
      </x:c>
      <x:c r="E119" s="128" t="str">
        <x:v>Global well-posedness for the mass-critical nonlinear Schrodinger equation on T</x:v>
      </x:c>
      <x:c r="F119" s="128" t="str">
        <x:v>Benjamin Dodson</x:v>
      </x:c>
      <x:c r="G119" s="128" t="str">
        <x:v>NLS / dispersive PDE</x:v>
      </x:c>
      <x:c r="H119" s="129" t="str">
        <x:v>-</x:v>
      </x:c>
      <x:c r="I119" s="130" t="n">
        <x:v>88.95</x:v>
      </x:c>
      <x:c r="J119" s="130" t="n">
        <x:v>88.85</x:v>
      </x:c>
      <x:c r="K119" s="130" t="n">
        <x:v>89.05</x:v>
      </x:c>
      <x:c r="L119" s="130" t="n">
        <x:v>90</x:v>
      </x:c>
      <x:c r="M119" s="130" t="n">
        <x:v>89</x:v>
      </x:c>
      <x:c r="N119" s="130" t="n">
        <x:v>90</x:v>
      </x:c>
      <x:c r="O119" s="130" t="n">
        <x:v>87</x:v>
      </x:c>
      <x:c r="P119" s="130" t="n">
        <x:v>90</x:v>
      </x:c>
      <x:c r="Q119" s="130" t="n">
        <x:v>85</x:v>
      </x:c>
      <x:c r="R119" s="130" t="n">
        <x:v>10</x:v>
      </x:c>
      <x:c r="S119" s="128" t="str">
        <x:v>https://arxiv.org/abs/2607.02257</x:v>
      </x:c>
      <x:c r="T119" s="128" t="str">
        <x:v>Mass-critical NLS well-posedness on the torus; high-impact dispersive topic.</x:v>
      </x:c>
    </x:row>
    <x:row r="120" ht="28" customHeight="1">
      <x:c r="A120" s="129" t="n">
        <x:v>119</x:v>
      </x:c>
      <x:c r="B120" s="129" t="str">
        <x:v>2026-06</x:v>
      </x:c>
      <x:c r="C120" s="129" t="n">
        <x:v>39</x:v>
      </x:c>
      <x:c r="D120" s="129" t="str">
        <x:v>2606.07417</x:v>
      </x:c>
      <x:c r="E120" s="128" t="str">
        <x:v>An optimal local theory for reaction-diffusion equations driven by non-trace-class noise</x:v>
      </x:c>
      <x:c r="F120" s="128" t="str">
        <x:v>Antonio Agresti; Fabian Germ; Mark Veraar</x:v>
      </x:c>
      <x:c r="G120" s="128" t="str">
        <x:v>stochastic PDE</x:v>
      </x:c>
      <x:c r="H120" s="129" t="n">
        <x:v>46</x:v>
      </x:c>
      <x:c r="I120" s="130" t="n">
        <x:v>88.93</x:v>
      </x:c>
      <x:c r="J120" s="130" t="n">
        <x:v>88.9</x:v>
      </x:c>
      <x:c r="K120" s="130" t="n">
        <x:v>88.95</x:v>
      </x:c>
      <x:c r="L120" s="130" t="n">
        <x:v>89</x:v>
      </x:c>
      <x:c r="M120" s="130" t="n">
        <x:v>89</x:v>
      </x:c>
      <x:c r="N120" s="130" t="n">
        <x:v>91</x:v>
      </x:c>
      <x:c r="O120" s="130" t="n">
        <x:v>87</x:v>
      </x:c>
      <x:c r="P120" s="130" t="n">
        <x:v>90</x:v>
      </x:c>
      <x:c r="Q120" s="130" t="n">
        <x:v>86</x:v>
      </x:c>
      <x:c r="R120" s="130" t="n">
        <x:v>13</x:v>
      </x:c>
      <x:c r="S120" s="128" t="str">
        <x:v>https://arxiv.org/abs/2606.07417</x:v>
      </x:c>
      <x:c r="T120" s="128" t="str">
        <x:v>三轮复核后与原表基本一致</x:v>
      </x:c>
    </x:row>
    <x:row r="121" ht="28" customHeight="1">
      <x:c r="A121" s="129" t="n">
        <x:v>120</x:v>
      </x:c>
      <x:c r="B121" s="129" t="str">
        <x:v>2026-07</x:v>
      </x:c>
      <x:c r="C121" s="129" t="n">
        <x:v>40</x:v>
      </x:c>
      <x:c r="D121" s="129" t="str">
        <x:v>2607.07393</x:v>
      </x:c>
      <x:c r="E121" s="128" t="str">
        <x:v>Inverse Scattering from Conformal Infinity for Totally Geodesic Defects in Hyperbolic Space</x:v>
      </x:c>
      <x:c r="F121" s="128" t="str">
        <x:v>Lu Chen; Hongyu Liu; Longyue Tao</x:v>
      </x:c>
      <x:c r="G121" s="128" t="str">
        <x:v>inverse scattering / hyperbolic PDE</x:v>
      </x:c>
      <x:c r="H121" s="129" t="n">
        <x:v>81</x:v>
      </x:c>
      <x:c r="I121" s="130" t="n">
        <x:v>88.93</x:v>
      </x:c>
      <x:c r="J121" s="130" t="n">
        <x:v>88.9</x:v>
      </x:c>
      <x:c r="K121" s="130" t="n">
        <x:v>88.95</x:v>
      </x:c>
      <x:c r="L121" s="130" t="n">
        <x:v>90</x:v>
      </x:c>
      <x:c r="M121" s="130" t="n">
        <x:v>89</x:v>
      </x:c>
      <x:c r="N121" s="130" t="n">
        <x:v>91</x:v>
      </x:c>
      <x:c r="O121" s="130" t="n">
        <x:v>87</x:v>
      </x:c>
      <x:c r="P121" s="130" t="n">
        <x:v>91</x:v>
      </x:c>
      <x:c r="Q121" s="130" t="n">
        <x:v>83</x:v>
      </x:c>
      <x:c r="R121" s="130" t="n">
        <x:v>12</x:v>
      </x:c>
      <x:c r="S121" s="128" t="str">
        <x:v>https://arxiv.org/abs/2607.07393</x:v>
      </x:c>
      <x:c r="T121" s="128" t="str">
        <x:v>Large inverse scattering paper with geometric PDE interface.</x:v>
      </x:c>
    </x:row>
    <x:row r="122" ht="28" customHeight="1">
      <x:c r="A122" s="129" t="n">
        <x:v>121</x:v>
      </x:c>
      <x:c r="B122" s="129" t="str">
        <x:v>2026-07</x:v>
      </x:c>
      <x:c r="C122" s="129" t="n">
        <x:v>39</x:v>
      </x:c>
      <x:c r="D122" s="129" t="str">
        <x:v>2607.04214</x:v>
      </x:c>
      <x:c r="E122" s="128" t="str">
        <x:v>Scattering and Low-Speed Critical Elements for the 3D Focusing Energy-Critical NLS</x:v>
      </x:c>
      <x:c r="F122" s="128" t="str">
        <x:v>Pang-Hung Chung; Dan Han</x:v>
      </x:c>
      <x:c r="G122" s="128" t="str">
        <x:v>NLS / scattering</x:v>
      </x:c>
      <x:c r="H122" s="129" t="str">
        <x:v>-</x:v>
      </x:c>
      <x:c r="I122" s="130" t="n">
        <x:v>88.93</x:v>
      </x:c>
      <x:c r="J122" s="130" t="n">
        <x:v>88.65</x:v>
      </x:c>
      <x:c r="K122" s="130" t="n">
        <x:v>89.2</x:v>
      </x:c>
      <x:c r="L122" s="130" t="n">
        <x:v>90</x:v>
      </x:c>
      <x:c r="M122" s="130" t="n">
        <x:v>88</x:v>
      </x:c>
      <x:c r="N122" s="130" t="n">
        <x:v>91</x:v>
      </x:c>
      <x:c r="O122" s="130" t="n">
        <x:v>86</x:v>
      </x:c>
      <x:c r="P122" s="130" t="n">
        <x:v>91</x:v>
      </x:c>
      <x:c r="Q122" s="130" t="n">
        <x:v>84</x:v>
      </x:c>
      <x:c r="R122" s="130" t="n">
        <x:v>10</x:v>
      </x:c>
      <x:c r="S122" s="128" t="str">
        <x:v>https://arxiv.org/abs/2607.04214</x:v>
      </x:c>
      <x:c r="T122" s="128" t="str">
        <x:v>Energy-critical NLS threshold analysis with concentration-compactness flavor.</x:v>
      </x:c>
    </x:row>
    <x:row r="123" ht="28" customHeight="1">
      <x:c r="A123" s="129" t="n">
        <x:v>122</x:v>
      </x:c>
      <x:c r="B123" s="129" t="str">
        <x:v>2026-08</x:v>
      </x:c>
      <x:c r="C123" s="129" t="n">
        <x:v>15</x:v>
      </x:c>
      <x:c r="D123" s="129" t="str">
        <x:v>2608.02198</x:v>
      </x:c>
      <x:c r="E123" s="128" t="str">
        <x:v>Balance between degenerate elliptic operators and coercive Hamiltonians</x:v>
      </x:c>
      <x:c r="F123" s="128" t="str">
        <x:v>Isabeau Birindelli; Giulio Galise; Hitoshi Ishii</x:v>
      </x:c>
      <x:c r="G123" s="128" t="str">
        <x:v>degenerate elliptic/Hamilton-Jacobi</x:v>
      </x:c>
      <x:c r="H123" s="129" t="n">
        <x:v>45</x:v>
      </x:c>
      <x:c r="I123" s="130" t="n">
        <x:v>88.93</x:v>
      </x:c>
      <x:c r="J123" s="130" t="n">
        <x:v>88.65</x:v>
      </x:c>
      <x:c r="K123" s="130" t="n">
        <x:v>89.2</x:v>
      </x:c>
      <x:c r="L123" s="130" t="n">
        <x:v>89</x:v>
      </x:c>
      <x:c r="M123" s="130" t="n">
        <x:v>89</x:v>
      </x:c>
      <x:c r="N123" s="130" t="n">
        <x:v>90</x:v>
      </x:c>
      <x:c r="O123" s="130" t="n">
        <x:v>87</x:v>
      </x:c>
      <x:c r="P123" s="130" t="n">
        <x:v>90</x:v>
      </x:c>
      <x:c r="Q123" s="130" t="n">
        <x:v>86</x:v>
      </x:c>
      <x:c r="R123" s="130" t="n">
        <x:v>10</x:v>
      </x:c>
      <x:c r="S123" s="128" t="str">
        <x:v>https://arxiv.org/abs/2608.02198</x:v>
      </x:c>
      <x:c r="T123" s="128" t="str">
        <x:v>Strong nonlinear elliptic/Hamiltonian balance result.</x:v>
      </x:c>
    </x:row>
    <x:row r="124" ht="28" customHeight="1">
      <x:c r="A124" s="129" t="n">
        <x:v>123</x:v>
      </x:c>
      <x:c r="B124" s="129" t="str">
        <x:v>2026-06</x:v>
      </x:c>
      <x:c r="C124" s="129" t="n">
        <x:v>39</x:v>
      </x:c>
      <x:c r="D124" s="129" t="str">
        <x:v>2606.15556</x:v>
      </x:c>
      <x:c r="E124" s="128" t="str">
        <x:v>Borderline gradient continuity for degenerate/singular fully nonlinear elliptic equations with Hamiltonian terms</x:v>
      </x:c>
      <x:c r="F124" s="128" t="str">
        <x:v>Wentao Huo; Lingwei Ma; Zhenqiu Zhang</x:v>
      </x:c>
      <x:c r="G124" s="128" t="str">
        <x:v>elliptic regularity</x:v>
      </x:c>
      <x:c r="H124" s="129" t="n">
        <x:v>27</x:v>
      </x:c>
      <x:c r="I124" s="130" t="n">
        <x:v>88.9</x:v>
      </x:c>
      <x:c r="J124" s="130" t="n">
        <x:v>88.84</x:v>
      </x:c>
      <x:c r="K124" s="130" t="n">
        <x:v>88.95</x:v>
      </x:c>
      <x:c r="L124" s="130" t="n">
        <x:v>88.9</x:v>
      </x:c>
      <x:c r="M124" s="130" t="n">
        <x:v>89</x:v>
      </x:c>
      <x:c r="N124" s="130" t="n">
        <x:v>91</x:v>
      </x:c>
      <x:c r="O124" s="130" t="n">
        <x:v>86.8</x:v>
      </x:c>
      <x:c r="P124" s="130" t="n">
        <x:v>90</x:v>
      </x:c>
      <x:c r="Q124" s="130" t="n">
        <x:v>86</x:v>
      </x:c>
      <x:c r="R124" s="130" t="n">
        <x:v>13</x:v>
      </x:c>
      <x:c r="S124" s="128" t="str">
        <x:v>https://arxiv.org/abs/2606.15556</x:v>
      </x:c>
      <x:c r="T124" s="128" t="str">
        <x:v>范围偏专门，广度轻微回调</x:v>
      </x:c>
    </x:row>
    <x:row r="125" ht="28" customHeight="1">
      <x:c r="A125" s="129" t="n">
        <x:v>124</x:v>
      </x:c>
      <x:c r="B125" s="129" t="str">
        <x:v>2026-07</x:v>
      </x:c>
      <x:c r="C125" s="129" t="n">
        <x:v>41</x:v>
      </x:c>
      <x:c r="D125" s="129" t="str">
        <x:v>2607.02412</x:v>
      </x:c>
      <x:c r="E125" s="128" t="str">
        <x:v>Cartan's and Gauss's equations and rigidity theorems for isometric embeddings in low Sobolev regularity</x:v>
      </x:c>
      <x:c r="F125" s="128" t="str">
        <x:v>Isaac Newell; Luc Nguyen</x:v>
      </x:c>
      <x:c r="G125" s="128" t="str">
        <x:v>low regularity geometry/PDE</x:v>
      </x:c>
      <x:c r="H125" s="129" t="str">
        <x:v>-</x:v>
      </x:c>
      <x:c r="I125" s="130" t="n">
        <x:v>88.88</x:v>
      </x:c>
      <x:c r="J125" s="130" t="n">
        <x:v>88.7</x:v>
      </x:c>
      <x:c r="K125" s="130" t="n">
        <x:v>89.05</x:v>
      </x:c>
      <x:c r="L125" s="130" t="n">
        <x:v>90</x:v>
      </x:c>
      <x:c r="M125" s="130" t="n">
        <x:v>89</x:v>
      </x:c>
      <x:c r="N125" s="130" t="n">
        <x:v>90</x:v>
      </x:c>
      <x:c r="O125" s="130" t="n">
        <x:v>86</x:v>
      </x:c>
      <x:c r="P125" s="130" t="n">
        <x:v>90</x:v>
      </x:c>
      <x:c r="Q125" s="130" t="n">
        <x:v>85</x:v>
      </x:c>
      <x:c r="R125" s="130" t="n">
        <x:v>10</x:v>
      </x:c>
      <x:c r="S125" s="128" t="str">
        <x:v>https://arxiv.org/abs/2607.02412</x:v>
      </x:c>
      <x:c r="T125" s="128" t="str">
        <x:v>Low-Sobolev rigidity for geometric PDE; cross-DG/AP value.</x:v>
      </x:c>
    </x:row>
    <x:row r="126" ht="28" customHeight="1">
      <x:c r="A126" s="129" t="n">
        <x:v>125</x:v>
      </x:c>
      <x:c r="B126" s="129" t="str">
        <x:v>2026-05</x:v>
      </x:c>
      <x:c r="C126" s="129" t="n">
        <x:v>29</x:v>
      </x:c>
      <x:c r="D126" s="129" t="str">
        <x:v>2605.10589</x:v>
      </x:c>
      <x:c r="E126" s="128" t="str">
        <x:v>Distance between minimal surfaces and flows</x:v>
      </x:c>
      <x:c r="F126" s="128" t="str">
        <x:v>Tobias Holck Colding; William P. Minicozzi II</x:v>
      </x:c>
      <x:c r="G126" s="128" t="str">
        <x:v>Minimal surfaces / flows</x:v>
      </x:c>
      <x:c r="H126" s="129" t="n">
        <x:v>18</x:v>
      </x:c>
      <x:c r="I126" s="130" t="n">
        <x:v>88.87</x:v>
      </x:c>
      <x:c r="J126" s="130" t="n">
        <x:v>89.2</x:v>
      </x:c>
      <x:c r="K126" s="130" t="n">
        <x:v>88.54</x:v>
      </x:c>
      <x:c r="L126" s="130" t="n">
        <x:v>91</x:v>
      </x:c>
      <x:c r="M126" s="130" t="n">
        <x:v>90.1</x:v>
      </x:c>
      <x:c r="N126" s="130" t="n">
        <x:v>88.8</x:v>
      </x:c>
      <x:c r="O126" s="130" t="n">
        <x:v>87.2</x:v>
      </x:c>
      <x:c r="P126" s="130" t="n">
        <x:v>89</x:v>
      </x:c>
      <x:c r="Q126" s="130" t="n">
        <x:v>86</x:v>
      </x:c>
      <x:c r="R126" s="130" t="n">
        <x:v>12.3</x:v>
      </x:c>
      <x:c r="S126" s="128" t="str">
        <x:v>https://arxiv.org/abs/2605.10589</x:v>
      </x:c>
      <x:c r="T126" s="128" t="str">
        <x:v>短文且非框架性题材，技术残差轻微回调</x:v>
      </x:c>
    </x:row>
    <x:row r="127" ht="28" customHeight="1">
      <x:c r="A127" s="129" t="n">
        <x:v>126</x:v>
      </x:c>
      <x:c r="B127" s="129" t="str">
        <x:v>2026-07</x:v>
      </x:c>
      <x:c r="C127" s="129" t="n">
        <x:v>42</x:v>
      </x:c>
      <x:c r="D127" s="129" t="str">
        <x:v>2607.06910</x:v>
      </x:c>
      <x:c r="E127" s="128" t="str">
        <x:v>Nonlinear stability of a background magnetic field for the 3D compressible MHD equations with anisotropic dissipation</x:v>
      </x:c>
      <x:c r="F127" s="128" t="str">
        <x:v>Jincheng Gao; Xianpeng Hu; Lianyun Peng; Jiahong Wu</x:v>
      </x:c>
      <x:c r="G127" s="128" t="str">
        <x:v>compressible MHD</x:v>
      </x:c>
      <x:c r="H127" s="129" t="str">
        <x:v>-</x:v>
      </x:c>
      <x:c r="I127" s="130" t="n">
        <x:v>88.8</x:v>
      </x:c>
      <x:c r="J127" s="130" t="n">
        <x:v>88.75</x:v>
      </x:c>
      <x:c r="K127" s="130" t="n">
        <x:v>88.85</x:v>
      </x:c>
      <x:c r="L127" s="130" t="n">
        <x:v>90</x:v>
      </x:c>
      <x:c r="M127" s="130" t="n">
        <x:v>87</x:v>
      </x:c>
      <x:c r="N127" s="130" t="n">
        <x:v>91</x:v>
      </x:c>
      <x:c r="O127" s="130" t="n">
        <x:v>86</x:v>
      </x:c>
      <x:c r="P127" s="130" t="n">
        <x:v>91</x:v>
      </x:c>
      <x:c r="Q127" s="130" t="n">
        <x:v>87</x:v>
      </x:c>
      <x:c r="R127" s="130" t="n">
        <x:v>14</x:v>
      </x:c>
      <x:c r="S127" s="128" t="str">
        <x:v>https://arxiv.org/abs/2607.06910</x:v>
      </x:c>
      <x:c r="T127" s="128" t="str">
        <x:v>Background row in the 30% scored pool; title/authors from official July list.</x:v>
      </x:c>
    </x:row>
    <x:row r="128" ht="28" customHeight="1">
      <x:c r="A128" s="129" t="n">
        <x:v>127</x:v>
      </x:c>
      <x:c r="B128" s="129" t="str">
        <x:v>2026-05</x:v>
      </x:c>
      <x:c r="C128" s="129" t="n">
        <x:v>30</x:v>
      </x:c>
      <x:c r="D128" s="129" t="str">
        <x:v>2605.28789</x:v>
      </x:c>
      <x:c r="E128" s="128" t="str">
        <x:v>Finite-time blow-up solutions for the Calogero-Sutherland derivative NLS</x:v>
      </x:c>
      <x:c r="F128" s="128" t="str">
        <x:v>Xi Chen; Enno Lenzmann</x:v>
      </x:c>
      <x:c r="G128" s="128" t="str">
        <x:v>Dispersive PDE / blow-up</x:v>
      </x:c>
      <x:c r="H128" s="129"/>
      <x:c r="I128" s="130" t="n">
        <x:v>88.75</x:v>
      </x:c>
      <x:c r="J128" s="130" t="n">
        <x:v>88.8</x:v>
      </x:c>
      <x:c r="K128" s="130" t="n">
        <x:v>88.7</x:v>
      </x:c>
      <x:c r="L128" s="130" t="n">
        <x:v>90</x:v>
      </x:c>
      <x:c r="M128" s="130" t="n">
        <x:v>90.1</x:v>
      </x:c>
      <x:c r="N128" s="130" t="n">
        <x:v>90</x:v>
      </x:c>
      <x:c r="O128" s="130" t="n">
        <x:v>85.2</x:v>
      </x:c>
      <x:c r="P128" s="130" t="n">
        <x:v>90.1</x:v>
      </x:c>
      <x:c r="Q128" s="130" t="n">
        <x:v>85</x:v>
      </x:c>
      <x:c r="R128" s="130" t="n">
        <x:v>14</x:v>
      </x:c>
      <x:c r="S128" s="128" t="str">
        <x:v>https://arxiv.org/abs/2605.28789</x:v>
      </x:c>
      <x:c r="T128" s="128" t="str">
        <x:v>三轮复核后与原表基本一致</x:v>
      </x:c>
    </x:row>
    <x:row r="129" ht="28" customHeight="1">
      <x:c r="A129" s="129" t="n">
        <x:v>128</x:v>
      </x:c>
      <x:c r="B129" s="129" t="str">
        <x:v>2026-07</x:v>
      </x:c>
      <x:c r="C129" s="129" t="n">
        <x:v>43</x:v>
      </x:c>
      <x:c r="D129" s="129" t="str">
        <x:v>2607.00655</x:v>
      </x:c>
      <x:c r="E129" s="128" t="str">
        <x:v>The Schrodinger problem on metric graphs</x:v>
      </x:c>
      <x:c r="F129" s="128" t="str">
        <x:v>Juliane Krautz; Jan-F. Pietschman</x:v>
      </x:c>
      <x:c r="G129" s="128" t="str">
        <x:v>metric graphs</x:v>
      </x:c>
      <x:c r="H129" s="129" t="str">
        <x:v>-</x:v>
      </x:c>
      <x:c r="I129" s="130" t="n">
        <x:v>88.75</x:v>
      </x:c>
      <x:c r="J129" s="130" t="n">
        <x:v>88.65</x:v>
      </x:c>
      <x:c r="K129" s="130" t="n">
        <x:v>88.85</x:v>
      </x:c>
      <x:c r="L129" s="130" t="n">
        <x:v>89</x:v>
      </x:c>
      <x:c r="M129" s="130" t="n">
        <x:v>88</x:v>
      </x:c>
      <x:c r="N129" s="130" t="n">
        <x:v>90</x:v>
      </x:c>
      <x:c r="O129" s="130" t="n">
        <x:v>87</x:v>
      </x:c>
      <x:c r="P129" s="130" t="n">
        <x:v>90</x:v>
      </x:c>
      <x:c r="Q129" s="130" t="n">
        <x:v>88</x:v>
      </x:c>
      <x:c r="R129" s="130" t="n">
        <x:v>13</x:v>
      </x:c>
      <x:c r="S129" s="128" t="str">
        <x:v>https://arxiv.org/abs/2607.00655</x:v>
      </x:c>
      <x:c r="T129" s="128" t="str">
        <x:v>Scored candidate from official July math.AP list; correctness not checked.</x:v>
      </x:c>
    </x:row>
    <x:row r="130" ht="28" customHeight="1">
      <x:c r="A130" s="129" t="n">
        <x:v>129</x:v>
      </x:c>
      <x:c r="B130" s="129" t="str">
        <x:v>2026-07</x:v>
      </x:c>
      <x:c r="C130" s="129" t="n">
        <x:v>44</x:v>
      </x:c>
      <x:c r="D130" s="129" t="str">
        <x:v>2607.01638</x:v>
      </x:c>
      <x:c r="E130" s="128" t="str">
        <x:v>Existence of weak solutions of the surface Beris-Edwards model</x:v>
      </x:c>
      <x:c r="F130" s="128" t="str">
        <x:v>Gonzalo A. Benavides; Ricardo H. Nochetto; Mansur Shakipov</x:v>
      </x:c>
      <x:c r="G130" s="128" t="str">
        <x:v>liquid crystals</x:v>
      </x:c>
      <x:c r="H130" s="129" t="n">
        <x:v>21</x:v>
      </x:c>
      <x:c r="I130" s="130" t="n">
        <x:v>88.75</x:v>
      </x:c>
      <x:c r="J130" s="130" t="n">
        <x:v>88.65</x:v>
      </x:c>
      <x:c r="K130" s="130" t="n">
        <x:v>88.85</x:v>
      </x:c>
      <x:c r="L130" s="130" t="n">
        <x:v>89</x:v>
      </x:c>
      <x:c r="M130" s="130" t="n">
        <x:v>88</x:v>
      </x:c>
      <x:c r="N130" s="130" t="n">
        <x:v>90</x:v>
      </x:c>
      <x:c r="O130" s="130" t="n">
        <x:v>87</x:v>
      </x:c>
      <x:c r="P130" s="130" t="n">
        <x:v>90</x:v>
      </x:c>
      <x:c r="Q130" s="130" t="n">
        <x:v>88</x:v>
      </x:c>
      <x:c r="R130" s="130" t="n">
        <x:v>13</x:v>
      </x:c>
      <x:c r="S130" s="128" t="str">
        <x:v>https://arxiv.org/abs/2607.01638</x:v>
      </x:c>
      <x:c r="T130" s="128" t="str">
        <x:v>Scored candidate from official July math.AP list; correctness not checked.</x:v>
      </x:c>
    </x:row>
    <x:row r="131" ht="28" customHeight="1">
      <x:c r="A131" s="129" t="n">
        <x:v>130</x:v>
      </x:c>
      <x:c r="B131" s="129" t="str">
        <x:v>2026-07</x:v>
      </x:c>
      <x:c r="C131" s="129" t="n">
        <x:v>45</x:v>
      </x:c>
      <x:c r="D131" s="129" t="str">
        <x:v>2607.02831</x:v>
      </x:c>
      <x:c r="E131" s="128" t="str">
        <x:v>The BGK model with in-flow boundary condition: forward and inverse problems</x:v>
      </x:c>
      <x:c r="F131" s="128" t="str">
        <x:v>Ru-Yu Lai; Hanming Zhou</x:v>
      </x:c>
      <x:c r="G131" s="128" t="str">
        <x:v>kinetic inverse problems</x:v>
      </x:c>
      <x:c r="H131" s="129" t="n">
        <x:v>49</x:v>
      </x:c>
      <x:c r="I131" s="130" t="n">
        <x:v>88.75</x:v>
      </x:c>
      <x:c r="J131" s="130" t="n">
        <x:v>88.65</x:v>
      </x:c>
      <x:c r="K131" s="130" t="n">
        <x:v>88.85</x:v>
      </x:c>
      <x:c r="L131" s="130" t="n">
        <x:v>89</x:v>
      </x:c>
      <x:c r="M131" s="130" t="n">
        <x:v>88</x:v>
      </x:c>
      <x:c r="N131" s="130" t="n">
        <x:v>90</x:v>
      </x:c>
      <x:c r="O131" s="130" t="n">
        <x:v>87</x:v>
      </x:c>
      <x:c r="P131" s="130" t="n">
        <x:v>90</x:v>
      </x:c>
      <x:c r="Q131" s="130" t="n">
        <x:v>88</x:v>
      </x:c>
      <x:c r="R131" s="130" t="n">
        <x:v>13</x:v>
      </x:c>
      <x:c r="S131" s="128" t="str">
        <x:v>https://arxiv.org/abs/2607.02831</x:v>
      </x:c>
      <x:c r="T131" s="128" t="str">
        <x:v>Scored candidate from official July math.AP list; correctness not checked.</x:v>
      </x:c>
    </x:row>
    <x:row r="132" ht="28" customHeight="1">
      <x:c r="A132" s="129" t="n">
        <x:v>131</x:v>
      </x:c>
      <x:c r="B132" s="129" t="str">
        <x:v>2026-07</x:v>
      </x:c>
      <x:c r="C132" s="129" t="n">
        <x:v>46</x:v>
      </x:c>
      <x:c r="D132" s="129" t="str">
        <x:v>2607.04492</x:v>
      </x:c>
      <x:c r="E132" s="128" t="str">
        <x:v>Global Calderon-Zygmund estimates for irregular double-phase evolution problem with non-divergence data</x:v>
      </x:c>
      <x:c r="F132" s="128" t="str">
        <x:v>Rakesh Arora; Sergey Shmarev</x:v>
      </x:c>
      <x:c r="G132" s="128" t="str">
        <x:v>regularity theory</x:v>
      </x:c>
      <x:c r="H132" s="129" t="n">
        <x:v>40</x:v>
      </x:c>
      <x:c r="I132" s="130" t="n">
        <x:v>88.75</x:v>
      </x:c>
      <x:c r="J132" s="130" t="n">
        <x:v>88.65</x:v>
      </x:c>
      <x:c r="K132" s="130" t="n">
        <x:v>88.85</x:v>
      </x:c>
      <x:c r="L132" s="130" t="n">
        <x:v>89</x:v>
      </x:c>
      <x:c r="M132" s="130" t="n">
        <x:v>88</x:v>
      </x:c>
      <x:c r="N132" s="130" t="n">
        <x:v>90</x:v>
      </x:c>
      <x:c r="O132" s="130" t="n">
        <x:v>87</x:v>
      </x:c>
      <x:c r="P132" s="130" t="n">
        <x:v>90</x:v>
      </x:c>
      <x:c r="Q132" s="130" t="n">
        <x:v>88</x:v>
      </x:c>
      <x:c r="R132" s="130" t="n">
        <x:v>13</x:v>
      </x:c>
      <x:c r="S132" s="128" t="str">
        <x:v>https://arxiv.org/abs/2607.04492</x:v>
      </x:c>
      <x:c r="T132" s="128" t="str">
        <x:v>Scored candidate from official July math.AP list; correctness not checked.</x:v>
      </x:c>
    </x:row>
    <x:row r="133" ht="28" customHeight="1">
      <x:c r="A133" s="129" t="n">
        <x:v>132</x:v>
      </x:c>
      <x:c r="B133" s="129" t="str">
        <x:v>2026-07</x:v>
      </x:c>
      <x:c r="C133" s="129" t="n">
        <x:v>47</x:v>
      </x:c>
      <x:c r="D133" s="129" t="str">
        <x:v>2607.07018</x:v>
      </x:c>
      <x:c r="E133" s="128" t="str">
        <x:v>Gradient continuity for p-Laplacian obstacle problems under mean oscillation conditions</x:v>
      </x:c>
      <x:c r="F133" s="128" t="str">
        <x:v>Sungjin Lee; Jihoon Ok</x:v>
      </x:c>
      <x:c r="G133" s="128" t="str">
        <x:v>regularity theory</x:v>
      </x:c>
      <x:c r="H133" s="129" t="str">
        <x:v>-</x:v>
      </x:c>
      <x:c r="I133" s="130" t="n">
        <x:v>88.75</x:v>
      </x:c>
      <x:c r="J133" s="130" t="n">
        <x:v>88.65</x:v>
      </x:c>
      <x:c r="K133" s="130" t="n">
        <x:v>88.85</x:v>
      </x:c>
      <x:c r="L133" s="130" t="n">
        <x:v>89</x:v>
      </x:c>
      <x:c r="M133" s="130" t="n">
        <x:v>88</x:v>
      </x:c>
      <x:c r="N133" s="130" t="n">
        <x:v>90</x:v>
      </x:c>
      <x:c r="O133" s="130" t="n">
        <x:v>87</x:v>
      </x:c>
      <x:c r="P133" s="130" t="n">
        <x:v>90</x:v>
      </x:c>
      <x:c r="Q133" s="130" t="n">
        <x:v>88</x:v>
      </x:c>
      <x:c r="R133" s="130" t="n">
        <x:v>13</x:v>
      </x:c>
      <x:c r="S133" s="128" t="str">
        <x:v>https://arxiv.org/abs/2607.07018</x:v>
      </x:c>
      <x:c r="T133" s="128" t="str">
        <x:v>Scored candidate from official July math.AP list; correctness not checked.</x:v>
      </x:c>
    </x:row>
    <x:row r="134" ht="28" customHeight="1">
      <x:c r="A134" s="129" t="n">
        <x:v>133</x:v>
      </x:c>
      <x:c r="B134" s="129" t="str">
        <x:v>2026-07</x:v>
      </x:c>
      <x:c r="C134" s="129" t="n">
        <x:v>48</x:v>
      </x:c>
      <x:c r="D134" s="129" t="str">
        <x:v>2607.08401</x:v>
      </x:c>
      <x:c r="E134" s="128" t="str">
        <x:v>Nonlinear stability of periodic waves in the Korteweg-de Vries equation under localized perturbations</x:v>
      </x:c>
      <x:c r="F134" s="128" t="str">
        <x:v>Emile Bukieda; Björn de Rijk</x:v>
      </x:c>
      <x:c r="G134" s="128" t="str">
        <x:v>KdV stability</x:v>
      </x:c>
      <x:c r="H134" s="129" t="n">
        <x:v>42</x:v>
      </x:c>
      <x:c r="I134" s="130" t="n">
        <x:v>88.75</x:v>
      </x:c>
      <x:c r="J134" s="130" t="n">
        <x:v>88.65</x:v>
      </x:c>
      <x:c r="K134" s="130" t="n">
        <x:v>88.85</x:v>
      </x:c>
      <x:c r="L134" s="130" t="n">
        <x:v>89</x:v>
      </x:c>
      <x:c r="M134" s="130" t="n">
        <x:v>88</x:v>
      </x:c>
      <x:c r="N134" s="130" t="n">
        <x:v>90</x:v>
      </x:c>
      <x:c r="O134" s="130" t="n">
        <x:v>87</x:v>
      </x:c>
      <x:c r="P134" s="130" t="n">
        <x:v>90</x:v>
      </x:c>
      <x:c r="Q134" s="130" t="n">
        <x:v>88</x:v>
      </x:c>
      <x:c r="R134" s="130" t="n">
        <x:v>13</x:v>
      </x:c>
      <x:c r="S134" s="128" t="str">
        <x:v>https://arxiv.org/abs/2607.08401</x:v>
      </x:c>
      <x:c r="T134" s="128" t="str">
        <x:v>Scored candidate from official July math.AP list; correctness not checked.</x:v>
      </x:c>
    </x:row>
    <x:row r="135" ht="28" customHeight="1">
      <x:c r="A135" s="129" t="n">
        <x:v>134</x:v>
      </x:c>
      <x:c r="B135" s="129" t="str">
        <x:v>2026-06</x:v>
      </x:c>
      <x:c r="C135" s="129" t="n">
        <x:v>43</x:v>
      </x:c>
      <x:c r="D135" s="129" t="str">
        <x:v>2606.04615</x:v>
      </x:c>
      <x:c r="E135" s="128" t="str">
        <x:v>The Ginzburg-Landau system with general potential: maximum principle and gradient estimates</x:v>
      </x:c>
      <x:c r="F135" s="128" t="str">
        <x:v>Radu Ignat; Luc Nguyen; Valeriy Slastikov; Arghir Zarnescu</x:v>
      </x:c>
      <x:c r="G135" s="128" t="str">
        <x:v>Ginzburg-Landau estimates</x:v>
      </x:c>
      <x:c r="H135" s="129"/>
      <x:c r="I135" s="130" t="n">
        <x:v>88.75</x:v>
      </x:c>
      <x:c r="J135" s="130" t="n">
        <x:v>88.6</x:v>
      </x:c>
      <x:c r="K135" s="130" t="n">
        <x:v>88.9</x:v>
      </x:c>
      <x:c r="L135" s="130" t="n">
        <x:v>89.1</x:v>
      </x:c>
      <x:c r="M135" s="130" t="n">
        <x:v>88</x:v>
      </x:c>
      <x:c r="N135" s="130" t="n">
        <x:v>90.1</x:v>
      </x:c>
      <x:c r="O135" s="130" t="n">
        <x:v>87</x:v>
      </x:c>
      <x:c r="P135" s="130" t="n">
        <x:v>90.1</x:v>
      </x:c>
      <x:c r="Q135" s="130" t="n">
        <x:v>87</x:v>
      </x:c>
      <x:c r="R135" s="130" t="n">
        <x:v>12</x:v>
      </x:c>
      <x:c r="S135" s="128" t="str">
        <x:v>https://arxiv.org/abs/2606.04615</x:v>
      </x:c>
      <x:c r="T135" s="128" t="str">
        <x:v>三轮复核后与原表基本一致</x:v>
      </x:c>
    </x:row>
    <x:row r="136" ht="28" customHeight="1">
      <x:c r="A136" s="129" t="n">
        <x:v>135</x:v>
      </x:c>
      <x:c r="B136" s="129" t="str">
        <x:v>2026-05</x:v>
      </x:c>
      <x:c r="C136" s="129" t="n">
        <x:v>30</x:v>
      </x:c>
      <x:c r="D136" s="129" t="str">
        <x:v>2605.05414</x:v>
      </x:c>
      <x:c r="E136" s="128" t="str">
        <x:v>The sigma_k-Yamabe problem revisited</x:v>
      </x:c>
      <x:c r="F136" s="128" t="str">
        <x:v>Yuxin Ge; Guofang Wang; Wei Wei</x:v>
      </x:c>
      <x:c r="G136" s="128" t="str">
        <x:v>Geometric PDE / conformal geometry</x:v>
      </x:c>
      <x:c r="H136" s="129"/>
      <x:c r="I136" s="130" t="n">
        <x:v>88.74</x:v>
      </x:c>
      <x:c r="J136" s="130" t="n">
        <x:v>88.9</x:v>
      </x:c>
      <x:c r="K136" s="130" t="n">
        <x:v>88.58</x:v>
      </x:c>
      <x:c r="L136" s="130" t="n">
        <x:v>90.9</x:v>
      </x:c>
      <x:c r="M136" s="130" t="n">
        <x:v>87.9</x:v>
      </x:c>
      <x:c r="N136" s="130" t="n">
        <x:v>91</x:v>
      </x:c>
      <x:c r="O136" s="130" t="n">
        <x:v>86</x:v>
      </x:c>
      <x:c r="P136" s="130" t="n">
        <x:v>91</x:v>
      </x:c>
      <x:c r="Q136" s="130" t="n">
        <x:v>84</x:v>
      </x:c>
      <x:c r="R136" s="130" t="n">
        <x:v>14</x:v>
      </x:c>
      <x:c r="S136" s="128" t="str">
        <x:v>https://arxiv.org/abs/2605.05414</x:v>
      </x:c>
      <x:c r="T136" s="128" t="str">
        <x:v>三轮复核后与原表基本一致</x:v>
      </x:c>
    </x:row>
    <x:row r="137" ht="28" customHeight="1">
      <x:c r="A137" s="129" t="n">
        <x:v>136</x:v>
      </x:c>
      <x:c r="B137" s="129" t="str">
        <x:v>2026-06</x:v>
      </x:c>
      <x:c r="C137" s="129" t="n">
        <x:v>41</x:v>
      </x:c>
      <x:c r="D137" s="129" t="str">
        <x:v>2606.10897</x:v>
      </x:c>
      <x:c r="E137" s="128" t="str">
        <x:v>A characterisation of infinity-harmonic maps in terms of 1-currents</x:v>
      </x:c>
      <x:c r="F137" s="128" t="str">
        <x:v>Roger Moser</x:v>
      </x:c>
      <x:c r="G137" s="128" t="str">
        <x:v>infinity-harmonic maps</x:v>
      </x:c>
      <x:c r="H137" s="129"/>
      <x:c r="I137" s="130" t="n">
        <x:v>88.73</x:v>
      </x:c>
      <x:c r="J137" s="130" t="n">
        <x:v>88.7</x:v>
      </x:c>
      <x:c r="K137" s="130" t="n">
        <x:v>88.75</x:v>
      </x:c>
      <x:c r="L137" s="130" t="n">
        <x:v>89</x:v>
      </x:c>
      <x:c r="M137" s="130" t="n">
        <x:v>90</x:v>
      </x:c>
      <x:c r="N137" s="130" t="n">
        <x:v>89</x:v>
      </x:c>
      <x:c r="O137" s="130" t="n">
        <x:v>87</x:v>
      </x:c>
      <x:c r="P137" s="130" t="n">
        <x:v>89</x:v>
      </x:c>
      <x:c r="Q137" s="130" t="n">
        <x:v>87</x:v>
      </x:c>
      <x:c r="R137" s="130" t="n">
        <x:v>12</x:v>
      </x:c>
      <x:c r="S137" s="128" t="str">
        <x:v>https://arxiv.org/abs/2606.10897</x:v>
      </x:c>
      <x:c r="T137" s="128" t="str">
        <x:v>三轮复核后与原表基本一致</x:v>
      </x:c>
    </x:row>
    <x:row r="138" ht="28" customHeight="1">
      <x:c r="A138" s="129" t="n">
        <x:v>137</x:v>
      </x:c>
      <x:c r="B138" s="129" t="str">
        <x:v>2026-06</x:v>
      </x:c>
      <x:c r="C138" s="129" t="n">
        <x:v>44</x:v>
      </x:c>
      <x:c r="D138" s="129" t="str">
        <x:v>2606.15612</x:v>
      </x:c>
      <x:c r="E138" s="128" t="str">
        <x:v>Trichotomy dynamics of a free boundary model for biological invasion</x:v>
      </x:c>
      <x:c r="F138" s="128" t="str">
        <x:v>Hongkai Cao; Yihong Du; Wenjie Ni; Xiaoyan Zhang</x:v>
      </x:c>
      <x:c r="G138" s="128" t="str">
        <x:v>free boundary dynamics</x:v>
      </x:c>
      <x:c r="H138" s="129"/>
      <x:c r="I138" s="130" t="n">
        <x:v>88.7</x:v>
      </x:c>
      <x:c r="J138" s="130" t="n">
        <x:v>88.65</x:v>
      </x:c>
      <x:c r="K138" s="130" t="n">
        <x:v>88.75</x:v>
      </x:c>
      <x:c r="L138" s="130" t="n">
        <x:v>89</x:v>
      </x:c>
      <x:c r="M138" s="130" t="n">
        <x:v>89</x:v>
      </x:c>
      <x:c r="N138" s="130" t="n">
        <x:v>90</x:v>
      </x:c>
      <x:c r="O138" s="130" t="n">
        <x:v>87</x:v>
      </x:c>
      <x:c r="P138" s="130" t="n">
        <x:v>90</x:v>
      </x:c>
      <x:c r="Q138" s="130" t="n">
        <x:v>86</x:v>
      </x:c>
      <x:c r="R138" s="130" t="n">
        <x:v>13</x:v>
      </x:c>
      <x:c r="S138" s="128" t="str">
        <x:v>https://arxiv.org/abs/2606.15612</x:v>
      </x:c>
      <x:c r="T138" s="128" t="str">
        <x:v>三轮复核后与原表基本一致</x:v>
      </x:c>
    </x:row>
    <x:row r="139" ht="28" customHeight="1">
      <x:c r="A139" s="129" t="n">
        <x:v>138</x:v>
      </x:c>
      <x:c r="B139" s="129" t="str">
        <x:v>2026-06</x:v>
      </x:c>
      <x:c r="C139" s="129" t="n">
        <x:v>44</x:v>
      </x:c>
      <x:c r="D139" s="129" t="str">
        <x:v>2606.07468</x:v>
      </x:c>
      <x:c r="E139" s="128" t="str">
        <x:v>Minimizing clusters with prescribed asymptotic geometry</x:v>
      </x:c>
      <x:c r="F139" s="128" t="str">
        <x:v>Robin Neumayer; Michael Novack; Anna Skorobogatova</x:v>
      </x:c>
      <x:c r="G139" s="128" t="str">
        <x:v>geometric variational</x:v>
      </x:c>
      <x:c r="H139" s="129" t="n">
        <x:v>30</x:v>
      </x:c>
      <x:c r="I139" s="130" t="n">
        <x:v>88.7</x:v>
      </x:c>
      <x:c r="J139" s="130" t="n">
        <x:v>88.65</x:v>
      </x:c>
      <x:c r="K139" s="130" t="n">
        <x:v>88.75</x:v>
      </x:c>
      <x:c r="L139" s="130" t="n">
        <x:v>89</x:v>
      </x:c>
      <x:c r="M139" s="130" t="n">
        <x:v>89</x:v>
      </x:c>
      <x:c r="N139" s="130" t="n">
        <x:v>90</x:v>
      </x:c>
      <x:c r="O139" s="130" t="n">
        <x:v>87</x:v>
      </x:c>
      <x:c r="P139" s="130" t="n">
        <x:v>90</x:v>
      </x:c>
      <x:c r="Q139" s="130" t="n">
        <x:v>86</x:v>
      </x:c>
      <x:c r="R139" s="130" t="n">
        <x:v>13</x:v>
      </x:c>
      <x:c r="S139" s="128" t="str">
        <x:v>https://arxiv.org/abs/2606.07468</x:v>
      </x:c>
      <x:c r="T139" s="128" t="str">
        <x:v>三轮复核后与原表基本一致</x:v>
      </x:c>
    </x:row>
    <x:row r="140" ht="28" customHeight="1">
      <x:c r="A140" s="129" t="n">
        <x:v>139</x:v>
      </x:c>
      <x:c r="B140" s="129" t="str">
        <x:v>2026-05</x:v>
      </x:c>
      <x:c r="C140" s="129" t="n">
        <x:v>32</x:v>
      </x:c>
      <x:c r="D140" s="129" t="str">
        <x:v>2605.10814</x:v>
      </x:c>
      <x:c r="E140" s="128" t="str">
        <x:v>Convergence of the Yang-Mills flow on ALE gravitational instantons</x:v>
      </x:c>
      <x:c r="F140" s="128" t="str">
        <x:v>Anuk Dayaprema; Alex Waldron</x:v>
      </x:c>
      <x:c r="G140" s="128" t="str">
        <x:v>Gauge theory / geometric flows</x:v>
      </x:c>
      <x:c r="H140" s="129" t="n">
        <x:v>24</x:v>
      </x:c>
      <x:c r="I140" s="130" t="n">
        <x:v>88.65</x:v>
      </x:c>
      <x:c r="J140" s="130" t="n">
        <x:v>88.7</x:v>
      </x:c>
      <x:c r="K140" s="130" t="n">
        <x:v>88.59</x:v>
      </x:c>
      <x:c r="L140" s="130" t="n">
        <x:v>90</x:v>
      </x:c>
      <x:c r="M140" s="130" t="n">
        <x:v>89</x:v>
      </x:c>
      <x:c r="N140" s="130" t="n">
        <x:v>90</x:v>
      </x:c>
      <x:c r="O140" s="130" t="n">
        <x:v>86</x:v>
      </x:c>
      <x:c r="P140" s="130" t="n">
        <x:v>90</x:v>
      </x:c>
      <x:c r="Q140" s="130" t="n">
        <x:v>85</x:v>
      </x:c>
      <x:c r="R140" s="130" t="n">
        <x:v>13.1</x:v>
      </x:c>
      <x:c r="S140" s="128" t="str">
        <x:v>https://arxiv.org/abs/2605.10814</x:v>
      </x:c>
      <x:c r="T140" s="128" t="str">
        <x:v>三轮复核后与原表基本一致</x:v>
      </x:c>
    </x:row>
    <x:row r="141" ht="28" customHeight="1">
      <x:c r="A141" s="129" t="n">
        <x:v>140</x:v>
      </x:c>
      <x:c r="B141" s="129" t="str">
        <x:v>2026-06</x:v>
      </x:c>
      <x:c r="C141" s="129" t="n">
        <x:v>42</x:v>
      </x:c>
      <x:c r="D141" s="129" t="str">
        <x:v>2606.15561</x:v>
      </x:c>
      <x:c r="E141" s="128" t="str">
        <x:v>Higher Holder regularity for degenerate fully nonlinear elliptic equations with Hamiltonian terms</x:v>
      </x:c>
      <x:c r="F141" s="128" t="str">
        <x:v>Wentao Huo; Xiaofeng Jin; Lingwei Ma; Zhenqiu Zhang</x:v>
      </x:c>
      <x:c r="G141" s="128" t="str">
        <x:v>elliptic regularity</x:v>
      </x:c>
      <x:c r="H141" s="129" t="n">
        <x:v>17</x:v>
      </x:c>
      <x:c r="I141" s="130" t="n">
        <x:v>88.65</x:v>
      </x:c>
      <x:c r="J141" s="130" t="n">
        <x:v>88.65</x:v>
      </x:c>
      <x:c r="K141" s="130" t="n">
        <x:v>88.64</x:v>
      </x:c>
      <x:c r="L141" s="130" t="n">
        <x:v>89</x:v>
      </x:c>
      <x:c r="M141" s="130" t="n">
        <x:v>88</x:v>
      </x:c>
      <x:c r="N141" s="130" t="n">
        <x:v>90.8</x:v>
      </x:c>
      <x:c r="O141" s="130" t="n">
        <x:v>87</x:v>
      </x:c>
      <x:c r="P141" s="130" t="n">
        <x:v>89.9</x:v>
      </x:c>
      <x:c r="Q141" s="130" t="n">
        <x:v>86</x:v>
      </x:c>
      <x:c r="R141" s="130" t="n">
        <x:v>13.3</x:v>
      </x:c>
      <x:c r="S141" s="128" t="str">
        <x:v>https://arxiv.org/abs/2606.15561</x:v>
      </x:c>
      <x:c r="T141" s="128" t="str">
        <x:v>短文且非框架性题材，技术残差轻微回调</x:v>
      </x:c>
    </x:row>
    <x:row r="142" ht="28" customHeight="1">
      <x:c r="A142" s="129" t="n">
        <x:v>141</x:v>
      </x:c>
      <x:c r="B142" s="129" t="str">
        <x:v>2026-06</x:v>
      </x:c>
      <x:c r="C142" s="129" t="n">
        <x:v>48</x:v>
      </x:c>
      <x:c r="D142" s="129" t="str">
        <x:v>2606.03716</x:v>
      </x:c>
      <x:c r="E142" s="128" t="str">
        <x:v>Homogenization of compressible Navier-Stokes equations under a hard sphere pressure law</x:v>
      </x:c>
      <x:c r="F142" s="128" t="str">
        <x:v>Nilasis Chaudhuri; Florian Oschmann</x:v>
      </x:c>
      <x:c r="G142" s="128" t="str">
        <x:v>fluid homogenization</x:v>
      </x:c>
      <x:c r="H142" s="129"/>
      <x:c r="I142" s="130" t="n">
        <x:v>88.61</x:v>
      </x:c>
      <x:c r="J142" s="130" t="n">
        <x:v>88.56</x:v>
      </x:c>
      <x:c r="K142" s="130" t="n">
        <x:v>88.65</x:v>
      </x:c>
      <x:c r="L142" s="130" t="n">
        <x:v>89.1</x:v>
      </x:c>
      <x:c r="M142" s="130" t="n">
        <x:v>88.1</x:v>
      </x:c>
      <x:c r="N142" s="130" t="n">
        <x:v>90.1</x:v>
      </x:c>
      <x:c r="O142" s="130" t="n">
        <x:v>87.2</x:v>
      </x:c>
      <x:c r="P142" s="130" t="n">
        <x:v>90.2</x:v>
      </x:c>
      <x:c r="Q142" s="130" t="n">
        <x:v>86</x:v>
      </x:c>
      <x:c r="R142" s="130" t="n">
        <x:v>13</x:v>
      </x:c>
      <x:c r="S142" s="128" t="str">
        <x:v>https://arxiv.org/abs/2606.03716</x:v>
      </x:c>
      <x:c r="T142" s="128" t="str">
        <x:v>三轮复核后与原表基本一致</x:v>
      </x:c>
    </x:row>
    <x:row r="143" ht="28" customHeight="1">
      <x:c r="A143" s="129" t="n">
        <x:v>142</x:v>
      </x:c>
      <x:c r="B143" s="129" t="str">
        <x:v>2026-05</x:v>
      </x:c>
      <x:c r="C143" s="129" t="n">
        <x:v>34</x:v>
      </x:c>
      <x:c r="D143" s="129" t="str">
        <x:v>2605.08700</x:v>
      </x:c>
      <x:c r="E143" s="128" t="str">
        <x:v>The Ekeland-Nirenberg Variational Problem: A Sharp Positivity Threshold and Extensions</x:v>
      </x:c>
      <x:c r="F143" s="128" t="str">
        <x:v>Qi Guo; Xueping Huang; Yi Huang</x:v>
      </x:c>
      <x:c r="G143" s="128" t="str">
        <x:v>Geometric variational PDE</x:v>
      </x:c>
      <x:c r="H143" s="129"/>
      <x:c r="I143" s="130" t="n">
        <x:v>88.6</x:v>
      </x:c>
      <x:c r="J143" s="130" t="n">
        <x:v>88.69</x:v>
      </x:c>
      <x:c r="K143" s="130" t="n">
        <x:v>88.52</x:v>
      </x:c>
      <x:c r="L143" s="130" t="n">
        <x:v>90</x:v>
      </x:c>
      <x:c r="M143" s="130" t="n">
        <x:v>89.2</x:v>
      </x:c>
      <x:c r="N143" s="130" t="n">
        <x:v>90</x:v>
      </x:c>
      <x:c r="O143" s="130" t="n">
        <x:v>86.3</x:v>
      </x:c>
      <x:c r="P143" s="130" t="n">
        <x:v>90.1</x:v>
      </x:c>
      <x:c r="Q143" s="130" t="n">
        <x:v>84</x:v>
      </x:c>
      <x:c r="R143" s="130" t="n">
        <x:v>13</x:v>
      </x:c>
      <x:c r="S143" s="128" t="str">
        <x:v>https://arxiv.org/abs/2605.08700</x:v>
      </x:c>
      <x:c r="T143" s="128" t="str">
        <x:v>Ekeland--Nirenberg sharp threshold 稳定保留在May Top50。</x:v>
      </x:c>
    </x:row>
    <x:row r="144" ht="28" customHeight="1">
      <x:c r="A144" s="129" t="n">
        <x:v>143</x:v>
      </x:c>
      <x:c r="B144" s="129" t="str">
        <x:v>2026-06</x:v>
      </x:c>
      <x:c r="C144" s="129" t="n">
        <x:v>46</x:v>
      </x:c>
      <x:c r="D144" s="129" t="str">
        <x:v>2606.15644</x:v>
      </x:c>
      <x:c r="E144" s="128" t="str">
        <x:v>Minimizing and non-minimizing degree one W^{s,1/s}-harmonic maps between spheres</x:v>
      </x:c>
      <x:c r="F144" s="128" t="str">
        <x:v>Dorian Martino; Katarzyna Mazowiecka; Armin Schikorra</x:v>
      </x:c>
      <x:c r="G144" s="128" t="str">
        <x:v>fractional harmonic maps</x:v>
      </x:c>
      <x:c r="H144" s="129"/>
      <x:c r="I144" s="130" t="n">
        <x:v>88.6</x:v>
      </x:c>
      <x:c r="J144" s="130" t="n">
        <x:v>88.45</x:v>
      </x:c>
      <x:c r="K144" s="130" t="n">
        <x:v>88.75</x:v>
      </x:c>
      <x:c r="L144" s="130" t="n">
        <x:v>88</x:v>
      </x:c>
      <x:c r="M144" s="130" t="n">
        <x:v>89</x:v>
      </x:c>
      <x:c r="N144" s="130" t="n">
        <x:v>90</x:v>
      </x:c>
      <x:c r="O144" s="130" t="n">
        <x:v>87</x:v>
      </x:c>
      <x:c r="P144" s="130" t="n">
        <x:v>89</x:v>
      </x:c>
      <x:c r="Q144" s="130" t="n">
        <x:v>87</x:v>
      </x:c>
      <x:c r="R144" s="130" t="n">
        <x:v>12</x:v>
      </x:c>
      <x:c r="S144" s="128" t="str">
        <x:v>https://arxiv.org/abs/2606.15644</x:v>
      </x:c>
      <x:c r="T144" s="128" t="str">
        <x:v>三轮复核后与原表基本一致</x:v>
      </x:c>
    </x:row>
    <x:row r="145" ht="28" customHeight="1">
      <x:c r="A145" s="129" t="n">
        <x:v>144</x:v>
      </x:c>
      <x:c r="B145" s="129" t="str">
        <x:v>2026-05</x:v>
      </x:c>
      <x:c r="C145" s="129" t="n">
        <x:v>33</x:v>
      </x:c>
      <x:c r="D145" s="129" t="str">
        <x:v>2605.25327</x:v>
      </x:c>
      <x:c r="E145" s="128" t="str">
        <x:v>Soliton resolution conjecture for the Benjamin-Ono equation: Explicit L-infinity asymptotic error formula</x:v>
      </x:c>
      <x:c r="F145" s="128" t="str">
        <x:v>Hong-Yu Pan; Shou-Fu Tian</x:v>
      </x:c>
      <x:c r="G145" s="128" t="str">
        <x:v>Dispersive PDE / soliton resolution</x:v>
      </x:c>
      <x:c r="H145" s="129" t="n">
        <x:v>26</x:v>
      </x:c>
      <x:c r="I145" s="130" t="n">
        <x:v>88.57</x:v>
      </x:c>
      <x:c r="J145" s="130" t="n">
        <x:v>88.84</x:v>
      </x:c>
      <x:c r="K145" s="130" t="n">
        <x:v>88.3</x:v>
      </x:c>
      <x:c r="L145" s="130" t="n">
        <x:v>90.9</x:v>
      </x:c>
      <x:c r="M145" s="130" t="n">
        <x:v>89</x:v>
      </x:c>
      <x:c r="N145" s="130" t="n">
        <x:v>90</x:v>
      </x:c>
      <x:c r="O145" s="130" t="n">
        <x:v>85.8</x:v>
      </x:c>
      <x:c r="P145" s="130" t="n">
        <x:v>90</x:v>
      </x:c>
      <x:c r="Q145" s="130" t="n">
        <x:v>84</x:v>
      </x:c>
      <x:c r="R145" s="130" t="n">
        <x:v>14</x:v>
      </x:c>
      <x:c r="S145" s="128" t="str">
        <x:v>https://arxiv.org/abs/2605.25327</x:v>
      </x:c>
      <x:c r="T145" s="128" t="str">
        <x:v>范围偏专门，广度轻微回调</x:v>
      </x:c>
    </x:row>
    <x:row r="146" ht="28" customHeight="1">
      <x:c r="A146" s="129" t="n">
        <x:v>145</x:v>
      </x:c>
      <x:c r="B146" s="129" t="str">
        <x:v>2026-06</x:v>
      </x:c>
      <x:c r="C146" s="129" t="n">
        <x:v>50</x:v>
      </x:c>
      <x:c r="D146" s="129" t="str">
        <x:v>2606.09280</x:v>
      </x:c>
      <x:c r="E146" s="128" t="str">
        <x:v>The effect of geometric focusing on dispersive estimates for Schrodinger and wave equations</x:v>
      </x:c>
      <x:c r="F146" s="128" t="str">
        <x:v>Qiuye Jia; Junyong Zhang</x:v>
      </x:c>
      <x:c r="G146" s="128" t="str">
        <x:v>geometric dispersive estimates</x:v>
      </x:c>
      <x:c r="H146" s="129"/>
      <x:c r="I146" s="130" t="n">
        <x:v>88.56</x:v>
      </x:c>
      <x:c r="J146" s="130" t="n">
        <x:v>88.46</x:v>
      </x:c>
      <x:c r="K146" s="130" t="n">
        <x:v>88.65</x:v>
      </x:c>
      <x:c r="L146" s="130" t="n">
        <x:v>89.1</x:v>
      </x:c>
      <x:c r="M146" s="130" t="n">
        <x:v>89</x:v>
      </x:c>
      <x:c r="N146" s="130" t="n">
        <x:v>90.1</x:v>
      </x:c>
      <x:c r="O146" s="130" t="n">
        <x:v>86</x:v>
      </x:c>
      <x:c r="P146" s="130" t="n">
        <x:v>90.1</x:v>
      </x:c>
      <x:c r="Q146" s="130" t="n">
        <x:v>85</x:v>
      </x:c>
      <x:c r="R146" s="130" t="n">
        <x:v>13</x:v>
      </x:c>
      <x:c r="S146" s="128" t="str">
        <x:v>https://arxiv.org/abs/2606.09280</x:v>
      </x:c>
      <x:c r="T146" s="128" t="str">
        <x:v>三轮复核后与原表基本一致</x:v>
      </x:c>
    </x:row>
    <x:row r="147" ht="28" customHeight="1">
      <x:c r="A147" s="129" t="n">
        <x:v>146</x:v>
      </x:c>
      <x:c r="B147" s="129" t="str">
        <x:v>2026-05</x:v>
      </x:c>
      <x:c r="C147" s="129" t="n">
        <x:v>34</x:v>
      </x:c>
      <x:c r="D147" s="129" t="str">
        <x:v>2605.03734</x:v>
      </x:c>
      <x:c r="E147" s="128" t="str">
        <x:v>The stochastic tamed 3D Navier-Stokes equations in R^3</x:v>
      </x:c>
      <x:c r="F147" s="128" t="str">
        <x:v>Govind Chandra Podder; Gautam Kumar</x:v>
      </x:c>
      <x:c r="G147" s="128" t="str">
        <x:v>Stochastic Navier-Stokes</x:v>
      </x:c>
      <x:c r="H147" s="129" t="n">
        <x:v>109</x:v>
      </x:c>
      <x:c r="I147" s="130" t="n">
        <x:v>88.54</x:v>
      </x:c>
      <x:c r="J147" s="130" t="n">
        <x:v>88.53</x:v>
      </x:c>
      <x:c r="K147" s="130" t="n">
        <x:v>88.55</x:v>
      </x:c>
      <x:c r="L147" s="130" t="n">
        <x:v>90.1</x:v>
      </x:c>
      <x:c r="M147" s="130" t="n">
        <x:v>87</x:v>
      </x:c>
      <x:c r="N147" s="130" t="n">
        <x:v>92.2</x:v>
      </x:c>
      <x:c r="O147" s="130" t="n">
        <x:v>85</x:v>
      </x:c>
      <x:c r="P147" s="130" t="n">
        <x:v>92.2</x:v>
      </x:c>
      <x:c r="Q147" s="130" t="n">
        <x:v>83</x:v>
      </x:c>
      <x:c r="R147" s="130" t="n">
        <x:v>16</x:v>
      </x:c>
      <x:c r="S147" s="128" t="str">
        <x:v>https://arxiv.org/abs/2605.03734</x:v>
      </x:c>
      <x:c r="T147" s="128" t="str">
        <x:v>三轮复核后与原表基本一致</x:v>
      </x:c>
    </x:row>
    <x:row r="148" ht="28" customHeight="1">
      <x:c r="A148" s="129" t="n">
        <x:v>147</x:v>
      </x:c>
      <x:c r="B148" s="129" t="str">
        <x:v>2026-06</x:v>
      </x:c>
      <x:c r="C148" s="129" t="n">
        <x:v>47</x:v>
      </x:c>
      <x:c r="D148" s="129" t="str">
        <x:v>2606.29382</x:v>
      </x:c>
      <x:c r="E148" s="128" t="str">
        <x:v>The distance between homotopy classes of Sobolev maps on spheres</x:v>
      </x:c>
      <x:c r="F148" s="128" t="str">
        <x:v>Rupert L. Frank; Paata Ivanisvili</x:v>
      </x:c>
      <x:c r="G148" s="128" t="str">
        <x:v>Sobolev maps</x:v>
      </x:c>
      <x:c r="H148" s="129"/>
      <x:c r="I148" s="130" t="n">
        <x:v>88.53</x:v>
      </x:c>
      <x:c r="J148" s="130" t="n">
        <x:v>88.5</x:v>
      </x:c>
      <x:c r="K148" s="130" t="n">
        <x:v>88.55</x:v>
      </x:c>
      <x:c r="L148" s="130" t="n">
        <x:v>89</x:v>
      </x:c>
      <x:c r="M148" s="130" t="n">
        <x:v>89</x:v>
      </x:c>
      <x:c r="N148" s="130" t="n">
        <x:v>89</x:v>
      </x:c>
      <x:c r="O148" s="130" t="n">
        <x:v>87</x:v>
      </x:c>
      <x:c r="P148" s="130" t="n">
        <x:v>89</x:v>
      </x:c>
      <x:c r="Q148" s="130" t="n">
        <x:v>87</x:v>
      </x:c>
      <x:c r="R148" s="130" t="n">
        <x:v>12</x:v>
      </x:c>
      <x:c r="S148" s="128" t="str">
        <x:v>https://arxiv.org/abs/2606.29382</x:v>
      </x:c>
      <x:c r="T148" s="128" t="str">
        <x:v>三轮复核后与原表基本一致</x:v>
      </x:c>
    </x:row>
    <x:row r="149" ht="28" customHeight="1">
      <x:c r="A149" s="129" t="n">
        <x:v>148</x:v>
      </x:c>
      <x:c r="B149" s="129" t="str">
        <x:v>2026-07</x:v>
      </x:c>
      <x:c r="C149" s="129" t="n">
        <x:v>49</x:v>
      </x:c>
      <x:c r="D149" s="129" t="str">
        <x:v>2607.08060</x:v>
      </x:c>
      <x:c r="E149" s="128" t="str">
        <x:v>Finite-time breakdown of the Euler-alignment system for supercritical initial data</x:v>
      </x:c>
      <x:c r="F149" s="128" t="str">
        <x:v>Young-Pil Choi; Eitan Tadmor</x:v>
      </x:c>
      <x:c r="G149" s="128" t="str">
        <x:v>Euler-alignment / collective dynamics</x:v>
      </x:c>
      <x:c r="H149" s="129" t="str">
        <x:v>-</x:v>
      </x:c>
      <x:c r="I149" s="130" t="n">
        <x:v>88.53</x:v>
      </x:c>
      <x:c r="J149" s="130" t="n">
        <x:v>88.2</x:v>
      </x:c>
      <x:c r="K149" s="130" t="n">
        <x:v>88.85</x:v>
      </x:c>
      <x:c r="L149" s="130" t="n">
        <x:v>89</x:v>
      </x:c>
      <x:c r="M149" s="130" t="n">
        <x:v>88</x:v>
      </x:c>
      <x:c r="N149" s="130" t="n">
        <x:v>90</x:v>
      </x:c>
      <x:c r="O149" s="130" t="n">
        <x:v>86</x:v>
      </x:c>
      <x:c r="P149" s="130" t="n">
        <x:v>90</x:v>
      </x:c>
      <x:c r="Q149" s="130" t="n">
        <x:v>85</x:v>
      </x:c>
      <x:c r="R149" s="130" t="n">
        <x:v>10</x:v>
      </x:c>
      <x:c r="S149" s="128" t="str">
        <x:v>https://arxiv.org/abs/2607.08060</x:v>
      </x:c>
      <x:c r="T149" s="128" t="str">
        <x:v>Breakdown theorem for Euler-alignment; clear impact in nonlocal hydrodynamics.</x:v>
      </x:c>
    </x:row>
    <x:row r="150" ht="28" customHeight="1">
      <x:c r="A150" s="129" t="n">
        <x:v>149</x:v>
      </x:c>
      <x:c r="B150" s="129" t="str">
        <x:v>2026-08</x:v>
      </x:c>
      <x:c r="C150" s="129" t="n">
        <x:v>16</x:v>
      </x:c>
      <x:c r="D150" s="129" t="str">
        <x:v>2608.02330</x:v>
      </x:c>
      <x:c r="E150" s="128" t="str">
        <x:v>Strong ill-posedness for MHD equations in the supercritical regime</x:v>
      </x:c>
      <x:c r="F150" s="128" t="str">
        <x:v>Zhenyu Wan; Weikui Ye; Zhaoyang Yin</x:v>
      </x:c>
      <x:c r="G150" s="128" t="str">
        <x:v>MHD ill-posedness</x:v>
      </x:c>
      <x:c r="H150" s="129" t="str">
        <x:v>-</x:v>
      </x:c>
      <x:c r="I150" s="130" t="n">
        <x:v>88.53</x:v>
      </x:c>
      <x:c r="J150" s="130" t="n">
        <x:v>88.2</x:v>
      </x:c>
      <x:c r="K150" s="130" t="n">
        <x:v>88.85</x:v>
      </x:c>
      <x:c r="L150" s="130" t="n">
        <x:v>89</x:v>
      </x:c>
      <x:c r="M150" s="130" t="n">
        <x:v>88</x:v>
      </x:c>
      <x:c r="N150" s="130" t="n">
        <x:v>90</x:v>
      </x:c>
      <x:c r="O150" s="130" t="n">
        <x:v>86</x:v>
      </x:c>
      <x:c r="P150" s="130" t="n">
        <x:v>90</x:v>
      </x:c>
      <x:c r="Q150" s="130" t="n">
        <x:v>85</x:v>
      </x:c>
      <x:c r="R150" s="130" t="n">
        <x:v>10</x:v>
      </x:c>
      <x:c r="S150" s="128" t="str">
        <x:v>https://arxiv.org/abs/2608.02330</x:v>
      </x:c>
      <x:c r="T150" s="128" t="str">
        <x:v>Sharp ill-posedness statement in MHD supercritical spaces.</x:v>
      </x:c>
    </x:row>
    <x:row r="151" ht="28" customHeight="1">
      <x:c r="A151" s="129" t="n">
        <x:v>150</x:v>
      </x:c>
      <x:c r="B151" s="129" t="str">
        <x:v>2026-08</x:v>
      </x:c>
      <x:c r="C151" s="129" t="n">
        <x:v>17</x:v>
      </x:c>
      <x:c r="D151" s="129" t="str">
        <x:v>2608.02482</x:v>
      </x:c>
      <x:c r="E151" s="128" t="str">
        <x:v>Admissibility criteria for convex integration fan solutions and contact discontinuities in the Euler equations</x:v>
      </x:c>
      <x:c r="F151" s="128" t="str">
        <x:v>Heiko Gimperlein</x:v>
      </x:c>
      <x:c r="G151" s="128" t="str">
        <x:v>Euler/convex integration</x:v>
      </x:c>
      <x:c r="H151" s="129" t="n">
        <x:v>19</x:v>
      </x:c>
      <x:c r="I151" s="130" t="n">
        <x:v>88.53</x:v>
      </x:c>
      <x:c r="J151" s="130" t="n">
        <x:v>88.2</x:v>
      </x:c>
      <x:c r="K151" s="130" t="n">
        <x:v>88.85</x:v>
      </x:c>
      <x:c r="L151" s="130" t="n">
        <x:v>89</x:v>
      </x:c>
      <x:c r="M151" s="130" t="n">
        <x:v>88</x:v>
      </x:c>
      <x:c r="N151" s="130" t="n">
        <x:v>90</x:v>
      </x:c>
      <x:c r="O151" s="130" t="n">
        <x:v>86</x:v>
      </x:c>
      <x:c r="P151" s="130" t="n">
        <x:v>90</x:v>
      </x:c>
      <x:c r="Q151" s="130" t="n">
        <x:v>85</x:v>
      </x:c>
      <x:c r="R151" s="130" t="n">
        <x:v>10</x:v>
      </x:c>
      <x:c r="S151" s="128" t="str">
        <x:v>https://arxiv.org/abs/2608.02482</x:v>
      </x:c>
      <x:c r="T151" s="128" t="str">
        <x:v>Convex-integration admissibility for Euler contact discontinuities.</x:v>
      </x:c>
    </x:row>
    <x:row r="152" ht="28" customHeight="1">
      <x:c r="A152" s="129" t="n">
        <x:v>151</x:v>
      </x:c>
      <x:c r="B152" s="129" t="str">
        <x:v>2026-06</x:v>
      </x:c>
      <x:c r="C152" s="129" t="n">
        <x:v>48</x:v>
      </x:c>
      <x:c r="D152" s="129" t="str">
        <x:v>2606.12825</x:v>
      </x:c>
      <x:c r="E152" s="128" t="str">
        <x:v>Optimal minimax formula for bounds on ensemble averages of statistically stationary three-dimensional Navier-Stokes flows</x:v>
      </x:c>
      <x:c r="F152" s="128" t="str">
        <x:v>Anne Bronzi; Cecilia F. Mondaini; Ricardo M. S. Rosa</x:v>
      </x:c>
      <x:c r="G152" s="128" t="str">
        <x:v>Navier-Stokes/statistical solutions</x:v>
      </x:c>
      <x:c r="H152" s="129"/>
      <x:c r="I152" s="130" t="n">
        <x:v>88.52</x:v>
      </x:c>
      <x:c r="J152" s="130" t="n">
        <x:v>88.44</x:v>
      </x:c>
      <x:c r="K152" s="130" t="n">
        <x:v>88.6</x:v>
      </x:c>
      <x:c r="L152" s="130" t="n">
        <x:v>89</x:v>
      </x:c>
      <x:c r="M152" s="130" t="n">
        <x:v>88</x:v>
      </x:c>
      <x:c r="N152" s="130" t="n">
        <x:v>90.1</x:v>
      </x:c>
      <x:c r="O152" s="130" t="n">
        <x:v>86.8</x:v>
      </x:c>
      <x:c r="P152" s="130" t="n">
        <x:v>90.1</x:v>
      </x:c>
      <x:c r="Q152" s="130" t="n">
        <x:v>86</x:v>
      </x:c>
      <x:c r="R152" s="130" t="n">
        <x:v>13</x:v>
      </x:c>
      <x:c r="S152" s="128" t="str">
        <x:v>https://arxiv.org/abs/2606.12825</x:v>
      </x:c>
      <x:c r="T152" s="128" t="str">
        <x:v>范围偏专门，广度轻微回调</x:v>
      </x:c>
    </x:row>
    <x:row r="153" ht="28" customHeight="1">
      <x:c r="A153" s="129" t="n">
        <x:v>152</x:v>
      </x:c>
      <x:c r="B153" s="129" t="str">
        <x:v>2026-07</x:v>
      </x:c>
      <x:c r="C153" s="129" t="n">
        <x:v>50</x:v>
      </x:c>
      <x:c r="D153" s="129" t="str">
        <x:v>2607.17115</x:v>
      </x:c>
      <x:c r="E153" s="128" t="str">
        <x:v>Enhanced stability and asymptotic limits to non-isentropic compressible fluid-particle interaction model</x:v>
      </x:c>
      <x:c r="F153" s="128" t="str">
        <x:v>Fucai Li; Jinkai Ni; Zhouping Xin</x:v>
      </x:c>
      <x:c r="G153" s="128" t="str">
        <x:v>fluid-particle interaction</x:v>
      </x:c>
      <x:c r="H153" s="129" t="n">
        <x:v>76</x:v>
      </x:c>
      <x:c r="I153" s="130" t="n">
        <x:v>88.5</x:v>
      </x:c>
      <x:c r="J153" s="130" t="n">
        <x:v>88.25</x:v>
      </x:c>
      <x:c r="K153" s="130" t="n">
        <x:v>88.75</x:v>
      </x:c>
      <x:c r="L153" s="130" t="n">
        <x:v>89</x:v>
      </x:c>
      <x:c r="M153" s="130" t="n">
        <x:v>88</x:v>
      </x:c>
      <x:c r="N153" s="130" t="n">
        <x:v>91</x:v>
      </x:c>
      <x:c r="O153" s="130" t="n">
        <x:v>86</x:v>
      </x:c>
      <x:c r="P153" s="130" t="n">
        <x:v>91</x:v>
      </x:c>
      <x:c r="Q153" s="130" t="n">
        <x:v>83</x:v>
      </x:c>
      <x:c r="R153" s="130" t="n">
        <x:v>12</x:v>
      </x:c>
      <x:c r="S153" s="128" t="str">
        <x:v>https://arxiv.org/abs/2607.17115</x:v>
      </x:c>
      <x:c r="T153" s="128" t="str">
        <x:v>Later July exact high-value candidate included in 30% competitive pool.</x:v>
      </x:c>
    </x:row>
    <x:row r="154" ht="28" customHeight="1">
      <x:c r="A154" s="129" t="n">
        <x:v>153</x:v>
      </x:c>
      <x:c r="B154" s="129" t="str">
        <x:v>2026-08</x:v>
      </x:c>
      <x:c r="C154" s="129" t="n">
        <x:v>18</x:v>
      </x:c>
      <x:c r="D154" s="129" t="str">
        <x:v>2608.02377</x:v>
      </x:c>
      <x:c r="E154" s="128" t="str">
        <x:v>Spectrum analysis and optimal time decay rates of a kinetic-fluid-Poisson system</x:v>
      </x:c>
      <x:c r="F154" s="128" t="str">
        <x:v>Junhao Chen; Hailiang Li; Mingying Zhong</x:v>
      </x:c>
      <x:c r="G154" s="128" t="str">
        <x:v>kinetic-fluid-Poisson</x:v>
      </x:c>
      <x:c r="H154" s="129" t="n">
        <x:v>47</x:v>
      </x:c>
      <x:c r="I154" s="130" t="n">
        <x:v>88.45</x:v>
      </x:c>
      <x:c r="J154" s="130" t="n">
        <x:v>88.2</x:v>
      </x:c>
      <x:c r="K154" s="130" t="n">
        <x:v>88.7</x:v>
      </x:c>
      <x:c r="L154" s="130" t="n">
        <x:v>89</x:v>
      </x:c>
      <x:c r="M154" s="130" t="n">
        <x:v>88</x:v>
      </x:c>
      <x:c r="N154" s="130" t="n">
        <x:v>90</x:v>
      </x:c>
      <x:c r="O154" s="130" t="n">
        <x:v>86</x:v>
      </x:c>
      <x:c r="P154" s="130" t="n">
        <x:v>90</x:v>
      </x:c>
      <x:c r="Q154" s="130" t="n">
        <x:v>85</x:v>
      </x:c>
      <x:c r="R154" s="130" t="n">
        <x:v>11</x:v>
      </x:c>
      <x:c r="S154" s="128" t="str">
        <x:v>https://arxiv.org/abs/2608.02377</x:v>
      </x:c>
      <x:c r="T154" s="128" t="str">
        <x:v>Spectral/time-decay analysis for kinetic-fluid-Poisson coupling.</x:v>
      </x:c>
    </x:row>
    <x:row r="155" ht="28" customHeight="1">
      <x:c r="A155" s="129" t="n">
        <x:v>154</x:v>
      </x:c>
      <x:c r="B155" s="129" t="str">
        <x:v>2026-07</x:v>
      </x:c>
      <x:c r="C155" s="129" t="n">
        <x:v>51</x:v>
      </x:c>
      <x:c r="D155" s="129" t="str">
        <x:v>2607.03930</x:v>
      </x:c>
      <x:c r="E155" s="128" t="str">
        <x:v>De Giorgi varifold solutions to Mean Curvature Flow: a minimizing movements approach</x:v>
      </x:c>
      <x:c r="F155" s="128" t="str">
        <x:v>Tim Laux; Andrea Poiatti</x:v>
      </x:c>
      <x:c r="G155" s="128" t="str">
        <x:v>mean curvature flow</x:v>
      </x:c>
      <x:c r="H155" s="129" t="str">
        <x:v>-</x:v>
      </x:c>
      <x:c r="I155" s="130" t="n">
        <x:v>88.4</x:v>
      </x:c>
      <x:c r="J155" s="130" t="n">
        <x:v>88.1</x:v>
      </x:c>
      <x:c r="K155" s="130" t="n">
        <x:v>88.7</x:v>
      </x:c>
      <x:c r="L155" s="130" t="n">
        <x:v>89</x:v>
      </x:c>
      <x:c r="M155" s="130" t="n">
        <x:v>88</x:v>
      </x:c>
      <x:c r="N155" s="130" t="n">
        <x:v>90</x:v>
      </x:c>
      <x:c r="O155" s="130" t="n">
        <x:v>86</x:v>
      </x:c>
      <x:c r="P155" s="130" t="n">
        <x:v>90</x:v>
      </x:c>
      <x:c r="Q155" s="130" t="n">
        <x:v>84</x:v>
      </x:c>
      <x:c r="R155" s="130" t="n">
        <x:v>10</x:v>
      </x:c>
      <x:c r="S155" s="128" t="str">
        <x:v>https://arxiv.org/abs/2607.03930</x:v>
      </x:c>
      <x:c r="T155" s="128" t="str">
        <x:v>Conceptual construction of varifold MCF solutions via minimizing movements.</x:v>
      </x:c>
    </x:row>
    <x:row r="156" ht="28" customHeight="1">
      <x:c r="A156" s="129" t="n">
        <x:v>155</x:v>
      </x:c>
      <x:c r="B156" s="129" t="str">
        <x:v>2026-07</x:v>
      </x:c>
      <x:c r="C156" s="129" t="n">
        <x:v>52</x:v>
      </x:c>
      <x:c r="D156" s="129" t="str">
        <x:v>2607.04952</x:v>
      </x:c>
      <x:c r="E156" s="128" t="str">
        <x:v>Nonexistence of blow-up solutions with smooth radiation for energy-critical equivariant wave maps</x:v>
      </x:c>
      <x:c r="F156" s="128" t="str">
        <x:v>Jacek Jendrej; Yuchen Yin; Lifeng Zhao</x:v>
      </x:c>
      <x:c r="G156" s="128" t="str">
        <x:v>wave maps / blow-up</x:v>
      </x:c>
      <x:c r="H156" s="129" t="n">
        <x:v>35</x:v>
      </x:c>
      <x:c r="I156" s="130" t="n">
        <x:v>88.4</x:v>
      </x:c>
      <x:c r="J156" s="130" t="n">
        <x:v>88.1</x:v>
      </x:c>
      <x:c r="K156" s="130" t="n">
        <x:v>88.7</x:v>
      </x:c>
      <x:c r="L156" s="130" t="n">
        <x:v>89</x:v>
      </x:c>
      <x:c r="M156" s="130" t="n">
        <x:v>88</x:v>
      </x:c>
      <x:c r="N156" s="130" t="n">
        <x:v>90</x:v>
      </x:c>
      <x:c r="O156" s="130" t="n">
        <x:v>86</x:v>
      </x:c>
      <x:c r="P156" s="130" t="n">
        <x:v>90</x:v>
      </x:c>
      <x:c r="Q156" s="130" t="n">
        <x:v>84</x:v>
      </x:c>
      <x:c r="R156" s="130" t="n">
        <x:v>10</x:v>
      </x:c>
      <x:c r="S156" s="128" t="str">
        <x:v>https://arxiv.org/abs/2607.04952</x:v>
      </x:c>
      <x:c r="T156" s="128" t="str">
        <x:v>Sharp exclusion/nonexistence result around energy-critical wave maps.</x:v>
      </x:c>
    </x:row>
    <x:row r="157" ht="28" customHeight="1">
      <x:c r="A157" s="129" t="n">
        <x:v>156</x:v>
      </x:c>
      <x:c r="B157" s="129" t="str">
        <x:v>2026-07</x:v>
      </x:c>
      <x:c r="C157" s="129" t="n">
        <x:v>53</x:v>
      </x:c>
      <x:c r="D157" s="129" t="str">
        <x:v>2607.07155</x:v>
      </x:c>
      <x:c r="E157" s="128" t="str">
        <x:v>Unconditional Uniqueness for the Energy-critical and Energy-supercritical Quadratic NLS</x:v>
      </x:c>
      <x:c r="F157" s="128" t="str">
        <x:v>Shunlin Shen</x:v>
      </x:c>
      <x:c r="G157" s="128" t="str">
        <x:v>NLS uniqueness</x:v>
      </x:c>
      <x:c r="H157" s="129" t="str">
        <x:v>-</x:v>
      </x:c>
      <x:c r="I157" s="130" t="n">
        <x:v>88.4</x:v>
      </x:c>
      <x:c r="J157" s="130" t="n">
        <x:v>88.1</x:v>
      </x:c>
      <x:c r="K157" s="130" t="n">
        <x:v>88.7</x:v>
      </x:c>
      <x:c r="L157" s="130" t="n">
        <x:v>89</x:v>
      </x:c>
      <x:c r="M157" s="130" t="n">
        <x:v>88</x:v>
      </x:c>
      <x:c r="N157" s="130" t="n">
        <x:v>90</x:v>
      </x:c>
      <x:c r="O157" s="130" t="n">
        <x:v>86</x:v>
      </x:c>
      <x:c r="P157" s="130" t="n">
        <x:v>90</x:v>
      </x:c>
      <x:c r="Q157" s="130" t="n">
        <x:v>84</x:v>
      </x:c>
      <x:c r="R157" s="130" t="n">
        <x:v>10</x:v>
      </x:c>
      <x:c r="S157" s="128" t="str">
        <x:v>https://arxiv.org/abs/2607.07155</x:v>
      </x:c>
      <x:c r="T157" s="128" t="str">
        <x:v>Later July exact high-value candidate included in 30% competitive pool.</x:v>
      </x:c>
    </x:row>
    <x:row r="158" ht="28" customHeight="1">
      <x:c r="A158" s="129" t="n">
        <x:v>157</x:v>
      </x:c>
      <x:c r="B158" s="129" t="str">
        <x:v>2026-07</x:v>
      </x:c>
      <x:c r="C158" s="129" t="n">
        <x:v>54</x:v>
      </x:c>
      <x:c r="D158" s="129" t="str">
        <x:v>2607.11132</x:v>
      </x:c>
      <x:c r="E158" s="128" t="str">
        <x:v>A refined blow-up analysis of the Brezis-Nirenberg equation and its application: The one-bubble case for N&gt;=4</x:v>
      </x:c>
      <x:c r="F158" s="128" t="str">
        <x:v>Rui He; Xiangqing Liu; Juncheng Wei; Yuanze Wu</x:v>
      </x:c>
      <x:c r="G158" s="128" t="str">
        <x:v>elliptic blow-up analysis</x:v>
      </x:c>
      <x:c r="H158" s="129" t="str">
        <x:v>-</x:v>
      </x:c>
      <x:c r="I158" s="130" t="n">
        <x:v>88.4</x:v>
      </x:c>
      <x:c r="J158" s="130" t="n">
        <x:v>88.1</x:v>
      </x:c>
      <x:c r="K158" s="130" t="n">
        <x:v>88.7</x:v>
      </x:c>
      <x:c r="L158" s="130" t="n">
        <x:v>89</x:v>
      </x:c>
      <x:c r="M158" s="130" t="n">
        <x:v>88</x:v>
      </x:c>
      <x:c r="N158" s="130" t="n">
        <x:v>90</x:v>
      </x:c>
      <x:c r="O158" s="130" t="n">
        <x:v>86</x:v>
      </x:c>
      <x:c r="P158" s="130" t="n">
        <x:v>90</x:v>
      </x:c>
      <x:c r="Q158" s="130" t="n">
        <x:v>84</x:v>
      </x:c>
      <x:c r="R158" s="130" t="n">
        <x:v>10</x:v>
      </x:c>
      <x:c r="S158" s="128" t="str">
        <x:v>https://arxiv.org/abs/2607.11132</x:v>
      </x:c>
      <x:c r="T158" s="128" t="str">
        <x:v>Refined one-bubble Brezis-Nirenberg analysis; technically strong elliptic PDE.</x:v>
      </x:c>
    </x:row>
    <x:row r="159" ht="28" customHeight="1">
      <x:c r="A159" s="129" t="n">
        <x:v>158</x:v>
      </x:c>
      <x:c r="B159" s="129" t="str">
        <x:v>2026-07</x:v>
      </x:c>
      <x:c r="C159" s="129" t="n">
        <x:v>55</x:v>
      </x:c>
      <x:c r="D159" s="129" t="str">
        <x:v>2607.15795</x:v>
      </x:c>
      <x:c r="E159" s="128" t="str">
        <x:v>Partial regularity for vectorial local-nonlocal problems</x:v>
      </x:c>
      <x:c r="F159" s="128" t="str">
        <x:v>Carlo Alberto Antonini; Paolo Baroni</x:v>
      </x:c>
      <x:c r="G159" s="128" t="str">
        <x:v>partial regularity</x:v>
      </x:c>
      <x:c r="H159" s="129" t="str">
        <x:v>-</x:v>
      </x:c>
      <x:c r="I159" s="130" t="n">
        <x:v>88.4</x:v>
      </x:c>
      <x:c r="J159" s="130" t="n">
        <x:v>88.1</x:v>
      </x:c>
      <x:c r="K159" s="130" t="n">
        <x:v>88.7</x:v>
      </x:c>
      <x:c r="L159" s="130" t="n">
        <x:v>89</x:v>
      </x:c>
      <x:c r="M159" s="130" t="n">
        <x:v>88</x:v>
      </x:c>
      <x:c r="N159" s="130" t="n">
        <x:v>90</x:v>
      </x:c>
      <x:c r="O159" s="130" t="n">
        <x:v>86</x:v>
      </x:c>
      <x:c r="P159" s="130" t="n">
        <x:v>90</x:v>
      </x:c>
      <x:c r="Q159" s="130" t="n">
        <x:v>84</x:v>
      </x:c>
      <x:c r="R159" s="130" t="n">
        <x:v>10</x:v>
      </x:c>
      <x:c r="S159" s="128" t="str">
        <x:v>https://arxiv.org/abs/2607.15795</x:v>
      </x:c>
      <x:c r="T159" s="128" t="str">
        <x:v>Later July exact high-value candidate included in 30% competitive pool.</x:v>
      </x:c>
    </x:row>
    <x:row r="160" ht="28" customHeight="1">
      <x:c r="A160" s="129" t="n">
        <x:v>159</x:v>
      </x:c>
      <x:c r="B160" s="129" t="str">
        <x:v>2026-05</x:v>
      </x:c>
      <x:c r="C160" s="129" t="n">
        <x:v>36</x:v>
      </x:c>
      <x:c r="D160" s="129" t="str">
        <x:v>2605.00407</x:v>
      </x:c>
      <x:c r="E160" s="128" t="str">
        <x:v>Gradient blowup of smooth vacuum solutions to 1D compressible Euler equations</x:v>
      </x:c>
      <x:c r="F160" s="128" t="str">
        <x:v>Juhi Jang; Jiaqi Liu; Nader Masmoudi</x:v>
      </x:c>
      <x:c r="G160" s="128" t="str">
        <x:v>Compressible Euler / blow-up</x:v>
      </x:c>
      <x:c r="H160" s="129"/>
      <x:c r="I160" s="130" t="n">
        <x:v>88.35</x:v>
      </x:c>
      <x:c r="J160" s="130" t="n">
        <x:v>88.41</x:v>
      </x:c>
      <x:c r="K160" s="130" t="n">
        <x:v>88.3</x:v>
      </x:c>
      <x:c r="L160" s="130" t="n">
        <x:v>90.1</x:v>
      </x:c>
      <x:c r="M160" s="130" t="n">
        <x:v>88</x:v>
      </x:c>
      <x:c r="N160" s="130" t="n">
        <x:v>90.1</x:v>
      </x:c>
      <x:c r="O160" s="130" t="n">
        <x:v>85</x:v>
      </x:c>
      <x:c r="P160" s="130" t="n">
        <x:v>90.1</x:v>
      </x:c>
      <x:c r="Q160" s="130" t="n">
        <x:v>85</x:v>
      </x:c>
      <x:c r="R160" s="130" t="n">
        <x:v>14</x:v>
      </x:c>
      <x:c r="S160" s="128" t="str">
        <x:v>https://arxiv.org/abs/2605.00407</x:v>
      </x:c>
      <x:c r="T160" s="128" t="str">
        <x:v>三轮复核后与原表基本一致</x:v>
      </x:c>
    </x:row>
    <x:row r="161" ht="28" customHeight="1">
      <x:c r="A161" s="129" t="n">
        <x:v>160</x:v>
      </x:c>
      <x:c r="B161" s="129" t="str">
        <x:v>2026-07</x:v>
      </x:c>
      <x:c r="C161" s="129" t="n">
        <x:v>56</x:v>
      </x:c>
      <x:c r="D161" s="129" t="str">
        <x:v>2607.02992</x:v>
      </x:c>
      <x:c r="E161" s="128" t="str">
        <x:v>A Trichotomy for Modified Scattering Across the Yukawa-Coulomb Transition</x:v>
      </x:c>
      <x:c r="F161" s="128" t="str">
        <x:v>Yonggeun Cho; Jinyeop Lee</x:v>
      </x:c>
      <x:c r="G161" s="128" t="str">
        <x:v>modified scattering</x:v>
      </x:c>
      <x:c r="H161" s="129" t="str">
        <x:v>-</x:v>
      </x:c>
      <x:c r="I161" s="130" t="n">
        <x:v>88.32</x:v>
      </x:c>
      <x:c r="J161" s="130" t="n">
        <x:v>88.1</x:v>
      </x:c>
      <x:c r="K161" s="130" t="n">
        <x:v>88.55</x:v>
      </x:c>
      <x:c r="L161" s="130" t="n">
        <x:v>89</x:v>
      </x:c>
      <x:c r="M161" s="130" t="n">
        <x:v>88</x:v>
      </x:c>
      <x:c r="N161" s="130" t="n">
        <x:v>90</x:v>
      </x:c>
      <x:c r="O161" s="130" t="n">
        <x:v>86</x:v>
      </x:c>
      <x:c r="P161" s="130" t="n">
        <x:v>90</x:v>
      </x:c>
      <x:c r="Q161" s="130" t="n">
        <x:v>84</x:v>
      </x:c>
      <x:c r="R161" s="130" t="n">
        <x:v>11</x:v>
      </x:c>
      <x:c r="S161" s="128" t="str">
        <x:v>https://arxiv.org/abs/2607.02992</x:v>
      </x:c>
      <x:c r="T161" s="128" t="str">
        <x:v>Interesting modified scattering trichotomy across long-range regimes.</x:v>
      </x:c>
    </x:row>
    <x:row r="162" ht="28" customHeight="1">
      <x:c r="A162" s="129" t="n">
        <x:v>161</x:v>
      </x:c>
      <x:c r="B162" s="129" t="str">
        <x:v>2026-07</x:v>
      </x:c>
      <x:c r="C162" s="129" t="n">
        <x:v>57</x:v>
      </x:c>
      <x:c r="D162" s="129" t="str">
        <x:v>2607.04575</x:v>
      </x:c>
      <x:c r="E162" s="128" t="str">
        <x:v>Global existence of small data solutions to 3-D semilinear Euler-Poisson-Darboux equations</x:v>
      </x:c>
      <x:c r="F162" s="128" t="str">
        <x:v>Qianqian Li; Huicheng Yin</x:v>
      </x:c>
      <x:c r="G162" s="128" t="str">
        <x:v>Euler-Poisson-Darboux</x:v>
      </x:c>
      <x:c r="H162" s="129" t="str">
        <x:v>-</x:v>
      </x:c>
      <x:c r="I162" s="130" t="n">
        <x:v>88.28</x:v>
      </x:c>
      <x:c r="J162" s="130" t="n">
        <x:v>88.2</x:v>
      </x:c>
      <x:c r="K162" s="130" t="n">
        <x:v>88.35</x:v>
      </x:c>
      <x:c r="L162" s="130" t="n">
        <x:v>89</x:v>
      </x:c>
      <x:c r="M162" s="130" t="n">
        <x:v>87</x:v>
      </x:c>
      <x:c r="N162" s="130" t="n">
        <x:v>90</x:v>
      </x:c>
      <x:c r="O162" s="130" t="n">
        <x:v>86</x:v>
      </x:c>
      <x:c r="P162" s="130" t="n">
        <x:v>90</x:v>
      </x:c>
      <x:c r="Q162" s="130" t="n">
        <x:v>87</x:v>
      </x:c>
      <x:c r="R162" s="130" t="n">
        <x:v>14</x:v>
      </x:c>
      <x:c r="S162" s="128" t="str">
        <x:v>https://arxiv.org/abs/2607.04575</x:v>
      </x:c>
      <x:c r="T162" s="128" t="str">
        <x:v>Background row in the 30% scored pool; title/authors from official July list.</x:v>
      </x:c>
    </x:row>
    <x:row r="163" ht="28" customHeight="1">
      <x:c r="A163" s="129" t="n">
        <x:v>162</x:v>
      </x:c>
      <x:c r="B163" s="129" t="str">
        <x:v>2026-07</x:v>
      </x:c>
      <x:c r="C163" s="129" t="n">
        <x:v>58</x:v>
      </x:c>
      <x:c r="D163" s="129" t="str">
        <x:v>2607.04773</x:v>
      </x:c>
      <x:c r="E163" s="128" t="str">
        <x:v>Lipschitz regularity for orthotropic functionals with general growth</x:v>
      </x:c>
      <x:c r="F163" s="128" t="str">
        <x:v>Mikyoung Lee; Jihoon Ok; Bianca Stroffolini</x:v>
      </x:c>
      <x:c r="G163" s="128" t="str">
        <x:v>regularity theory</x:v>
      </x:c>
      <x:c r="H163" s="129" t="str">
        <x:v>-</x:v>
      </x:c>
      <x:c r="I163" s="130" t="n">
        <x:v>88.28</x:v>
      </x:c>
      <x:c r="J163" s="130" t="n">
        <x:v>88.2</x:v>
      </x:c>
      <x:c r="K163" s="130" t="n">
        <x:v>88.35</x:v>
      </x:c>
      <x:c r="L163" s="130" t="n">
        <x:v>89</x:v>
      </x:c>
      <x:c r="M163" s="130" t="n">
        <x:v>87</x:v>
      </x:c>
      <x:c r="N163" s="130" t="n">
        <x:v>90</x:v>
      </x:c>
      <x:c r="O163" s="130" t="n">
        <x:v>86</x:v>
      </x:c>
      <x:c r="P163" s="130" t="n">
        <x:v>90</x:v>
      </x:c>
      <x:c r="Q163" s="130" t="n">
        <x:v>87</x:v>
      </x:c>
      <x:c r="R163" s="130" t="n">
        <x:v>14</x:v>
      </x:c>
      <x:c r="S163" s="128" t="str">
        <x:v>https://arxiv.org/abs/2607.04773</x:v>
      </x:c>
      <x:c r="T163" s="128" t="str">
        <x:v>Background row in the 30% scored pool; title/authors from official July list.</x:v>
      </x:c>
    </x:row>
    <x:row r="164" ht="28" customHeight="1">
      <x:c r="A164" s="129" t="n">
        <x:v>163</x:v>
      </x:c>
      <x:c r="B164" s="129" t="str">
        <x:v>2026-07</x:v>
      </x:c>
      <x:c r="C164" s="129" t="n">
        <x:v>59</x:v>
      </x:c>
      <x:c r="D164" s="129" t="str">
        <x:v>2607.08598</x:v>
      </x:c>
      <x:c r="E164" s="128" t="str">
        <x:v>Localized gradient enhancement near anisotropic electromagnetic scatterers</x:v>
      </x:c>
      <x:c r="F164" s="128" t="str">
        <x:v>Weisheng Zhou; Huaian Diao; Hongyu Liu</x:v>
      </x:c>
      <x:c r="G164" s="128" t="str">
        <x:v>inverse/scattering PDE</x:v>
      </x:c>
      <x:c r="H164" s="129" t="str">
        <x:v>-</x:v>
      </x:c>
      <x:c r="I164" s="130" t="n">
        <x:v>88.28</x:v>
      </x:c>
      <x:c r="J164" s="130" t="n">
        <x:v>88.2</x:v>
      </x:c>
      <x:c r="K164" s="130" t="n">
        <x:v>88.35</x:v>
      </x:c>
      <x:c r="L164" s="130" t="n">
        <x:v>89</x:v>
      </x:c>
      <x:c r="M164" s="130" t="n">
        <x:v>87</x:v>
      </x:c>
      <x:c r="N164" s="130" t="n">
        <x:v>90</x:v>
      </x:c>
      <x:c r="O164" s="130" t="n">
        <x:v>86</x:v>
      </x:c>
      <x:c r="P164" s="130" t="n">
        <x:v>90</x:v>
      </x:c>
      <x:c r="Q164" s="130" t="n">
        <x:v>87</x:v>
      </x:c>
      <x:c r="R164" s="130" t="n">
        <x:v>14</x:v>
      </x:c>
      <x:c r="S164" s="128" t="str">
        <x:v>https://arxiv.org/abs/2607.08598</x:v>
      </x:c>
      <x:c r="T164" s="128" t="str">
        <x:v>Background row in the 30% scored pool; title/authors from official July list.</x:v>
      </x:c>
    </x:row>
    <x:row r="165" ht="28" customHeight="1">
      <x:c r="A165" s="129" t="n">
        <x:v>164</x:v>
      </x:c>
      <x:c r="B165" s="129" t="str">
        <x:v>2026-07</x:v>
      </x:c>
      <x:c r="C165" s="129" t="n">
        <x:v>60</x:v>
      </x:c>
      <x:c r="D165" s="129" t="str">
        <x:v>2607.09303</x:v>
      </x:c>
      <x:c r="E165" s="128" t="str">
        <x:v>Local well-posedness for nonlinear Dirac equation on N-star metric graphs</x:v>
      </x:c>
      <x:c r="F165" s="128" t="str">
        <x:v>Huichao Xing; Zhipeng Yang</x:v>
      </x:c>
      <x:c r="G165" s="128" t="str">
        <x:v>Dirac equations</x:v>
      </x:c>
      <x:c r="H165" s="129" t="n">
        <x:v>20</x:v>
      </x:c>
      <x:c r="I165" s="130" t="n">
        <x:v>88.28</x:v>
      </x:c>
      <x:c r="J165" s="130" t="n">
        <x:v>88.2</x:v>
      </x:c>
      <x:c r="K165" s="130" t="n">
        <x:v>88.35</x:v>
      </x:c>
      <x:c r="L165" s="130" t="n">
        <x:v>89</x:v>
      </x:c>
      <x:c r="M165" s="130" t="n">
        <x:v>87</x:v>
      </x:c>
      <x:c r="N165" s="130" t="n">
        <x:v>90</x:v>
      </x:c>
      <x:c r="O165" s="130" t="n">
        <x:v>86</x:v>
      </x:c>
      <x:c r="P165" s="130" t="n">
        <x:v>90</x:v>
      </x:c>
      <x:c r="Q165" s="130" t="n">
        <x:v>87</x:v>
      </x:c>
      <x:c r="R165" s="130" t="n">
        <x:v>14</x:v>
      </x:c>
      <x:c r="S165" s="128" t="str">
        <x:v>https://arxiv.org/abs/2607.09303</x:v>
      </x:c>
      <x:c r="T165" s="128" t="str">
        <x:v>Background row in the 30% scored pool; title/authors from official July list.</x:v>
      </x:c>
    </x:row>
    <x:row r="166" ht="28" customHeight="1">
      <x:c r="A166" s="129" t="n">
        <x:v>165</x:v>
      </x:c>
      <x:c r="B166" s="129" t="str">
        <x:v>2026-07</x:v>
      </x:c>
      <x:c r="C166" s="129" t="n">
        <x:v>61</x:v>
      </x:c>
      <x:c r="D166" s="129" t="str">
        <x:v>2607.10676</x:v>
      </x:c>
      <x:c r="E166" s="128" t="str">
        <x:v>L2(R2) Well-Posedness and Logarithmic Lipschitz Regularity for the Density Patch Problem</x:v>
      </x:c>
      <x:c r="F166" s="128" t="str">
        <x:v>Alessandro Violini</x:v>
      </x:c>
      <x:c r="G166" s="128" t="str">
        <x:v>density patch</x:v>
      </x:c>
      <x:c r="H166" s="129" t="str">
        <x:v>-</x:v>
      </x:c>
      <x:c r="I166" s="130" t="n">
        <x:v>88.28</x:v>
      </x:c>
      <x:c r="J166" s="130" t="n">
        <x:v>88.2</x:v>
      </x:c>
      <x:c r="K166" s="130" t="n">
        <x:v>88.35</x:v>
      </x:c>
      <x:c r="L166" s="130" t="n">
        <x:v>89</x:v>
      </x:c>
      <x:c r="M166" s="130" t="n">
        <x:v>87</x:v>
      </x:c>
      <x:c r="N166" s="130" t="n">
        <x:v>90</x:v>
      </x:c>
      <x:c r="O166" s="130" t="n">
        <x:v>86</x:v>
      </x:c>
      <x:c r="P166" s="130" t="n">
        <x:v>90</x:v>
      </x:c>
      <x:c r="Q166" s="130" t="n">
        <x:v>87</x:v>
      </x:c>
      <x:c r="R166" s="130" t="n">
        <x:v>14</x:v>
      </x:c>
      <x:c r="S166" s="128" t="str">
        <x:v>https://arxiv.org/abs/2607.10676</x:v>
      </x:c>
      <x:c r="T166" s="128" t="str">
        <x:v>Background row in the 30% scored pool; title/authors from official July list.</x:v>
      </x:c>
    </x:row>
    <x:row r="167" ht="28" customHeight="1">
      <x:c r="A167" s="129" t="n">
        <x:v>166</x:v>
      </x:c>
      <x:c r="B167" s="129" t="str">
        <x:v>2026-07</x:v>
      </x:c>
      <x:c r="C167" s="129" t="n">
        <x:v>62</x:v>
      </x:c>
      <x:c r="D167" s="129" t="str">
        <x:v>2607.03064</x:v>
      </x:c>
      <x:c r="E167" s="128" t="str">
        <x:v>High-frequency spectral asymptotics and homogenization for quasiperiodic operators</x:v>
      </x:c>
      <x:c r="F167" s="128" t="str">
        <x:v>Elena Cherkaev; Bryn Davies; Sébastien Guenneau; Clemens Thalhammer; Niklas Wellander</x:v>
      </x:c>
      <x:c r="G167" s="128" t="str">
        <x:v>homogenization / spectral theory</x:v>
      </x:c>
      <x:c r="H167" s="129" t="str">
        <x:v>-</x:v>
      </x:c>
      <x:c r="I167" s="130" t="n">
        <x:v>88.25</x:v>
      </x:c>
      <x:c r="J167" s="130" t="n">
        <x:v>88.1</x:v>
      </x:c>
      <x:c r="K167" s="130" t="n">
        <x:v>88.4</x:v>
      </x:c>
      <x:c r="L167" s="130" t="n">
        <x:v>89</x:v>
      </x:c>
      <x:c r="M167" s="130" t="n">
        <x:v>88</x:v>
      </x:c>
      <x:c r="N167" s="130" t="n">
        <x:v>90</x:v>
      </x:c>
      <x:c r="O167" s="130" t="n">
        <x:v>86</x:v>
      </x:c>
      <x:c r="P167" s="130" t="n">
        <x:v>90</x:v>
      </x:c>
      <x:c r="Q167" s="130" t="n">
        <x:v>84</x:v>
      </x:c>
      <x:c r="R167" s="130" t="n">
        <x:v>12</x:v>
      </x:c>
      <x:c r="S167" s="128" t="str">
        <x:v>https://arxiv.org/abs/2607.03064</x:v>
      </x:c>
      <x:c r="T167" s="128" t="str">
        <x:v>Spectral asymptotics in quasiperiodic homogenization; strong technical overlap.</x:v>
      </x:c>
    </x:row>
    <x:row r="168" ht="28" customHeight="1">
      <x:c r="A168" s="129" t="n">
        <x:v>167</x:v>
      </x:c>
      <x:c r="B168" s="129" t="str">
        <x:v>2026-07</x:v>
      </x:c>
      <x:c r="C168" s="129" t="n">
        <x:v>63</x:v>
      </x:c>
      <x:c r="D168" s="129" t="str">
        <x:v>2607.07301</x:v>
      </x:c>
      <x:c r="E168" s="128" t="str">
        <x:v>Semiclassical Schrodinger operators with purely imaginary potential</x:v>
      </x:c>
      <x:c r="F168" s="128" t="str">
        <x:v>Victor Arnaiz; Jean-Francois Bony; Laurent Michel</x:v>
      </x:c>
      <x:c r="G168" s="128" t="str">
        <x:v>semiclassical spectral theory</x:v>
      </x:c>
      <x:c r="H168" s="129" t="n">
        <x:v>37</x:v>
      </x:c>
      <x:c r="I168" s="130" t="n">
        <x:v>88.25</x:v>
      </x:c>
      <x:c r="J168" s="130" t="n">
        <x:v>87.95</x:v>
      </x:c>
      <x:c r="K168" s="130" t="n">
        <x:v>88.55</x:v>
      </x:c>
      <x:c r="L168" s="130" t="n">
        <x:v>89</x:v>
      </x:c>
      <x:c r="M168" s="130" t="n">
        <x:v>88</x:v>
      </x:c>
      <x:c r="N168" s="130" t="n">
        <x:v>90</x:v>
      </x:c>
      <x:c r="O168" s="130" t="n">
        <x:v>85</x:v>
      </x:c>
      <x:c r="P168" s="130" t="n">
        <x:v>90</x:v>
      </x:c>
      <x:c r="Q168" s="130" t="n">
        <x:v>84</x:v>
      </x:c>
      <x:c r="R168" s="130" t="n">
        <x:v>11</x:v>
      </x:c>
      <x:c r="S168" s="128" t="str">
        <x:v>https://arxiv.org/abs/2607.07301</x:v>
      </x:c>
      <x:c r="T168" s="128" t="str">
        <x:v>Strong semiclassical/spectral analysis.</x:v>
      </x:c>
    </x:row>
    <x:row r="169" ht="28" customHeight="1">
      <x:c r="A169" s="129" t="n">
        <x:v>168</x:v>
      </x:c>
      <x:c r="B169" s="129" t="str">
        <x:v>2026-07</x:v>
      </x:c>
      <x:c r="C169" s="129" t="n">
        <x:v>64</x:v>
      </x:c>
      <x:c r="D169" s="129" t="str">
        <x:v>2607.16063</x:v>
      </x:c>
      <x:c r="E169" s="128" t="str">
        <x:v>Global existence for quasilinear wave equations on hyperbolic space</x:v>
      </x:c>
      <x:c r="F169" s="128" t="str">
        <x:v>Wei Dai; Chengbo Wang</x:v>
      </x:c>
      <x:c r="G169" s="128" t="str">
        <x:v>quasilinear waves</x:v>
      </x:c>
      <x:c r="H169" s="129" t="n">
        <x:v>28</x:v>
      </x:c>
      <x:c r="I169" s="130" t="n">
        <x:v>88.25</x:v>
      </x:c>
      <x:c r="J169" s="130" t="n">
        <x:v>87.8</x:v>
      </x:c>
      <x:c r="K169" s="130" t="n">
        <x:v>88.7</x:v>
      </x:c>
      <x:c r="L169" s="130" t="n">
        <x:v>88</x:v>
      </x:c>
      <x:c r="M169" s="130" t="n">
        <x:v>88</x:v>
      </x:c>
      <x:c r="N169" s="130" t="n">
        <x:v>90</x:v>
      </x:c>
      <x:c r="O169" s="130" t="n">
        <x:v>86</x:v>
      </x:c>
      <x:c r="P169" s="130" t="n">
        <x:v>90</x:v>
      </x:c>
      <x:c r="Q169" s="130" t="n">
        <x:v>84</x:v>
      </x:c>
      <x:c r="R169" s="130" t="n">
        <x:v>10</x:v>
      </x:c>
      <x:c r="S169" s="128" t="str">
        <x:v>https://arxiv.org/abs/2607.16063</x:v>
      </x:c>
      <x:c r="T169" s="128" t="str">
        <x:v>Later July exact high-value candidate included in 30% competitive pool.</x:v>
      </x:c>
    </x:row>
    <x:row r="170" ht="28" customHeight="1">
      <x:c r="A170" s="129" t="n">
        <x:v>169</x:v>
      </x:c>
      <x:c r="B170" s="129" t="str">
        <x:v>2026-08</x:v>
      </x:c>
      <x:c r="C170" s="129" t="n">
        <x:v>19</x:v>
      </x:c>
      <x:c r="D170" s="129" t="str">
        <x:v>2608.01065</x:v>
      </x:c>
      <x:c r="E170" s="128" t="str">
        <x:v>Sharp Boundary Recession Criteria for Special Lagrangian Curvature Potential Equation</x:v>
      </x:c>
      <x:c r="F170" s="128" t="str">
        <x:v>Rongli Huang; Qinfeng Jiang</x:v>
      </x:c>
      <x:c r="G170" s="128" t="str">
        <x:v>special Lagrangian/fully nonlinear</x:v>
      </x:c>
      <x:c r="H170" s="129" t="n">
        <x:v>32</x:v>
      </x:c>
      <x:c r="I170" s="130" t="n">
        <x:v>88.25</x:v>
      </x:c>
      <x:c r="J170" s="130" t="n">
        <x:v>87.8</x:v>
      </x:c>
      <x:c r="K170" s="130" t="n">
        <x:v>88.7</x:v>
      </x:c>
      <x:c r="L170" s="130" t="n">
        <x:v>88</x:v>
      </x:c>
      <x:c r="M170" s="130" t="n">
        <x:v>88</x:v>
      </x:c>
      <x:c r="N170" s="130" t="n">
        <x:v>90</x:v>
      </x:c>
      <x:c r="O170" s="130" t="n">
        <x:v>86</x:v>
      </x:c>
      <x:c r="P170" s="130" t="n">
        <x:v>90</x:v>
      </x:c>
      <x:c r="Q170" s="130" t="n">
        <x:v>84</x:v>
      </x:c>
      <x:c r="R170" s="130" t="n">
        <x:v>10</x:v>
      </x:c>
      <x:c r="S170" s="128" t="str">
        <x:v>https://arxiv.org/abs/2608.01065</x:v>
      </x:c>
      <x:c r="T170" s="128" t="str">
        <x:v>Sharp fully nonlinear geometric PDE criteria.</x:v>
      </x:c>
    </x:row>
    <x:row r="171" ht="28" customHeight="1">
      <x:c r="A171" s="129" t="n">
        <x:v>170</x:v>
      </x:c>
      <x:c r="B171" s="129" t="str">
        <x:v>2026-08</x:v>
      </x:c>
      <x:c r="C171" s="129" t="n">
        <x:v>20</x:v>
      </x:c>
      <x:c r="D171" s="129" t="str">
        <x:v>2608.01455</x:v>
      </x:c>
      <x:c r="E171" s="128" t="str">
        <x:v>Fully Nonlinear Evolution equations: Critical Integrability to Schauder Estimates</x:v>
      </x:c>
      <x:c r="F171" s="128" t="str">
        <x:v>Junior da Silva Bessa; José Erivamberto L. Oliveira; Patrícia Renata Pereira Regis</x:v>
      </x:c>
      <x:c r="G171" s="128" t="str">
        <x:v>fully nonlinear parabolic</x:v>
      </x:c>
      <x:c r="H171" s="129" t="n">
        <x:v>30</x:v>
      </x:c>
      <x:c r="I171" s="130" t="n">
        <x:v>88.25</x:v>
      </x:c>
      <x:c r="J171" s="130" t="n">
        <x:v>87.8</x:v>
      </x:c>
      <x:c r="K171" s="130" t="n">
        <x:v>88.7</x:v>
      </x:c>
      <x:c r="L171" s="130" t="n">
        <x:v>88</x:v>
      </x:c>
      <x:c r="M171" s="130" t="n">
        <x:v>88</x:v>
      </x:c>
      <x:c r="N171" s="130" t="n">
        <x:v>90</x:v>
      </x:c>
      <x:c r="O171" s="130" t="n">
        <x:v>86</x:v>
      </x:c>
      <x:c r="P171" s="130" t="n">
        <x:v>90</x:v>
      </x:c>
      <x:c r="Q171" s="130" t="n">
        <x:v>84</x:v>
      </x:c>
      <x:c r="R171" s="130" t="n">
        <x:v>10</x:v>
      </x:c>
      <x:c r="S171" s="128" t="str">
        <x:v>https://arxiv.org/abs/2608.01455</x:v>
      </x:c>
      <x:c r="T171" s="128" t="str">
        <x:v>Critical-integrability Schauder estimates for fully nonlinear evolution equations.</x:v>
      </x:c>
    </x:row>
    <x:row r="172" ht="28" customHeight="1">
      <x:c r="A172" s="129" t="n">
        <x:v>171</x:v>
      </x:c>
      <x:c r="B172" s="129" t="str">
        <x:v>2026-07</x:v>
      </x:c>
      <x:c r="C172" s="129" t="n">
        <x:v>65</x:v>
      </x:c>
      <x:c r="D172" s="129" t="str">
        <x:v>2607.04444</x:v>
      </x:c>
      <x:c r="E172" s="128" t="str">
        <x:v>Global Existence and Time Decay for the Vlasov-Hartree System</x:v>
      </x:c>
      <x:c r="F172" s="128" t="str">
        <x:v>Kieran Cavanagh</x:v>
      </x:c>
      <x:c r="G172" s="128" t="str">
        <x:v>Vlasov-Hartree</x:v>
      </x:c>
      <x:c r="H172" s="129" t="n">
        <x:v>37</x:v>
      </x:c>
      <x:c r="I172" s="130" t="n">
        <x:v>88.23</x:v>
      </x:c>
      <x:c r="J172" s="130" t="n">
        <x:v>88.1</x:v>
      </x:c>
      <x:c r="K172" s="130" t="n">
        <x:v>88.35</x:v>
      </x:c>
      <x:c r="L172" s="130" t="n">
        <x:v>89</x:v>
      </x:c>
      <x:c r="M172" s="130" t="n">
        <x:v>87</x:v>
      </x:c>
      <x:c r="N172" s="130" t="n">
        <x:v>90</x:v>
      </x:c>
      <x:c r="O172" s="130" t="n">
        <x:v>86</x:v>
      </x:c>
      <x:c r="P172" s="130" t="n">
        <x:v>90</x:v>
      </x:c>
      <x:c r="Q172" s="130" t="n">
        <x:v>86</x:v>
      </x:c>
      <x:c r="R172" s="130" t="n">
        <x:v>13</x:v>
      </x:c>
      <x:c r="S172" s="128" t="str">
        <x:v>https://arxiv.org/abs/2607.04444</x:v>
      </x:c>
      <x:c r="T172" s="128" t="str">
        <x:v>Scored candidate from official July math.AP list; correctness not checked.</x:v>
      </x:c>
    </x:row>
    <x:row r="173" ht="28" customHeight="1">
      <x:c r="A173" s="129" t="n">
        <x:v>172</x:v>
      </x:c>
      <x:c r="B173" s="129" t="str">
        <x:v>2026-07</x:v>
      </x:c>
      <x:c r="C173" s="129" t="n">
        <x:v>66</x:v>
      </x:c>
      <x:c r="D173" s="129" t="str">
        <x:v>2607.04804</x:v>
      </x:c>
      <x:c r="E173" s="128" t="str">
        <x:v>Steady Euler flows with contact discontinuities in infinitely long nozzles with general upstream data</x:v>
      </x:c>
      <x:c r="F173" s="128" t="str">
        <x:v>Jun Chen; Xuemei Deng; Xiaoguang You</x:v>
      </x:c>
      <x:c r="G173" s="128" t="str">
        <x:v>steady Euler</x:v>
      </x:c>
      <x:c r="H173" s="129" t="str">
        <x:v>-</x:v>
      </x:c>
      <x:c r="I173" s="130" t="n">
        <x:v>88.23</x:v>
      </x:c>
      <x:c r="J173" s="130" t="n">
        <x:v>88.1</x:v>
      </x:c>
      <x:c r="K173" s="130" t="n">
        <x:v>88.35</x:v>
      </x:c>
      <x:c r="L173" s="130" t="n">
        <x:v>89</x:v>
      </x:c>
      <x:c r="M173" s="130" t="n">
        <x:v>87</x:v>
      </x:c>
      <x:c r="N173" s="130" t="n">
        <x:v>90</x:v>
      </x:c>
      <x:c r="O173" s="130" t="n">
        <x:v>86</x:v>
      </x:c>
      <x:c r="P173" s="130" t="n">
        <x:v>90</x:v>
      </x:c>
      <x:c r="Q173" s="130" t="n">
        <x:v>86</x:v>
      </x:c>
      <x:c r="R173" s="130" t="n">
        <x:v>13</x:v>
      </x:c>
      <x:c r="S173" s="128" t="str">
        <x:v>https://arxiv.org/abs/2607.04804</x:v>
      </x:c>
      <x:c r="T173" s="128" t="str">
        <x:v>Scored candidate from official July math.AP list; correctness not checked.</x:v>
      </x:c>
    </x:row>
    <x:row r="174" ht="28" customHeight="1">
      <x:c r="A174" s="129" t="n">
        <x:v>173</x:v>
      </x:c>
      <x:c r="B174" s="129" t="str">
        <x:v>2026-07</x:v>
      </x:c>
      <x:c r="C174" s="129" t="n">
        <x:v>67</x:v>
      </x:c>
      <x:c r="D174" s="129" t="str">
        <x:v>2607.13567</x:v>
      </x:c>
      <x:c r="E174" s="128" t="str">
        <x:v>Global Bifurcation and the Constructive Existence of Overhanging Periodic Steady Water Waves</x:v>
      </x:c>
      <x:c r="F174" s="128" t="str">
        <x:v>Matthieu Cadiot; Susanna Haziot</x:v>
      </x:c>
      <x:c r="G174" s="128" t="str">
        <x:v>water waves</x:v>
      </x:c>
      <x:c r="H174" s="129" t="str">
        <x:v>-</x:v>
      </x:c>
      <x:c r="I174" s="130" t="n">
        <x:v>88.18</x:v>
      </x:c>
      <x:c r="J174" s="130" t="n">
        <x:v>87.8</x:v>
      </x:c>
      <x:c r="K174" s="130" t="n">
        <x:v>88.55</x:v>
      </x:c>
      <x:c r="L174" s="130" t="n">
        <x:v>88</x:v>
      </x:c>
      <x:c r="M174" s="130" t="n">
        <x:v>88</x:v>
      </x:c>
      <x:c r="N174" s="130" t="n">
        <x:v>90</x:v>
      </x:c>
      <x:c r="O174" s="130" t="n">
        <x:v>86</x:v>
      </x:c>
      <x:c r="P174" s="130" t="n">
        <x:v>90</x:v>
      </x:c>
      <x:c r="Q174" s="130" t="n">
        <x:v>84</x:v>
      </x:c>
      <x:c r="R174" s="130" t="n">
        <x:v>11</x:v>
      </x:c>
      <x:c r="S174" s="128" t="str">
        <x:v>https://arxiv.org/abs/2607.13567</x:v>
      </x:c>
      <x:c r="T174" s="128" t="str">
        <x:v>Additional exact July entry retained to complete 30% scoring pool.</x:v>
      </x:c>
    </x:row>
    <x:row r="175" ht="28" customHeight="1">
      <x:c r="A175" s="129" t="n">
        <x:v>174</x:v>
      </x:c>
      <x:c r="B175" s="129" t="str">
        <x:v>2026-07</x:v>
      </x:c>
      <x:c r="C175" s="129" t="n">
        <x:v>68</x:v>
      </x:c>
      <x:c r="D175" s="129" t="str">
        <x:v>2607.05304</x:v>
      </x:c>
      <x:c r="E175" s="128" t="str">
        <x:v>Quantitative stability in distribution for the Sobolev inequality under curvature dimension condition</x:v>
      </x:c>
      <x:c r="F175" s="128" t="str">
        <x:v>Max Fathi; Ivan Yuri Violo</x:v>
      </x:c>
      <x:c r="G175" s="128" t="str">
        <x:v>Sobolev stability / CD</x:v>
      </x:c>
      <x:c r="H175" s="129" t="n">
        <x:v>19</x:v>
      </x:c>
      <x:c r="I175" s="130" t="n">
        <x:v>88.15</x:v>
      </x:c>
      <x:c r="J175" s="130" t="n">
        <x:v>87.95</x:v>
      </x:c>
      <x:c r="K175" s="130" t="n">
        <x:v>88.35</x:v>
      </x:c>
      <x:c r="L175" s="130" t="n">
        <x:v>89</x:v>
      </x:c>
      <x:c r="M175" s="130" t="n">
        <x:v>88</x:v>
      </x:c>
      <x:c r="N175" s="130" t="n">
        <x:v>89</x:v>
      </x:c>
      <x:c r="O175" s="130" t="n">
        <x:v>86</x:v>
      </x:c>
      <x:c r="P175" s="130" t="n">
        <x:v>89</x:v>
      </x:c>
      <x:c r="Q175" s="130" t="n">
        <x:v>85</x:v>
      </x:c>
      <x:c r="R175" s="130" t="n">
        <x:v>10</x:v>
      </x:c>
      <x:c r="S175" s="128" t="str">
        <x:v>https://arxiv.org/abs/2607.05304</x:v>
      </x:c>
      <x:c r="T175" s="128" t="str">
        <x:v>Quantitative stability under curvature-dimension assumptions; broad functional-inequality relevance.</x:v>
      </x:c>
    </x:row>
    <x:row r="176" ht="28" customHeight="1">
      <x:c r="A176" s="129" t="n">
        <x:v>175</x:v>
      </x:c>
      <x:c r="B176" s="129" t="str">
        <x:v>2026-07</x:v>
      </x:c>
      <x:c r="C176" s="129" t="n">
        <x:v>69</x:v>
      </x:c>
      <x:c r="D176" s="129" t="str">
        <x:v>2607.04657</x:v>
      </x:c>
      <x:c r="E176" s="128" t="str">
        <x:v>Gauge rigidity in an inverse problem for the prescribed Gaussian curvature equation</x:v>
      </x:c>
      <x:c r="F176" s="128" t="str">
        <x:v>Yi-Hsuan Lin</x:v>
      </x:c>
      <x:c r="G176" s="128" t="str">
        <x:v>inverse problems / curvature PDE</x:v>
      </x:c>
      <x:c r="H176" s="129" t="n">
        <x:v>65</x:v>
      </x:c>
      <x:c r="I176" s="130" t="n">
        <x:v>88.13</x:v>
      </x:c>
      <x:c r="J176" s="130" t="n">
        <x:v>88</x:v>
      </x:c>
      <x:c r="K176" s="130" t="n">
        <x:v>88.25</x:v>
      </x:c>
      <x:c r="L176" s="130" t="n">
        <x:v>89</x:v>
      </x:c>
      <x:c r="M176" s="130" t="n">
        <x:v>88</x:v>
      </x:c>
      <x:c r="N176" s="130" t="n">
        <x:v>90</x:v>
      </x:c>
      <x:c r="O176" s="130" t="n">
        <x:v>86</x:v>
      </x:c>
      <x:c r="P176" s="130" t="n">
        <x:v>90</x:v>
      </x:c>
      <x:c r="Q176" s="130" t="n">
        <x:v>83</x:v>
      </x:c>
      <x:c r="R176" s="130" t="n">
        <x:v>12</x:v>
      </x:c>
      <x:c r="S176" s="128" t="str">
        <x:v>https://arxiv.org/abs/2607.04657</x:v>
      </x:c>
      <x:c r="T176" s="128" t="str">
        <x:v>Large inverse problem for prescribed curvature equation; strong length and difficulty.</x:v>
      </x:c>
    </x:row>
    <x:row r="177" ht="28" customHeight="1">
      <x:c r="A177" s="129" t="n">
        <x:v>176</x:v>
      </x:c>
      <x:c r="B177" s="129" t="str">
        <x:v>2026-05</x:v>
      </x:c>
      <x:c r="C177" s="129" t="n">
        <x:v>37</x:v>
      </x:c>
      <x:c r="D177" s="129" t="str">
        <x:v>2605.21193</x:v>
      </x:c>
      <x:c r="E177" s="128" t="str">
        <x:v>Sharp Gaussian Isoperimetry along a Ricci Flow</x:v>
      </x:c>
      <x:c r="F177" s="128" t="str">
        <x:v>Robert Koirala</x:v>
      </x:c>
      <x:c r="G177" s="128" t="str">
        <x:v>Ricci flow / functional inequalities</x:v>
      </x:c>
      <x:c r="H177" s="129" t="n">
        <x:v>25</x:v>
      </x:c>
      <x:c r="I177" s="130" t="n">
        <x:v>88.12</x:v>
      </x:c>
      <x:c r="J177" s="130" t="n">
        <x:v>88.1</x:v>
      </x:c>
      <x:c r="K177" s="130" t="n">
        <x:v>88.14</x:v>
      </x:c>
      <x:c r="L177" s="130" t="n">
        <x:v>89</x:v>
      </x:c>
      <x:c r="M177" s="130" t="n">
        <x:v>89.1</x:v>
      </x:c>
      <x:c r="N177" s="130" t="n">
        <x:v>89</x:v>
      </x:c>
      <x:c r="O177" s="130" t="n">
        <x:v>86.2</x:v>
      </x:c>
      <x:c r="P177" s="130" t="n">
        <x:v>89.1</x:v>
      </x:c>
      <x:c r="Q177" s="130" t="n">
        <x:v>84</x:v>
      </x:c>
      <x:c r="R177" s="130" t="n">
        <x:v>12.1</x:v>
      </x:c>
      <x:c r="S177" s="128" t="str">
        <x:v>https://arxiv.org/abs/2605.21193</x:v>
      </x:c>
      <x:c r="T177" s="128" t="str">
        <x:v>三轮复核后与原表基本一致</x:v>
      </x:c>
    </x:row>
    <x:row r="178" ht="28" customHeight="1">
      <x:c r="A178" s="129" t="n">
        <x:v>177</x:v>
      </x:c>
      <x:c r="B178" s="129" t="str">
        <x:v>2026-07</x:v>
      </x:c>
      <x:c r="C178" s="129" t="n">
        <x:v>70</x:v>
      </x:c>
      <x:c r="D178" s="129" t="str">
        <x:v>2607.12579</x:v>
      </x:c>
      <x:c r="E178" s="128" t="str">
        <x:v>Wasserstein gradient flows for Coulomb discrepancies</x:v>
      </x:c>
      <x:c r="F178" s="128" t="str">
        <x:v>Antonin Chodron de Courcel; Matthew Rosenzweig</x:v>
      </x:c>
      <x:c r="G178" s="128" t="str">
        <x:v>gradient flows/Coulomb</x:v>
      </x:c>
      <x:c r="H178" s="129" t="n">
        <x:v>50</x:v>
      </x:c>
      <x:c r="I178" s="130" t="n">
        <x:v>88.1</x:v>
      </x:c>
      <x:c r="J178" s="130" t="n">
        <x:v>87.8</x:v>
      </x:c>
      <x:c r="K178" s="130" t="n">
        <x:v>88.4</x:v>
      </x:c>
      <x:c r="L178" s="130" t="n">
        <x:v>88</x:v>
      </x:c>
      <x:c r="M178" s="130" t="n">
        <x:v>88</x:v>
      </x:c>
      <x:c r="N178" s="130" t="n">
        <x:v>90</x:v>
      </x:c>
      <x:c r="O178" s="130" t="n">
        <x:v>86</x:v>
      </x:c>
      <x:c r="P178" s="130" t="n">
        <x:v>90</x:v>
      </x:c>
      <x:c r="Q178" s="130" t="n">
        <x:v>84</x:v>
      </x:c>
      <x:c r="R178" s="130" t="n">
        <x:v>12</x:v>
      </x:c>
      <x:c r="S178" s="128" t="str">
        <x:v>https://arxiv.org/abs/2607.12579</x:v>
      </x:c>
      <x:c r="T178" s="128" t="str">
        <x:v>Additional exact July entry retained to complete 30% scoring pool.</x:v>
      </x:c>
    </x:row>
    <x:row r="179" ht="28" customHeight="1">
      <x:c r="A179" s="129" t="n">
        <x:v>178</x:v>
      </x:c>
      <x:c r="B179" s="129" t="str">
        <x:v>2026-07</x:v>
      </x:c>
      <x:c r="C179" s="129" t="n">
        <x:v>71</x:v>
      </x:c>
      <x:c r="D179" s="129" t="str">
        <x:v>2607.15145</x:v>
      </x:c>
      <x:c r="E179" s="128" t="str">
        <x:v>Semiclassical estimates near threshold energies and resonance counting on Schwarzschild black holes</x:v>
      </x:c>
      <x:c r="F179" s="128" t="str">
        <x:v>Thomas Stucker</x:v>
      </x:c>
      <x:c r="G179" s="128" t="str">
        <x:v>semiclassical/GR spectral</x:v>
      </x:c>
      <x:c r="H179" s="129" t="n">
        <x:v>38</x:v>
      </x:c>
      <x:c r="I179" s="130" t="n">
        <x:v>88.05</x:v>
      </x:c>
      <x:c r="J179" s="130" t="n">
        <x:v>87.7</x:v>
      </x:c>
      <x:c r="K179" s="130" t="n">
        <x:v>88.4</x:v>
      </x:c>
      <x:c r="L179" s="130" t="n">
        <x:v>88</x:v>
      </x:c>
      <x:c r="M179" s="130" t="n">
        <x:v>88</x:v>
      </x:c>
      <x:c r="N179" s="130" t="n">
        <x:v>90</x:v>
      </x:c>
      <x:c r="O179" s="130" t="n">
        <x:v>86</x:v>
      </x:c>
      <x:c r="P179" s="130" t="n">
        <x:v>90</x:v>
      </x:c>
      <x:c r="Q179" s="130" t="n">
        <x:v>83</x:v>
      </x:c>
      <x:c r="R179" s="130" t="n">
        <x:v>11</x:v>
      </x:c>
      <x:c r="S179" s="128" t="str">
        <x:v>https://arxiv.org/abs/2607.15145</x:v>
      </x:c>
      <x:c r="T179" s="128" t="str">
        <x:v>Later July exact high-value candidate included in 30% competitive pool.</x:v>
      </x:c>
    </x:row>
    <x:row r="180" ht="28" customHeight="1">
      <x:c r="A180" s="129" t="n">
        <x:v>179</x:v>
      </x:c>
      <x:c r="B180" s="129" t="str">
        <x:v>2026-07</x:v>
      </x:c>
      <x:c r="C180" s="129" t="n">
        <x:v>72</x:v>
      </x:c>
      <x:c r="D180" s="129" t="str">
        <x:v>2607.09085</x:v>
      </x:c>
      <x:c r="E180" s="128" t="str">
        <x:v>Inhomogeneous Strichartz estimates on manifolds with nonpositive curvature and applications</x:v>
      </x:c>
      <x:c r="F180" s="128" t="str">
        <x:v>Xiaoqi Huang; Connor Quinn</x:v>
      </x:c>
      <x:c r="G180" s="128" t="str">
        <x:v>dispersive PDE on manifolds</x:v>
      </x:c>
      <x:c r="H180" s="129" t="n">
        <x:v>23</x:v>
      </x:c>
      <x:c r="I180" s="130" t="n">
        <x:v>88</x:v>
      </x:c>
      <x:c r="J180" s="130" t="n">
        <x:v>87.65</x:v>
      </x:c>
      <x:c r="K180" s="130" t="n">
        <x:v>88.35</x:v>
      </x:c>
      <x:c r="L180" s="130" t="n">
        <x:v>88</x:v>
      </x:c>
      <x:c r="M180" s="130" t="n">
        <x:v>88</x:v>
      </x:c>
      <x:c r="N180" s="130" t="n">
        <x:v>89</x:v>
      </x:c>
      <x:c r="O180" s="130" t="n">
        <x:v>86</x:v>
      </x:c>
      <x:c r="P180" s="130" t="n">
        <x:v>89</x:v>
      </x:c>
      <x:c r="Q180" s="130" t="n">
        <x:v>85</x:v>
      </x:c>
      <x:c r="R180" s="130" t="n">
        <x:v>10</x:v>
      </x:c>
      <x:c r="S180" s="128" t="str">
        <x:v>https://arxiv.org/abs/2607.09085</x:v>
      </x:c>
      <x:c r="T180" s="128" t="str">
        <x:v>Useful Strichartz estimates with geometric applications.</x:v>
      </x:c>
    </x:row>
    <x:row r="181" ht="28" customHeight="1">
      <x:c r="A181" s="129" t="n">
        <x:v>180</x:v>
      </x:c>
      <x:c r="B181" s="129" t="str">
        <x:v>2026-07</x:v>
      </x:c>
      <x:c r="C181" s="129" t="n">
        <x:v>73</x:v>
      </x:c>
      <x:c r="D181" s="129" t="str">
        <x:v>2607.17310</x:v>
      </x:c>
      <x:c r="E181" s="128" t="str">
        <x:v>Multidimensional scalar conservation laws with discontinuous flux: well-posedness without non-degeneracy</x:v>
      </x:c>
      <x:c r="F181" s="128" t="str">
        <x:v>Darko Mitrovic</x:v>
      </x:c>
      <x:c r="G181" s="128" t="str">
        <x:v>conservation laws</x:v>
      </x:c>
      <x:c r="H181" s="129" t="str">
        <x:v>-</x:v>
      </x:c>
      <x:c r="I181" s="130" t="n">
        <x:v>88</x:v>
      </x:c>
      <x:c r="J181" s="130" t="n">
        <x:v>87.65</x:v>
      </x:c>
      <x:c r="K181" s="130" t="n">
        <x:v>88.35</x:v>
      </x:c>
      <x:c r="L181" s="130" t="n">
        <x:v>88</x:v>
      </x:c>
      <x:c r="M181" s="130" t="n">
        <x:v>88</x:v>
      </x:c>
      <x:c r="N181" s="130" t="n">
        <x:v>89</x:v>
      </x:c>
      <x:c r="O181" s="130" t="n">
        <x:v>86</x:v>
      </x:c>
      <x:c r="P181" s="130" t="n">
        <x:v>89</x:v>
      </x:c>
      <x:c r="Q181" s="130" t="n">
        <x:v>85</x:v>
      </x:c>
      <x:c r="R181" s="130" t="n">
        <x:v>10</x:v>
      </x:c>
      <x:c r="S181" s="128" t="str">
        <x:v>https://arxiv.org/abs/2607.17310</x:v>
      </x:c>
      <x:c r="T181" s="128" t="str">
        <x:v>Later July exact high-value candidate included in 30% competitive pool.</x:v>
      </x:c>
    </x:row>
    <x:row r="182" ht="28" customHeight="1">
      <x:c r="A182" s="129" t="n">
        <x:v>181</x:v>
      </x:c>
      <x:c r="B182" s="129" t="str">
        <x:v>2026-08</x:v>
      </x:c>
      <x:c r="C182" s="129" t="n">
        <x:v>21</x:v>
      </x:c>
      <x:c r="D182" s="129" t="str">
        <x:v>2608.01019</x:v>
      </x:c>
      <x:c r="E182" s="128" t="str">
        <x:v>Classification of invariant Gaussian measures for 2D Euler</x:v>
      </x:c>
      <x:c r="F182" s="128" t="str">
        <x:v>Ziyu Liu</x:v>
      </x:c>
      <x:c r="G182" s="128" t="str">
        <x:v>Euler/probability</x:v>
      </x:c>
      <x:c r="H182" s="129" t="str">
        <x:v>-</x:v>
      </x:c>
      <x:c r="I182" s="130" t="n">
        <x:v>88</x:v>
      </x:c>
      <x:c r="J182" s="130" t="n">
        <x:v>87.65</x:v>
      </x:c>
      <x:c r="K182" s="130" t="n">
        <x:v>88.35</x:v>
      </x:c>
      <x:c r="L182" s="130" t="n">
        <x:v>88</x:v>
      </x:c>
      <x:c r="M182" s="130" t="n">
        <x:v>88</x:v>
      </x:c>
      <x:c r="N182" s="130" t="n">
        <x:v>89</x:v>
      </x:c>
      <x:c r="O182" s="130" t="n">
        <x:v>86</x:v>
      </x:c>
      <x:c r="P182" s="130" t="n">
        <x:v>89</x:v>
      </x:c>
      <x:c r="Q182" s="130" t="n">
        <x:v>85</x:v>
      </x:c>
      <x:c r="R182" s="130" t="n">
        <x:v>10</x:v>
      </x:c>
      <x:c r="S182" s="128" t="str">
        <x:v>https://arxiv.org/abs/2608.01019</x:v>
      </x:c>
      <x:c r="T182" s="128" t="str">
        <x:v>Invariant-measure classification in 2D Euler.</x:v>
      </x:c>
    </x:row>
    <x:row r="183" ht="28" customHeight="1">
      <x:c r="A183" s="129" t="n">
        <x:v>182</x:v>
      </x:c>
      <x:c r="B183" s="129" t="str">
        <x:v>2026-07</x:v>
      </x:c>
      <x:c r="C183" s="129" t="n">
        <x:v>74</x:v>
      </x:c>
      <x:c r="D183" s="129" t="str">
        <x:v>2607.16132</x:v>
      </x:c>
      <x:c r="E183" s="128" t="str">
        <x:v>Fluctuation dynamics in randomly advected Navier-Stokes below critical scaling</x:v>
      </x:c>
      <x:c r="F183" s="128" t="str">
        <x:v>Arnaud Debussche; Martina Hofmanova</x:v>
      </x:c>
      <x:c r="G183" s="128" t="str">
        <x:v>random Navier-Stokes</x:v>
      </x:c>
      <x:c r="H183" s="129" t="str">
        <x:v>-</x:v>
      </x:c>
      <x:c r="I183" s="130" t="n">
        <x:v>87.98</x:v>
      </x:c>
      <x:c r="J183" s="130" t="n">
        <x:v>87.7</x:v>
      </x:c>
      <x:c r="K183" s="130" t="n">
        <x:v>88.25</x:v>
      </x:c>
      <x:c r="L183" s="130" t="n">
        <x:v>88</x:v>
      </x:c>
      <x:c r="M183" s="130" t="n">
        <x:v>88</x:v>
      </x:c>
      <x:c r="N183" s="130" t="n">
        <x:v>90</x:v>
      </x:c>
      <x:c r="O183" s="130" t="n">
        <x:v>86</x:v>
      </x:c>
      <x:c r="P183" s="130" t="n">
        <x:v>90</x:v>
      </x:c>
      <x:c r="Q183" s="130" t="n">
        <x:v>83</x:v>
      </x:c>
      <x:c r="R183" s="130" t="n">
        <x:v>12</x:v>
      </x:c>
      <x:c r="S183" s="128" t="str">
        <x:v>https://arxiv.org/abs/2607.16132</x:v>
      </x:c>
      <x:c r="T183" s="128" t="str">
        <x:v>Later July exact candidate included in 30% scored pool.</x:v>
      </x:c>
    </x:row>
    <x:row r="184" ht="28" customHeight="1">
      <x:c r="A184" s="129" t="n">
        <x:v>183</x:v>
      </x:c>
      <x:c r="B184" s="129" t="str">
        <x:v>2026-07</x:v>
      </x:c>
      <x:c r="C184" s="129" t="n">
        <x:v>75</x:v>
      </x:c>
      <x:c r="D184" s="129" t="str">
        <x:v>2607.02739</x:v>
      </x:c>
      <x:c r="E184" s="128" t="str">
        <x:v>On the sharpness of bounds on the rate of growth of Lebesgue norms of the velocity in Navier-Stokes flows</x:v>
      </x:c>
      <x:c r="F184" s="128" t="str">
        <x:v>Fabian Bleitner; Bartosz Protas</x:v>
      </x:c>
      <x:c r="G184" s="128" t="str">
        <x:v>Navier-Stokes / bounds</x:v>
      </x:c>
      <x:c r="H184" s="129" t="n">
        <x:v>41</x:v>
      </x:c>
      <x:c r="I184" s="130" t="n">
        <x:v>87.95</x:v>
      </x:c>
      <x:c r="J184" s="130" t="n">
        <x:v>88.1</x:v>
      </x:c>
      <x:c r="K184" s="130" t="n">
        <x:v>87.8</x:v>
      </x:c>
      <x:c r="L184" s="130" t="n">
        <x:v>89</x:v>
      </x:c>
      <x:c r="M184" s="130" t="n">
        <x:v>88</x:v>
      </x:c>
      <x:c r="N184" s="130" t="n">
        <x:v>90</x:v>
      </x:c>
      <x:c r="O184" s="130" t="n">
        <x:v>86</x:v>
      </x:c>
      <x:c r="P184" s="130" t="n">
        <x:v>90</x:v>
      </x:c>
      <x:c r="Q184" s="130" t="n">
        <x:v>84</x:v>
      </x:c>
      <x:c r="R184" s="130" t="n">
        <x:v>16</x:v>
      </x:c>
      <x:c r="S184" s="128" t="str">
        <x:v>https://arxiv.org/abs/2607.02739</x:v>
      </x:c>
      <x:c r="T184" s="128" t="str">
        <x:v>Sharpness analysis with numerical/analytic components; useful for NS blow-up diagnostics.</x:v>
      </x:c>
    </x:row>
    <x:row r="185" ht="28" customHeight="1">
      <x:c r="A185" s="129" t="n">
        <x:v>184</x:v>
      </x:c>
      <x:c r="B185" s="129" t="str">
        <x:v>2026-05</x:v>
      </x:c>
      <x:c r="C185" s="129" t="n">
        <x:v>38</x:v>
      </x:c>
      <x:c r="D185" s="129" t="str">
        <x:v>2605.01547</x:v>
      </x:c>
      <x:c r="E185" s="128" t="str">
        <x:v>Rigidity for the Polya-Szego inequality under circular rearrangement</x:v>
      </x:c>
      <x:c r="F185" s="128" t="str">
        <x:v>F. Cagnetti; G. Domazakis; M. Perugini; F. Seuffert</x:v>
      </x:c>
      <x:c r="G185" s="128" t="str">
        <x:v>Rearrangement / rigidity</x:v>
      </x:c>
      <x:c r="H185" s="129"/>
      <x:c r="I185" s="130" t="n">
        <x:v>87.95</x:v>
      </x:c>
      <x:c r="J185" s="130" t="n">
        <x:v>87.95</x:v>
      </x:c>
      <x:c r="K185" s="130" t="n">
        <x:v>87.95</x:v>
      </x:c>
      <x:c r="L185" s="130" t="n">
        <x:v>89</x:v>
      </x:c>
      <x:c r="M185" s="130" t="n">
        <x:v>88.1</x:v>
      </x:c>
      <x:c r="N185" s="130" t="n">
        <x:v>89</x:v>
      </x:c>
      <x:c r="O185" s="130" t="n">
        <x:v>85.2</x:v>
      </x:c>
      <x:c r="P185" s="130" t="n">
        <x:v>89.1</x:v>
      </x:c>
      <x:c r="Q185" s="130" t="n">
        <x:v>86</x:v>
      </x:c>
      <x:c r="R185" s="130" t="n">
        <x:v>14</x:v>
      </x:c>
      <x:c r="S185" s="128" t="str">
        <x:v>https://arxiv.org/abs/2605.01547</x:v>
      </x:c>
      <x:c r="T185" s="128" t="str">
        <x:v>三轮复核后与原表基本一致</x:v>
      </x:c>
    </x:row>
    <x:row r="186" ht="28" customHeight="1">
      <x:c r="A186" s="129" t="n">
        <x:v>185</x:v>
      </x:c>
      <x:c r="B186" s="129" t="str">
        <x:v>2026-07</x:v>
      </x:c>
      <x:c r="C186" s="129" t="n">
        <x:v>76</x:v>
      </x:c>
      <x:c r="D186" s="129" t="str">
        <x:v>2607.15408</x:v>
      </x:c>
      <x:c r="E186" s="128" t="str">
        <x:v>Systems of nonlocal conservation laws: well-posedness and singular limit for nonlocal generalized Aw-Rascle-Zhang</x:v>
      </x:c>
      <x:c r="F186" s="128" t="str">
        <x:v>Debora Amadori et al.</x:v>
      </x:c>
      <x:c r="G186" s="128" t="str">
        <x:v>nonlocal conservation laws</x:v>
      </x:c>
      <x:c r="H186" s="129" t="n">
        <x:v>54</x:v>
      </x:c>
      <x:c r="I186" s="130" t="n">
        <x:v>87.9</x:v>
      </x:c>
      <x:c r="J186" s="130" t="n">
        <x:v>87.6</x:v>
      </x:c>
      <x:c r="K186" s="130" t="n">
        <x:v>88.2</x:v>
      </x:c>
      <x:c r="L186" s="130" t="n">
        <x:v>88</x:v>
      </x:c>
      <x:c r="M186" s="130" t="n">
        <x:v>87</x:v>
      </x:c>
      <x:c r="N186" s="130" t="n">
        <x:v>90</x:v>
      </x:c>
      <x:c r="O186" s="130" t="n">
        <x:v>86</x:v>
      </x:c>
      <x:c r="P186" s="130" t="n">
        <x:v>90</x:v>
      </x:c>
      <x:c r="Q186" s="130" t="n">
        <x:v>84</x:v>
      </x:c>
      <x:c r="R186" s="130" t="n">
        <x:v>12</x:v>
      </x:c>
      <x:c r="S186" s="128" t="str">
        <x:v>https://arxiv.org/abs/2607.15408</x:v>
      </x:c>
      <x:c r="T186" s="128" t="str">
        <x:v>Later July exact high-value candidate included in 30% competitive pool.</x:v>
      </x:c>
    </x:row>
    <x:row r="187" ht="28" customHeight="1">
      <x:c r="A187" s="129" t="n">
        <x:v>186</x:v>
      </x:c>
      <x:c r="B187" s="129" t="str">
        <x:v>2026-07</x:v>
      </x:c>
      <x:c r="C187" s="129" t="n">
        <x:v>77</x:v>
      </x:c>
      <x:c r="D187" s="129" t="str">
        <x:v>2607.15878</x:v>
      </x:c>
      <x:c r="E187" s="128" t="str">
        <x:v>Modified compensating functions for incompressible Euler-Vlasov-Fokker-Planck: global classical solutions and decay</x:v>
      </x:c>
      <x:c r="F187" s="128" t="str">
        <x:v>Jinkai Ni</x:v>
      </x:c>
      <x:c r="G187" s="128" t="str">
        <x:v>Euler-Vlasov-Fokker-Planck</x:v>
      </x:c>
      <x:c r="H187" s="129" t="n">
        <x:v>29</x:v>
      </x:c>
      <x:c r="I187" s="130" t="n">
        <x:v>87.9</x:v>
      </x:c>
      <x:c r="J187" s="130" t="n">
        <x:v>87.45</x:v>
      </x:c>
      <x:c r="K187" s="130" t="n">
        <x:v>88.35</x:v>
      </x:c>
      <x:c r="L187" s="130" t="n">
        <x:v>88</x:v>
      </x:c>
      <x:c r="M187" s="130" t="n">
        <x:v>87</x:v>
      </x:c>
      <x:c r="N187" s="130" t="n">
        <x:v>90</x:v>
      </x:c>
      <x:c r="O187" s="130" t="n">
        <x:v>85</x:v>
      </x:c>
      <x:c r="P187" s="130" t="n">
        <x:v>90</x:v>
      </x:c>
      <x:c r="Q187" s="130" t="n">
        <x:v>84</x:v>
      </x:c>
      <x:c r="R187" s="130" t="n">
        <x:v>11</x:v>
      </x:c>
      <x:c r="S187" s="128" t="str">
        <x:v>https://arxiv.org/abs/2607.15878</x:v>
      </x:c>
      <x:c r="T187" s="128" t="str">
        <x:v>Later July exact candidate included in 30% scored pool.</x:v>
      </x:c>
    </x:row>
    <x:row r="188" ht="28" customHeight="1">
      <x:c r="A188" s="129" t="n">
        <x:v>187</x:v>
      </x:c>
      <x:c r="B188" s="129" t="str">
        <x:v>2026-07</x:v>
      </x:c>
      <x:c r="C188" s="129" t="n">
        <x:v>78</x:v>
      </x:c>
      <x:c r="D188" s="129" t="str">
        <x:v>2607.20684</x:v>
      </x:c>
      <x:c r="E188" s="128" t="str">
        <x:v>Spatially Homogeneous Boltzmann Equation with Mass Exchange</x:v>
      </x:c>
      <x:c r="F188" s="128" t="str">
        <x:v>Siwei Luo; Jian-Guo Liu</x:v>
      </x:c>
      <x:c r="G188" s="128" t="str">
        <x:v>Boltzmann</x:v>
      </x:c>
      <x:c r="H188" s="129" t="n">
        <x:v>53</x:v>
      </x:c>
      <x:c r="I188" s="130" t="n">
        <x:v>87.9</x:v>
      </x:c>
      <x:c r="J188" s="130" t="n">
        <x:v>87.45</x:v>
      </x:c>
      <x:c r="K188" s="130" t="n">
        <x:v>88.35</x:v>
      </x:c>
      <x:c r="L188" s="130" t="n">
        <x:v>88</x:v>
      </x:c>
      <x:c r="M188" s="130" t="n">
        <x:v>87</x:v>
      </x:c>
      <x:c r="N188" s="130" t="n">
        <x:v>90</x:v>
      </x:c>
      <x:c r="O188" s="130" t="n">
        <x:v>85</x:v>
      </x:c>
      <x:c r="P188" s="130" t="n">
        <x:v>90</x:v>
      </x:c>
      <x:c r="Q188" s="130" t="n">
        <x:v>84</x:v>
      </x:c>
      <x:c r="R188" s="130" t="n">
        <x:v>11</x:v>
      </x:c>
      <x:c r="S188" s="128" t="str">
        <x:v>https://arxiv.org/abs/2607.20684</x:v>
      </x:c>
      <x:c r="T188" s="128" t="str">
        <x:v>Later July exact high-value candidate included in 30% competitive pool.</x:v>
      </x:c>
    </x:row>
    <x:row r="189" ht="28" customHeight="1">
      <x:c r="A189" s="129" t="n">
        <x:v>188</x:v>
      </x:c>
      <x:c r="B189" s="129" t="str">
        <x:v>2026-05</x:v>
      </x:c>
      <x:c r="C189" s="129" t="n">
        <x:v>38</x:v>
      </x:c>
      <x:c r="D189" s="129" t="str">
        <x:v>2605.28979</x:v>
      </x:c>
      <x:c r="E189" s="128" t="str">
        <x:v>Singular mean-field limits for fluctuations around equilibrium</x:v>
      </x:c>
      <x:c r="F189" s="128" t="str">
        <x:v>Mitia Duerinckx; Pierre-Emmanuel Jabin</x:v>
      </x:c>
      <x:c r="G189" s="128" t="str">
        <x:v>Mean-field fluctuations</x:v>
      </x:c>
      <x:c r="H189" s="129" t="n">
        <x:v>14</x:v>
      </x:c>
      <x:c r="I189" s="130" t="n">
        <x:v>87.89</x:v>
      </x:c>
      <x:c r="J189" s="130" t="n">
        <x:v>87.96</x:v>
      </x:c>
      <x:c r="K189" s="130" t="n">
        <x:v>87.81</x:v>
      </x:c>
      <x:c r="L189" s="130" t="n">
        <x:v>88.1</x:v>
      </x:c>
      <x:c r="M189" s="130" t="n">
        <x:v>89.1</x:v>
      </x:c>
      <x:c r="N189" s="130" t="n">
        <x:v>88.1</x:v>
      </x:c>
      <x:c r="O189" s="130" t="n">
        <x:v>87.2</x:v>
      </x:c>
      <x:c r="P189" s="130" t="n">
        <x:v>88.2</x:v>
      </x:c>
      <x:c r="Q189" s="130" t="n">
        <x:v>86</x:v>
      </x:c>
      <x:c r="R189" s="130" t="n">
        <x:v>13.3</x:v>
      </x:c>
      <x:c r="S189" s="128" t="str">
        <x:v>https://arxiv.org/abs/2605.28979</x:v>
      </x:c>
      <x:c r="T189" s="128" t="str">
        <x:v>三轮复核后与原表基本一致</x:v>
      </x:c>
    </x:row>
    <x:row r="190" ht="28" customHeight="1">
      <x:c r="A190" s="129" t="n">
        <x:v>189</x:v>
      </x:c>
      <x:c r="B190" s="129" t="str">
        <x:v>2026-05</x:v>
      </x:c>
      <x:c r="C190" s="129" t="n">
        <x:v>41</x:v>
      </x:c>
      <x:c r="D190" s="129" t="str">
        <x:v>2605.04442</x:v>
      </x:c>
      <x:c r="E190" s="128" t="str">
        <x:v>Asymptotics of Minimizers for Ginzburg-Landau-type Functionals in High Dimensions</x:v>
      </x:c>
      <x:c r="F190" s="128" t="str">
        <x:v>Giacomo Canevari; Haotong Fu; Wei Wang</x:v>
      </x:c>
      <x:c r="G190" s="128" t="str">
        <x:v>Ginzburg-Landau asymptotics</x:v>
      </x:c>
      <x:c r="H190" s="129" t="n">
        <x:v>42</x:v>
      </x:c>
      <x:c r="I190" s="130" t="n">
        <x:v>87.88</x:v>
      </x:c>
      <x:c r="J190" s="130" t="n">
        <x:v>87.91</x:v>
      </x:c>
      <x:c r="K190" s="130" t="n">
        <x:v>87.85</x:v>
      </x:c>
      <x:c r="L190" s="130" t="n">
        <x:v>89.1</x:v>
      </x:c>
      <x:c r="M190" s="130" t="n">
        <x:v>88.1</x:v>
      </x:c>
      <x:c r="N190" s="130" t="n">
        <x:v>89.1</x:v>
      </x:c>
      <x:c r="O190" s="130" t="n">
        <x:v>85.2</x:v>
      </x:c>
      <x:c r="P190" s="130" t="n">
        <x:v>89.2</x:v>
      </x:c>
      <x:c r="Q190" s="130" t="n">
        <x:v>85</x:v>
      </x:c>
      <x:c r="R190" s="130" t="n">
        <x:v>14</x:v>
      </x:c>
      <x:c r="S190" s="128" t="str">
        <x:v>https://arxiv.org/abs/2605.04442</x:v>
      </x:c>
      <x:c r="T190" s="128" t="str">
        <x:v>三轮复核后与原表基本一致</x:v>
      </x:c>
    </x:row>
    <x:row r="191" ht="28" customHeight="1">
      <x:c r="A191" s="129" t="n">
        <x:v>190</x:v>
      </x:c>
      <x:c r="B191" s="129" t="str">
        <x:v>2026-07</x:v>
      </x:c>
      <x:c r="C191" s="129" t="n">
        <x:v>79</x:v>
      </x:c>
      <x:c r="D191" s="129" t="str">
        <x:v>2607.07244</x:v>
      </x:c>
      <x:c r="E191" s="128" t="str">
        <x:v>The Stability of the Backward Problem for Photoacoustic Imaging in Attenuating Media via Carleman Estimates</x:v>
      </x:c>
      <x:c r="F191" s="128" t="str">
        <x:v>Qihang Chen; Zhiyuan Li; Song Xu</x:v>
      </x:c>
      <x:c r="G191" s="128" t="str">
        <x:v>photoacoustic inverse problem</x:v>
      </x:c>
      <x:c r="H191" s="129" t="str">
        <x:v>-</x:v>
      </x:c>
      <x:c r="I191" s="130" t="n">
        <x:v>87.88</x:v>
      </x:c>
      <x:c r="J191" s="130" t="n">
        <x:v>87.75</x:v>
      </x:c>
      <x:c r="K191" s="130" t="n">
        <x:v>88</x:v>
      </x:c>
      <x:c r="L191" s="130" t="n">
        <x:v>89</x:v>
      </x:c>
      <x:c r="M191" s="130" t="n">
        <x:v>86</x:v>
      </x:c>
      <x:c r="N191" s="130" t="n">
        <x:v>90</x:v>
      </x:c>
      <x:c r="O191" s="130" t="n">
        <x:v>85</x:v>
      </x:c>
      <x:c r="P191" s="130" t="n">
        <x:v>90</x:v>
      </x:c>
      <x:c r="Q191" s="130" t="n">
        <x:v>86</x:v>
      </x:c>
      <x:c r="R191" s="130" t="n">
        <x:v>14</x:v>
      </x:c>
      <x:c r="S191" s="128" t="str">
        <x:v>https://arxiv.org/abs/2607.07244</x:v>
      </x:c>
      <x:c r="T191" s="128" t="str">
        <x:v>Background row in the 30% scored pool; title/authors from official July list.</x:v>
      </x:c>
    </x:row>
    <x:row r="192" ht="28" customHeight="1">
      <x:c r="A192" s="129" t="n">
        <x:v>191</x:v>
      </x:c>
      <x:c r="B192" s="129" t="str">
        <x:v>2026-07</x:v>
      </x:c>
      <x:c r="C192" s="129" t="n">
        <x:v>80</x:v>
      </x:c>
      <x:c r="D192" s="129" t="str">
        <x:v>2607.10657</x:v>
      </x:c>
      <x:c r="E192" s="128" t="str">
        <x:v>Global existence and optimal decay for a three-dimensional penalized Navier-Stokes system with biharmonic damping</x:v>
      </x:c>
      <x:c r="F192" s="128" t="str">
        <x:v>Kabiru Michael Adeyemo; Mohamed Majdoub; Subha Pal</x:v>
      </x:c>
      <x:c r="G192" s="128" t="str">
        <x:v>Navier-Stokes</x:v>
      </x:c>
      <x:c r="H192" s="129" t="str">
        <x:v>-</x:v>
      </x:c>
      <x:c r="I192" s="130" t="n">
        <x:v>87.88</x:v>
      </x:c>
      <x:c r="J192" s="130" t="n">
        <x:v>87.75</x:v>
      </x:c>
      <x:c r="K192" s="130" t="n">
        <x:v>88</x:v>
      </x:c>
      <x:c r="L192" s="130" t="n">
        <x:v>89</x:v>
      </x:c>
      <x:c r="M192" s="130" t="n">
        <x:v>86</x:v>
      </x:c>
      <x:c r="N192" s="130" t="n">
        <x:v>90</x:v>
      </x:c>
      <x:c r="O192" s="130" t="n">
        <x:v>85</x:v>
      </x:c>
      <x:c r="P192" s="130" t="n">
        <x:v>90</x:v>
      </x:c>
      <x:c r="Q192" s="130" t="n">
        <x:v>86</x:v>
      </x:c>
      <x:c r="R192" s="130" t="n">
        <x:v>14</x:v>
      </x:c>
      <x:c r="S192" s="128" t="str">
        <x:v>https://arxiv.org/abs/2607.10657</x:v>
      </x:c>
      <x:c r="T192" s="128" t="str">
        <x:v>Background row in the 30% scored pool; title/authors from official July list.</x:v>
      </x:c>
    </x:row>
    <x:row r="193" ht="28" customHeight="1">
      <x:c r="A193" s="129" t="n">
        <x:v>192</x:v>
      </x:c>
      <x:c r="B193" s="129" t="str">
        <x:v>2026-07</x:v>
      </x:c>
      <x:c r="C193" s="129" t="n">
        <x:v>81</x:v>
      </x:c>
      <x:c r="D193" s="129" t="str">
        <x:v>2607.15896</x:v>
      </x:c>
      <x:c r="E193" s="128" t="str">
        <x:v>Diffusive-mean field limit of a kinetic weakly interacting particle system</x:v>
      </x:c>
      <x:c r="F193" s="128" t="str">
        <x:v>Raphael Gastaldello; Grigorios A. Pavliotis; Gabriel Stoltz; Urbain Vaes</x:v>
      </x:c>
      <x:c r="G193" s="128" t="str">
        <x:v>mean field kinetic</x:v>
      </x:c>
      <x:c r="H193" s="129" t="str">
        <x:v>-</x:v>
      </x:c>
      <x:c r="I193" s="130" t="n">
        <x:v>87.88</x:v>
      </x:c>
      <x:c r="J193" s="130" t="n">
        <x:v>87.55</x:v>
      </x:c>
      <x:c r="K193" s="130" t="n">
        <x:v>88.2</x:v>
      </x:c>
      <x:c r="L193" s="130" t="n">
        <x:v>88</x:v>
      </x:c>
      <x:c r="M193" s="130" t="n">
        <x:v>88</x:v>
      </x:c>
      <x:c r="N193" s="130" t="n">
        <x:v>89</x:v>
      </x:c>
      <x:c r="O193" s="130" t="n">
        <x:v>86</x:v>
      </x:c>
      <x:c r="P193" s="130" t="n">
        <x:v>89</x:v>
      </x:c>
      <x:c r="Q193" s="130" t="n">
        <x:v>84</x:v>
      </x:c>
      <x:c r="R193" s="130" t="n">
        <x:v>10</x:v>
      </x:c>
      <x:c r="S193" s="128" t="str">
        <x:v>https://arxiv.org/abs/2607.15896</x:v>
      </x:c>
      <x:c r="T193" s="128" t="str">
        <x:v>Later July exact high-value candidate included in 30% competitive pool.</x:v>
      </x:c>
    </x:row>
    <x:row r="194" ht="28" customHeight="1">
      <x:c r="A194" s="129" t="n">
        <x:v>193</x:v>
      </x:c>
      <x:c r="B194" s="129" t="str">
        <x:v>2026-07</x:v>
      </x:c>
      <x:c r="C194" s="129" t="n">
        <x:v>82</x:v>
      </x:c>
      <x:c r="D194" s="129" t="str">
        <x:v>2607.17490</x:v>
      </x:c>
      <x:c r="E194" s="128" t="str">
        <x:v>Finite Potential Energy for Entire Solutions of Planar Ginzburg-Landau</x:v>
      </x:c>
      <x:c r="F194" s="128" t="str">
        <x:v>Hongge Chen; Juncheng Wei; Haicheng Yan; Wen Yang</x:v>
      </x:c>
      <x:c r="G194" s="128" t="str">
        <x:v>Ginzburg-Landau</x:v>
      </x:c>
      <x:c r="H194" s="129" t="n">
        <x:v>28</x:v>
      </x:c>
      <x:c r="I194" s="130" t="n">
        <x:v>87.88</x:v>
      </x:c>
      <x:c r="J194" s="130" t="n">
        <x:v>87.55</x:v>
      </x:c>
      <x:c r="K194" s="130" t="n">
        <x:v>88.2</x:v>
      </x:c>
      <x:c r="L194" s="130" t="n">
        <x:v>88</x:v>
      </x:c>
      <x:c r="M194" s="130" t="n">
        <x:v>88</x:v>
      </x:c>
      <x:c r="N194" s="130" t="n">
        <x:v>89</x:v>
      </x:c>
      <x:c r="O194" s="130" t="n">
        <x:v>86</x:v>
      </x:c>
      <x:c r="P194" s="130" t="n">
        <x:v>89</x:v>
      </x:c>
      <x:c r="Q194" s="130" t="n">
        <x:v>84</x:v>
      </x:c>
      <x:c r="R194" s="130" t="n">
        <x:v>10</x:v>
      </x:c>
      <x:c r="S194" s="128" t="str">
        <x:v>https://arxiv.org/abs/2607.17490</x:v>
      </x:c>
      <x:c r="T194" s="128" t="str">
        <x:v>Later July exact high-value candidate included in 30% competitive pool.</x:v>
      </x:c>
    </x:row>
    <x:row r="195" ht="28" customHeight="1">
      <x:c r="A195" s="129" t="n">
        <x:v>194</x:v>
      </x:c>
      <x:c r="B195" s="129" t="str">
        <x:v>2026-08</x:v>
      </x:c>
      <x:c r="C195" s="129" t="n">
        <x:v>22</x:v>
      </x:c>
      <x:c r="D195" s="129" t="str">
        <x:v>2608.00563</x:v>
      </x:c>
      <x:c r="E195" s="128" t="str">
        <x:v>Smooth nonradial stationary solutions to the SQG equation via the half-Yamabe problem</x:v>
      </x:c>
      <x:c r="F195" s="128" t="str">
        <x:v>Angel Castro; Antonio J. Fernandez; Claudia Garcia</x:v>
      </x:c>
      <x:c r="G195" s="128" t="str">
        <x:v>SQG/geometric PDE</x:v>
      </x:c>
      <x:c r="H195" s="129" t="str">
        <x:v>-</x:v>
      </x:c>
      <x:c r="I195" s="130" t="n">
        <x:v>87.88</x:v>
      </x:c>
      <x:c r="J195" s="130" t="n">
        <x:v>87.55</x:v>
      </x:c>
      <x:c r="K195" s="130" t="n">
        <x:v>88.2</x:v>
      </x:c>
      <x:c r="L195" s="130" t="n">
        <x:v>88</x:v>
      </x:c>
      <x:c r="M195" s="130" t="n">
        <x:v>88</x:v>
      </x:c>
      <x:c r="N195" s="130" t="n">
        <x:v>89</x:v>
      </x:c>
      <x:c r="O195" s="130" t="n">
        <x:v>86</x:v>
      </x:c>
      <x:c r="P195" s="130" t="n">
        <x:v>89</x:v>
      </x:c>
      <x:c r="Q195" s="130" t="n">
        <x:v>84</x:v>
      </x:c>
      <x:c r="R195" s="130" t="n">
        <x:v>10</x:v>
      </x:c>
      <x:c r="S195" s="128" t="str">
        <x:v>https://arxiv.org/abs/2608.00563</x:v>
      </x:c>
      <x:c r="T195" s="128" t="str">
        <x:v>Connects SQG stationary solutions with half-Yamabe geometry.</x:v>
      </x:c>
    </x:row>
    <x:row r="196" ht="28" customHeight="1">
      <x:c r="A196" s="129" t="n">
        <x:v>195</x:v>
      </x:c>
      <x:c r="B196" s="129" t="str">
        <x:v>2026-08</x:v>
      </x:c>
      <x:c r="C196" s="129" t="n">
        <x:v>23</x:v>
      </x:c>
      <x:c r="D196" s="129" t="str">
        <x:v>2608.01182</x:v>
      </x:c>
      <x:c r="E196" s="128" t="str">
        <x:v>Wasserstein gradient flows of Maximum Mean Discrepancy with energy kernels</x:v>
      </x:c>
      <x:c r="F196" s="128" t="str">
        <x:v>Matthew Rosenzweig; Dejan Slepcev; Lihan Wang</x:v>
      </x:c>
      <x:c r="G196" s="128" t="str">
        <x:v>gradient flows/MMD</x:v>
      </x:c>
      <x:c r="H196" s="129" t="str">
        <x:v>-</x:v>
      </x:c>
      <x:c r="I196" s="130" t="n">
        <x:v>87.85</x:v>
      </x:c>
      <x:c r="J196" s="130" t="n">
        <x:v>87.65</x:v>
      </x:c>
      <x:c r="K196" s="130" t="n">
        <x:v>88.05</x:v>
      </x:c>
      <x:c r="L196" s="130" t="n">
        <x:v>88</x:v>
      </x:c>
      <x:c r="M196" s="130" t="n">
        <x:v>88</x:v>
      </x:c>
      <x:c r="N196" s="130" t="n">
        <x:v>89</x:v>
      </x:c>
      <x:c r="O196" s="130" t="n">
        <x:v>86</x:v>
      </x:c>
      <x:c r="P196" s="130" t="n">
        <x:v>89</x:v>
      </x:c>
      <x:c r="Q196" s="130" t="n">
        <x:v>85</x:v>
      </x:c>
      <x:c r="R196" s="130" t="n">
        <x:v>12</x:v>
      </x:c>
      <x:c r="S196" s="128" t="str">
        <x:v>https://arxiv.org/abs/2608.01182</x:v>
      </x:c>
      <x:c r="T196" s="128" t="str">
        <x:v>Gradient-flow analysis with modern discrepancy functionals.</x:v>
      </x:c>
    </x:row>
    <x:row r="197" ht="28" customHeight="1">
      <x:c r="A197" s="129" t="n">
        <x:v>196</x:v>
      </x:c>
      <x:c r="B197" s="129" t="str">
        <x:v>2026-08</x:v>
      </x:c>
      <x:c r="C197" s="129" t="n">
        <x:v>24</x:v>
      </x:c>
      <x:c r="D197" s="129" t="str">
        <x:v>2608.04380</x:v>
      </x:c>
      <x:c r="E197" s="128" t="str">
        <x:v>Morse index, Leray-Schauder degree and local uniqueness for multi-peak concentrating solutions of fractional Schrodinger equations</x:v>
      </x:c>
      <x:c r="F197" s="128" t="str">
        <x:v>Yinbin Deng et al.</x:v>
      </x:c>
      <x:c r="G197" s="128" t="str">
        <x:v>fractional Schrodinger</x:v>
      </x:c>
      <x:c r="H197" s="129" t="n">
        <x:v>76</x:v>
      </x:c>
      <x:c r="I197" s="130" t="n">
        <x:v>87.85</x:v>
      </x:c>
      <x:c r="J197" s="130" t="n">
        <x:v>87.5</x:v>
      </x:c>
      <x:c r="K197" s="130" t="n">
        <x:v>88.2</x:v>
      </x:c>
      <x:c r="L197" s="130" t="n">
        <x:v>88</x:v>
      </x:c>
      <x:c r="M197" s="130" t="n">
        <x:v>87</x:v>
      </x:c>
      <x:c r="N197" s="130" t="n">
        <x:v>90</x:v>
      </x:c>
      <x:c r="O197" s="130" t="n">
        <x:v>86</x:v>
      </x:c>
      <x:c r="P197" s="130" t="n">
        <x:v>90</x:v>
      </x:c>
      <x:c r="Q197" s="130" t="n">
        <x:v>83</x:v>
      </x:c>
      <x:c r="R197" s="130" t="n">
        <x:v>11</x:v>
      </x:c>
      <x:c r="S197" s="128" t="str">
        <x:v>https://arxiv.org/abs/2608.04380</x:v>
      </x:c>
      <x:c r="T197" s="128" t="str">
        <x:v>Large multi-peak concentration/local uniqueness analysis.</x:v>
      </x:c>
    </x:row>
    <x:row r="198" ht="28" customHeight="1">
      <x:c r="A198" s="129" t="n">
        <x:v>197</x:v>
      </x:c>
      <x:c r="B198" s="129" t="str">
        <x:v>2026-07</x:v>
      </x:c>
      <x:c r="C198" s="129" t="n">
        <x:v>83</x:v>
      </x:c>
      <x:c r="D198" s="129" t="str">
        <x:v>2607.00458</x:v>
      </x:c>
      <x:c r="E198" s="128" t="str">
        <x:v>Kinetic Fokker-Planck Equations with Nonlinear Diffusion</x:v>
      </x:c>
      <x:c r="F198" s="128" t="str">
        <x:v>Zimo Hao; Zhengyan Wu; Xicheng Zhang</x:v>
      </x:c>
      <x:c r="G198" s="128" t="str">
        <x:v>kinetic PDE</x:v>
      </x:c>
      <x:c r="H198" s="129" t="str">
        <x:v>-</x:v>
      </x:c>
      <x:c r="I198" s="130" t="n">
        <x:v>87.83</x:v>
      </x:c>
      <x:c r="J198" s="130" t="n">
        <x:v>87.65</x:v>
      </x:c>
      <x:c r="K198" s="130" t="n">
        <x:v>88</x:v>
      </x:c>
      <x:c r="L198" s="130" t="n">
        <x:v>88</x:v>
      </x:c>
      <x:c r="M198" s="130" t="n">
        <x:v>87</x:v>
      </x:c>
      <x:c r="N198" s="130" t="n">
        <x:v>89</x:v>
      </x:c>
      <x:c r="O198" s="130" t="n">
        <x:v>86</x:v>
      </x:c>
      <x:c r="P198" s="130" t="n">
        <x:v>89</x:v>
      </x:c>
      <x:c r="Q198" s="130" t="n">
        <x:v>87</x:v>
      </x:c>
      <x:c r="R198" s="130" t="n">
        <x:v>13</x:v>
      </x:c>
      <x:c r="S198" s="128" t="str">
        <x:v>https://arxiv.org/abs/2607.00458</x:v>
      </x:c>
      <x:c r="T198" s="128" t="str">
        <x:v>Scored candidate from official July math.AP list; correctness not checked.</x:v>
      </x:c>
    </x:row>
    <x:row r="199" ht="28" customHeight="1">
      <x:c r="A199" s="129" t="n">
        <x:v>198</x:v>
      </x:c>
      <x:c r="B199" s="129" t="str">
        <x:v>2026-07</x:v>
      </x:c>
      <x:c r="C199" s="129" t="n">
        <x:v>84</x:v>
      </x:c>
      <x:c r="D199" s="129" t="str">
        <x:v>2607.02705</x:v>
      </x:c>
      <x:c r="E199" s="128" t="str">
        <x:v>A T1 criterion for Schrodinger-Calderon-Zygmund operators with exponential decay</x:v>
      </x:c>
      <x:c r="F199" s="128" t="str">
        <x:v>Estefanía Dalmasso; Gabriela R. Lezama; Marisa Toschi</x:v>
      </x:c>
      <x:c r="G199" s="128" t="str">
        <x:v>harmonic analysis/PDE</x:v>
      </x:c>
      <x:c r="H199" s="129" t="n">
        <x:v>38</x:v>
      </x:c>
      <x:c r="I199" s="130" t="n">
        <x:v>87.83</x:v>
      </x:c>
      <x:c r="J199" s="130" t="n">
        <x:v>87.65</x:v>
      </x:c>
      <x:c r="K199" s="130" t="n">
        <x:v>88</x:v>
      </x:c>
      <x:c r="L199" s="130" t="n">
        <x:v>88</x:v>
      </x:c>
      <x:c r="M199" s="130" t="n">
        <x:v>87</x:v>
      </x:c>
      <x:c r="N199" s="130" t="n">
        <x:v>89</x:v>
      </x:c>
      <x:c r="O199" s="130" t="n">
        <x:v>86</x:v>
      </x:c>
      <x:c r="P199" s="130" t="n">
        <x:v>89</x:v>
      </x:c>
      <x:c r="Q199" s="130" t="n">
        <x:v>87</x:v>
      </x:c>
      <x:c r="R199" s="130" t="n">
        <x:v>13</x:v>
      </x:c>
      <x:c r="S199" s="128" t="str">
        <x:v>https://arxiv.org/abs/2607.02705</x:v>
      </x:c>
      <x:c r="T199" s="128" t="str">
        <x:v>Scored candidate from official July math.AP list; correctness not checked.</x:v>
      </x:c>
    </x:row>
    <x:row r="200" ht="28" customHeight="1">
      <x:c r="A200" s="129" t="n">
        <x:v>199</x:v>
      </x:c>
      <x:c r="B200" s="129" t="str">
        <x:v>2026-07</x:v>
      </x:c>
      <x:c r="C200" s="129" t="n">
        <x:v>85</x:v>
      </x:c>
      <x:c r="D200" s="129" t="str">
        <x:v>2607.03380</x:v>
      </x:c>
      <x:c r="E200" s="128" t="str">
        <x:v>Sobolev-Morrey Spaces and Divergence-Form Degenerate Second-Order Elliptic Equations</x:v>
      </x:c>
      <x:c r="F200" s="128" t="str">
        <x:v>Weiyi Kong; Yoshihiro Sawano; Dachun Yang; Sibei Yang; Wen Yuan</x:v>
      </x:c>
      <x:c r="G200" s="128" t="str">
        <x:v>degenerate elliptic PDE</x:v>
      </x:c>
      <x:c r="H200" s="129" t="str">
        <x:v>-</x:v>
      </x:c>
      <x:c r="I200" s="130" t="n">
        <x:v>87.83</x:v>
      </x:c>
      <x:c r="J200" s="130" t="n">
        <x:v>87.65</x:v>
      </x:c>
      <x:c r="K200" s="130" t="n">
        <x:v>88</x:v>
      </x:c>
      <x:c r="L200" s="130" t="n">
        <x:v>88</x:v>
      </x:c>
      <x:c r="M200" s="130" t="n">
        <x:v>87</x:v>
      </x:c>
      <x:c r="N200" s="130" t="n">
        <x:v>89</x:v>
      </x:c>
      <x:c r="O200" s="130" t="n">
        <x:v>86</x:v>
      </x:c>
      <x:c r="P200" s="130" t="n">
        <x:v>89</x:v>
      </x:c>
      <x:c r="Q200" s="130" t="n">
        <x:v>87</x:v>
      </x:c>
      <x:c r="R200" s="130" t="n">
        <x:v>13</x:v>
      </x:c>
      <x:c r="S200" s="128" t="str">
        <x:v>https://arxiv.org/abs/2607.03380</x:v>
      </x:c>
      <x:c r="T200" s="128" t="str">
        <x:v>Scored candidate from official July math.AP list; correctness not checked.</x:v>
      </x:c>
    </x:row>
    <x:row r="201" ht="28" customHeight="1">
      <x:c r="A201" s="129" t="n">
        <x:v>200</x:v>
      </x:c>
      <x:c r="B201" s="129" t="str">
        <x:v>2026-07</x:v>
      </x:c>
      <x:c r="C201" s="129" t="n">
        <x:v>86</x:v>
      </x:c>
      <x:c r="D201" s="129" t="str">
        <x:v>2607.04479</x:v>
      </x:c>
      <x:c r="E201" s="128" t="str">
        <x:v>Classification of solutions to an nth order conformally invariant elliptic equation with nonlocal nonlinearity</x:v>
      </x:c>
      <x:c r="F201" s="128" t="str">
        <x:v>Mathew Gluck; Janani Marasinghe</x:v>
      </x:c>
      <x:c r="G201" s="128" t="str">
        <x:v>conformal PDE</x:v>
      </x:c>
      <x:c r="H201" s="129" t="str">
        <x:v>-</x:v>
      </x:c>
      <x:c r="I201" s="130" t="n">
        <x:v>87.83</x:v>
      </x:c>
      <x:c r="J201" s="130" t="n">
        <x:v>87.65</x:v>
      </x:c>
      <x:c r="K201" s="130" t="n">
        <x:v>88</x:v>
      </x:c>
      <x:c r="L201" s="130" t="n">
        <x:v>88</x:v>
      </x:c>
      <x:c r="M201" s="130" t="n">
        <x:v>87</x:v>
      </x:c>
      <x:c r="N201" s="130" t="n">
        <x:v>89</x:v>
      </x:c>
      <x:c r="O201" s="130" t="n">
        <x:v>86</x:v>
      </x:c>
      <x:c r="P201" s="130" t="n">
        <x:v>89</x:v>
      </x:c>
      <x:c r="Q201" s="130" t="n">
        <x:v>87</x:v>
      </x:c>
      <x:c r="R201" s="130" t="n">
        <x:v>13</x:v>
      </x:c>
      <x:c r="S201" s="128" t="str">
        <x:v>https://arxiv.org/abs/2607.04479</x:v>
      </x:c>
      <x:c r="T201" s="128" t="str">
        <x:v>Scored candidate from official July math.AP list; correctness not checked.</x:v>
      </x:c>
    </x:row>
    <x:row r="202" ht="28" customHeight="1">
      <x:c r="A202" s="129" t="n">
        <x:v>201</x:v>
      </x:c>
      <x:c r="B202" s="129" t="str">
        <x:v>2026-07</x:v>
      </x:c>
      <x:c r="C202" s="129" t="n">
        <x:v>87</x:v>
      </x:c>
      <x:c r="D202" s="129" t="str">
        <x:v>2607.04807</x:v>
      </x:c>
      <x:c r="E202" s="128" t="str">
        <x:v>Thresholds, fragmentation and symmetrization in parabolic equations</x:v>
      </x:c>
      <x:c r="F202" s="128" t="str">
        <x:v>Matthieu Alfaro; Yihong Du; François Hamel; Lionel Roques</x:v>
      </x:c>
      <x:c r="G202" s="128" t="str">
        <x:v>parabolic PDE</x:v>
      </x:c>
      <x:c r="H202" s="129" t="str">
        <x:v>-</x:v>
      </x:c>
      <x:c r="I202" s="130" t="n">
        <x:v>87.83</x:v>
      </x:c>
      <x:c r="J202" s="130" t="n">
        <x:v>87.65</x:v>
      </x:c>
      <x:c r="K202" s="130" t="n">
        <x:v>88</x:v>
      </x:c>
      <x:c r="L202" s="130" t="n">
        <x:v>88</x:v>
      </x:c>
      <x:c r="M202" s="130" t="n">
        <x:v>87</x:v>
      </x:c>
      <x:c r="N202" s="130" t="n">
        <x:v>89</x:v>
      </x:c>
      <x:c r="O202" s="130" t="n">
        <x:v>86</x:v>
      </x:c>
      <x:c r="P202" s="130" t="n">
        <x:v>89</x:v>
      </x:c>
      <x:c r="Q202" s="130" t="n">
        <x:v>87</x:v>
      </x:c>
      <x:c r="R202" s="130" t="n">
        <x:v>13</x:v>
      </x:c>
      <x:c r="S202" s="128" t="str">
        <x:v>https://arxiv.org/abs/2607.04807</x:v>
      </x:c>
      <x:c r="T202" s="128" t="str">
        <x:v>Scored candidate from official July math.AP list; correctness not checked.</x:v>
      </x:c>
    </x:row>
    <x:row r="203" ht="28" customHeight="1">
      <x:c r="A203" s="129" t="n">
        <x:v>202</x:v>
      </x:c>
      <x:c r="B203" s="129" t="str">
        <x:v>2026-07</x:v>
      </x:c>
      <x:c r="C203" s="129" t="n">
        <x:v>88</x:v>
      </x:c>
      <x:c r="D203" s="129" t="str">
        <x:v>2607.06698</x:v>
      </x:c>
      <x:c r="E203" s="128" t="str">
        <x:v>Infinity-harmonic functions and inverse mean curvature flow clusters</x:v>
      </x:c>
      <x:c r="F203" s="128" t="str">
        <x:v>Kai Xu</x:v>
      </x:c>
      <x:c r="G203" s="128" t="str">
        <x:v>infinity harmonic / IMCF</x:v>
      </x:c>
      <x:c r="H203" s="129" t="n">
        <x:v>151</x:v>
      </x:c>
      <x:c r="I203" s="130" t="n">
        <x:v>87.83</x:v>
      </x:c>
      <x:c r="J203" s="130" t="n">
        <x:v>87.65</x:v>
      </x:c>
      <x:c r="K203" s="130" t="n">
        <x:v>88</x:v>
      </x:c>
      <x:c r="L203" s="130" t="n">
        <x:v>88</x:v>
      </x:c>
      <x:c r="M203" s="130" t="n">
        <x:v>87</x:v>
      </x:c>
      <x:c r="N203" s="130" t="n">
        <x:v>89</x:v>
      </x:c>
      <x:c r="O203" s="130" t="n">
        <x:v>86</x:v>
      </x:c>
      <x:c r="P203" s="130" t="n">
        <x:v>89</x:v>
      </x:c>
      <x:c r="Q203" s="130" t="n">
        <x:v>87</x:v>
      </x:c>
      <x:c r="R203" s="130" t="n">
        <x:v>13</x:v>
      </x:c>
      <x:c r="S203" s="128" t="str">
        <x:v>https://arxiv.org/abs/2607.06698</x:v>
      </x:c>
      <x:c r="T203" s="128" t="str">
        <x:v>Scored candidate from official July math.AP list; correctness not checked.</x:v>
      </x:c>
    </x:row>
    <x:row r="204" ht="28" customHeight="1">
      <x:c r="A204" s="129" t="n">
        <x:v>203</x:v>
      </x:c>
      <x:c r="B204" s="129" t="str">
        <x:v>2026-07</x:v>
      </x:c>
      <x:c r="C204" s="129" t="n">
        <x:v>89</x:v>
      </x:c>
      <x:c r="D204" s="129" t="str">
        <x:v>2607.07624</x:v>
      </x:c>
      <x:c r="E204" s="128" t="str">
        <x:v>Unconditional well-posedness of the stochastic Korteweg-de Vries equation on the real line</x:v>
      </x:c>
      <x:c r="F204" s="128" t="str">
        <x:v>Damiano Greco; Tadahiro Oh; Kotaro Tsugawa</x:v>
      </x:c>
      <x:c r="G204" s="128" t="str">
        <x:v>stochastic KdV</x:v>
      </x:c>
      <x:c r="H204" s="129" t="n">
        <x:v>20</x:v>
      </x:c>
      <x:c r="I204" s="130" t="n">
        <x:v>87.83</x:v>
      </x:c>
      <x:c r="J204" s="130" t="n">
        <x:v>87.65</x:v>
      </x:c>
      <x:c r="K204" s="130" t="n">
        <x:v>88</x:v>
      </x:c>
      <x:c r="L204" s="130" t="n">
        <x:v>89</x:v>
      </x:c>
      <x:c r="M204" s="130" t="n">
        <x:v>86</x:v>
      </x:c>
      <x:c r="N204" s="130" t="n">
        <x:v>90</x:v>
      </x:c>
      <x:c r="O204" s="130" t="n">
        <x:v>85</x:v>
      </x:c>
      <x:c r="P204" s="130" t="n">
        <x:v>90</x:v>
      </x:c>
      <x:c r="Q204" s="130" t="n">
        <x:v>85</x:v>
      </x:c>
      <x:c r="R204" s="130" t="n">
        <x:v>13</x:v>
      </x:c>
      <x:c r="S204" s="128" t="str">
        <x:v>https://arxiv.org/abs/2607.07624</x:v>
      </x:c>
      <x:c r="T204" s="128" t="str">
        <x:v>Scored candidate from official July math.AP list; correctness not checked.</x:v>
      </x:c>
    </x:row>
    <x:row r="205" ht="28" customHeight="1">
      <x:c r="A205" s="129" t="n">
        <x:v>204</x:v>
      </x:c>
      <x:c r="B205" s="129" t="str">
        <x:v>2026-07</x:v>
      </x:c>
      <x:c r="C205" s="129" t="n">
        <x:v>90</x:v>
      </x:c>
      <x:c r="D205" s="129" t="str">
        <x:v>2607.11513</x:v>
      </x:c>
      <x:c r="E205" s="128" t="str">
        <x:v>Graph-Compatible Power Concavity in Weakly Coupled Elliptic Systems</x:v>
      </x:c>
      <x:c r="F205" s="128" t="str">
        <x:v>Jiahuan Li; Hanpeng Zhou</x:v>
      </x:c>
      <x:c r="G205" s="128" t="str">
        <x:v>elliptic systems</x:v>
      </x:c>
      <x:c r="H205" s="129" t="str">
        <x:v>-</x:v>
      </x:c>
      <x:c r="I205" s="130" t="n">
        <x:v>87.83</x:v>
      </x:c>
      <x:c r="J205" s="130" t="n">
        <x:v>87.65</x:v>
      </x:c>
      <x:c r="K205" s="130" t="n">
        <x:v>88</x:v>
      </x:c>
      <x:c r="L205" s="130" t="n">
        <x:v>88</x:v>
      </x:c>
      <x:c r="M205" s="130" t="n">
        <x:v>87</x:v>
      </x:c>
      <x:c r="N205" s="130" t="n">
        <x:v>89</x:v>
      </x:c>
      <x:c r="O205" s="130" t="n">
        <x:v>86</x:v>
      </x:c>
      <x:c r="P205" s="130" t="n">
        <x:v>89</x:v>
      </x:c>
      <x:c r="Q205" s="130" t="n">
        <x:v>87</x:v>
      </x:c>
      <x:c r="R205" s="130" t="n">
        <x:v>13</x:v>
      </x:c>
      <x:c r="S205" s="128" t="str">
        <x:v>https://arxiv.org/abs/2607.11513</x:v>
      </x:c>
      <x:c r="T205" s="128" t="str">
        <x:v>Scored candidate from official July math.AP list; correctness not checked.</x:v>
      </x:c>
    </x:row>
    <x:row r="206" ht="28" customHeight="1">
      <x:c r="A206" s="129" t="n">
        <x:v>205</x:v>
      </x:c>
      <x:c r="B206" s="129" t="str">
        <x:v>2026-05</x:v>
      </x:c>
      <x:c r="C206" s="129" t="n">
        <x:v>38</x:v>
      </x:c>
      <x:c r="D206" s="129" t="str">
        <x:v>2605.22347</x:v>
      </x:c>
      <x:c r="E206" s="128" t="str">
        <x:v>Convergence of the Chern-Ricci flow on complex minimal surfaces of general type</x:v>
      </x:c>
      <x:c r="F206" s="128" t="str">
        <x:v>Haoyuan Sun</x:v>
      </x:c>
      <x:c r="G206" s="128" t="str">
        <x:v>Complex geometric flows</x:v>
      </x:c>
      <x:c r="H206" s="129" t="n">
        <x:v>28</x:v>
      </x:c>
      <x:c r="I206" s="130" t="n">
        <x:v>87.8</x:v>
      </x:c>
      <x:c r="J206" s="130" t="n">
        <x:v>87.85</x:v>
      </x:c>
      <x:c r="K206" s="130" t="n">
        <x:v>87.75</x:v>
      </x:c>
      <x:c r="L206" s="130" t="n">
        <x:v>89</x:v>
      </x:c>
      <x:c r="M206" s="130" t="n">
        <x:v>88</x:v>
      </x:c>
      <x:c r="N206" s="130" t="n">
        <x:v>89</x:v>
      </x:c>
      <x:c r="O206" s="130" t="n">
        <x:v>86</x:v>
      </x:c>
      <x:c r="P206" s="130" t="n">
        <x:v>89</x:v>
      </x:c>
      <x:c r="Q206" s="130" t="n">
        <x:v>84</x:v>
      </x:c>
      <x:c r="R206" s="130" t="n">
        <x:v>13</x:v>
      </x:c>
      <x:c r="S206" s="128" t="str">
        <x:v>https://arxiv.org/abs/2605.22347</x:v>
      </x:c>
      <x:c r="T206" s="128" t="str">
        <x:v>三轮复核后与原表基本一致</x:v>
      </x:c>
    </x:row>
    <x:row r="207" ht="28" customHeight="1">
      <x:c r="A207" s="129" t="n">
        <x:v>206</x:v>
      </x:c>
      <x:c r="B207" s="129" t="str">
        <x:v>2026-07</x:v>
      </x:c>
      <x:c r="C207" s="129" t="n">
        <x:v>91</x:v>
      </x:c>
      <x:c r="D207" s="129" t="str">
        <x:v>2607.10088</x:v>
      </x:c>
      <x:c r="E207" s="128" t="str">
        <x:v>Quantitative estimates of propagation of chaos for multi-species cross-diffusion equations</x:v>
      </x:c>
      <x:c r="F207" s="128" t="str">
        <x:v>Yue Li; Yefei Yin; Zhipeng Zhang</x:v>
      </x:c>
      <x:c r="G207" s="128" t="str">
        <x:v>mean-field / cross-diffusion</x:v>
      </x:c>
      <x:c r="H207" s="129" t="str">
        <x:v>-</x:v>
      </x:c>
      <x:c r="I207" s="130" t="n">
        <x:v>87.8</x:v>
      </x:c>
      <x:c r="J207" s="130" t="n">
        <x:v>87.55</x:v>
      </x:c>
      <x:c r="K207" s="130" t="n">
        <x:v>88.05</x:v>
      </x:c>
      <x:c r="L207" s="130" t="n">
        <x:v>88</x:v>
      </x:c>
      <x:c r="M207" s="130" t="n">
        <x:v>88</x:v>
      </x:c>
      <x:c r="N207" s="130" t="n">
        <x:v>89</x:v>
      </x:c>
      <x:c r="O207" s="130" t="n">
        <x:v>86</x:v>
      </x:c>
      <x:c r="P207" s="130" t="n">
        <x:v>89</x:v>
      </x:c>
      <x:c r="Q207" s="130" t="n">
        <x:v>84</x:v>
      </x:c>
      <x:c r="R207" s="130" t="n">
        <x:v>11</x:v>
      </x:c>
      <x:c r="S207" s="128" t="str">
        <x:v>https://arxiv.org/abs/2607.10088</x:v>
      </x:c>
      <x:c r="T207" s="128" t="str">
        <x:v>Quantitative propagation of chaos for coupled cross-diffusion.</x:v>
      </x:c>
    </x:row>
    <x:row r="208" ht="28" customHeight="1">
      <x:c r="A208" s="129" t="n">
        <x:v>207</x:v>
      </x:c>
      <x:c r="B208" s="129" t="str">
        <x:v>2026-07</x:v>
      </x:c>
      <x:c r="C208" s="129" t="n">
        <x:v>92</x:v>
      </x:c>
      <x:c r="D208" s="129" t="str">
        <x:v>2607.15838</x:v>
      </x:c>
      <x:c r="E208" s="128" t="str">
        <x:v>Flexibility of isometric immersion system in arbitrary dimension/codimension and energy scaling of prestrained thin films</x:v>
      </x:c>
      <x:c r="F208" s="128" t="str">
        <x:v>Marta Lewicka; Hui Li</x:v>
      </x:c>
      <x:c r="G208" s="128" t="str">
        <x:v>isometric immersions</x:v>
      </x:c>
      <x:c r="H208" s="129" t="n">
        <x:v>30</x:v>
      </x:c>
      <x:c r="I208" s="130" t="n">
        <x:v>87.8</x:v>
      </x:c>
      <x:c r="J208" s="130" t="n">
        <x:v>87.55</x:v>
      </x:c>
      <x:c r="K208" s="130" t="n">
        <x:v>88.05</x:v>
      </x:c>
      <x:c r="L208" s="130" t="n">
        <x:v>88</x:v>
      </x:c>
      <x:c r="M208" s="130" t="n">
        <x:v>88</x:v>
      </x:c>
      <x:c r="N208" s="130" t="n">
        <x:v>89</x:v>
      </x:c>
      <x:c r="O208" s="130" t="n">
        <x:v>86</x:v>
      </x:c>
      <x:c r="P208" s="130" t="n">
        <x:v>89</x:v>
      </x:c>
      <x:c r="Q208" s="130" t="n">
        <x:v>84</x:v>
      </x:c>
      <x:c r="R208" s="130" t="n">
        <x:v>11</x:v>
      </x:c>
      <x:c r="S208" s="128" t="str">
        <x:v>https://arxiv.org/abs/2607.15838</x:v>
      </x:c>
      <x:c r="T208" s="128" t="str">
        <x:v>Later July exact high-value candidate included in 30% competitive pool.</x:v>
      </x:c>
    </x:row>
    <x:row r="209" ht="28" customHeight="1">
      <x:c r="A209" s="129" t="n">
        <x:v>208</x:v>
      </x:c>
      <x:c r="B209" s="129" t="str">
        <x:v>2026-07</x:v>
      </x:c>
      <x:c r="C209" s="129" t="n">
        <x:v>93</x:v>
      </x:c>
      <x:c r="D209" s="129" t="str">
        <x:v>2607.24169</x:v>
      </x:c>
      <x:c r="E209" s="128" t="str">
        <x:v>Supersolution Construction and Optimal Hardy Inequality for Fractional Laplacians</x:v>
      </x:c>
      <x:c r="F209" s="128" t="str">
        <x:v>Philipp Hake; Matthias Keller; Felix Pogorzelski</x:v>
      </x:c>
      <x:c r="G209" s="128" t="str">
        <x:v>fractional Hardy</x:v>
      </x:c>
      <x:c r="H209" s="129" t="n">
        <x:v>24</x:v>
      </x:c>
      <x:c r="I209" s="130" t="n">
        <x:v>87.8</x:v>
      </x:c>
      <x:c r="J209" s="130" t="n">
        <x:v>87.45</x:v>
      </x:c>
      <x:c r="K209" s="130" t="n">
        <x:v>88.15</x:v>
      </x:c>
      <x:c r="L209" s="130" t="n">
        <x:v>88</x:v>
      </x:c>
      <x:c r="M209" s="130" t="n">
        <x:v>87</x:v>
      </x:c>
      <x:c r="N209" s="130" t="n">
        <x:v>89</x:v>
      </x:c>
      <x:c r="O209" s="130" t="n">
        <x:v>86</x:v>
      </x:c>
      <x:c r="P209" s="130" t="n">
        <x:v>89</x:v>
      </x:c>
      <x:c r="Q209" s="130" t="n">
        <x:v>85</x:v>
      </x:c>
      <x:c r="R209" s="130" t="n">
        <x:v>10</x:v>
      </x:c>
      <x:c r="S209" s="128" t="str">
        <x:v>https://arxiv.org/abs/2607.24169</x:v>
      </x:c>
      <x:c r="T209" s="128" t="str">
        <x:v>Later July exact high-value candidate included in 30% competitive pool.</x:v>
      </x:c>
    </x:row>
    <x:row r="210" ht="28" customHeight="1">
      <x:c r="A210" s="129" t="n">
        <x:v>209</x:v>
      </x:c>
      <x:c r="B210" s="129" t="str">
        <x:v>2026-05</x:v>
      </x:c>
      <x:c r="C210" s="129" t="n">
        <x:v>41</x:v>
      </x:c>
      <x:c r="D210" s="129" t="str">
        <x:v>2605.03481</x:v>
      </x:c>
      <x:c r="E210" s="128" t="str">
        <x:v>Stability of de Sitter Space and Expansion at the Conformal Boundary</x:v>
      </x:c>
      <x:c r="F210" s="128" t="str">
        <x:v>Maurus Leimbacher</x:v>
      </x:c>
      <x:c r="G210" s="128" t="str">
        <x:v>Hyperbolic PDE / GR</x:v>
      </x:c>
      <x:c r="H210" s="129" t="n">
        <x:v>55</x:v>
      </x:c>
      <x:c r="I210" s="130" t="n">
        <x:v>87.73</x:v>
      </x:c>
      <x:c r="J210" s="130" t="n">
        <x:v>87.7</x:v>
      </x:c>
      <x:c r="K210" s="130" t="n">
        <x:v>87.75</x:v>
      </x:c>
      <x:c r="L210" s="130" t="n">
        <x:v>89</x:v>
      </x:c>
      <x:c r="M210" s="130" t="n">
        <x:v>88</x:v>
      </x:c>
      <x:c r="N210" s="130" t="n">
        <x:v>89</x:v>
      </x:c>
      <x:c r="O210" s="130" t="n">
        <x:v>85</x:v>
      </x:c>
      <x:c r="P210" s="130" t="n">
        <x:v>89</x:v>
      </x:c>
      <x:c r="Q210" s="130" t="n">
        <x:v>84</x:v>
      </x:c>
      <x:c r="R210" s="130" t="n">
        <x:v>13</x:v>
      </x:c>
      <x:c r="S210" s="128" t="str">
        <x:v>https://arxiv.org/abs/2605.03481</x:v>
      </x:c>
      <x:c r="T210" s="128" t="str">
        <x:v>三轮复核后与原表基本一致</x:v>
      </x:c>
    </x:row>
    <x:row r="211" ht="28" customHeight="1">
      <x:c r="A211" s="129" t="n">
        <x:v>210</x:v>
      </x:c>
      <x:c r="B211" s="129" t="str">
        <x:v>2026-08</x:v>
      </x:c>
      <x:c r="C211" s="129" t="n">
        <x:v>25</x:v>
      </x:c>
      <x:c r="D211" s="129" t="str">
        <x:v>2608.01683</x:v>
      </x:c>
      <x:c r="E211" s="128" t="str">
        <x:v>Smooth Failure of Boundary Unique Continuation for Harmonic Functions</x:v>
      </x:c>
      <x:c r="F211" s="128" t="str">
        <x:v>Guolin Qin; Weicheng Zhan</x:v>
      </x:c>
      <x:c r="G211" s="128" t="str">
        <x:v>unique continuation</x:v>
      </x:c>
      <x:c r="H211" s="129" t="str">
        <x:v>-</x:v>
      </x:c>
      <x:c r="I211" s="130" t="n">
        <x:v>87.7</x:v>
      </x:c>
      <x:c r="J211" s="130" t="n">
        <x:v>87.4</x:v>
      </x:c>
      <x:c r="K211" s="130" t="n">
        <x:v>88</x:v>
      </x:c>
      <x:c r="L211" s="130" t="n">
        <x:v>88</x:v>
      </x:c>
      <x:c r="M211" s="130" t="n">
        <x:v>88</x:v>
      </x:c>
      <x:c r="N211" s="130" t="n">
        <x:v>88</x:v>
      </x:c>
      <x:c r="O211" s="130" t="n">
        <x:v>86</x:v>
      </x:c>
      <x:c r="P211" s="130" t="n">
        <x:v>88</x:v>
      </x:c>
      <x:c r="Q211" s="130" t="n">
        <x:v>85</x:v>
      </x:c>
      <x:c r="R211" s="130" t="n">
        <x:v>9</x:v>
      </x:c>
      <x:c r="S211" s="128" t="str">
        <x:v>https://arxiv.org/abs/2608.01683</x:v>
      </x:c>
      <x:c r="T211" s="128" t="str">
        <x:v>Clean counterexample/failure mechanism for boundary unique continuation.</x:v>
      </x:c>
    </x:row>
    <x:row r="212" ht="28" customHeight="1">
      <x:c r="A212" s="129" t="n">
        <x:v>211</x:v>
      </x:c>
      <x:c r="B212" s="129" t="str">
        <x:v>2026-07</x:v>
      </x:c>
      <x:c r="C212" s="129" t="n">
        <x:v>94</x:v>
      </x:c>
      <x:c r="D212" s="129" t="str">
        <x:v>2607.15599</x:v>
      </x:c>
      <x:c r="E212" s="128" t="str">
        <x:v>Riesz transform and inequalities for degenerate elliptic operators of Grushin type</x:v>
      </x:c>
      <x:c r="F212" s="128" t="str">
        <x:v>Dangyang He</x:v>
      </x:c>
      <x:c r="G212" s="128" t="str">
        <x:v>degenerate elliptic operators</x:v>
      </x:c>
      <x:c r="H212" s="129" t="n">
        <x:v>79</x:v>
      </x:c>
      <x:c r="I212" s="130" t="n">
        <x:v>87.7</x:v>
      </x:c>
      <x:c r="J212" s="130" t="n">
        <x:v>87.35</x:v>
      </x:c>
      <x:c r="K212" s="130" t="n">
        <x:v>88.05</x:v>
      </x:c>
      <x:c r="L212" s="130" t="n">
        <x:v>88</x:v>
      </x:c>
      <x:c r="M212" s="130" t="n">
        <x:v>87</x:v>
      </x:c>
      <x:c r="N212" s="130" t="n">
        <x:v>90</x:v>
      </x:c>
      <x:c r="O212" s="130" t="n">
        <x:v>85</x:v>
      </x:c>
      <x:c r="P212" s="130" t="n">
        <x:v>90</x:v>
      </x:c>
      <x:c r="Q212" s="130" t="n">
        <x:v>83</x:v>
      </x:c>
      <x:c r="R212" s="130" t="n">
        <x:v>12</x:v>
      </x:c>
      <x:c r="S212" s="128" t="str">
        <x:v>https://arxiv.org/abs/2607.15599</x:v>
      </x:c>
      <x:c r="T212" s="128" t="str">
        <x:v>Later July exact high-value candidate included in 30% competitive pool.</x:v>
      </x:c>
    </x:row>
    <x:row r="213" ht="28" customHeight="1">
      <x:c r="A213" s="129" t="n">
        <x:v>212</x:v>
      </x:c>
      <x:c r="B213" s="129" t="str">
        <x:v>2026-05</x:v>
      </x:c>
      <x:c r="C213" s="129" t="n">
        <x:v>43</x:v>
      </x:c>
      <x:c r="D213" s="129" t="str">
        <x:v>2605.02176</x:v>
      </x:c>
      <x:c r="E213" s="128" t="str">
        <x:v>Volumetric density estimates for nonlocal minimal surfaces</x:v>
      </x:c>
      <x:c r="F213" s="128" t="str">
        <x:v>Mateusz Kwasnicki; Jack Thompson</x:v>
      </x:c>
      <x:c r="G213" s="128" t="str">
        <x:v>Nonlocal minimal surfaces</x:v>
      </x:c>
      <x:c r="H213" s="129"/>
      <x:c r="I213" s="130" t="n">
        <x:v>87.68</x:v>
      </x:c>
      <x:c r="J213" s="130" t="n">
        <x:v>87.45</x:v>
      </x:c>
      <x:c r="K213" s="130" t="n">
        <x:v>87.9</x:v>
      </x:c>
      <x:c r="L213" s="130" t="n">
        <x:v>88</x:v>
      </x:c>
      <x:c r="M213" s="130" t="n">
        <x:v>88</x:v>
      </x:c>
      <x:c r="N213" s="130" t="n">
        <x:v>89</x:v>
      </x:c>
      <x:c r="O213" s="130" t="n">
        <x:v>84</x:v>
      </x:c>
      <x:c r="P213" s="130" t="n">
        <x:v>89</x:v>
      </x:c>
      <x:c r="Q213" s="130" t="n">
        <x:v>86</x:v>
      </x:c>
      <x:c r="R213" s="130" t="n">
        <x:v>14</x:v>
      </x:c>
      <x:c r="S213" s="128" t="str">
        <x:v>https://arxiv.org/abs/2605.02176</x:v>
      </x:c>
      <x:c r="T213" s="128" t="str">
        <x:v>三轮复核后与原表基本一致</x:v>
      </x:c>
    </x:row>
    <x:row r="214" ht="28" customHeight="1">
      <x:c r="A214" s="129" t="n">
        <x:v>213</x:v>
      </x:c>
      <x:c r="B214" s="129" t="str">
        <x:v>2026-07</x:v>
      </x:c>
      <x:c r="C214" s="129" t="n">
        <x:v>95</x:v>
      </x:c>
      <x:c r="D214" s="129" t="str">
        <x:v>2607.11812</x:v>
      </x:c>
      <x:c r="E214" s="128" t="str">
        <x:v>Serrin's Problem under Dirichlet Perturbations: Geometric Compactness and Sharp Planar Stability</x:v>
      </x:c>
      <x:c r="F214" s="128" t="str">
        <x:v>Qinfeng Li; Weihong Xie; Hang Yang</x:v>
      </x:c>
      <x:c r="G214" s="128" t="str">
        <x:v>free boundary/overdetermined</x:v>
      </x:c>
      <x:c r="H214" s="129" t="str">
        <x:v>-</x:v>
      </x:c>
      <x:c r="I214" s="130" t="n">
        <x:v>87.68</x:v>
      </x:c>
      <x:c r="J214" s="130" t="n">
        <x:v>87.35</x:v>
      </x:c>
      <x:c r="K214" s="130" t="n">
        <x:v>88</x:v>
      </x:c>
      <x:c r="L214" s="130" t="n">
        <x:v>88</x:v>
      </x:c>
      <x:c r="M214" s="130" t="n">
        <x:v>87</x:v>
      </x:c>
      <x:c r="N214" s="130" t="n">
        <x:v>89</x:v>
      </x:c>
      <x:c r="O214" s="130" t="n">
        <x:v>86</x:v>
      </x:c>
      <x:c r="P214" s="130" t="n">
        <x:v>89</x:v>
      </x:c>
      <x:c r="Q214" s="130" t="n">
        <x:v>84</x:v>
      </x:c>
      <x:c r="R214" s="130" t="n">
        <x:v>10</x:v>
      </x:c>
      <x:c r="S214" s="128" t="str">
        <x:v>https://arxiv.org/abs/2607.11812</x:v>
      </x:c>
      <x:c r="T214" s="128" t="str">
        <x:v>Later July exact candidate included in 30% scored pool.</x:v>
      </x:c>
    </x:row>
    <x:row r="215" ht="28" customHeight="1">
      <x:c r="A215" s="129" t="n">
        <x:v>214</x:v>
      </x:c>
      <x:c r="B215" s="129" t="str">
        <x:v>2026-07</x:v>
      </x:c>
      <x:c r="C215" s="129" t="n">
        <x:v>96</x:v>
      </x:c>
      <x:c r="D215" s="129" t="str">
        <x:v>2607.13279</x:v>
      </x:c>
      <x:c r="E215" s="128" t="str">
        <x:v>Optimal geometric barriers for weighted observability of heat semigroups on metric measure spaces</x:v>
      </x:c>
      <x:c r="F215" s="128" t="str">
        <x:v>Vincent Boulard; Amaury Hayat; Emmanuel Trelat</x:v>
      </x:c>
      <x:c r="G215" s="128" t="str">
        <x:v>observability/heat</x:v>
      </x:c>
      <x:c r="H215" s="129" t="str">
        <x:v>-</x:v>
      </x:c>
      <x:c r="I215" s="130" t="n">
        <x:v>87.68</x:v>
      </x:c>
      <x:c r="J215" s="130" t="n">
        <x:v>87.35</x:v>
      </x:c>
      <x:c r="K215" s="130" t="n">
        <x:v>88</x:v>
      </x:c>
      <x:c r="L215" s="130" t="n">
        <x:v>88</x:v>
      </x:c>
      <x:c r="M215" s="130" t="n">
        <x:v>87</x:v>
      </x:c>
      <x:c r="N215" s="130" t="n">
        <x:v>89</x:v>
      </x:c>
      <x:c r="O215" s="130" t="n">
        <x:v>86</x:v>
      </x:c>
      <x:c r="P215" s="130" t="n">
        <x:v>89</x:v>
      </x:c>
      <x:c r="Q215" s="130" t="n">
        <x:v>84</x:v>
      </x:c>
      <x:c r="R215" s="130" t="n">
        <x:v>10</x:v>
      </x:c>
      <x:c r="S215" s="128" t="str">
        <x:v>https://arxiv.org/abs/2607.13279</x:v>
      </x:c>
      <x:c r="T215" s="128" t="str">
        <x:v>Additional exact July entry retained to complete 30% scoring pool.</x:v>
      </x:c>
    </x:row>
    <x:row r="216" ht="28" customHeight="1">
      <x:c r="A216" s="129" t="n">
        <x:v>215</x:v>
      </x:c>
      <x:c r="B216" s="129" t="str">
        <x:v>2026-08</x:v>
      </x:c>
      <x:c r="C216" s="129" t="n">
        <x:v>26</x:v>
      </x:c>
      <x:c r="D216" s="129" t="str">
        <x:v>2608.00912</x:v>
      </x:c>
      <x:c r="E216" s="128" t="str">
        <x:v>Observability of wave and plate equations with rough coefficients and interfaces</x:v>
      </x:c>
      <x:c r="F216" s="128" t="str">
        <x:v>Sylvain Ervedoza; Alex Imba; Alberto Mercado; Axel Osses</x:v>
      </x:c>
      <x:c r="G216" s="128" t="str">
        <x:v>observability/waves</x:v>
      </x:c>
      <x:c r="H216" s="129" t="str">
        <x:v>-</x:v>
      </x:c>
      <x:c r="I216" s="130" t="n">
        <x:v>87.68</x:v>
      </x:c>
      <x:c r="J216" s="130" t="n">
        <x:v>87.35</x:v>
      </x:c>
      <x:c r="K216" s="130" t="n">
        <x:v>88</x:v>
      </x:c>
      <x:c r="L216" s="130" t="n">
        <x:v>88</x:v>
      </x:c>
      <x:c r="M216" s="130" t="n">
        <x:v>87</x:v>
      </x:c>
      <x:c r="N216" s="130" t="n">
        <x:v>89</x:v>
      </x:c>
      <x:c r="O216" s="130" t="n">
        <x:v>86</x:v>
      </x:c>
      <x:c r="P216" s="130" t="n">
        <x:v>89</x:v>
      </x:c>
      <x:c r="Q216" s="130" t="n">
        <x:v>84</x:v>
      </x:c>
      <x:c r="R216" s="130" t="n">
        <x:v>10</x:v>
      </x:c>
      <x:c r="S216" s="128" t="str">
        <x:v>https://arxiv.org/abs/2608.00912</x:v>
      </x:c>
      <x:c r="T216" s="128" t="str">
        <x:v>Rough-interface observability for wave/plate equations.</x:v>
      </x:c>
    </x:row>
    <x:row r="217" ht="28" customHeight="1">
      <x:c r="A217" s="129" t="n">
        <x:v>216</x:v>
      </x:c>
      <x:c r="B217" s="129" t="str">
        <x:v>2026-08</x:v>
      </x:c>
      <x:c r="C217" s="129" t="n">
        <x:v>27</x:v>
      </x:c>
      <x:c r="D217" s="129" t="str">
        <x:v>2608.06040</x:v>
      </x:c>
      <x:c r="E217" s="128" t="str">
        <x:v>New decay estimates and Liouville type theorems for 3D axisymmetric stationary Navier-Stokes equations</x:v>
      </x:c>
      <x:c r="F217" s="128" t="str">
        <x:v>Wendong Wang; Guoxu Yang</x:v>
      </x:c>
      <x:c r="G217" s="128" t="str">
        <x:v>stationary Navier-Stokes</x:v>
      </x:c>
      <x:c r="H217" s="129" t="str">
        <x:v>-</x:v>
      </x:c>
      <x:c r="I217" s="130" t="n">
        <x:v>87.68</x:v>
      </x:c>
      <x:c r="J217" s="130" t="n">
        <x:v>87.35</x:v>
      </x:c>
      <x:c r="K217" s="130" t="n">
        <x:v>88</x:v>
      </x:c>
      <x:c r="L217" s="130" t="n">
        <x:v>88</x:v>
      </x:c>
      <x:c r="M217" s="130" t="n">
        <x:v>87</x:v>
      </x:c>
      <x:c r="N217" s="130" t="n">
        <x:v>89</x:v>
      </x:c>
      <x:c r="O217" s="130" t="n">
        <x:v>86</x:v>
      </x:c>
      <x:c r="P217" s="130" t="n">
        <x:v>89</x:v>
      </x:c>
      <x:c r="Q217" s="130" t="n">
        <x:v>84</x:v>
      </x:c>
      <x:c r="R217" s="130" t="n">
        <x:v>10</x:v>
      </x:c>
      <x:c r="S217" s="128" t="str">
        <x:v>https://arxiv.org/abs/2608.06040</x:v>
      </x:c>
      <x:c r="T217" s="128" t="str">
        <x:v>Decay and Liouville results for stationary axisymmetric NS.</x:v>
      </x:c>
    </x:row>
    <x:row r="218" ht="28" customHeight="1">
      <x:c r="A218" s="129" t="n">
        <x:v>217</x:v>
      </x:c>
      <x:c r="B218" s="129" t="str">
        <x:v>2026-05</x:v>
      </x:c>
      <x:c r="C218" s="129" t="n">
        <x:v>43</x:v>
      </x:c>
      <x:c r="D218" s="129" t="str">
        <x:v>2605.05422</x:v>
      </x:c>
      <x:c r="E218" s="128" t="str">
        <x:v>An optimal trace estimate for microlocal square functions on quadratic surfaces</x:v>
      </x:c>
      <x:c r="F218" s="128" t="str">
        <x:v>Vicente Vergara</x:v>
      </x:c>
      <x:c r="G218" s="128" t="str">
        <x:v>Microlocal harmonic analysis</x:v>
      </x:c>
      <x:c r="H218" s="129" t="n">
        <x:v>41</x:v>
      </x:c>
      <x:c r="I218" s="130" t="n">
        <x:v>87.63</x:v>
      </x:c>
      <x:c r="J218" s="130" t="n">
        <x:v>87.5</x:v>
      </x:c>
      <x:c r="K218" s="130" t="n">
        <x:v>87.75</x:v>
      </x:c>
      <x:c r="L218" s="130" t="n">
        <x:v>88</x:v>
      </x:c>
      <x:c r="M218" s="130" t="n">
        <x:v>88</x:v>
      </x:c>
      <x:c r="N218" s="130" t="n">
        <x:v>89</x:v>
      </x:c>
      <x:c r="O218" s="130" t="n">
        <x:v>85</x:v>
      </x:c>
      <x:c r="P218" s="130" t="n">
        <x:v>89</x:v>
      </x:c>
      <x:c r="Q218" s="130" t="n">
        <x:v>85</x:v>
      </x:c>
      <x:c r="R218" s="130" t="n">
        <x:v>14</x:v>
      </x:c>
      <x:c r="S218" s="128" t="str">
        <x:v>https://arxiv.org/abs/2605.05422</x:v>
      </x:c>
      <x:c r="T218" s="128" t="str">
        <x:v>三轮复核后与原表基本一致</x:v>
      </x:c>
    </x:row>
    <x:row r="219" ht="28" customHeight="1">
      <x:c r="A219" s="129" t="n">
        <x:v>218</x:v>
      </x:c>
      <x:c r="B219" s="129" t="str">
        <x:v>2026-05</x:v>
      </x:c>
      <x:c r="C219" s="129" t="n">
        <x:v>45</x:v>
      </x:c>
      <x:c r="D219" s="129" t="str">
        <x:v>2605.05869</x:v>
      </x:c>
      <x:c r="E219" s="128" t="str">
        <x:v>Consistency analysis for combined homogenization and shallow water limit of water waves</x:v>
      </x:c>
      <x:c r="F219" s="128" t="str">
        <x:v>Antoine Gloria; David Lee</x:v>
      </x:c>
      <x:c r="G219" s="128" t="str">
        <x:v>Water waves / homogenization</x:v>
      </x:c>
      <x:c r="H219" s="129"/>
      <x:c r="I219" s="130" t="n">
        <x:v>87.6</x:v>
      </x:c>
      <x:c r="J219" s="130" t="n">
        <x:v>87.4</x:v>
      </x:c>
      <x:c r="K219" s="130" t="n">
        <x:v>87.8</x:v>
      </x:c>
      <x:c r="L219" s="130" t="n">
        <x:v>88</x:v>
      </x:c>
      <x:c r="M219" s="130" t="n">
        <x:v>88.1</x:v>
      </x:c>
      <x:c r="N219" s="130" t="n">
        <x:v>89</x:v>
      </x:c>
      <x:c r="O219" s="130" t="n">
        <x:v>84.2</x:v>
      </x:c>
      <x:c r="P219" s="130" t="n">
        <x:v>89.1</x:v>
      </x:c>
      <x:c r="Q219" s="130" t="n">
        <x:v>85</x:v>
      </x:c>
      <x:c r="R219" s="130" t="n">
        <x:v>14</x:v>
      </x:c>
      <x:c r="S219" s="128" t="str">
        <x:v>https://arxiv.org/abs/2605.05869</x:v>
      </x:c>
      <x:c r="T219" s="128" t="str">
        <x:v>三轮复核后与原表基本一致</x:v>
      </x:c>
    </x:row>
    <x:row r="220" ht="28" customHeight="1">
      <x:c r="A220" s="129" t="n">
        <x:v>219</x:v>
      </x:c>
      <x:c r="B220" s="129" t="str">
        <x:v>2026-08</x:v>
      </x:c>
      <x:c r="C220" s="129" t="n">
        <x:v>29</x:v>
      </x:c>
      <x:c r="D220" s="129" t="str">
        <x:v>2608.06371</x:v>
      </x:c>
      <x:c r="E220" s="128" t="str">
        <x:v>Global weak solutions to Cahn-Hilliard equations with degenerate mobility and singular diffusion</x:v>
      </x:c>
      <x:c r="F220" s="128" t="str">
        <x:v>Monica Conti; Andrea Giorgini; Greta Ricchi</x:v>
      </x:c>
      <x:c r="G220" s="128" t="str">
        <x:v>Cahn-Hilliard</x:v>
      </x:c>
      <x:c r="H220" s="129" t="str">
        <x:v>-</x:v>
      </x:c>
      <x:c r="I220" s="130" t="n">
        <x:v>87.6</x:v>
      </x:c>
      <x:c r="J220" s="130" t="n">
        <x:v>87.35</x:v>
      </x:c>
      <x:c r="K220" s="130" t="n">
        <x:v>87.85</x:v>
      </x:c>
      <x:c r="L220" s="130" t="n">
        <x:v>88</x:v>
      </x:c>
      <x:c r="M220" s="130" t="n">
        <x:v>87</x:v>
      </x:c>
      <x:c r="N220" s="130" t="n">
        <x:v>89</x:v>
      </x:c>
      <x:c r="O220" s="130" t="n">
        <x:v>86</x:v>
      </x:c>
      <x:c r="P220" s="130" t="n">
        <x:v>89</x:v>
      </x:c>
      <x:c r="Q220" s="130" t="n">
        <x:v>84</x:v>
      </x:c>
      <x:c r="R220" s="130" t="n">
        <x:v>11</x:v>
      </x:c>
      <x:c r="S220" s="128" t="str">
        <x:v>https://arxiv.org/abs/2608.06371</x:v>
      </x:c>
      <x:c r="T220" s="128" t="str">
        <x:v>Global weak solutions under degenerate mobility/singular diffusion.</x:v>
      </x:c>
    </x:row>
    <x:row r="221" ht="28" customHeight="1">
      <x:c r="A221" s="129" t="n">
        <x:v>220</x:v>
      </x:c>
      <x:c r="B221" s="129" t="str">
        <x:v>2026-07</x:v>
      </x:c>
      <x:c r="C221" s="129" t="n">
        <x:v>97</x:v>
      </x:c>
      <x:c r="D221" s="129" t="str">
        <x:v>2607.20809</x:v>
      </x:c>
      <x:c r="E221" s="128" t="str">
        <x:v>Conditional scattering criteria for cylindrical threshold dynamics of 3D focusing energy-critical Schrodinger</x:v>
      </x:c>
      <x:c r="F221" s="128" t="str">
        <x:v>Pang-Hung Chung; Dan Han</x:v>
      </x:c>
      <x:c r="G221" s="128" t="str">
        <x:v>NLS scattering</x:v>
      </x:c>
      <x:c r="H221" s="129" t="str">
        <x:v>-</x:v>
      </x:c>
      <x:c r="I221" s="130" t="n">
        <x:v>87.6</x:v>
      </x:c>
      <x:c r="J221" s="130" t="n">
        <x:v>87.2</x:v>
      </x:c>
      <x:c r="K221" s="130" t="n">
        <x:v>88</x:v>
      </x:c>
      <x:c r="L221" s="130" t="n">
        <x:v>88</x:v>
      </x:c>
      <x:c r="M221" s="130" t="n">
        <x:v>87</x:v>
      </x:c>
      <x:c r="N221" s="130" t="n">
        <x:v>89</x:v>
      </x:c>
      <x:c r="O221" s="130" t="n">
        <x:v>85</x:v>
      </x:c>
      <x:c r="P221" s="130" t="n">
        <x:v>89</x:v>
      </x:c>
      <x:c r="Q221" s="130" t="n">
        <x:v>84</x:v>
      </x:c>
      <x:c r="R221" s="130" t="n">
        <x:v>10</x:v>
      </x:c>
      <x:c r="S221" s="128" t="str">
        <x:v>https://arxiv.org/abs/2607.20809</x:v>
      </x:c>
      <x:c r="T221" s="128" t="str">
        <x:v>Later July exact high-value candidate included in 30% competitive pool.</x:v>
      </x:c>
    </x:row>
    <x:row r="222" ht="28" customHeight="1">
      <x:c r="A222" s="129" t="n">
        <x:v>221</x:v>
      </x:c>
      <x:c r="B222" s="129" t="str">
        <x:v>2026-07</x:v>
      </x:c>
      <x:c r="C222" s="129" t="n">
        <x:v>98</x:v>
      </x:c>
      <x:c r="D222" s="129" t="str">
        <x:v>2607.21024</x:v>
      </x:c>
      <x:c r="E222" s="128" t="str">
        <x:v>Liouville Rigidity for Real and Complex Degenerate Hessian Equations</x:v>
      </x:c>
      <x:c r="F222" s="128" t="str">
        <x:v>Hao Fang; Biao Ma; Jinyang Wu</x:v>
      </x:c>
      <x:c r="G222" s="128" t="str">
        <x:v>Hessian equations</x:v>
      </x:c>
      <x:c r="H222" s="129" t="n">
        <x:v>34</x:v>
      </x:c>
      <x:c r="I222" s="130" t="n">
        <x:v>87.6</x:v>
      </x:c>
      <x:c r="J222" s="130" t="n">
        <x:v>87.2</x:v>
      </x:c>
      <x:c r="K222" s="130" t="n">
        <x:v>88</x:v>
      </x:c>
      <x:c r="L222" s="130" t="n">
        <x:v>88</x:v>
      </x:c>
      <x:c r="M222" s="130" t="n">
        <x:v>87</x:v>
      </x:c>
      <x:c r="N222" s="130" t="n">
        <x:v>89</x:v>
      </x:c>
      <x:c r="O222" s="130" t="n">
        <x:v>85</x:v>
      </x:c>
      <x:c r="P222" s="130" t="n">
        <x:v>89</x:v>
      </x:c>
      <x:c r="Q222" s="130" t="n">
        <x:v>84</x:v>
      </x:c>
      <x:c r="R222" s="130" t="n">
        <x:v>10</x:v>
      </x:c>
      <x:c r="S222" s="128" t="str">
        <x:v>https://arxiv.org/abs/2607.21024</x:v>
      </x:c>
      <x:c r="T222" s="128" t="str">
        <x:v>Later July exact high-value candidate included in 30% competitive pool.</x:v>
      </x:c>
    </x:row>
    <x:row r="223" ht="28" customHeight="1">
      <x:c r="A223" s="129" t="n">
        <x:v>222</x:v>
      </x:c>
      <x:c r="B223" s="129" t="str">
        <x:v>2026-08</x:v>
      </x:c>
      <x:c r="C223" s="129" t="n">
        <x:v>28</x:v>
      </x:c>
      <x:c r="D223" s="129" t="str">
        <x:v>2608.00465</x:v>
      </x:c>
      <x:c r="E223" s="128" t="str">
        <x:v>Global well-posedness and optimal time-decay for compressible Navier-Stokes with potential force and arbitrarily large L2 data</x:v>
      </x:c>
      <x:c r="F223" s="128" t="str">
        <x:v>Jinkai Ni; Luqi Wang; Zhipeng Zhang</x:v>
      </x:c>
      <x:c r="G223" s="128" t="str">
        <x:v>compressible Navier-Stokes</x:v>
      </x:c>
      <x:c r="H223" s="129" t="n">
        <x:v>36</x:v>
      </x:c>
      <x:c r="I223" s="130" t="n">
        <x:v>87.6</x:v>
      </x:c>
      <x:c r="J223" s="130" t="n">
        <x:v>87.2</x:v>
      </x:c>
      <x:c r="K223" s="130" t="n">
        <x:v>88</x:v>
      </x:c>
      <x:c r="L223" s="130" t="n">
        <x:v>88</x:v>
      </x:c>
      <x:c r="M223" s="130" t="n">
        <x:v>87</x:v>
      </x:c>
      <x:c r="N223" s="130" t="n">
        <x:v>89</x:v>
      </x:c>
      <x:c r="O223" s="130" t="n">
        <x:v>85</x:v>
      </x:c>
      <x:c r="P223" s="130" t="n">
        <x:v>89</x:v>
      </x:c>
      <x:c r="Q223" s="130" t="n">
        <x:v>84</x:v>
      </x:c>
      <x:c r="R223" s="130" t="n">
        <x:v>10</x:v>
      </x:c>
      <x:c r="S223" s="128" t="str">
        <x:v>https://arxiv.org/abs/2608.00465</x:v>
      </x:c>
      <x:c r="T223" s="128" t="str">
        <x:v>Large-data L2 compressible NS with decay.</x:v>
      </x:c>
    </x:row>
    <x:row r="224" ht="28" customHeight="1">
      <x:c r="A224" s="129" t="n">
        <x:v>223</x:v>
      </x:c>
      <x:c r="B224" s="129" t="str">
        <x:v>2026-05</x:v>
      </x:c>
      <x:c r="C224" s="129" t="n">
        <x:v>45</x:v>
      </x:c>
      <x:c r="D224" s="129" t="str">
        <x:v>2605.06128</x:v>
      </x:c>
      <x:c r="E224" s="128" t="str">
        <x:v>Uniform small energy regularity for fractional geometric problems</x:v>
      </x:c>
      <x:c r="F224" s="128" t="str">
        <x:v>Marco Badran; Giacomo Cozzi</x:v>
      </x:c>
      <x:c r="G224" s="128" t="str">
        <x:v>Fractional geometric PDE</x:v>
      </x:c>
      <x:c r="H224" s="129" t="n">
        <x:v>21</x:v>
      </x:c>
      <x:c r="I224" s="130" t="n">
        <x:v>87.54</x:v>
      </x:c>
      <x:c r="J224" s="130" t="n">
        <x:v>87.35</x:v>
      </x:c>
      <x:c r="K224" s="130" t="n">
        <x:v>87.74</x:v>
      </x:c>
      <x:c r="L224" s="130" t="n">
        <x:v>88</x:v>
      </x:c>
      <x:c r="M224" s="130" t="n">
        <x:v>88</x:v>
      </x:c>
      <x:c r="N224" s="130" t="n">
        <x:v>89</x:v>
      </x:c>
      <x:c r="O224" s="130" t="n">
        <x:v>84</x:v>
      </x:c>
      <x:c r="P224" s="130" t="n">
        <x:v>89</x:v>
      </x:c>
      <x:c r="Q224" s="130" t="n">
        <x:v>85</x:v>
      </x:c>
      <x:c r="R224" s="130" t="n">
        <x:v>14.1</x:v>
      </x:c>
      <x:c r="S224" s="128" t="str">
        <x:v>https://arxiv.org/abs/2605.06128</x:v>
      </x:c>
      <x:c r="T224" s="128" t="str">
        <x:v>三轮复核后与原表基本一致</x:v>
      </x:c>
    </x:row>
    <x:row r="225" ht="28" customHeight="1">
      <x:c r="A225" s="129" t="n">
        <x:v>224</x:v>
      </x:c>
      <x:c r="B225" s="129" t="str">
        <x:v>2026-08</x:v>
      </x:c>
      <x:c r="C225" s="129" t="n">
        <x:v>31</x:v>
      </x:c>
      <x:c r="D225" s="129" t="str">
        <x:v>2608.01863</x:v>
      </x:c>
      <x:c r="E225" s="128" t="str">
        <x:v>Exponential mixing for the KdV equation with localized noise</x:v>
      </x:c>
      <x:c r="F225" s="128" t="str">
        <x:v>Yuxuan Chen; Shengquan Xiang; Zhifei Zhang; Jia-Cheng Zhao</x:v>
      </x:c>
      <x:c r="G225" s="128" t="str">
        <x:v>stochastic KdV</x:v>
      </x:c>
      <x:c r="H225" s="129" t="str">
        <x:v>-</x:v>
      </x:c>
      <x:c r="I225" s="130" t="n">
        <x:v>87.53</x:v>
      </x:c>
      <x:c r="J225" s="130" t="n">
        <x:v>87.35</x:v>
      </x:c>
      <x:c r="K225" s="130" t="n">
        <x:v>87.7</x:v>
      </x:c>
      <x:c r="L225" s="130" t="n">
        <x:v>88</x:v>
      </x:c>
      <x:c r="M225" s="130" t="n">
        <x:v>87</x:v>
      </x:c>
      <x:c r="N225" s="130" t="n">
        <x:v>89</x:v>
      </x:c>
      <x:c r="O225" s="130" t="n">
        <x:v>86</x:v>
      </x:c>
      <x:c r="P225" s="130" t="n">
        <x:v>89</x:v>
      </x:c>
      <x:c r="Q225" s="130" t="n">
        <x:v>84</x:v>
      </x:c>
      <x:c r="R225" s="130" t="n">
        <x:v>12</x:v>
      </x:c>
      <x:c r="S225" s="128" t="str">
        <x:v>https://arxiv.org/abs/2608.01863</x:v>
      </x:c>
      <x:c r="T225" s="128" t="str">
        <x:v>Mixing result for randomly forced KdV.</x:v>
      </x:c>
    </x:row>
    <x:row r="226" ht="28" customHeight="1">
      <x:c r="A226" s="129" t="n">
        <x:v>225</x:v>
      </x:c>
      <x:c r="B226" s="129" t="str">
        <x:v>2026-07</x:v>
      </x:c>
      <x:c r="C226" s="129" t="n">
        <x:v>99</x:v>
      </x:c>
      <x:c r="D226" s="129" t="str">
        <x:v>2607.17430</x:v>
      </x:c>
      <x:c r="E226" s="128" t="str">
        <x:v>Critical thresholds and instantaneous norm inflation for super-diffusive integro-differential equations</x:v>
      </x:c>
      <x:c r="F226" s="128" t="str">
        <x:v>Bruno de Andrade</x:v>
      </x:c>
      <x:c r="G226" s="128" t="str">
        <x:v>integro-differential PDE</x:v>
      </x:c>
      <x:c r="H226" s="129" t="n">
        <x:v>34</x:v>
      </x:c>
      <x:c r="I226" s="130" t="n">
        <x:v>87.53</x:v>
      </x:c>
      <x:c r="J226" s="130" t="n">
        <x:v>87.2</x:v>
      </x:c>
      <x:c r="K226" s="130" t="n">
        <x:v>87.85</x:v>
      </x:c>
      <x:c r="L226" s="130" t="n">
        <x:v>88</x:v>
      </x:c>
      <x:c r="M226" s="130" t="n">
        <x:v>87</x:v>
      </x:c>
      <x:c r="N226" s="130" t="n">
        <x:v>89</x:v>
      </x:c>
      <x:c r="O226" s="130" t="n">
        <x:v>85</x:v>
      </x:c>
      <x:c r="P226" s="130" t="n">
        <x:v>89</x:v>
      </x:c>
      <x:c r="Q226" s="130" t="n">
        <x:v>84</x:v>
      </x:c>
      <x:c r="R226" s="130" t="n">
        <x:v>11</x:v>
      </x:c>
      <x:c r="S226" s="128" t="str">
        <x:v>https://arxiv.org/abs/2607.17430</x:v>
      </x:c>
      <x:c r="T226" s="128" t="str">
        <x:v>Later July exact candidate included in 30% scored pool.</x:v>
      </x:c>
    </x:row>
    <x:row r="227" ht="28" customHeight="1">
      <x:c r="A227" s="129" t="n">
        <x:v>226</x:v>
      </x:c>
      <x:c r="B227" s="129" t="str">
        <x:v>2026-08</x:v>
      </x:c>
      <x:c r="C227" s="129" t="n">
        <x:v>30</x:v>
      </x:c>
      <x:c r="D227" s="129" t="str">
        <x:v>2608.00477</x:v>
      </x:c>
      <x:c r="E227" s="128" t="str">
        <x:v>Spinorial Div-Curl Structure and Bilinear Null-Form Estimates for Dirac Equations</x:v>
      </x:c>
      <x:c r="F227" s="128" t="str">
        <x:v>Jiong-Yue Li</x:v>
      </x:c>
      <x:c r="G227" s="128" t="str">
        <x:v>Dirac equations</x:v>
      </x:c>
      <x:c r="H227" s="129" t="str">
        <x:v>-</x:v>
      </x:c>
      <x:c r="I227" s="130" t="n">
        <x:v>87.53</x:v>
      </x:c>
      <x:c r="J227" s="130" t="n">
        <x:v>86.9</x:v>
      </x:c>
      <x:c r="K227" s="130" t="n">
        <x:v>88.15</x:v>
      </x:c>
      <x:c r="L227" s="130" t="n">
        <x:v>87</x:v>
      </x:c>
      <x:c r="M227" s="130" t="n">
        <x:v>87</x:v>
      </x:c>
      <x:c r="N227" s="130" t="n">
        <x:v>89</x:v>
      </x:c>
      <x:c r="O227" s="130" t="n">
        <x:v>85</x:v>
      </x:c>
      <x:c r="P227" s="130" t="n">
        <x:v>89</x:v>
      </x:c>
      <x:c r="Q227" s="130" t="n">
        <x:v>84</x:v>
      </x:c>
      <x:c r="R227" s="130" t="n">
        <x:v>9</x:v>
      </x:c>
      <x:c r="S227" s="128" t="str">
        <x:v>https://arxiv.org/abs/2608.00477</x:v>
      </x:c>
      <x:c r="T227" s="128" t="str">
        <x:v>Structural estimates for Dirac equations.</x:v>
      </x:c>
    </x:row>
    <x:row r="228" ht="28" customHeight="1">
      <x:c r="A228" s="129" t="n">
        <x:v>227</x:v>
      </x:c>
      <x:c r="B228" s="129" t="str">
        <x:v>2026-05</x:v>
      </x:c>
      <x:c r="C228" s="129" t="n">
        <x:v>47</x:v>
      </x:c>
      <x:c r="D228" s="129" t="str">
        <x:v>2605.00694</x:v>
      </x:c>
      <x:c r="E228" s="128" t="str">
        <x:v>Unstable free boundary problems in optimal control theory: existence and regularity</x:v>
      </x:c>
      <x:c r="F228" s="128" t="str">
        <x:v>Lorenzo Ferreri; Idriss Mazari-Fouquer; Raphael Prunier</x:v>
      </x:c>
      <x:c r="G228" s="128" t="str">
        <x:v>Free boundary / control</x:v>
      </x:c>
      <x:c r="H228" s="129" t="n">
        <x:v>61</x:v>
      </x:c>
      <x:c r="I228" s="130" t="n">
        <x:v>87.48</x:v>
      </x:c>
      <x:c r="J228" s="130" t="n">
        <x:v>87.35</x:v>
      </x:c>
      <x:c r="K228" s="130" t="n">
        <x:v>87.6</x:v>
      </x:c>
      <x:c r="L228" s="130" t="n">
        <x:v>88</x:v>
      </x:c>
      <x:c r="M228" s="130" t="n">
        <x:v>88</x:v>
      </x:c>
      <x:c r="N228" s="130" t="n">
        <x:v>89</x:v>
      </x:c>
      <x:c r="O228" s="130" t="n">
        <x:v>84</x:v>
      </x:c>
      <x:c r="P228" s="130" t="n">
        <x:v>89</x:v>
      </x:c>
      <x:c r="Q228" s="130" t="n">
        <x:v>85</x:v>
      </x:c>
      <x:c r="R228" s="130" t="n">
        <x:v>15</x:v>
      </x:c>
      <x:c r="S228" s="128" t="str">
        <x:v>https://arxiv.org/abs/2605.00694</x:v>
      </x:c>
      <x:c r="T228" s="128" t="str">
        <x:v>三轮复核后与原表基本一致</x:v>
      </x:c>
    </x:row>
    <x:row r="229" ht="28" customHeight="1">
      <x:c r="A229" s="129" t="n">
        <x:v>228</x:v>
      </x:c>
      <x:c r="B229" s="129" t="str">
        <x:v>2026-07</x:v>
      </x:c>
      <x:c r="C229" s="129" t="n">
        <x:v>100</x:v>
      </x:c>
      <x:c r="D229" s="129" t="str">
        <x:v>2607.06116</x:v>
      </x:c>
      <x:c r="E229" s="128" t="str">
        <x:v>On the existence results for m-Harmonic equation with critical Choquard Nonlinearity</x:v>
      </x:c>
      <x:c r="F229" s="128" t="str">
        <x:v>Abhishek; Sarika Goyal</x:v>
      </x:c>
      <x:c r="G229" s="128" t="str">
        <x:v>Choquard</x:v>
      </x:c>
      <x:c r="H229" s="129" t="str">
        <x:v>-</x:v>
      </x:c>
      <x:c r="I229" s="130" t="n">
        <x:v>87.48</x:v>
      </x:c>
      <x:c r="J229" s="130" t="n">
        <x:v>87.3</x:v>
      </x:c>
      <x:c r="K229" s="130" t="n">
        <x:v>87.65</x:v>
      </x:c>
      <x:c r="L229" s="130" t="n">
        <x:v>88</x:v>
      </x:c>
      <x:c r="M229" s="130" t="n">
        <x:v>86</x:v>
      </x:c>
      <x:c r="N229" s="130" t="n">
        <x:v>89</x:v>
      </x:c>
      <x:c r="O229" s="130" t="n">
        <x:v>85</x:v>
      </x:c>
      <x:c r="P229" s="130" t="n">
        <x:v>89</x:v>
      </x:c>
      <x:c r="Q229" s="130" t="n">
        <x:v>87</x:v>
      </x:c>
      <x:c r="R229" s="130" t="n">
        <x:v>14</x:v>
      </x:c>
      <x:c r="S229" s="128" t="str">
        <x:v>https://arxiv.org/abs/2607.06116</x:v>
      </x:c>
      <x:c r="T229" s="128" t="str">
        <x:v>Background row in the 30% scored pool; title/authors from official July list.</x:v>
      </x:c>
    </x:row>
    <x:row r="230" ht="28" customHeight="1">
      <x:c r="A230" s="129" t="n">
        <x:v>229</x:v>
      </x:c>
      <x:c r="B230" s="129" t="str">
        <x:v>2026-07</x:v>
      </x:c>
      <x:c r="C230" s="129" t="n">
        <x:v>101</x:v>
      </x:c>
      <x:c r="D230" s="129" t="str">
        <x:v>2607.10219</x:v>
      </x:c>
      <x:c r="E230" s="128" t="str">
        <x:v>Existence, uniqueness and large time behavior of a viscous conservation law with discontinuous flux</x:v>
      </x:c>
      <x:c r="F230" s="128" t="str">
        <x:v>Smritikana Pal; Manas Ranjan Sahoo</x:v>
      </x:c>
      <x:c r="G230" s="128" t="str">
        <x:v>conservation laws</x:v>
      </x:c>
      <x:c r="H230" s="129" t="n">
        <x:v>26</x:v>
      </x:c>
      <x:c r="I230" s="130" t="n">
        <x:v>87.48</x:v>
      </x:c>
      <x:c r="J230" s="130" t="n">
        <x:v>87.3</x:v>
      </x:c>
      <x:c r="K230" s="130" t="n">
        <x:v>87.65</x:v>
      </x:c>
      <x:c r="L230" s="130" t="n">
        <x:v>88</x:v>
      </x:c>
      <x:c r="M230" s="130" t="n">
        <x:v>86</x:v>
      </x:c>
      <x:c r="N230" s="130" t="n">
        <x:v>89</x:v>
      </x:c>
      <x:c r="O230" s="130" t="n">
        <x:v>85</x:v>
      </x:c>
      <x:c r="P230" s="130" t="n">
        <x:v>89</x:v>
      </x:c>
      <x:c r="Q230" s="130" t="n">
        <x:v>87</x:v>
      </x:c>
      <x:c r="R230" s="130" t="n">
        <x:v>14</x:v>
      </x:c>
      <x:c r="S230" s="128" t="str">
        <x:v>https://arxiv.org/abs/2607.10219</x:v>
      </x:c>
      <x:c r="T230" s="128" t="str">
        <x:v>Background row in the 30% scored pool; title/authors from official July list.</x:v>
      </x:c>
    </x:row>
    <x:row r="231" ht="28" customHeight="1">
      <x:c r="A231" s="129" t="n">
        <x:v>230</x:v>
      </x:c>
      <x:c r="B231" s="129" t="str">
        <x:v>2026-08</x:v>
      </x:c>
      <x:c r="C231" s="129" t="n">
        <x:v>32</x:v>
      </x:c>
      <x:c r="D231" s="129" t="str">
        <x:v>2608.00126</x:v>
      </x:c>
      <x:c r="E231" s="128" t="str">
        <x:v>On 'discrete' solutions of Euler system of gas dynamics</x:v>
      </x:c>
      <x:c r="F231" s="128" t="str">
        <x:v>Anna Abbatiello; Eduard Feireisl</x:v>
      </x:c>
      <x:c r="G231" s="128" t="str">
        <x:v>Euler/gas dynamics</x:v>
      </x:c>
      <x:c r="H231" s="129" t="str">
        <x:v>-</x:v>
      </x:c>
      <x:c r="I231" s="130" t="n">
        <x:v>87.45</x:v>
      </x:c>
      <x:c r="J231" s="130" t="n">
        <x:v>86.9</x:v>
      </x:c>
      <x:c r="K231" s="130" t="n">
        <x:v>88</x:v>
      </x:c>
      <x:c r="L231" s="130" t="n">
        <x:v>87</x:v>
      </x:c>
      <x:c r="M231" s="130" t="n">
        <x:v>87</x:v>
      </x:c>
      <x:c r="N231" s="130" t="n">
        <x:v>89</x:v>
      </x:c>
      <x:c r="O231" s="130" t="n">
        <x:v>85</x:v>
      </x:c>
      <x:c r="P231" s="130" t="n">
        <x:v>89</x:v>
      </x:c>
      <x:c r="Q231" s="130" t="n">
        <x:v>84</x:v>
      </x:c>
      <x:c r="R231" s="130" t="n">
        <x:v>10</x:v>
      </x:c>
      <x:c r="S231" s="128" t="str">
        <x:v>https://arxiv.org/abs/2608.00126</x:v>
      </x:c>
      <x:c r="T231" s="128" t="str">
        <x:v>Interesting Euler weak/discrete solution theme.</x:v>
      </x:c>
    </x:row>
    <x:row r="232" ht="28" customHeight="1">
      <x:c r="A232" s="129" t="n">
        <x:v>231</x:v>
      </x:c>
      <x:c r="B232" s="129" t="str">
        <x:v>2026-08</x:v>
      </x:c>
      <x:c r="C232" s="129" t="n">
        <x:v>33</x:v>
      </x:c>
      <x:c r="D232" s="129" t="str">
        <x:v>2608.00199</x:v>
      </x:c>
      <x:c r="E232" s="128" t="str">
        <x:v>Regularity results for elliptic equations on cones</x:v>
      </x:c>
      <x:c r="F232" s="128" t="str">
        <x:v>Carlo Alberto Antonini; Filomena Pacella; Camilla Chiara Polvara; Luigi Provenzano</x:v>
      </x:c>
      <x:c r="G232" s="128" t="str">
        <x:v>elliptic regularity</x:v>
      </x:c>
      <x:c r="H232" s="129" t="str">
        <x:v>-</x:v>
      </x:c>
      <x:c r="I232" s="130" t="n">
        <x:v>87.45</x:v>
      </x:c>
      <x:c r="J232" s="130" t="n">
        <x:v>86.9</x:v>
      </x:c>
      <x:c r="K232" s="130" t="n">
        <x:v>88</x:v>
      </x:c>
      <x:c r="L232" s="130" t="n">
        <x:v>87</x:v>
      </x:c>
      <x:c r="M232" s="130" t="n">
        <x:v>87</x:v>
      </x:c>
      <x:c r="N232" s="130" t="n">
        <x:v>89</x:v>
      </x:c>
      <x:c r="O232" s="130" t="n">
        <x:v>85</x:v>
      </x:c>
      <x:c r="P232" s="130" t="n">
        <x:v>89</x:v>
      </x:c>
      <x:c r="Q232" s="130" t="n">
        <x:v>84</x:v>
      </x:c>
      <x:c r="R232" s="130" t="n">
        <x:v>10</x:v>
      </x:c>
      <x:c r="S232" s="128" t="str">
        <x:v>https://arxiv.org/abs/2608.00199</x:v>
      </x:c>
      <x:c r="T232" s="128" t="str">
        <x:v>Cone-domain elliptic regularity contribution.</x:v>
      </x:c>
    </x:row>
    <x:row r="233" ht="28" customHeight="1">
      <x:c r="A233" s="129" t="n">
        <x:v>232</x:v>
      </x:c>
      <x:c r="B233" s="129" t="str">
        <x:v>2026-08</x:v>
      </x:c>
      <x:c r="C233" s="129" t="n">
        <x:v>34</x:v>
      </x:c>
      <x:c r="D233" s="129" t="str">
        <x:v>2608.00234</x:v>
      </x:c>
      <x:c r="E233" s="128" t="str">
        <x:v>Delayed Dissipation for Two-Dimensional Vortex Sheets</x:v>
      </x:c>
      <x:c r="F233" s="128" t="str">
        <x:v>Victor Armegioiu</x:v>
      </x:c>
      <x:c r="G233" s="128" t="str">
        <x:v>vortex sheets</x:v>
      </x:c>
      <x:c r="H233" s="129" t="str">
        <x:v>-</x:v>
      </x:c>
      <x:c r="I233" s="130" t="n">
        <x:v>87.45</x:v>
      </x:c>
      <x:c r="J233" s="130" t="n">
        <x:v>86.9</x:v>
      </x:c>
      <x:c r="K233" s="130" t="n">
        <x:v>88</x:v>
      </x:c>
      <x:c r="L233" s="130" t="n">
        <x:v>87</x:v>
      </x:c>
      <x:c r="M233" s="130" t="n">
        <x:v>87</x:v>
      </x:c>
      <x:c r="N233" s="130" t="n">
        <x:v>89</x:v>
      </x:c>
      <x:c r="O233" s="130" t="n">
        <x:v>85</x:v>
      </x:c>
      <x:c r="P233" s="130" t="n">
        <x:v>89</x:v>
      </x:c>
      <x:c r="Q233" s="130" t="n">
        <x:v>84</x:v>
      </x:c>
      <x:c r="R233" s="130" t="n">
        <x:v>10</x:v>
      </x:c>
      <x:c r="S233" s="128" t="str">
        <x:v>https://arxiv.org/abs/2608.00234</x:v>
      </x:c>
      <x:c r="T233" s="128" t="str">
        <x:v>Fluid-interface dissipation phenomenon.</x:v>
      </x:c>
    </x:row>
    <x:row r="234" ht="28" customHeight="1">
      <x:c r="A234" s="129" t="n">
        <x:v>233</x:v>
      </x:c>
      <x:c r="B234" s="129" t="str">
        <x:v>2026-08</x:v>
      </x:c>
      <x:c r="C234" s="129" t="n">
        <x:v>35</x:v>
      </x:c>
      <x:c r="D234" s="129" t="str">
        <x:v>2608.00727</x:v>
      </x:c>
      <x:c r="E234" s="128" t="str">
        <x:v>Low Mach number limit for Navier-Stokes-Korteweg equations with stationary force</x:v>
      </x:c>
      <x:c r="F234" s="128" t="str">
        <x:v>Jinkai Ni; Luqi Wang; Yichi Zhang; Zhipeng Zhang</x:v>
      </x:c>
      <x:c r="G234" s="128" t="str">
        <x:v>low-Mach/compressible limits</x:v>
      </x:c>
      <x:c r="H234" s="129" t="n">
        <x:v>40</x:v>
      </x:c>
      <x:c r="I234" s="130" t="n">
        <x:v>87.45</x:v>
      </x:c>
      <x:c r="J234" s="130" t="n">
        <x:v>86.9</x:v>
      </x:c>
      <x:c r="K234" s="130" t="n">
        <x:v>88</x:v>
      </x:c>
      <x:c r="L234" s="130" t="n">
        <x:v>87</x:v>
      </x:c>
      <x:c r="M234" s="130" t="n">
        <x:v>87</x:v>
      </x:c>
      <x:c r="N234" s="130" t="n">
        <x:v>89</x:v>
      </x:c>
      <x:c r="O234" s="130" t="n">
        <x:v>85</x:v>
      </x:c>
      <x:c r="P234" s="130" t="n">
        <x:v>89</x:v>
      </x:c>
      <x:c r="Q234" s="130" t="n">
        <x:v>84</x:v>
      </x:c>
      <x:c r="R234" s="130" t="n">
        <x:v>10</x:v>
      </x:c>
      <x:c r="S234" s="128" t="str">
        <x:v>https://arxiv.org/abs/2608.00727</x:v>
      </x:c>
      <x:c r="T234" s="128" t="str">
        <x:v>Low-Mach asymptotic analysis for capillary NS-Korteweg.</x:v>
      </x:c>
    </x:row>
    <x:row r="235" ht="28" customHeight="1">
      <x:c r="A235" s="129" t="n">
        <x:v>234</x:v>
      </x:c>
      <x:c r="B235" s="129" t="str">
        <x:v>2026-08</x:v>
      </x:c>
      <x:c r="C235" s="129" t="n">
        <x:v>36</x:v>
      </x:c>
      <x:c r="D235" s="129" t="str">
        <x:v>2608.01105</x:v>
      </x:c>
      <x:c r="E235" s="128" t="str">
        <x:v>Uniqueness and boundary behaviour for variational problems with linear growth</x:v>
      </x:c>
      <x:c r="F235" s="128" t="str">
        <x:v>Michael Bildhauer; Martin Fuchs</x:v>
      </x:c>
      <x:c r="G235" s="128" t="str">
        <x:v>linear-growth variational problems</x:v>
      </x:c>
      <x:c r="H235" s="129" t="str">
        <x:v>-</x:v>
      </x:c>
      <x:c r="I235" s="130" t="n">
        <x:v>87.45</x:v>
      </x:c>
      <x:c r="J235" s="130" t="n">
        <x:v>86.9</x:v>
      </x:c>
      <x:c r="K235" s="130" t="n">
        <x:v>88</x:v>
      </x:c>
      <x:c r="L235" s="130" t="n">
        <x:v>87</x:v>
      </x:c>
      <x:c r="M235" s="130" t="n">
        <x:v>87</x:v>
      </x:c>
      <x:c r="N235" s="130" t="n">
        <x:v>89</x:v>
      </x:c>
      <x:c r="O235" s="130" t="n">
        <x:v>85</x:v>
      </x:c>
      <x:c r="P235" s="130" t="n">
        <x:v>89</x:v>
      </x:c>
      <x:c r="Q235" s="130" t="n">
        <x:v>84</x:v>
      </x:c>
      <x:c r="R235" s="130" t="n">
        <x:v>10</x:v>
      </x:c>
      <x:c r="S235" s="128" t="str">
        <x:v>https://arxiv.org/abs/2608.01105</x:v>
      </x:c>
      <x:c r="T235" s="128" t="str">
        <x:v>Classical-style variational regularity and uniqueness.</x:v>
      </x:c>
    </x:row>
    <x:row r="236" ht="28" customHeight="1">
      <x:c r="A236" s="129" t="n">
        <x:v>235</x:v>
      </x:c>
      <x:c r="B236" s="129" t="str">
        <x:v>2026-08</x:v>
      </x:c>
      <x:c r="C236" s="129" t="n">
        <x:v>37</x:v>
      </x:c>
      <x:c r="D236" s="129" t="str">
        <x:v>2608.01435</x:v>
      </x:c>
      <x:c r="E236" s="128" t="str">
        <x:v>Bernstein's theorem for variational integrals of linear growth and radial structure</x:v>
      </x:c>
      <x:c r="F236" s="128" t="str">
        <x:v>Martin Fuchs; Michael Bildhauer</x:v>
      </x:c>
      <x:c r="G236" s="128" t="str">
        <x:v>Bernstein/variational</x:v>
      </x:c>
      <x:c r="H236" s="129" t="str">
        <x:v>-</x:v>
      </x:c>
      <x:c r="I236" s="130" t="n">
        <x:v>87.45</x:v>
      </x:c>
      <x:c r="J236" s="130" t="n">
        <x:v>86.9</x:v>
      </x:c>
      <x:c r="K236" s="130" t="n">
        <x:v>88</x:v>
      </x:c>
      <x:c r="L236" s="130" t="n">
        <x:v>87</x:v>
      </x:c>
      <x:c r="M236" s="130" t="n">
        <x:v>87</x:v>
      </x:c>
      <x:c r="N236" s="130" t="n">
        <x:v>89</x:v>
      </x:c>
      <x:c r="O236" s="130" t="n">
        <x:v>85</x:v>
      </x:c>
      <x:c r="P236" s="130" t="n">
        <x:v>89</x:v>
      </x:c>
      <x:c r="Q236" s="130" t="n">
        <x:v>84</x:v>
      </x:c>
      <x:c r="R236" s="130" t="n">
        <x:v>10</x:v>
      </x:c>
      <x:c r="S236" s="128" t="str">
        <x:v>https://arxiv.org/abs/2608.01435</x:v>
      </x:c>
      <x:c r="T236" s="128" t="str">
        <x:v>Bernstein-type theorem for linear-growth variational integrals.</x:v>
      </x:c>
    </x:row>
    <x:row r="237" ht="28" customHeight="1">
      <x:c r="A237" s="129" t="n">
        <x:v>236</x:v>
      </x:c>
      <x:c r="B237" s="129" t="str">
        <x:v>2026-08</x:v>
      </x:c>
      <x:c r="C237" s="129" t="n">
        <x:v>38</x:v>
      </x:c>
      <x:c r="D237" s="129" t="str">
        <x:v>2608.04411</x:v>
      </x:c>
      <x:c r="E237" s="128" t="str">
        <x:v>Tightness and counterexamples to quantum estimates</x:v>
      </x:c>
      <x:c r="F237" s="128" t="str">
        <x:v>Joseph Slote; Alexander Volberg; Haonan Zhang</x:v>
      </x:c>
      <x:c r="G237" s="128" t="str">
        <x:v>quantum estimates/harmonic analysis</x:v>
      </x:c>
      <x:c r="H237" s="129" t="n">
        <x:v>28</x:v>
      </x:c>
      <x:c r="I237" s="130" t="n">
        <x:v>87.45</x:v>
      </x:c>
      <x:c r="J237" s="130" t="n">
        <x:v>86.9</x:v>
      </x:c>
      <x:c r="K237" s="130" t="n">
        <x:v>88</x:v>
      </x:c>
      <x:c r="L237" s="130" t="n">
        <x:v>87</x:v>
      </x:c>
      <x:c r="M237" s="130" t="n">
        <x:v>87</x:v>
      </x:c>
      <x:c r="N237" s="130" t="n">
        <x:v>89</x:v>
      </x:c>
      <x:c r="O237" s="130" t="n">
        <x:v>85</x:v>
      </x:c>
      <x:c r="P237" s="130" t="n">
        <x:v>89</x:v>
      </x:c>
      <x:c r="Q237" s="130" t="n">
        <x:v>84</x:v>
      </x:c>
      <x:c r="R237" s="130" t="n">
        <x:v>10</x:v>
      </x:c>
      <x:c r="S237" s="128" t="str">
        <x:v>https://arxiv.org/abs/2608.04411</x:v>
      </x:c>
      <x:c r="T237" s="128" t="str">
        <x:v>Counterexamples and sharpness for quantum-type estimates.</x:v>
      </x:c>
    </x:row>
    <x:row r="238" ht="28" customHeight="1">
      <x:c r="A238" s="129" t="n">
        <x:v>237</x:v>
      </x:c>
      <x:c r="B238" s="129" t="str">
        <x:v>2026-08</x:v>
      </x:c>
      <x:c r="C238" s="129" t="n">
        <x:v>39</x:v>
      </x:c>
      <x:c r="D238" s="129" t="str">
        <x:v>2608.05760</x:v>
      </x:c>
      <x:c r="E238" s="128" t="str">
        <x:v>Generalized BV mean curvature flow with critical forcing</x:v>
      </x:c>
      <x:c r="F238" s="128" t="str">
        <x:v>Kiichi Tashiro</x:v>
      </x:c>
      <x:c r="G238" s="128" t="str">
        <x:v>mean curvature flow</x:v>
      </x:c>
      <x:c r="H238" s="129" t="n">
        <x:v>16</x:v>
      </x:c>
      <x:c r="I238" s="130" t="n">
        <x:v>87.45</x:v>
      </x:c>
      <x:c r="J238" s="130" t="n">
        <x:v>86.9</x:v>
      </x:c>
      <x:c r="K238" s="130" t="n">
        <x:v>88</x:v>
      </x:c>
      <x:c r="L238" s="130" t="n">
        <x:v>87</x:v>
      </x:c>
      <x:c r="M238" s="130" t="n">
        <x:v>87</x:v>
      </x:c>
      <x:c r="N238" s="130" t="n">
        <x:v>89</x:v>
      </x:c>
      <x:c r="O238" s="130" t="n">
        <x:v>85</x:v>
      </x:c>
      <x:c r="P238" s="130" t="n">
        <x:v>89</x:v>
      </x:c>
      <x:c r="Q238" s="130" t="n">
        <x:v>84</x:v>
      </x:c>
      <x:c r="R238" s="130" t="n">
        <x:v>10</x:v>
      </x:c>
      <x:c r="S238" s="128" t="str">
        <x:v>https://arxiv.org/abs/2608.05760</x:v>
      </x:c>
      <x:c r="T238" s="128" t="str">
        <x:v>BV mean curvature flow with critical forcing.</x:v>
      </x:c>
    </x:row>
    <x:row r="239" ht="28" customHeight="1">
      <x:c r="A239" s="129" t="n">
        <x:v>238</x:v>
      </x:c>
      <x:c r="B239" s="129" t="str">
        <x:v>2026-05</x:v>
      </x:c>
      <x:c r="C239" s="129" t="n">
        <x:v>48</x:v>
      </x:c>
      <x:c r="D239" s="129" t="str">
        <x:v>2605.28504</x:v>
      </x:c>
      <x:c r="E239" s="128" t="str">
        <x:v>Minimal surfaces with rapid area growth</x:v>
      </x:c>
      <x:c r="F239" s="128" t="str">
        <x:v>Tobias Holck Colding; Francisco Martin; William P. Minicozzi II</x:v>
      </x:c>
      <x:c r="G239" s="128" t="str">
        <x:v>Minimal surfaces</x:v>
      </x:c>
      <x:c r="H239" s="129"/>
      <x:c r="I239" s="130" t="n">
        <x:v>87.43</x:v>
      </x:c>
      <x:c r="J239" s="130" t="n">
        <x:v>87.6</x:v>
      </x:c>
      <x:c r="K239" s="130" t="n">
        <x:v>87.25</x:v>
      </x:c>
      <x:c r="L239" s="130" t="n">
        <x:v>88</x:v>
      </x:c>
      <x:c r="M239" s="130" t="n">
        <x:v>89</x:v>
      </x:c>
      <x:c r="N239" s="130" t="n">
        <x:v>87</x:v>
      </x:c>
      <x:c r="O239" s="130" t="n">
        <x:v>87</x:v>
      </x:c>
      <x:c r="P239" s="130" t="n">
        <x:v>87</x:v>
      </x:c>
      <x:c r="Q239" s="130" t="n">
        <x:v>86</x:v>
      </x:c>
      <x:c r="R239" s="130" t="n">
        <x:v>13</x:v>
      </x:c>
      <x:c r="S239" s="128" t="str">
        <x:v>https://arxiv.org/abs/2605.28504</x:v>
      </x:c>
      <x:c r="T239" s="128" t="str">
        <x:v>三轮复核后与原表基本一致</x:v>
      </x:c>
    </x:row>
    <x:row r="240" ht="28" customHeight="1">
      <x:c r="A240" s="129" t="n">
        <x:v>239</x:v>
      </x:c>
      <x:c r="B240" s="129" t="str">
        <x:v>2026-07</x:v>
      </x:c>
      <x:c r="C240" s="129" t="n">
        <x:v>102</x:v>
      </x:c>
      <x:c r="D240" s="129" t="str">
        <x:v>2607.11277</x:v>
      </x:c>
      <x:c r="E240" s="128" t="str">
        <x:v>Normalized states for a critical Schrodinger-Poisson system with Hardy singularity</x:v>
      </x:c>
      <x:c r="F240" s="128" t="str">
        <x:v>Khaled Khachnaoui</x:v>
      </x:c>
      <x:c r="G240" s="128" t="str">
        <x:v>Schrodinger-Poisson</x:v>
      </x:c>
      <x:c r="H240" s="129" t="str">
        <x:v>-</x:v>
      </x:c>
      <x:c r="I240" s="130" t="n">
        <x:v>87.43</x:v>
      </x:c>
      <x:c r="J240" s="130" t="n">
        <x:v>87.2</x:v>
      </x:c>
      <x:c r="K240" s="130" t="n">
        <x:v>87.65</x:v>
      </x:c>
      <x:c r="L240" s="130" t="n">
        <x:v>88</x:v>
      </x:c>
      <x:c r="M240" s="130" t="n">
        <x:v>86</x:v>
      </x:c>
      <x:c r="N240" s="130" t="n">
        <x:v>89</x:v>
      </x:c>
      <x:c r="O240" s="130" t="n">
        <x:v>85</x:v>
      </x:c>
      <x:c r="P240" s="130" t="n">
        <x:v>89</x:v>
      </x:c>
      <x:c r="Q240" s="130" t="n">
        <x:v>86</x:v>
      </x:c>
      <x:c r="R240" s="130" t="n">
        <x:v>13</x:v>
      </x:c>
      <x:c r="S240" s="128" t="str">
        <x:v>https://arxiv.org/abs/2607.11277</x:v>
      </x:c>
      <x:c r="T240" s="128" t="str">
        <x:v>Scored candidate from official July math.AP list; correctness not checked.</x:v>
      </x:c>
    </x:row>
    <x:row r="241" ht="28" customHeight="1">
      <x:c r="A241" s="129" t="n">
        <x:v>240</x:v>
      </x:c>
      <x:c r="B241" s="129" t="str">
        <x:v>2026-05</x:v>
      </x:c>
      <x:c r="C241" s="129" t="n">
        <x:v>48</x:v>
      </x:c>
      <x:c r="D241" s="129" t="str">
        <x:v>2605.02345</x:v>
      </x:c>
      <x:c r="E241" s="128" t="str">
        <x:v>Sharp regularity for a class of degenerate/singular fully nonlinear elliptic equations with Hamiltonian terms</x:v>
      </x:c>
      <x:c r="F241" s="128" t="str">
        <x:v>Wentao Huo; Xiaofeng Jin; Lingwei Ma; Zhenqiu Zhang</x:v>
      </x:c>
      <x:c r="G241" s="128" t="str">
        <x:v>Fully nonlinear elliptic regularity</x:v>
      </x:c>
      <x:c r="H241" s="129" t="n">
        <x:v>28</x:v>
      </x:c>
      <x:c r="I241" s="130" t="n">
        <x:v>87.42</x:v>
      </x:c>
      <x:c r="J241" s="130" t="n">
        <x:v>87.24</x:v>
      </x:c>
      <x:c r="K241" s="130" t="n">
        <x:v>87.6</x:v>
      </x:c>
      <x:c r="L241" s="130" t="n">
        <x:v>87.9</x:v>
      </x:c>
      <x:c r="M241" s="130" t="n">
        <x:v>87.1</x:v>
      </x:c>
      <x:c r="N241" s="130" t="n">
        <x:v>89</x:v>
      </x:c>
      <x:c r="O241" s="130" t="n">
        <x:v>84</x:v>
      </x:c>
      <x:c r="P241" s="130" t="n">
        <x:v>89.1</x:v>
      </x:c>
      <x:c r="Q241" s="130" t="n">
        <x:v>86</x:v>
      </x:c>
      <x:c r="R241" s="130" t="n">
        <x:v>15</x:v>
      </x:c>
      <x:c r="S241" s="128" t="str">
        <x:v>https://arxiv.org/abs/2605.02345</x:v>
      </x:c>
      <x:c r="T241" s="128" t="str">
        <x:v>范围偏专门，广度轻微回调</x:v>
      </x:c>
    </x:row>
    <x:row r="242" ht="28" customHeight="1">
      <x:c r="A242" s="129" t="n">
        <x:v>241</x:v>
      </x:c>
      <x:c r="B242" s="129" t="str">
        <x:v>2026-05</x:v>
      </x:c>
      <x:c r="C242" s="129" t="n">
        <x:v>48</x:v>
      </x:c>
      <x:c r="D242" s="129" t="str">
        <x:v>2605.03220</x:v>
      </x:c>
      <x:c r="E242" s="128" t="str">
        <x:v>Late-time tails for linear waves on radially symmetric stationary spacetimes of two space dimensions</x:v>
      </x:c>
      <x:c r="F242" s="128" t="str">
        <x:v>Onyx Gautam</x:v>
      </x:c>
      <x:c r="G242" s="128" t="str">
        <x:v>Wave equations / relativity</x:v>
      </x:c>
      <x:c r="H242" s="129" t="n">
        <x:v>59</x:v>
      </x:c>
      <x:c r="I242" s="130" t="n">
        <x:v>87.38</x:v>
      </x:c>
      <x:c r="J242" s="130" t="n">
        <x:v>87.25</x:v>
      </x:c>
      <x:c r="K242" s="130" t="n">
        <x:v>87.5</x:v>
      </x:c>
      <x:c r="L242" s="130" t="n">
        <x:v>88</x:v>
      </x:c>
      <x:c r="M242" s="130" t="n">
        <x:v>88</x:v>
      </x:c>
      <x:c r="N242" s="130" t="n">
        <x:v>89.1</x:v>
      </x:c>
      <x:c r="O242" s="130" t="n">
        <x:v>83.8</x:v>
      </x:c>
      <x:c r="P242" s="130" t="n">
        <x:v>89.1</x:v>
      </x:c>
      <x:c r="Q242" s="130" t="n">
        <x:v>84</x:v>
      </x:c>
      <x:c r="R242" s="130" t="n">
        <x:v>15</x:v>
      </x:c>
      <x:c r="S242" s="128" t="str">
        <x:v>https://arxiv.org/abs/2605.03220</x:v>
      </x:c>
      <x:c r="T242" s="128" t="str">
        <x:v>范围偏专门，广度轻微回调</x:v>
      </x:c>
    </x:row>
    <x:row r="243" ht="28" customHeight="1">
      <x:c r="A243" s="129" t="n">
        <x:v>242</x:v>
      </x:c>
      <x:c r="B243" s="129" t="str">
        <x:v>2026-07</x:v>
      </x:c>
      <x:c r="C243" s="129" t="n">
        <x:v>103</x:v>
      </x:c>
      <x:c r="D243" s="129" t="str">
        <x:v>2607.12685</x:v>
      </x:c>
      <x:c r="E243" s="128" t="str">
        <x:v>The subsonic limit of the 3D Zakharov system</x:v>
      </x:c>
      <x:c r="F243" s="128" t="str">
        <x:v>Rui Jia; Jia Shen; Yifei Wu</x:v>
      </x:c>
      <x:c r="G243" s="128" t="str">
        <x:v>Zakharov system</x:v>
      </x:c>
      <x:c r="H243" s="129" t="n">
        <x:v>44</x:v>
      </x:c>
      <x:c r="I243" s="130" t="n">
        <x:v>87.38</x:v>
      </x:c>
      <x:c r="J243" s="130" t="n">
        <x:v>86.9</x:v>
      </x:c>
      <x:c r="K243" s="130" t="n">
        <x:v>87.85</x:v>
      </x:c>
      <x:c r="L243" s="130" t="n">
        <x:v>87</x:v>
      </x:c>
      <x:c r="M243" s="130" t="n">
        <x:v>87</x:v>
      </x:c>
      <x:c r="N243" s="130" t="n">
        <x:v>89</x:v>
      </x:c>
      <x:c r="O243" s="130" t="n">
        <x:v>85</x:v>
      </x:c>
      <x:c r="P243" s="130" t="n">
        <x:v>89</x:v>
      </x:c>
      <x:c r="Q243" s="130" t="n">
        <x:v>84</x:v>
      </x:c>
      <x:c r="R243" s="130" t="n">
        <x:v>11</x:v>
      </x:c>
      <x:c r="S243" s="128" t="str">
        <x:v>https://arxiv.org/abs/2607.12685</x:v>
      </x:c>
      <x:c r="T243" s="128" t="str">
        <x:v>Additional exact July entry retained to complete 30% scoring pool.</x:v>
      </x:c>
    </x:row>
    <x:row r="244" ht="28" customHeight="1">
      <x:c r="A244" s="129" t="n">
        <x:v>243</x:v>
      </x:c>
      <x:c r="B244" s="129" t="str">
        <x:v>2026-07</x:v>
      </x:c>
      <x:c r="C244" s="129" t="n">
        <x:v>104</x:v>
      </x:c>
      <x:c r="D244" s="129" t="str">
        <x:v>2607.20851</x:v>
      </x:c>
      <x:c r="E244" s="128" t="str">
        <x:v>Well-posedness of the mean field game master equation on Carnot tori</x:v>
      </x:c>
      <x:c r="F244" s="128" t="str">
        <x:v>Yiming Jiang; Yawei Wei; Yiyun Yang</x:v>
      </x:c>
      <x:c r="G244" s="128" t="str">
        <x:v>mean field games</x:v>
      </x:c>
      <x:c r="H244" s="129" t="str">
        <x:v>-</x:v>
      </x:c>
      <x:c r="I244" s="130" t="n">
        <x:v>87.38</x:v>
      </x:c>
      <x:c r="J244" s="130" t="n">
        <x:v>86.9</x:v>
      </x:c>
      <x:c r="K244" s="130" t="n">
        <x:v>87.85</x:v>
      </x:c>
      <x:c r="L244" s="130" t="n">
        <x:v>87</x:v>
      </x:c>
      <x:c r="M244" s="130" t="n">
        <x:v>87</x:v>
      </x:c>
      <x:c r="N244" s="130" t="n">
        <x:v>89</x:v>
      </x:c>
      <x:c r="O244" s="130" t="n">
        <x:v>85</x:v>
      </x:c>
      <x:c r="P244" s="130" t="n">
        <x:v>89</x:v>
      </x:c>
      <x:c r="Q244" s="130" t="n">
        <x:v>84</x:v>
      </x:c>
      <x:c r="R244" s="130" t="n">
        <x:v>11</x:v>
      </x:c>
      <x:c r="S244" s="128" t="str">
        <x:v>https://arxiv.org/abs/2607.20851</x:v>
      </x:c>
      <x:c r="T244" s="128" t="str">
        <x:v>Later July exact candidate included in 30% scored pool.</x:v>
      </x:c>
    </x:row>
    <x:row r="245" ht="28" customHeight="1">
      <x:c r="A245" s="129" t="n">
        <x:v>244</x:v>
      </x:c>
      <x:c r="B245" s="129" t="str">
        <x:v>2026-08</x:v>
      </x:c>
      <x:c r="C245" s="129" t="n">
        <x:v>40</x:v>
      </x:c>
      <x:c r="D245" s="129" t="str">
        <x:v>2608.04938</x:v>
      </x:c>
      <x:c r="E245" s="128" t="str">
        <x:v>Modulational spectrum of hydroelastic Stokes waves</x:v>
      </x:c>
      <x:c r="F245" s="128" t="str">
        <x:v>Ting-Yang Hsiao; Zirui Li; Ye Zhang; Chengbin Zhu</x:v>
      </x:c>
      <x:c r="G245" s="128" t="str">
        <x:v>water waves/spectral</x:v>
      </x:c>
      <x:c r="H245" s="129" t="n">
        <x:v>51</x:v>
      </x:c>
      <x:c r="I245" s="130" t="n">
        <x:v>87.38</x:v>
      </x:c>
      <x:c r="J245" s="130" t="n">
        <x:v>86.9</x:v>
      </x:c>
      <x:c r="K245" s="130" t="n">
        <x:v>87.85</x:v>
      </x:c>
      <x:c r="L245" s="130" t="n">
        <x:v>87</x:v>
      </x:c>
      <x:c r="M245" s="130" t="n">
        <x:v>87</x:v>
      </x:c>
      <x:c r="N245" s="130" t="n">
        <x:v>89</x:v>
      </x:c>
      <x:c r="O245" s="130" t="n">
        <x:v>85</x:v>
      </x:c>
      <x:c r="P245" s="130" t="n">
        <x:v>89</x:v>
      </x:c>
      <x:c r="Q245" s="130" t="n">
        <x:v>84</x:v>
      </x:c>
      <x:c r="R245" s="130" t="n">
        <x:v>11</x:v>
      </x:c>
      <x:c r="S245" s="128" t="str">
        <x:v>https://arxiv.org/abs/2608.04938</x:v>
      </x:c>
      <x:c r="T245" s="128" t="str">
        <x:v>Spectral analysis for hydroelastic Stokes waves.</x:v>
      </x:c>
    </x:row>
    <x:row r="246" ht="28" customHeight="1">
      <x:c r="A246" s="129" t="n">
        <x:v>245</x:v>
      </x:c>
      <x:c r="B246" s="129" t="str">
        <x:v>2026-05</x:v>
      </x:c>
      <x:c r="C246" s="129" t="n">
        <x:v>48</x:v>
      </x:c>
      <x:c r="D246" s="129" t="str">
        <x:v>2605.08573</x:v>
      </x:c>
      <x:c r="E246" s="128" t="str">
        <x:v>On the Existence of Boundary Layer Separation for Incompressible Fluid Flow in the Half-Space</x:v>
      </x:c>
      <x:c r="F246" s="128" t="str">
        <x:v>Tongkeun Chang; Kyungkeun Kang</x:v>
      </x:c>
      <x:c r="G246" s="128" t="str">
        <x:v>Boundary layers</x:v>
      </x:c>
      <x:c r="H246" s="129"/>
      <x:c r="I246" s="130" t="n">
        <x:v>87.35</x:v>
      </x:c>
      <x:c r="J246" s="130" t="n">
        <x:v>87.25</x:v>
      </x:c>
      <x:c r="K246" s="130" t="n">
        <x:v>87.45</x:v>
      </x:c>
      <x:c r="L246" s="130" t="n">
        <x:v>88</x:v>
      </x:c>
      <x:c r="M246" s="130" t="n">
        <x:v>88</x:v>
      </x:c>
      <x:c r="N246" s="130" t="n">
        <x:v>89</x:v>
      </x:c>
      <x:c r="O246" s="130" t="n">
        <x:v>84</x:v>
      </x:c>
      <x:c r="P246" s="130" t="n">
        <x:v>89</x:v>
      </x:c>
      <x:c r="Q246" s="130" t="n">
        <x:v>84</x:v>
      </x:c>
      <x:c r="R246" s="130" t="n">
        <x:v>15</x:v>
      </x:c>
      <x:c r="S246" s="128" t="str">
        <x:v>https://arxiv.org/abs/2605.08573</x:v>
      </x:c>
      <x:c r="T246" s="128" t="str">
        <x:v>三轮复核后与原表基本一致</x:v>
      </x:c>
    </x:row>
    <x:row r="247" ht="28" customHeight="1">
      <x:c r="A247" s="129" t="n">
        <x:v>246</x:v>
      </x:c>
      <x:c r="B247" s="129" t="str">
        <x:v>2026-07</x:v>
      </x:c>
      <x:c r="C247" s="129" t="n">
        <x:v>105</x:v>
      </x:c>
      <x:c r="D247" s="129" t="str">
        <x:v>2607.04760</x:v>
      </x:c>
      <x:c r="E247" s="128" t="str">
        <x:v>On the Gevrey well-posedness for weakly hyperbolic biwave type equations</x:v>
      </x:c>
      <x:c r="F247" s="128" t="str">
        <x:v>Biagio Cassano; Giovanni Taglialatela</x:v>
      </x:c>
      <x:c r="G247" s="128" t="str">
        <x:v>Gevrey well-posedness</x:v>
      </x:c>
      <x:c r="H247" s="129" t="n">
        <x:v>28</x:v>
      </x:c>
      <x:c r="I247" s="130" t="n">
        <x:v>87.35</x:v>
      </x:c>
      <x:c r="J247" s="130" t="n">
        <x:v>87.2</x:v>
      </x:c>
      <x:c r="K247" s="130" t="n">
        <x:v>87.5</x:v>
      </x:c>
      <x:c r="L247" s="130" t="n">
        <x:v>88</x:v>
      </x:c>
      <x:c r="M247" s="130" t="n">
        <x:v>86</x:v>
      </x:c>
      <x:c r="N247" s="130" t="n">
        <x:v>89</x:v>
      </x:c>
      <x:c r="O247" s="130" t="n">
        <x:v>85</x:v>
      </x:c>
      <x:c r="P247" s="130" t="n">
        <x:v>89</x:v>
      </x:c>
      <x:c r="Q247" s="130" t="n">
        <x:v>86</x:v>
      </x:c>
      <x:c r="R247" s="130" t="n">
        <x:v>14</x:v>
      </x:c>
      <x:c r="S247" s="128" t="str">
        <x:v>https://arxiv.org/abs/2607.04760</x:v>
      </x:c>
      <x:c r="T247" s="128" t="str">
        <x:v>Background row in the 30% scored pool; title/authors from official July list.</x:v>
      </x:c>
    </x:row>
    <x:row r="248" ht="28" customHeight="1">
      <x:c r="A248" s="129" t="n">
        <x:v>247</x:v>
      </x:c>
      <x:c r="B248" s="129" t="str">
        <x:v>2026-07</x:v>
      </x:c>
      <x:c r="C248" s="129" t="n">
        <x:v>106</x:v>
      </x:c>
      <x:c r="D248" s="129" t="str">
        <x:v>2607.05562</x:v>
      </x:c>
      <x:c r="E248" s="128" t="str">
        <x:v>L2-Linfty decay estimates and inviscid limits for global smooth solutions to the compressible Navier-Stokes-Riesz system</x:v>
      </x:c>
      <x:c r="F248" s="128" t="str">
        <x:v>Agnieszka Swierczewska-Gwiazda; Yuan Xu; Junhao Zhang</x:v>
      </x:c>
      <x:c r="G248" s="128" t="str">
        <x:v>compressible NS-Riesz</x:v>
      </x:c>
      <x:c r="H248" s="129" t="str">
        <x:v>-</x:v>
      </x:c>
      <x:c r="I248" s="130" t="n">
        <x:v>87.35</x:v>
      </x:c>
      <x:c r="J248" s="130" t="n">
        <x:v>87.2</x:v>
      </x:c>
      <x:c r="K248" s="130" t="n">
        <x:v>87.5</x:v>
      </x:c>
      <x:c r="L248" s="130" t="n">
        <x:v>88</x:v>
      </x:c>
      <x:c r="M248" s="130" t="n">
        <x:v>86</x:v>
      </x:c>
      <x:c r="N248" s="130" t="n">
        <x:v>89</x:v>
      </x:c>
      <x:c r="O248" s="130" t="n">
        <x:v>85</x:v>
      </x:c>
      <x:c r="P248" s="130" t="n">
        <x:v>89</x:v>
      </x:c>
      <x:c r="Q248" s="130" t="n">
        <x:v>86</x:v>
      </x:c>
      <x:c r="R248" s="130" t="n">
        <x:v>14</x:v>
      </x:c>
      <x:c r="S248" s="128" t="str">
        <x:v>https://arxiv.org/abs/2607.05562</x:v>
      </x:c>
      <x:c r="T248" s="128" t="str">
        <x:v>Background row in the 30% scored pool; title/authors from official July list.</x:v>
      </x:c>
    </x:row>
    <x:row r="249" ht="28" customHeight="1">
      <x:c r="A249" s="129" t="n">
        <x:v>248</x:v>
      </x:c>
      <x:c r="B249" s="129" t="str">
        <x:v>2026-07</x:v>
      </x:c>
      <x:c r="C249" s="129" t="n">
        <x:v>107</x:v>
      </x:c>
      <x:c r="D249" s="129" t="str">
        <x:v>2607.11280</x:v>
      </x:c>
      <x:c r="E249" s="128" t="str">
        <x:v>Sharp Broken-Power Lorentz Estimates for Fractional Powers of Radial Schrodinger Operators with Inverse-Square Asymptotics</x:v>
      </x:c>
      <x:c r="F249" s="128" t="str">
        <x:v>Haochen Liu; Qinghao Yu; Hongyan Zhou</x:v>
      </x:c>
      <x:c r="G249" s="128" t="str">
        <x:v>Schrodinger operators</x:v>
      </x:c>
      <x:c r="H249" s="129" t="n">
        <x:v>26</x:v>
      </x:c>
      <x:c r="I249" s="130" t="n">
        <x:v>87.35</x:v>
      </x:c>
      <x:c r="J249" s="130" t="n">
        <x:v>87.2</x:v>
      </x:c>
      <x:c r="K249" s="130" t="n">
        <x:v>87.5</x:v>
      </x:c>
      <x:c r="L249" s="130" t="n">
        <x:v>88</x:v>
      </x:c>
      <x:c r="M249" s="130" t="n">
        <x:v>86</x:v>
      </x:c>
      <x:c r="N249" s="130" t="n">
        <x:v>89</x:v>
      </x:c>
      <x:c r="O249" s="130" t="n">
        <x:v>85</x:v>
      </x:c>
      <x:c r="P249" s="130" t="n">
        <x:v>89</x:v>
      </x:c>
      <x:c r="Q249" s="130" t="n">
        <x:v>86</x:v>
      </x:c>
      <x:c r="R249" s="130" t="n">
        <x:v>14</x:v>
      </x:c>
      <x:c r="S249" s="128" t="str">
        <x:v>https://arxiv.org/abs/2607.11280</x:v>
      </x:c>
      <x:c r="T249" s="128" t="str">
        <x:v>Background row in the 30% scored pool; title/authors from official July list.</x:v>
      </x:c>
    </x:row>
    <x:row r="250" ht="28" customHeight="1">
      <x:c r="A250" s="129" t="n">
        <x:v>249</x:v>
      </x:c>
      <x:c r="B250" s="129" t="str">
        <x:v>2026-05</x:v>
      </x:c>
      <x:c r="C250" s="129" t="n">
        <x:v>53</x:v>
      </x:c>
      <x:c r="D250" s="129" t="str">
        <x:v>2605.03955</x:v>
      </x:c>
      <x:c r="E250" s="128" t="str">
        <x:v>Closing the gap: Maz'ya-Shaposhnikova and asymptotics of fractional perimeters</x:v>
      </x:c>
      <x:c r="F250" s="128" t="str">
        <x:v>Elisa Davoli; Alberto Fanizza; Marco Picerni</x:v>
      </x:c>
      <x:c r="G250" s="128" t="str">
        <x:v>Fractional perimeters</x:v>
      </x:c>
      <x:c r="H250" s="129"/>
      <x:c r="I250" s="130" t="n">
        <x:v>87.34</x:v>
      </x:c>
      <x:c r="J250" s="130" t="n">
        <x:v>87.23</x:v>
      </x:c>
      <x:c r="K250" s="130" t="n">
        <x:v>87.45</x:v>
      </x:c>
      <x:c r="L250" s="130" t="n">
        <x:v>88</x:v>
      </x:c>
      <x:c r="M250" s="130" t="n">
        <x:v>88.1</x:v>
      </x:c>
      <x:c r="N250" s="130" t="n">
        <x:v>88</x:v>
      </x:c>
      <x:c r="O250" s="130" t="n">
        <x:v>84.1</x:v>
      </x:c>
      <x:c r="P250" s="130" t="n">
        <x:v>88.1</x:v>
      </x:c>
      <x:c r="Q250" s="130" t="n">
        <x:v>86</x:v>
      </x:c>
      <x:c r="R250" s="130" t="n">
        <x:v>14</x:v>
      </x:c>
      <x:c r="S250" s="128" t="str">
        <x:v>https://arxiv.org/abs/2605.03955</x:v>
      </x:c>
      <x:c r="T250" s="128" t="str">
        <x:v>三轮复核后与原表基本一致</x:v>
      </x:c>
    </x:row>
    <x:row r="251" ht="28" customHeight="1">
      <x:c r="A251" s="129" t="n">
        <x:v>250</x:v>
      </x:c>
      <x:c r="B251" s="129" t="str">
        <x:v>2026-05</x:v>
      </x:c>
      <x:c r="C251" s="129" t="n">
        <x:v>48</x:v>
      </x:c>
      <x:c r="D251" s="129" t="str">
        <x:v>2605.00439</x:v>
      </x:c>
      <x:c r="E251" s="128" t="str">
        <x:v>Existence and uniqueness of weak solutions to quasilinear PDEs with critical data</x:v>
      </x:c>
      <x:c r="F251" s="128" t="str">
        <x:v>Pascal Auscher; Sebastian Bechtel</x:v>
      </x:c>
      <x:c r="G251" s="128" t="str">
        <x:v>Elliptic/parabolic weak solutions</x:v>
      </x:c>
      <x:c r="H251" s="129" t="n">
        <x:v>20</x:v>
      </x:c>
      <x:c r="I251" s="130" t="n">
        <x:v>87.32</x:v>
      </x:c>
      <x:c r="J251" s="130" t="n">
        <x:v>87.2</x:v>
      </x:c>
      <x:c r="K251" s="130" t="n">
        <x:v>87.44</x:v>
      </x:c>
      <x:c r="L251" s="130" t="n">
        <x:v>88</x:v>
      </x:c>
      <x:c r="M251" s="130" t="n">
        <x:v>87</x:v>
      </x:c>
      <x:c r="N251" s="130" t="n">
        <x:v>88.8</x:v>
      </x:c>
      <x:c r="O251" s="130" t="n">
        <x:v>84</x:v>
      </x:c>
      <x:c r="P251" s="130" t="n">
        <x:v>88.9</x:v>
      </x:c>
      <x:c r="Q251" s="130" t="n">
        <x:v>86</x:v>
      </x:c>
      <x:c r="R251" s="130" t="n">
        <x:v>15.3</x:v>
      </x:c>
      <x:c r="S251" s="128" t="str">
        <x:v>https://arxiv.org/abs/2605.00439</x:v>
      </x:c>
      <x:c r="T251" s="128" t="str">
        <x:v>短文且非框架性题材，技术残差轻微回调</x:v>
      </x:c>
    </x:row>
    <x:row r="252" ht="28" customHeight="1">
      <x:c r="A252" s="129" t="n">
        <x:v>251</x:v>
      </x:c>
      <x:c r="B252" s="129" t="str">
        <x:v>2026-05</x:v>
      </x:c>
      <x:c r="C252" s="129" t="n">
        <x:v>53</x:v>
      </x:c>
      <x:c r="D252" s="129" t="str">
        <x:v>2605.01491</x:v>
      </x:c>
      <x:c r="E252" s="128" t="str">
        <x:v>On the stability of Lamb-Chaplygin dipole for the 2D Euler equation</x:v>
      </x:c>
      <x:c r="F252" s="128" t="str">
        <x:v>Zexing Li; Peicong Song; Tao Zhou</x:v>
      </x:c>
      <x:c r="G252" s="128" t="str">
        <x:v>2D Euler stability</x:v>
      </x:c>
      <x:c r="H252" s="129" t="n">
        <x:v>37</x:v>
      </x:c>
      <x:c r="I252" s="130" t="n">
        <x:v>87.3</x:v>
      </x:c>
      <x:c r="J252" s="130" t="n">
        <x:v>87.17</x:v>
      </x:c>
      <x:c r="K252" s="130" t="n">
        <x:v>87.42</x:v>
      </x:c>
      <x:c r="L252" s="130" t="n">
        <x:v>88</x:v>
      </x:c>
      <x:c r="M252" s="130" t="n">
        <x:v>87</x:v>
      </x:c>
      <x:c r="N252" s="130" t="n">
        <x:v>89.1</x:v>
      </x:c>
      <x:c r="O252" s="130" t="n">
        <x:v>84</x:v>
      </x:c>
      <x:c r="P252" s="130" t="n">
        <x:v>89</x:v>
      </x:c>
      <x:c r="Q252" s="130" t="n">
        <x:v>85</x:v>
      </x:c>
      <x:c r="R252" s="130" t="n">
        <x:v>15</x:v>
      </x:c>
      <x:c r="S252" s="128" t="str">
        <x:v>https://arxiv.org/abs/2605.01491</x:v>
      </x:c>
      <x:c r="T252" s="128" t="str">
        <x:v>三轮复核后与原表基本一致</x:v>
      </x:c>
    </x:row>
    <x:row r="253" ht="28" customHeight="1">
      <x:c r="A253" s="129" t="n">
        <x:v>252</x:v>
      </x:c>
      <x:c r="B253" s="129" t="str">
        <x:v>2026-07</x:v>
      </x:c>
      <x:c r="C253" s="129" t="n">
        <x:v>108</x:v>
      </x:c>
      <x:c r="D253" s="129" t="str">
        <x:v>2607.01135</x:v>
      </x:c>
      <x:c r="E253" s="128" t="str">
        <x:v>The Ashbaugh-Benguria reciprocal-gap conjecture for Dirichlet eigenvalues</x:v>
      </x:c>
      <x:c r="F253" s="128" t="str">
        <x:v>Yanyang Li; Quanyu Tang; Haiqi Zhang</x:v>
      </x:c>
      <x:c r="G253" s="128" t="str">
        <x:v>spectral inequalities</x:v>
      </x:c>
      <x:c r="H253" s="129" t="n">
        <x:v>31</x:v>
      </x:c>
      <x:c r="I253" s="130" t="n">
        <x:v>87.3</x:v>
      </x:c>
      <x:c r="J253" s="130" t="n">
        <x:v>87.1</x:v>
      </x:c>
      <x:c r="K253" s="130" t="n">
        <x:v>87.5</x:v>
      </x:c>
      <x:c r="L253" s="130" t="n">
        <x:v>88</x:v>
      </x:c>
      <x:c r="M253" s="130" t="n">
        <x:v>86</x:v>
      </x:c>
      <x:c r="N253" s="130" t="n">
        <x:v>89</x:v>
      </x:c>
      <x:c r="O253" s="130" t="n">
        <x:v>85</x:v>
      </x:c>
      <x:c r="P253" s="130" t="n">
        <x:v>89</x:v>
      </x:c>
      <x:c r="Q253" s="130" t="n">
        <x:v>85</x:v>
      </x:c>
      <x:c r="R253" s="130" t="n">
        <x:v>13</x:v>
      </x:c>
      <x:c r="S253" s="128" t="str">
        <x:v>https://arxiv.org/abs/2607.01135</x:v>
      </x:c>
      <x:c r="T253" s="128" t="str">
        <x:v>Scored candidate from official July math.AP list; correctness not checked.</x:v>
      </x:c>
    </x:row>
    <x:row r="254" ht="28" customHeight="1">
      <x:c r="A254" s="129" t="n">
        <x:v>253</x:v>
      </x:c>
      <x:c r="B254" s="129" t="str">
        <x:v>2026-07</x:v>
      </x:c>
      <x:c r="C254" s="129" t="n">
        <x:v>109</x:v>
      </x:c>
      <x:c r="D254" s="129" t="str">
        <x:v>2607.04752</x:v>
      </x:c>
      <x:c r="E254" s="128" t="str">
        <x:v>Well-posedness and regularity in thermodynamics of compressible fluid-structure interactions</x:v>
      </x:c>
      <x:c r="F254" s="128" t="str">
        <x:v>D. Breit; P. M. Ngougoue Ngougoue</x:v>
      </x:c>
      <x:c r="G254" s="128" t="str">
        <x:v>fluid-structure interaction</x:v>
      </x:c>
      <x:c r="H254" s="129" t="str">
        <x:v>-</x:v>
      </x:c>
      <x:c r="I254" s="130" t="n">
        <x:v>87.3</x:v>
      </x:c>
      <x:c r="J254" s="130" t="n">
        <x:v>87.1</x:v>
      </x:c>
      <x:c r="K254" s="130" t="n">
        <x:v>87.5</x:v>
      </x:c>
      <x:c r="L254" s="130" t="n">
        <x:v>88</x:v>
      </x:c>
      <x:c r="M254" s="130" t="n">
        <x:v>86</x:v>
      </x:c>
      <x:c r="N254" s="130" t="n">
        <x:v>89</x:v>
      </x:c>
      <x:c r="O254" s="130" t="n">
        <x:v>85</x:v>
      </x:c>
      <x:c r="P254" s="130" t="n">
        <x:v>89</x:v>
      </x:c>
      <x:c r="Q254" s="130" t="n">
        <x:v>85</x:v>
      </x:c>
      <x:c r="R254" s="130" t="n">
        <x:v>13</x:v>
      </x:c>
      <x:c r="S254" s="128" t="str">
        <x:v>https://arxiv.org/abs/2607.04752</x:v>
      </x:c>
      <x:c r="T254" s="128" t="str">
        <x:v>Scored candidate from official July math.AP list; correctness not checked.</x:v>
      </x:c>
    </x:row>
    <x:row r="255" ht="28" customHeight="1">
      <x:c r="A255" s="129" t="n">
        <x:v>254</x:v>
      </x:c>
      <x:c r="B255" s="129" t="str">
        <x:v>2026-07</x:v>
      </x:c>
      <x:c r="C255" s="129" t="n">
        <x:v>110</x:v>
      </x:c>
      <x:c r="D255" s="129" t="str">
        <x:v>2607.05610</x:v>
      </x:c>
      <x:c r="E255" s="128" t="str">
        <x:v>A free boundary analysis of tumor invasion driven by angiogenesis</x:v>
      </x:c>
      <x:c r="F255" s="128" t="str">
        <x:v>Serena Dipierro; Edoardo Proietti Lippi; Caterina Sportelli; Enrico Valdinoci</x:v>
      </x:c>
      <x:c r="G255" s="128" t="str">
        <x:v>free-boundary biology</x:v>
      </x:c>
      <x:c r="H255" s="129" t="str">
        <x:v>-</x:v>
      </x:c>
      <x:c r="I255" s="130" t="n">
        <x:v>87.3</x:v>
      </x:c>
      <x:c r="J255" s="130" t="n">
        <x:v>87.1</x:v>
      </x:c>
      <x:c r="K255" s="130" t="n">
        <x:v>87.5</x:v>
      </x:c>
      <x:c r="L255" s="130" t="n">
        <x:v>88</x:v>
      </x:c>
      <x:c r="M255" s="130" t="n">
        <x:v>86</x:v>
      </x:c>
      <x:c r="N255" s="130" t="n">
        <x:v>89</x:v>
      </x:c>
      <x:c r="O255" s="130" t="n">
        <x:v>85</x:v>
      </x:c>
      <x:c r="P255" s="130" t="n">
        <x:v>89</x:v>
      </x:c>
      <x:c r="Q255" s="130" t="n">
        <x:v>85</x:v>
      </x:c>
      <x:c r="R255" s="130" t="n">
        <x:v>13</x:v>
      </x:c>
      <x:c r="S255" s="128" t="str">
        <x:v>https://arxiv.org/abs/2607.05610</x:v>
      </x:c>
      <x:c r="T255" s="128" t="str">
        <x:v>Scored candidate from official July math.AP list; correctness not checked.</x:v>
      </x:c>
    </x:row>
    <x:row r="256" ht="28" customHeight="1">
      <x:c r="A256" s="129" t="n">
        <x:v>255</x:v>
      </x:c>
      <x:c r="B256" s="129" t="str">
        <x:v>2026-07</x:v>
      </x:c>
      <x:c r="C256" s="129" t="n">
        <x:v>111</x:v>
      </x:c>
      <x:c r="D256" s="129" t="str">
        <x:v>2607.12734</x:v>
      </x:c>
      <x:c r="E256" s="128" t="str">
        <x:v>Homogenization of the Navier-Stokes-Cahn-Hilliard system in the small-hole regime</x:v>
      </x:c>
      <x:c r="F256" s="128" t="str">
        <x:v>Yong Lu; Jiaojiao Pan; Luqi Wang</x:v>
      </x:c>
      <x:c r="G256" s="128" t="str">
        <x:v>homogenization/fluid</x:v>
      </x:c>
      <x:c r="H256" s="129" t="n">
        <x:v>24</x:v>
      </x:c>
      <x:c r="I256" s="130" t="n">
        <x:v>87.3</x:v>
      </x:c>
      <x:c r="J256" s="130" t="n">
        <x:v>86.9</x:v>
      </x:c>
      <x:c r="K256" s="130" t="n">
        <x:v>87.7</x:v>
      </x:c>
      <x:c r="L256" s="130" t="n">
        <x:v>87</x:v>
      </x:c>
      <x:c r="M256" s="130" t="n">
        <x:v>87</x:v>
      </x:c>
      <x:c r="N256" s="130" t="n">
        <x:v>89</x:v>
      </x:c>
      <x:c r="O256" s="130" t="n">
        <x:v>85</x:v>
      </x:c>
      <x:c r="P256" s="130" t="n">
        <x:v>89</x:v>
      </x:c>
      <x:c r="Q256" s="130" t="n">
        <x:v>84</x:v>
      </x:c>
      <x:c r="R256" s="130" t="n">
        <x:v>12</x:v>
      </x:c>
      <x:c r="S256" s="128" t="str">
        <x:v>https://arxiv.org/abs/2607.12734</x:v>
      </x:c>
      <x:c r="T256" s="128" t="str">
        <x:v>Additional exact July entry retained to complete 30% scoring pool.</x:v>
      </x:c>
    </x:row>
    <x:row r="257" ht="28" customHeight="1">
      <x:c r="A257" s="129" t="n">
        <x:v>256</x:v>
      </x:c>
      <x:c r="B257" s="129" t="str">
        <x:v>2026-07</x:v>
      </x:c>
      <x:c r="C257" s="129" t="n">
        <x:v>112</x:v>
      </x:c>
      <x:c r="D257" s="129" t="str">
        <x:v>2607.13392</x:v>
      </x:c>
      <x:c r="E257" s="128" t="str">
        <x:v>Geometric analysis on rhombus torus: Green function with two singularities</x:v>
      </x:c>
      <x:c r="F257" s="128" t="str">
        <x:v>Zhijie Chen; Erjuan Fu; Chang-Shou Lin; Zhen Song</x:v>
      </x:c>
      <x:c r="G257" s="128" t="str">
        <x:v>geometric analysis</x:v>
      </x:c>
      <x:c r="H257" s="129" t="n">
        <x:v>50</x:v>
      </x:c>
      <x:c r="I257" s="130" t="n">
        <x:v>87.25</x:v>
      </x:c>
      <x:c r="J257" s="130" t="n">
        <x:v>86.7</x:v>
      </x:c>
      <x:c r="K257" s="130" t="n">
        <x:v>87.8</x:v>
      </x:c>
      <x:c r="L257" s="130" t="n">
        <x:v>87</x:v>
      </x:c>
      <x:c r="M257" s="130" t="n">
        <x:v>86</x:v>
      </x:c>
      <x:c r="N257" s="130" t="n">
        <x:v>89</x:v>
      </x:c>
      <x:c r="O257" s="130" t="n">
        <x:v>85</x:v>
      </x:c>
      <x:c r="P257" s="130" t="n">
        <x:v>89</x:v>
      </x:c>
      <x:c r="Q257" s="130" t="n">
        <x:v>84</x:v>
      </x:c>
      <x:c r="R257" s="130" t="n">
        <x:v>10</x:v>
      </x:c>
      <x:c r="S257" s="128" t="str">
        <x:v>https://arxiv.org/abs/2607.13392</x:v>
      </x:c>
      <x:c r="T257" s="128" t="str">
        <x:v>Additional exact July entry retained to complete 30% scoring pool.</x:v>
      </x:c>
    </x:row>
    <x:row r="258" ht="28" customHeight="1">
      <x:c r="A258" s="129" t="n">
        <x:v>257</x:v>
      </x:c>
      <x:c r="B258" s="129" t="str">
        <x:v>2026-07</x:v>
      </x:c>
      <x:c r="C258" s="129" t="n">
        <x:v>113</x:v>
      </x:c>
      <x:c r="D258" s="129" t="str">
        <x:v>2607.13628</x:v>
      </x:c>
      <x:c r="E258" s="128" t="str">
        <x:v>Existence and Limiting Profiles of Normalized Travelling Wave Solutions for the Pseudo-Relativistic Schrodinger Equation with Logarithmic Nonlinearity</x:v>
      </x:c>
      <x:c r="F258" s="128" t="str">
        <x:v>Pietro d'Avenia; Qihan He; Alessio Pomponio; Lianfeng Yang</x:v>
      </x:c>
      <x:c r="G258" s="128" t="str">
        <x:v>pseudo-relativistic NLS</x:v>
      </x:c>
      <x:c r="H258" s="129" t="str">
        <x:v>-</x:v>
      </x:c>
      <x:c r="I258" s="130" t="n">
        <x:v>87.25</x:v>
      </x:c>
      <x:c r="J258" s="130" t="n">
        <x:v>86.7</x:v>
      </x:c>
      <x:c r="K258" s="130" t="n">
        <x:v>87.8</x:v>
      </x:c>
      <x:c r="L258" s="130" t="n">
        <x:v>87</x:v>
      </x:c>
      <x:c r="M258" s="130" t="n">
        <x:v>86</x:v>
      </x:c>
      <x:c r="N258" s="130" t="n">
        <x:v>89</x:v>
      </x:c>
      <x:c r="O258" s="130" t="n">
        <x:v>85</x:v>
      </x:c>
      <x:c r="P258" s="130" t="n">
        <x:v>89</x:v>
      </x:c>
      <x:c r="Q258" s="130" t="n">
        <x:v>84</x:v>
      </x:c>
      <x:c r="R258" s="130" t="n">
        <x:v>10</x:v>
      </x:c>
      <x:c r="S258" s="128" t="str">
        <x:v>https://arxiv.org/abs/2607.13628</x:v>
      </x:c>
      <x:c r="T258" s="128" t="str">
        <x:v>Additional exact July entry retained to complete 30% scoring pool.</x:v>
      </x:c>
    </x:row>
    <x:row r="259" ht="28" customHeight="1">
      <x:c r="A259" s="129" t="n">
        <x:v>258</x:v>
      </x:c>
      <x:c r="B259" s="129" t="str">
        <x:v>2026-08</x:v>
      </x:c>
      <x:c r="C259" s="129" t="n">
        <x:v>41</x:v>
      </x:c>
      <x:c r="D259" s="129" t="str">
        <x:v>2608.06293</x:v>
      </x:c>
      <x:c r="E259" s="128" t="str">
        <x:v>Nonconvex Sublevel Sets For Planar Translating Mean Curvature Equation</x:v>
      </x:c>
      <x:c r="F259" s="128" t="str">
        <x:v>Jiahuan Li; Yilu Liu; Xi-Nan Ma; Guohuan Qiu</x:v>
      </x:c>
      <x:c r="G259" s="128" t="str">
        <x:v>mean curvature equation</x:v>
      </x:c>
      <x:c r="H259" s="129" t="str">
        <x:v>-</x:v>
      </x:c>
      <x:c r="I259" s="130" t="n">
        <x:v>87.25</x:v>
      </x:c>
      <x:c r="J259" s="130" t="n">
        <x:v>86.7</x:v>
      </x:c>
      <x:c r="K259" s="130" t="n">
        <x:v>87.8</x:v>
      </x:c>
      <x:c r="L259" s="130" t="n">
        <x:v>87</x:v>
      </x:c>
      <x:c r="M259" s="130" t="n">
        <x:v>86</x:v>
      </x:c>
      <x:c r="N259" s="130" t="n">
        <x:v>89</x:v>
      </x:c>
      <x:c r="O259" s="130" t="n">
        <x:v>85</x:v>
      </x:c>
      <x:c r="P259" s="130" t="n">
        <x:v>89</x:v>
      </x:c>
      <x:c r="Q259" s="130" t="n">
        <x:v>84</x:v>
      </x:c>
      <x:c r="R259" s="130" t="n">
        <x:v>10</x:v>
      </x:c>
      <x:c r="S259" s="128" t="str">
        <x:v>https://arxiv.org/abs/2608.06293</x:v>
      </x:c>
      <x:c r="T259" s="128" t="str">
        <x:v>Geometry/PDE result for translating MCF equation.</x:v>
      </x:c>
    </x:row>
    <x:row r="260" ht="28" customHeight="1">
      <x:c r="A260" s="129" t="n">
        <x:v>259</x:v>
      </x:c>
      <x:c r="B260" s="129" t="str">
        <x:v>2026-08</x:v>
      </x:c>
      <x:c r="C260" s="129" t="n">
        <x:v>42</x:v>
      </x:c>
      <x:c r="D260" s="129" t="str">
        <x:v>2608.01191</x:v>
      </x:c>
      <x:c r="E260" s="128" t="str">
        <x:v>A sharp integral criterion for Lane-Emden systems on weighted graphs</x:v>
      </x:c>
      <x:c r="F260" s="128" t="str">
        <x:v>Qingsong Gu; Lu Hao; Xueping Huang; Yuhua Sun</x:v>
      </x:c>
      <x:c r="G260" s="128" t="str">
        <x:v>Lane-Emden/graphs</x:v>
      </x:c>
      <x:c r="H260" s="129" t="str">
        <x:v>-</x:v>
      </x:c>
      <x:c r="I260" s="130" t="n">
        <x:v>87.2</x:v>
      </x:c>
      <x:c r="J260" s="130" t="n">
        <x:v>86.75</x:v>
      </x:c>
      <x:c r="K260" s="130" t="n">
        <x:v>87.65</x:v>
      </x:c>
      <x:c r="L260" s="130" t="n">
        <x:v>87</x:v>
      </x:c>
      <x:c r="M260" s="130" t="n">
        <x:v>87</x:v>
      </x:c>
      <x:c r="N260" s="130" t="n">
        <x:v>88</x:v>
      </x:c>
      <x:c r="O260" s="130" t="n">
        <x:v>85</x:v>
      </x:c>
      <x:c r="P260" s="130" t="n">
        <x:v>88</x:v>
      </x:c>
      <x:c r="Q260" s="130" t="n">
        <x:v>85</x:v>
      </x:c>
      <x:c r="R260" s="130" t="n">
        <x:v>10</x:v>
      </x:c>
      <x:c r="S260" s="128" t="str">
        <x:v>https://arxiv.org/abs/2608.01191</x:v>
      </x:c>
      <x:c r="T260" s="128" t="str">
        <x:v>Sharp integral criterion in graph PDE.</x:v>
      </x:c>
    </x:row>
    <x:row r="261" ht="28" customHeight="1">
      <x:c r="A261" s="129" t="n">
        <x:v>260</x:v>
      </x:c>
      <x:c r="B261" s="129" t="str">
        <x:v>2026-07</x:v>
      </x:c>
      <x:c r="C261" s="129" t="n">
        <x:v>114</x:v>
      </x:c>
      <x:c r="D261" s="129" t="str">
        <x:v>2607.12543</x:v>
      </x:c>
      <x:c r="E261" s="128" t="str">
        <x:v>On the second-order regularity of widely degenerate elliptic systems</x:v>
      </x:c>
      <x:c r="F261" s="128" t="str">
        <x:v>Felice Iandoli; Berardino Sciunzi; Domenico Vuono</x:v>
      </x:c>
      <x:c r="G261" s="128" t="str">
        <x:v>degenerate elliptic regularity</x:v>
      </x:c>
      <x:c r="H261" s="129" t="str">
        <x:v>-</x:v>
      </x:c>
      <x:c r="I261" s="130" t="n">
        <x:v>87.18</x:v>
      </x:c>
      <x:c r="J261" s="130" t="n">
        <x:v>86.7</x:v>
      </x:c>
      <x:c r="K261" s="130" t="n">
        <x:v>87.65</x:v>
      </x:c>
      <x:c r="L261" s="130" t="n">
        <x:v>87</x:v>
      </x:c>
      <x:c r="M261" s="130" t="n">
        <x:v>86</x:v>
      </x:c>
      <x:c r="N261" s="130" t="n">
        <x:v>89</x:v>
      </x:c>
      <x:c r="O261" s="130" t="n">
        <x:v>85</x:v>
      </x:c>
      <x:c r="P261" s="130" t="n">
        <x:v>89</x:v>
      </x:c>
      <x:c r="Q261" s="130" t="n">
        <x:v>84</x:v>
      </x:c>
      <x:c r="R261" s="130" t="n">
        <x:v>11</x:v>
      </x:c>
      <x:c r="S261" s="128" t="str">
        <x:v>https://arxiv.org/abs/2607.12543</x:v>
      </x:c>
      <x:c r="T261" s="128" t="str">
        <x:v>Additional exact July entry retained to complete 30% scoring pool.</x:v>
      </x:c>
    </x:row>
    <x:row r="262" ht="28" customHeight="1">
      <x:c r="A262" s="129" t="n">
        <x:v>261</x:v>
      </x:c>
      <x:c r="B262" s="129" t="str">
        <x:v>2026-07</x:v>
      </x:c>
      <x:c r="C262" s="129" t="n">
        <x:v>115</x:v>
      </x:c>
      <x:c r="D262" s="129" t="str">
        <x:v>2607.24089</x:v>
      </x:c>
      <x:c r="E262" s="128" t="str">
        <x:v>Time-refined Triebel-Lizorkin estimates and applications to Keller-Segel</x:v>
      </x:c>
      <x:c r="F262" s="128" t="str">
        <x:v>Wenhai Shan; Xiao-song Yang</x:v>
      </x:c>
      <x:c r="G262" s="128" t="str">
        <x:v>Triebel-Lizorkin/Keller-Segel</x:v>
      </x:c>
      <x:c r="H262" s="129" t="str">
        <x:v>-</x:v>
      </x:c>
      <x:c r="I262" s="130" t="n">
        <x:v>87.18</x:v>
      </x:c>
      <x:c r="J262" s="130" t="n">
        <x:v>86.7</x:v>
      </x:c>
      <x:c r="K262" s="130" t="n">
        <x:v>87.65</x:v>
      </x:c>
      <x:c r="L262" s="130" t="n">
        <x:v>87</x:v>
      </x:c>
      <x:c r="M262" s="130" t="n">
        <x:v>86</x:v>
      </x:c>
      <x:c r="N262" s="130" t="n">
        <x:v>89</x:v>
      </x:c>
      <x:c r="O262" s="130" t="n">
        <x:v>85</x:v>
      </x:c>
      <x:c r="P262" s="130" t="n">
        <x:v>89</x:v>
      </x:c>
      <x:c r="Q262" s="130" t="n">
        <x:v>84</x:v>
      </x:c>
      <x:c r="R262" s="130" t="n">
        <x:v>11</x:v>
      </x:c>
      <x:c r="S262" s="128" t="str">
        <x:v>https://arxiv.org/abs/2607.24089</x:v>
      </x:c>
      <x:c r="T262" s="128" t="str">
        <x:v>Later July exact candidate included in 30% scored pool.</x:v>
      </x:c>
    </x:row>
    <x:row r="263" ht="28" customHeight="1">
      <x:c r="A263" s="129" t="n">
        <x:v>262</x:v>
      </x:c>
      <x:c r="B263" s="129" t="str">
        <x:v>2026-08</x:v>
      </x:c>
      <x:c r="C263" s="129" t="n">
        <x:v>43</x:v>
      </x:c>
      <x:c r="D263" s="129" t="str">
        <x:v>2608.01872</x:v>
      </x:c>
      <x:c r="E263" s="128" t="str">
        <x:v>Generalized solution and Weak-Strong uniqueness for the barotropic Euler-Riesz system</x:v>
      </x:c>
      <x:c r="F263" s="128" t="str">
        <x:v>Nilasis Chaudhuri</x:v>
      </x:c>
      <x:c r="G263" s="128" t="str">
        <x:v>Euler-Riesz</x:v>
      </x:c>
      <x:c r="H263" s="129" t="str">
        <x:v>-</x:v>
      </x:c>
      <x:c r="I263" s="130" t="n">
        <x:v>87.18</x:v>
      </x:c>
      <x:c r="J263" s="130" t="n">
        <x:v>86.7</x:v>
      </x:c>
      <x:c r="K263" s="130" t="n">
        <x:v>87.65</x:v>
      </x:c>
      <x:c r="L263" s="130" t="n">
        <x:v>87</x:v>
      </x:c>
      <x:c r="M263" s="130" t="n">
        <x:v>86</x:v>
      </x:c>
      <x:c r="N263" s="130" t="n">
        <x:v>89</x:v>
      </x:c>
      <x:c r="O263" s="130" t="n">
        <x:v>85</x:v>
      </x:c>
      <x:c r="P263" s="130" t="n">
        <x:v>89</x:v>
      </x:c>
      <x:c r="Q263" s="130" t="n">
        <x:v>84</x:v>
      </x:c>
      <x:c r="R263" s="130" t="n">
        <x:v>11</x:v>
      </x:c>
      <x:c r="S263" s="128" t="str">
        <x:v>https://arxiv.org/abs/2608.01872</x:v>
      </x:c>
      <x:c r="T263" s="128" t="str">
        <x:v>Weak-strong uniqueness for nonlocal Euler-type system.</x:v>
      </x:c>
    </x:row>
    <x:row r="264" ht="28" customHeight="1">
      <x:c r="A264" s="129" t="n">
        <x:v>263</x:v>
      </x:c>
      <x:c r="B264" s="129" t="str">
        <x:v>2026-08</x:v>
      </x:c>
      <x:c r="C264" s="129" t="n">
        <x:v>44</x:v>
      </x:c>
      <x:c r="D264" s="129" t="str">
        <x:v>2608.04619</x:v>
      </x:c>
      <x:c r="E264" s="128" t="str">
        <x:v>Sharp regularity for the periodic Camassa-Holm equation in critical Triebel-Lizorkin spaces</x:v>
      </x:c>
      <x:c r="F264" s="128" t="str">
        <x:v>Wenhai Shan; Xiao-Song Yang</x:v>
      </x:c>
      <x:c r="G264" s="128" t="str">
        <x:v>Camassa-Holm</x:v>
      </x:c>
      <x:c r="H264" s="129" t="str">
        <x:v>-</x:v>
      </x:c>
      <x:c r="I264" s="130" t="n">
        <x:v>87.18</x:v>
      </x:c>
      <x:c r="J264" s="130" t="n">
        <x:v>86.7</x:v>
      </x:c>
      <x:c r="K264" s="130" t="n">
        <x:v>87.65</x:v>
      </x:c>
      <x:c r="L264" s="130" t="n">
        <x:v>87</x:v>
      </x:c>
      <x:c r="M264" s="130" t="n">
        <x:v>86</x:v>
      </x:c>
      <x:c r="N264" s="130" t="n">
        <x:v>89</x:v>
      </x:c>
      <x:c r="O264" s="130" t="n">
        <x:v>85</x:v>
      </x:c>
      <x:c r="P264" s="130" t="n">
        <x:v>89</x:v>
      </x:c>
      <x:c r="Q264" s="130" t="n">
        <x:v>84</x:v>
      </x:c>
      <x:c r="R264" s="130" t="n">
        <x:v>11</x:v>
      </x:c>
      <x:c r="S264" s="128" t="str">
        <x:v>https://arxiv.org/abs/2608.04619</x:v>
      </x:c>
      <x:c r="T264" s="128" t="str">
        <x:v>Sharp regularity result in critical function spaces.</x:v>
      </x:c>
    </x:row>
    <x:row r="265" ht="28" customHeight="1">
      <x:c r="A265" s="129" t="n">
        <x:v>264</x:v>
      </x:c>
      <x:c r="B265" s="129" t="str">
        <x:v>2026-05</x:v>
      </x:c>
      <x:c r="C265" s="129" t="n">
        <x:v>55</x:v>
      </x:c>
      <x:c r="D265" s="129" t="str">
        <x:v>2605.13186</x:v>
      </x:c>
      <x:c r="E265" s="128" t="str">
        <x:v>Nesterov acceleration for the Wasserstein minimization of displacement-convex free energies</x:v>
      </x:c>
      <x:c r="F265" s="128" t="str">
        <x:v>Pierre Monmarche</x:v>
      </x:c>
      <x:c r="G265" s="128" t="str">
        <x:v>Wasserstein gradient flows</x:v>
      </x:c>
      <x:c r="H265" s="129"/>
      <x:c r="I265" s="130" t="n">
        <x:v>87.15</x:v>
      </x:c>
      <x:c r="J265" s="130" t="n">
        <x:v>87.65</x:v>
      </x:c>
      <x:c r="K265" s="130" t="n">
        <x:v>86.65</x:v>
      </x:c>
      <x:c r="L265" s="130" t="n">
        <x:v>88</x:v>
      </x:c>
      <x:c r="M265" s="130" t="n">
        <x:v>89</x:v>
      </x:c>
      <x:c r="N265" s="130" t="n">
        <x:v>87</x:v>
      </x:c>
      <x:c r="O265" s="130" t="n">
        <x:v>88</x:v>
      </x:c>
      <x:c r="P265" s="130" t="n">
        <x:v>87</x:v>
      </x:c>
      <x:c r="Q265" s="130" t="n">
        <x:v>85</x:v>
      </x:c>
      <x:c r="R265" s="130" t="n">
        <x:v>16</x:v>
      </x:c>
      <x:c r="S265" s="128" t="str">
        <x:v>https://arxiv.org/abs/2605.13186</x:v>
      </x:c>
      <x:c r="T265" s="128" t="str">
        <x:v>三轮复核后与原表基本一致</x:v>
      </x:c>
    </x:row>
    <x:row r="266" ht="28" customHeight="1">
      <x:c r="A266" s="129" t="n">
        <x:v>265</x:v>
      </x:c>
      <x:c r="B266" s="129" t="str">
        <x:v>2026-07</x:v>
      </x:c>
      <x:c r="C266" s="129" t="n">
        <x:v>116</x:v>
      </x:c>
      <x:c r="D266" s="129" t="str">
        <x:v>2607.17410</x:v>
      </x:c>
      <x:c r="E266" s="128" t="str">
        <x:v>Phase-Field Models, Sharp Interface Limits, and Numerical Schemes for Contact Line Dynamics</x:v>
      </x:c>
      <x:c r="F266" s="128" t="str">
        <x:v>Guosheng Fu; Yuan Gao; Jian-Guo Liu</x:v>
      </x:c>
      <x:c r="G266" s="128" t="str">
        <x:v>phase-field/contact lines</x:v>
      </x:c>
      <x:c r="H266" s="129" t="n">
        <x:v>35</x:v>
      </x:c>
      <x:c r="I266" s="130" t="n">
        <x:v>87.15</x:v>
      </x:c>
      <x:c r="J266" s="130" t="n">
        <x:v>86.9</x:v>
      </x:c>
      <x:c r="K266" s="130" t="n">
        <x:v>87.4</x:v>
      </x:c>
      <x:c r="L266" s="130" t="n">
        <x:v>87</x:v>
      </x:c>
      <x:c r="M266" s="130" t="n">
        <x:v>87</x:v>
      </x:c>
      <x:c r="N266" s="130" t="n">
        <x:v>89</x:v>
      </x:c>
      <x:c r="O266" s="130" t="n">
        <x:v>85</x:v>
      </x:c>
      <x:c r="P266" s="130" t="n">
        <x:v>89</x:v>
      </x:c>
      <x:c r="Q266" s="130" t="n">
        <x:v>84</x:v>
      </x:c>
      <x:c r="R266" s="130" t="n">
        <x:v>14</x:v>
      </x:c>
      <x:c r="S266" s="128" t="str">
        <x:v>https://arxiv.org/abs/2607.17410</x:v>
      </x:c>
      <x:c r="T266" s="128" t="str">
        <x:v>Later July exact candidate included in 30% scored pool.</x:v>
      </x:c>
    </x:row>
    <x:row r="267" ht="28" customHeight="1">
      <x:c r="A267" s="129" t="n">
        <x:v>266</x:v>
      </x:c>
      <x:c r="B267" s="129" t="str">
        <x:v>2026-08</x:v>
      </x:c>
      <x:c r="C267" s="129" t="n">
        <x:v>45</x:v>
      </x:c>
      <x:c r="D267" s="129" t="str">
        <x:v>2608.06367</x:v>
      </x:c>
      <x:c r="E267" s="128" t="str">
        <x:v>Quasiconvexity for Dacorogna-Marcellini Energy</x:v>
      </x:c>
      <x:c r="F267" s="128" t="str">
        <x:v>Giuseppe Bruno; Federico Pasqualotto</x:v>
      </x:c>
      <x:c r="G267" s="128" t="str">
        <x:v>calculus of variations</x:v>
      </x:c>
      <x:c r="H267" s="129" t="str">
        <x:v>-</x:v>
      </x:c>
      <x:c r="I267" s="130" t="n">
        <x:v>87.15</x:v>
      </x:c>
      <x:c r="J267" s="130" t="n">
        <x:v>86.65</x:v>
      </x:c>
      <x:c r="K267" s="130" t="n">
        <x:v>87.65</x:v>
      </x:c>
      <x:c r="L267" s="130" t="n">
        <x:v>87</x:v>
      </x:c>
      <x:c r="M267" s="130" t="n">
        <x:v>87</x:v>
      </x:c>
      <x:c r="N267" s="130" t="n">
        <x:v>88</x:v>
      </x:c>
      <x:c r="O267" s="130" t="n">
        <x:v>85</x:v>
      </x:c>
      <x:c r="P267" s="130" t="n">
        <x:v>88</x:v>
      </x:c>
      <x:c r="Q267" s="130" t="n">
        <x:v>84</x:v>
      </x:c>
      <x:c r="R267" s="130" t="n">
        <x:v>9</x:v>
      </x:c>
      <x:c r="S267" s="128" t="str">
        <x:v>https://arxiv.org/abs/2608.06367</x:v>
      </x:c>
      <x:c r="T267" s="128" t="str">
        <x:v>Variational quasiconvexity result with good author signal.</x:v>
      </x:c>
    </x:row>
    <x:row r="268" ht="28" customHeight="1">
      <x:c r="A268" s="129" t="n">
        <x:v>267</x:v>
      </x:c>
      <x:c r="B268" s="129" t="str">
        <x:v>2026-05</x:v>
      </x:c>
      <x:c r="C268" s="129" t="n">
        <x:v>59</x:v>
      </x:c>
      <x:c r="D268" s="129" t="str">
        <x:v>2605.02612</x:v>
      </x:c>
      <x:c r="E268" s="128" t="str">
        <x:v>A stiff limit of non-homogeneous conservation laws for crowd motion modeling</x:v>
      </x:c>
      <x:c r="F268" s="128" t="str">
        <x:v>Nicolas Masson; Benoit Perthame; Filippo Santambrogio</x:v>
      </x:c>
      <x:c r="G268" s="128" t="str">
        <x:v>Conservation laws / crowd models</x:v>
      </x:c>
      <x:c r="H268" s="129" t="n">
        <x:v>32</x:v>
      </x:c>
      <x:c r="I268" s="130" t="n">
        <x:v>87.12</x:v>
      </x:c>
      <x:c r="J268" s="130" t="n">
        <x:v>87.17</x:v>
      </x:c>
      <x:c r="K268" s="130" t="n">
        <x:v>87.07</x:v>
      </x:c>
      <x:c r="L268" s="130" t="n">
        <x:v>88</x:v>
      </x:c>
      <x:c r="M268" s="130" t="n">
        <x:v>87</x:v>
      </x:c>
      <x:c r="N268" s="130" t="n">
        <x:v>88.1</x:v>
      </x:c>
      <x:c r="O268" s="130" t="n">
        <x:v>85</x:v>
      </x:c>
      <x:c r="P268" s="130" t="n">
        <x:v>88</x:v>
      </x:c>
      <x:c r="Q268" s="130" t="n">
        <x:v>86</x:v>
      </x:c>
      <x:c r="R268" s="130" t="n">
        <x:v>15</x:v>
      </x:c>
      <x:c r="S268" s="128" t="str">
        <x:v>https://arxiv.org/abs/2605.02612</x:v>
      </x:c>
      <x:c r="T268" s="128" t="str">
        <x:v>三轮复核后与原表基本一致</x:v>
      </x:c>
    </x:row>
    <x:row r="269" ht="28" customHeight="1">
      <x:c r="A269" s="129" t="n">
        <x:v>268</x:v>
      </x:c>
      <x:c r="B269" s="129" t="str">
        <x:v>2026-05</x:v>
      </x:c>
      <x:c r="C269" s="129" t="n">
        <x:v>59</x:v>
      </x:c>
      <x:c r="D269" s="129" t="str">
        <x:v>2605.17121</x:v>
      </x:c>
      <x:c r="E269" s="128" t="str">
        <x:v>Global Regular Solutions of the Compressible Navier-Stokes Equations with Nonlinear Density-Dependent Viscosities and Large Initial Data of Spherical Symmetry</x:v>
      </x:c>
      <x:c r="F269" s="128" t="str">
        <x:v>Gui-Qiang G. Chen; Jiawen Zhang; Shengguo Zhu</x:v>
      </x:c>
      <x:c r="G269" s="128" t="str">
        <x:v>Compressible Navier-Stokes</x:v>
      </x:c>
      <x:c r="H269" s="129" t="n">
        <x:v>99</x:v>
      </x:c>
      <x:c r="I269" s="130" t="n">
        <x:v>87.1</x:v>
      </x:c>
      <x:c r="J269" s="130" t="n">
        <x:v>87.07</x:v>
      </x:c>
      <x:c r="K269" s="130" t="n">
        <x:v>87.12</x:v>
      </x:c>
      <x:c r="L269" s="130" t="n">
        <x:v>88</x:v>
      </x:c>
      <x:c r="M269" s="130" t="n">
        <x:v>87</x:v>
      </x:c>
      <x:c r="N269" s="130" t="n">
        <x:v>89.1</x:v>
      </x:c>
      <x:c r="O269" s="130" t="n">
        <x:v>84</x:v>
      </x:c>
      <x:c r="P269" s="130" t="n">
        <x:v>89</x:v>
      </x:c>
      <x:c r="Q269" s="130" t="n">
        <x:v>84</x:v>
      </x:c>
      <x:c r="R269" s="130" t="n">
        <x:v>16</x:v>
      </x:c>
      <x:c r="S269" s="128" t="str">
        <x:v>https://arxiv.org/abs/2605.17121</x:v>
      </x:c>
      <x:c r="T269" s="128" t="str">
        <x:v>三轮复核后与原表基本一致</x:v>
      </x:c>
    </x:row>
    <x:row r="270" ht="28" customHeight="1">
      <x:c r="A270" s="129" t="n">
        <x:v>269</x:v>
      </x:c>
      <x:c r="B270" s="129" t="str">
        <x:v>2026-05</x:v>
      </x:c>
      <x:c r="C270" s="129" t="n">
        <x:v>59</x:v>
      </x:c>
      <x:c r="D270" s="129" t="str">
        <x:v>2605.07350</x:v>
      </x:c>
      <x:c r="E270" s="128" t="str">
        <x:v>Global Existence of Classical Solutions to Brenner-Navier-Stokes-Fourier System for Large Data</x:v>
      </x:c>
      <x:c r="F270" s="128" t="str">
        <x:v>Saehoon Eo; Namhyun Eun; Moon-Jin Kang</x:v>
      </x:c>
      <x:c r="G270" s="128" t="str">
        <x:v>Fluid systems</x:v>
      </x:c>
      <x:c r="H270" s="129"/>
      <x:c r="I270" s="130" t="n">
        <x:v>87.1</x:v>
      </x:c>
      <x:c r="J270" s="130" t="n">
        <x:v>87.07</x:v>
      </x:c>
      <x:c r="K270" s="130" t="n">
        <x:v>87.12</x:v>
      </x:c>
      <x:c r="L270" s="130" t="n">
        <x:v>88</x:v>
      </x:c>
      <x:c r="M270" s="130" t="n">
        <x:v>87</x:v>
      </x:c>
      <x:c r="N270" s="130" t="n">
        <x:v>89.1</x:v>
      </x:c>
      <x:c r="O270" s="130" t="n">
        <x:v>84</x:v>
      </x:c>
      <x:c r="P270" s="130" t="n">
        <x:v>89</x:v>
      </x:c>
      <x:c r="Q270" s="130" t="n">
        <x:v>84</x:v>
      </x:c>
      <x:c r="R270" s="130" t="n">
        <x:v>16</x:v>
      </x:c>
      <x:c r="S270" s="128" t="str">
        <x:v>https://arxiv.org/abs/2605.07350</x:v>
      </x:c>
      <x:c r="T270" s="128" t="str">
        <x:v>三轮复核后与原表基本一致</x:v>
      </x:c>
    </x:row>
    <x:row r="271" ht="28" customHeight="1">
      <x:c r="A271" s="129" t="n">
        <x:v>270</x:v>
      </x:c>
      <x:c r="B271" s="129" t="str">
        <x:v>2026-05</x:v>
      </x:c>
      <x:c r="C271" s="129" t="n">
        <x:v>55</x:v>
      </x:c>
      <x:c r="D271" s="129" t="str">
        <x:v>2605.23731</x:v>
      </x:c>
      <x:c r="E271" s="128" t="str">
        <x:v>Global estimates on the Brenier map</x:v>
      </x:c>
      <x:c r="F271" s="128" t="str">
        <x:v>Andrea Bidoia</x:v>
      </x:c>
      <x:c r="G271" s="128" t="str">
        <x:v>Optimal transport regularity</x:v>
      </x:c>
      <x:c r="H271" s="129"/>
      <x:c r="I271" s="130" t="n">
        <x:v>87.1</x:v>
      </x:c>
      <x:c r="J271" s="130" t="n">
        <x:v>86.95</x:v>
      </x:c>
      <x:c r="K271" s="130" t="n">
        <x:v>87.25</x:v>
      </x:c>
      <x:c r="L271" s="130" t="n">
        <x:v>87</x:v>
      </x:c>
      <x:c r="M271" s="130" t="n">
        <x:v>88</x:v>
      </x:c>
      <x:c r="N271" s="130" t="n">
        <x:v>88</x:v>
      </x:c>
      <x:c r="O271" s="130" t="n">
        <x:v>85</x:v>
      </x:c>
      <x:c r="P271" s="130" t="n">
        <x:v>88</x:v>
      </x:c>
      <x:c r="Q271" s="130" t="n">
        <x:v>85</x:v>
      </x:c>
      <x:c r="R271" s="130" t="n">
        <x:v>14</x:v>
      </x:c>
      <x:c r="S271" s="128" t="str">
        <x:v>https://arxiv.org/abs/2605.23731</x:v>
      </x:c>
      <x:c r="T271" s="128" t="str">
        <x:v>三轮复核后与原表基本一致</x:v>
      </x:c>
    </x:row>
    <x:row r="272" ht="28" customHeight="1">
      <x:c r="A272" s="129" t="n">
        <x:v>271</x:v>
      </x:c>
      <x:c r="B272" s="129" t="str">
        <x:v>2026-05</x:v>
      </x:c>
      <x:c r="C272" s="129" t="n">
        <x:v>55</x:v>
      </x:c>
      <x:c r="D272" s="129" t="str">
        <x:v>2605.23229</x:v>
      </x:c>
      <x:c r="E272" s="128" t="str">
        <x:v>Strichartz estimates for Schrodinger equations with nonlinear boundary interactions</x:v>
      </x:c>
      <x:c r="F272" s="128" t="str">
        <x:v>Nicola Garofalo; Gigliola Staffilani</x:v>
      </x:c>
      <x:c r="G272" s="128" t="str">
        <x:v>Dispersive PDE / boundary</x:v>
      </x:c>
      <x:c r="H272" s="129"/>
      <x:c r="I272" s="130" t="n">
        <x:v>87.1</x:v>
      </x:c>
      <x:c r="J272" s="130" t="n">
        <x:v>86.95</x:v>
      </x:c>
      <x:c r="K272" s="130" t="n">
        <x:v>87.25</x:v>
      </x:c>
      <x:c r="L272" s="130" t="n">
        <x:v>87</x:v>
      </x:c>
      <x:c r="M272" s="130" t="n">
        <x:v>88</x:v>
      </x:c>
      <x:c r="N272" s="130" t="n">
        <x:v>88</x:v>
      </x:c>
      <x:c r="O272" s="130" t="n">
        <x:v>85</x:v>
      </x:c>
      <x:c r="P272" s="130" t="n">
        <x:v>88</x:v>
      </x:c>
      <x:c r="Q272" s="130" t="n">
        <x:v>85</x:v>
      </x:c>
      <x:c r="R272" s="130" t="n">
        <x:v>14</x:v>
      </x:c>
      <x:c r="S272" s="128" t="str">
        <x:v>https://arxiv.org/abs/2605.23229</x:v>
      </x:c>
      <x:c r="T272" s="128" t="str">
        <x:v>三轮复核后与原表基本一致</x:v>
      </x:c>
    </x:row>
    <x:row r="273" ht="28" customHeight="1">
      <x:c r="A273" s="129" t="n">
        <x:v>272</x:v>
      </x:c>
      <x:c r="B273" s="129" t="str">
        <x:v>2026-05</x:v>
      </x:c>
      <x:c r="C273" s="129" t="n">
        <x:v>55</x:v>
      </x:c>
      <x:c r="D273" s="129" t="str">
        <x:v>2605.17233</x:v>
      </x:c>
      <x:c r="E273" s="128" t="str">
        <x:v>Geometric uncertainty principles for Schrodinger evolutions on negatively curved manifolds</x:v>
      </x:c>
      <x:c r="F273" s="128" t="str">
        <x:v>Changxing Miao; Yilin Song; Ruihan Zhou</x:v>
      </x:c>
      <x:c r="G273" s="128" t="str">
        <x:v>Dispersive PDE on manifolds</x:v>
      </x:c>
      <x:c r="H273" s="129"/>
      <x:c r="I273" s="130" t="n">
        <x:v>87.1</x:v>
      </x:c>
      <x:c r="J273" s="130" t="n">
        <x:v>86.95</x:v>
      </x:c>
      <x:c r="K273" s="130" t="n">
        <x:v>87.25</x:v>
      </x:c>
      <x:c r="L273" s="130" t="n">
        <x:v>87</x:v>
      </x:c>
      <x:c r="M273" s="130" t="n">
        <x:v>88</x:v>
      </x:c>
      <x:c r="N273" s="130" t="n">
        <x:v>88</x:v>
      </x:c>
      <x:c r="O273" s="130" t="n">
        <x:v>85</x:v>
      </x:c>
      <x:c r="P273" s="130" t="n">
        <x:v>88</x:v>
      </x:c>
      <x:c r="Q273" s="130" t="n">
        <x:v>85</x:v>
      </x:c>
      <x:c r="R273" s="130" t="n">
        <x:v>14</x:v>
      </x:c>
      <x:c r="S273" s="128" t="str">
        <x:v>https://arxiv.org/abs/2605.17233</x:v>
      </x:c>
      <x:c r="T273" s="128" t="str">
        <x:v>三轮复核后与原表基本一致</x:v>
      </x:c>
    </x:row>
    <x:row r="274" ht="28" customHeight="1">
      <x:c r="A274" s="129" t="n">
        <x:v>273</x:v>
      </x:c>
      <x:c r="B274" s="129" t="str">
        <x:v>2026-07</x:v>
      </x:c>
      <x:c r="C274" s="129" t="n">
        <x:v>117</x:v>
      </x:c>
      <x:c r="D274" s="129" t="str">
        <x:v>2607.12897</x:v>
      </x:c>
      <x:c r="E274" s="128" t="str">
        <x:v>Analysis of a multispecies cross-diffusion Keller-Segel system with volume filling</x:v>
      </x:c>
      <x:c r="F274" s="128" t="str">
        <x:v>Noah Geltner; Ansgar Jüngel; Mingyue Zhang</x:v>
      </x:c>
      <x:c r="G274" s="128" t="str">
        <x:v>cross-diffusion</x:v>
      </x:c>
      <x:c r="H274" s="129" t="str">
        <x:v>-</x:v>
      </x:c>
      <x:c r="I274" s="130" t="n">
        <x:v>87.1</x:v>
      </x:c>
      <x:c r="J274" s="130" t="n">
        <x:v>86.7</x:v>
      </x:c>
      <x:c r="K274" s="130" t="n">
        <x:v>87.5</x:v>
      </x:c>
      <x:c r="L274" s="130" t="n">
        <x:v>87</x:v>
      </x:c>
      <x:c r="M274" s="130" t="n">
        <x:v>86</x:v>
      </x:c>
      <x:c r="N274" s="130" t="n">
        <x:v>89</x:v>
      </x:c>
      <x:c r="O274" s="130" t="n">
        <x:v>85</x:v>
      </x:c>
      <x:c r="P274" s="130" t="n">
        <x:v>89</x:v>
      </x:c>
      <x:c r="Q274" s="130" t="n">
        <x:v>84</x:v>
      </x:c>
      <x:c r="R274" s="130" t="n">
        <x:v>12</x:v>
      </x:c>
      <x:c r="S274" s="128" t="str">
        <x:v>https://arxiv.org/abs/2607.12897</x:v>
      </x:c>
      <x:c r="T274" s="128" t="str">
        <x:v>Additional exact July entry retained to complete 30% scoring pool.</x:v>
      </x:c>
    </x:row>
    <x:row r="275" ht="28" customHeight="1">
      <x:c r="A275" s="129" t="n">
        <x:v>274</x:v>
      </x:c>
      <x:c r="B275" s="129" t="str">
        <x:v>2026-07</x:v>
      </x:c>
      <x:c r="C275" s="129" t="n">
        <x:v>118</x:v>
      </x:c>
      <x:c r="D275" s="129" t="str">
        <x:v>2607.17844</x:v>
      </x:c>
      <x:c r="E275" s="128" t="str">
        <x:v>Rigidity for capillary liquid drops of nearly circular section with constant vorticity</x:v>
      </x:c>
      <x:c r="F275" s="128" t="str">
        <x:v>Pietro Baldi; Domenico Angelo La Manna; Giuseppe La Scala</x:v>
      </x:c>
      <x:c r="G275" s="128" t="str">
        <x:v>capillary fluids</x:v>
      </x:c>
      <x:c r="H275" s="129" t="str">
        <x:v>-</x:v>
      </x:c>
      <x:c r="I275" s="130" t="n">
        <x:v>87.08</x:v>
      </x:c>
      <x:c r="J275" s="130" t="n">
        <x:v>86.65</x:v>
      </x:c>
      <x:c r="K275" s="130" t="n">
        <x:v>87.5</x:v>
      </x:c>
      <x:c r="L275" s="130" t="n">
        <x:v>87</x:v>
      </x:c>
      <x:c r="M275" s="130" t="n">
        <x:v>87</x:v>
      </x:c>
      <x:c r="N275" s="130" t="n">
        <x:v>88</x:v>
      </x:c>
      <x:c r="O275" s="130" t="n">
        <x:v>85</x:v>
      </x:c>
      <x:c r="P275" s="130" t="n">
        <x:v>88</x:v>
      </x:c>
      <x:c r="Q275" s="130" t="n">
        <x:v>84</x:v>
      </x:c>
      <x:c r="R275" s="130" t="n">
        <x:v>10</x:v>
      </x:c>
      <x:c r="S275" s="128" t="str">
        <x:v>https://arxiv.org/abs/2607.17844</x:v>
      </x:c>
      <x:c r="T275" s="128" t="str">
        <x:v>Later July exact high-value candidate included in 30% competitive pool.</x:v>
      </x:c>
    </x:row>
    <x:row r="276" ht="28" customHeight="1">
      <x:c r="A276" s="129" t="n">
        <x:v>275</x:v>
      </x:c>
      <x:c r="B276" s="129" t="str">
        <x:v>2026-08</x:v>
      </x:c>
      <x:c r="C276" s="129" t="n">
        <x:v>46</x:v>
      </x:c>
      <x:c r="D276" s="129" t="str">
        <x:v>2608.02212</x:v>
      </x:c>
      <x:c r="E276" s="128" t="str">
        <x:v>The narrow escape problem in arbitrary dimension</x:v>
      </x:c>
      <x:c r="F276" s="128" t="str">
        <x:v>Louis Carillo; Tony Lelièvre; Thomas Normand; Gabriel Stoltz; Urbain Vaes</x:v>
      </x:c>
      <x:c r="G276" s="128" t="str">
        <x:v>asymptotic PDE/probability</x:v>
      </x:c>
      <x:c r="H276" s="129" t="str">
        <x:v>-</x:v>
      </x:c>
      <x:c r="I276" s="130" t="n">
        <x:v>87.08</x:v>
      </x:c>
      <x:c r="J276" s="130" t="n">
        <x:v>86.65</x:v>
      </x:c>
      <x:c r="K276" s="130" t="n">
        <x:v>87.5</x:v>
      </x:c>
      <x:c r="L276" s="130" t="n">
        <x:v>87</x:v>
      </x:c>
      <x:c r="M276" s="130" t="n">
        <x:v>87</x:v>
      </x:c>
      <x:c r="N276" s="130" t="n">
        <x:v>88</x:v>
      </x:c>
      <x:c r="O276" s="130" t="n">
        <x:v>85</x:v>
      </x:c>
      <x:c r="P276" s="130" t="n">
        <x:v>88</x:v>
      </x:c>
      <x:c r="Q276" s="130" t="n">
        <x:v>84</x:v>
      </x:c>
      <x:c r="R276" s="130" t="n">
        <x:v>10</x:v>
      </x:c>
      <x:c r="S276" s="128" t="str">
        <x:v>https://arxiv.org/abs/2608.02212</x:v>
      </x:c>
      <x:c r="T276" s="128" t="str">
        <x:v>Arbitrary-dimensional narrow escape asymptotics.</x:v>
      </x:c>
    </x:row>
    <x:row r="277" ht="28" customHeight="1">
      <x:c r="A277" s="129" t="n">
        <x:v>276</x:v>
      </x:c>
      <x:c r="B277" s="129" t="str">
        <x:v>2026-05</x:v>
      </x:c>
      <x:c r="C277" s="129" t="n">
        <x:v>59</x:v>
      </x:c>
      <x:c r="D277" s="129" t="str">
        <x:v>2605.03668</x:v>
      </x:c>
      <x:c r="E277" s="128" t="str">
        <x:v>Quantitative stability for the Trudinger-Moser inequality</x:v>
      </x:c>
      <x:c r="F277" s="128" t="str">
        <x:v>Joao H. Andrade; J. F. de Oliveira; J. M. do O; A. C. Macedo; Jesse Ratzkin</x:v>
      </x:c>
      <x:c r="G277" s="128" t="str">
        <x:v>Functional inequalities</x:v>
      </x:c>
      <x:c r="H277" s="129" t="n">
        <x:v>27</x:v>
      </x:c>
      <x:c r="I277" s="130" t="n">
        <x:v>87.06</x:v>
      </x:c>
      <x:c r="J277" s="130" t="n">
        <x:v>87.02</x:v>
      </x:c>
      <x:c r="K277" s="130" t="n">
        <x:v>87.1</x:v>
      </x:c>
      <x:c r="L277" s="130" t="n">
        <x:v>88</x:v>
      </x:c>
      <x:c r="M277" s="130" t="n">
        <x:v>87.1</x:v>
      </x:c>
      <x:c r="N277" s="130" t="n">
        <x:v>88</x:v>
      </x:c>
      <x:c r="O277" s="130" t="n">
        <x:v>84</x:v>
      </x:c>
      <x:c r="P277" s="130" t="n">
        <x:v>88.1</x:v>
      </x:c>
      <x:c r="Q277" s="130" t="n">
        <x:v>86</x:v>
      </x:c>
      <x:c r="R277" s="130" t="n">
        <x:v>15</x:v>
      </x:c>
      <x:c r="S277" s="128" t="str">
        <x:v>https://arxiv.org/abs/2605.03668</x:v>
      </x:c>
      <x:c r="T277" s="128" t="str">
        <x:v>范围偏专门，广度轻微回调</x:v>
      </x:c>
    </x:row>
    <x:row r="278" ht="28" customHeight="1">
      <x:c r="A278" s="129" t="n">
        <x:v>277</x:v>
      </x:c>
      <x:c r="B278" s="129" t="str">
        <x:v>2026-05</x:v>
      </x:c>
      <x:c r="C278" s="129" t="n">
        <x:v>59</x:v>
      </x:c>
      <x:c r="D278" s="129" t="str">
        <x:v>2605.05490</x:v>
      </x:c>
      <x:c r="E278" s="128" t="str">
        <x:v>Holder continuity for non-coercive Hamilton-Jacobi equations associated to linear control systems</x:v>
      </x:c>
      <x:c r="F278" s="128" t="str">
        <x:v>Megan Griffin-Pickering; Alpar R. Meszaros</x:v>
      </x:c>
      <x:c r="G278" s="128" t="str">
        <x:v>Hamilton-Jacobi equations</x:v>
      </x:c>
      <x:c r="H278" s="129" t="n">
        <x:v>40</x:v>
      </x:c>
      <x:c r="I278" s="130" t="n">
        <x:v>87.03</x:v>
      </x:c>
      <x:c r="J278" s="130" t="n">
        <x:v>87</x:v>
      </x:c>
      <x:c r="K278" s="130" t="n">
        <x:v>87.05</x:v>
      </x:c>
      <x:c r="L278" s="130" t="n">
        <x:v>88</x:v>
      </x:c>
      <x:c r="M278" s="130" t="n">
        <x:v>87</x:v>
      </x:c>
      <x:c r="N278" s="130" t="n">
        <x:v>88</x:v>
      </x:c>
      <x:c r="O278" s="130" t="n">
        <x:v>84</x:v>
      </x:c>
      <x:c r="P278" s="130" t="n">
        <x:v>88</x:v>
      </x:c>
      <x:c r="Q278" s="130" t="n">
        <x:v>86</x:v>
      </x:c>
      <x:c r="R278" s="130" t="n">
        <x:v>15</x:v>
      </x:c>
      <x:c r="S278" s="128" t="str">
        <x:v>https://arxiv.org/abs/2605.05490</x:v>
      </x:c>
      <x:c r="T278" s="128" t="str">
        <x:v>三轮复核后与原表基本一致</x:v>
      </x:c>
    </x:row>
    <x:row r="279" ht="28" customHeight="1">
      <x:c r="A279" s="129" t="n">
        <x:v>278</x:v>
      </x:c>
      <x:c r="B279" s="129" t="str">
        <x:v>2026-05</x:v>
      </x:c>
      <x:c r="C279" s="129" t="n">
        <x:v>59</x:v>
      </x:c>
      <x:c r="D279" s="129" t="str">
        <x:v>2605.12914</x:v>
      </x:c>
      <x:c r="E279" s="128" t="str">
        <x:v>Half-space problem on the Boltzmann equation with zero Mach number at infinity</x:v>
      </x:c>
      <x:c r="F279" s="128" t="str">
        <x:v>Hongxu Chen; Jun-ling Chen; Renjun Duan</x:v>
      </x:c>
      <x:c r="G279" s="128" t="str">
        <x:v>Boltzmann boundary layer</x:v>
      </x:c>
      <x:c r="H279" s="129" t="n">
        <x:v>42</x:v>
      </x:c>
      <x:c r="I279" s="130" t="n">
        <x:v>87.03</x:v>
      </x:c>
      <x:c r="J279" s="130" t="n">
        <x:v>86.78</x:v>
      </x:c>
      <x:c r="K279" s="130" t="n">
        <x:v>87.27</x:v>
      </x:c>
      <x:c r="L279" s="130" t="n">
        <x:v>87</x:v>
      </x:c>
      <x:c r="M279" s="130" t="n">
        <x:v>87</x:v>
      </x:c>
      <x:c r="N279" s="130" t="n">
        <x:v>89.1</x:v>
      </x:c>
      <x:c r="O279" s="130" t="n">
        <x:v>84</x:v>
      </x:c>
      <x:c r="P279" s="130" t="n">
        <x:v>89</x:v>
      </x:c>
      <x:c r="Q279" s="130" t="n">
        <x:v>84</x:v>
      </x:c>
      <x:c r="R279" s="130" t="n">
        <x:v>15</x:v>
      </x:c>
      <x:c r="S279" s="128" t="str">
        <x:v>https://arxiv.org/abs/2605.12914</x:v>
      </x:c>
      <x:c r="T279" s="128" t="str">
        <x:v>三轮复核后与原表基本一致</x:v>
      </x:c>
    </x:row>
    <x:row r="280" ht="28" customHeight="1">
      <x:c r="A280" s="129" t="n">
        <x:v>279</x:v>
      </x:c>
      <x:c r="B280" s="129" t="str">
        <x:v>2026-05</x:v>
      </x:c>
      <x:c r="C280" s="129" t="n">
        <x:v>65</x:v>
      </x:c>
      <x:c r="D280" s="129" t="str">
        <x:v>2605.06589</x:v>
      </x:c>
      <x:c r="E280" s="128" t="str">
        <x:v>Master equations with an individual noise on finite state graphs</x:v>
      </x:c>
      <x:c r="F280" s="128" t="str">
        <x:v>Wilfrid Gangbo; Sebastian Munoz; Jeremy Wu; Zhaoyu Zhang</x:v>
      </x:c>
      <x:c r="G280" s="128" t="str">
        <x:v>Mean field games</x:v>
      </x:c>
      <x:c r="H280" s="129"/>
      <x:c r="I280" s="130" t="n">
        <x:v>87</x:v>
      </x:c>
      <x:c r="J280" s="130" t="n">
        <x:v>87.07</x:v>
      </x:c>
      <x:c r="K280" s="130" t="n">
        <x:v>86.92</x:v>
      </x:c>
      <x:c r="L280" s="130" t="n">
        <x:v>88</x:v>
      </x:c>
      <x:c r="M280" s="130" t="n">
        <x:v>87</x:v>
      </x:c>
      <x:c r="N280" s="130" t="n">
        <x:v>88.1</x:v>
      </x:c>
      <x:c r="O280" s="130" t="n">
        <x:v>85</x:v>
      </x:c>
      <x:c r="P280" s="130" t="n">
        <x:v>88</x:v>
      </x:c>
      <x:c r="Q280" s="130" t="n">
        <x:v>85</x:v>
      </x:c>
      <x:c r="R280" s="130" t="n">
        <x:v>15</x:v>
      </x:c>
      <x:c r="S280" s="128" t="str">
        <x:v>https://arxiv.org/abs/2605.06589</x:v>
      </x:c>
      <x:c r="T280" s="128" t="str">
        <x:v>三轮复核后与原表基本一致</x:v>
      </x:c>
    </x:row>
    <x:row r="281" ht="28" customHeight="1">
      <x:c r="A281" s="129" t="n">
        <x:v>280</x:v>
      </x:c>
      <x:c r="B281" s="129" t="str">
        <x:v>2026-05</x:v>
      </x:c>
      <x:c r="C281" s="129" t="n">
        <x:v>65</x:v>
      </x:c>
      <x:c r="D281" s="129" t="str">
        <x:v>2605.29035</x:v>
      </x:c>
      <x:c r="E281" s="128" t="str">
        <x:v>The sharp log Sobolev inequality on finite cycles</x:v>
      </x:c>
      <x:c r="F281" s="128" t="str">
        <x:v>Rupert L. Frank; Paata Ivanisvili</x:v>
      </x:c>
      <x:c r="G281" s="128" t="str">
        <x:v>Functional inequalities</x:v>
      </x:c>
      <x:c r="H281" s="129" t="n">
        <x:v>16</x:v>
      </x:c>
      <x:c r="I281" s="130" t="n">
        <x:v>87</x:v>
      </x:c>
      <x:c r="J281" s="130" t="n">
        <x:v>86.79</x:v>
      </x:c>
      <x:c r="K281" s="130" t="n">
        <x:v>87.21</x:v>
      </x:c>
      <x:c r="L281" s="130" t="n">
        <x:v>87</x:v>
      </x:c>
      <x:c r="M281" s="130" t="n">
        <x:v>88.1</x:v>
      </x:c>
      <x:c r="N281" s="130" t="n">
        <x:v>87</x:v>
      </x:c>
      <x:c r="O281" s="130" t="n">
        <x:v>84.1</x:v>
      </x:c>
      <x:c r="P281" s="130" t="n">
        <x:v>87.1</x:v>
      </x:c>
      <x:c r="Q281" s="130" t="n">
        <x:v>87</x:v>
      </x:c>
      <x:c r="R281" s="130" t="n">
        <x:v>13.3</x:v>
      </x:c>
      <x:c r="S281" s="128" t="str">
        <x:v>https://arxiv.org/abs/2605.29035</x:v>
      </x:c>
      <x:c r="T281" s="128" t="str">
        <x:v>三轮复核后与原表基本一致</x:v>
      </x:c>
    </x:row>
    <x:row r="282" ht="28" customHeight="1">
      <x:c r="A282" s="129" t="n">
        <x:v>281</x:v>
      </x:c>
      <x:c r="B282" s="129" t="str">
        <x:v>2026-07</x:v>
      </x:c>
      <x:c r="C282" s="129" t="n">
        <x:v>119</x:v>
      </x:c>
      <x:c r="D282" s="129" t="str">
        <x:v>2607.12553</x:v>
      </x:c>
      <x:c r="E282" s="128" t="str">
        <x:v>Diophantine conditions in well-posedness theory for a coupled modulated Korteweg-de Vries system</x:v>
      </x:c>
      <x:c r="F282" s="128" t="str">
        <x:v>Thomas Arthur; Damiano Greco; Kotaro Tsugawa</x:v>
      </x:c>
      <x:c r="G282" s="128" t="str">
        <x:v>KdV well-posedness</x:v>
      </x:c>
      <x:c r="H282" s="129" t="str">
        <x:v>-</x:v>
      </x:c>
      <x:c r="I282" s="130" t="n">
        <x:v>86.98</x:v>
      </x:c>
      <x:c r="J282" s="130" t="n">
        <x:v>86.6</x:v>
      </x:c>
      <x:c r="K282" s="130" t="n">
        <x:v>87.35</x:v>
      </x:c>
      <x:c r="L282" s="130" t="n">
        <x:v>87</x:v>
      </x:c>
      <x:c r="M282" s="130" t="n">
        <x:v>86</x:v>
      </x:c>
      <x:c r="N282" s="130" t="n">
        <x:v>89</x:v>
      </x:c>
      <x:c r="O282" s="130" t="n">
        <x:v>85</x:v>
      </x:c>
      <x:c r="P282" s="130" t="n">
        <x:v>89</x:v>
      </x:c>
      <x:c r="Q282" s="130" t="n">
        <x:v>83</x:v>
      </x:c>
      <x:c r="R282" s="130" t="n">
        <x:v>12</x:v>
      </x:c>
      <x:c r="S282" s="128" t="str">
        <x:v>https://arxiv.org/abs/2607.12553</x:v>
      </x:c>
      <x:c r="T282" s="128" t="str">
        <x:v>Additional exact July entry retained to complete 30% scoring pool.</x:v>
      </x:c>
    </x:row>
    <x:row r="283" ht="28" customHeight="1">
      <x:c r="A283" s="129" t="n">
        <x:v>282</x:v>
      </x:c>
      <x:c r="B283" s="129" t="str">
        <x:v>2026-07</x:v>
      </x:c>
      <x:c r="C283" s="129" t="n">
        <x:v>120</x:v>
      </x:c>
      <x:c r="D283" s="129" t="str">
        <x:v>2607.24128</x:v>
      </x:c>
      <x:c r="E283" s="128" t="str">
        <x:v>Global Existence and Pathwise Uniqueness for stochastic parabolic-parabolic Keller-Segel</x:v>
      </x:c>
      <x:c r="F283" s="128" t="str">
        <x:v>Jinhuan Wang; Qian Li; Hui Huang</x:v>
      </x:c>
      <x:c r="G283" s="128" t="str">
        <x:v>stochastic Keller-Segel</x:v>
      </x:c>
      <x:c r="H283" s="129" t="str">
        <x:v>-</x:v>
      </x:c>
      <x:c r="I283" s="130" t="n">
        <x:v>86.98</x:v>
      </x:c>
      <x:c r="J283" s="130" t="n">
        <x:v>86.6</x:v>
      </x:c>
      <x:c r="K283" s="130" t="n">
        <x:v>87.35</x:v>
      </x:c>
      <x:c r="L283" s="130" t="n">
        <x:v>87</x:v>
      </x:c>
      <x:c r="M283" s="130" t="n">
        <x:v>86</x:v>
      </x:c>
      <x:c r="N283" s="130" t="n">
        <x:v>89</x:v>
      </x:c>
      <x:c r="O283" s="130" t="n">
        <x:v>85</x:v>
      </x:c>
      <x:c r="P283" s="130" t="n">
        <x:v>89</x:v>
      </x:c>
      <x:c r="Q283" s="130" t="n">
        <x:v>83</x:v>
      </x:c>
      <x:c r="R283" s="130" t="n">
        <x:v>12</x:v>
      </x:c>
      <x:c r="S283" s="128" t="str">
        <x:v>https://arxiv.org/abs/2607.24128</x:v>
      </x:c>
      <x:c r="T283" s="128" t="str">
        <x:v>Later July exact high-value candidate included in 30% competitive pool.</x:v>
      </x:c>
    </x:row>
    <x:row r="284" ht="28" customHeight="1">
      <x:c r="A284" s="129" t="n">
        <x:v>283</x:v>
      </x:c>
      <x:c r="B284" s="129" t="str">
        <x:v>2026-05</x:v>
      </x:c>
      <x:c r="C284" s="129" t="n">
        <x:v>67</x:v>
      </x:c>
      <x:c r="D284" s="129" t="str">
        <x:v>2605.24685</x:v>
      </x:c>
      <x:c r="E284" s="128" t="str">
        <x:v>Self-similarity and diffusive limits for linear kinetic equations: a Wild sum approach</x:v>
      </x:c>
      <x:c r="F284" s="128" t="str">
        <x:v>Jose A. Canizo; Stephane Mischler; Niccolo Tassi</x:v>
      </x:c>
      <x:c r="G284" s="128" t="str">
        <x:v>Kinetic equations</x:v>
      </x:c>
      <x:c r="H284" s="129" t="n">
        <x:v>55</x:v>
      </x:c>
      <x:c r="I284" s="130" t="n">
        <x:v>86.95</x:v>
      </x:c>
      <x:c r="J284" s="130" t="n">
        <x:v>86.8</x:v>
      </x:c>
      <x:c r="K284" s="130" t="n">
        <x:v>87.1</x:v>
      </x:c>
      <x:c r="L284" s="130" t="n">
        <x:v>87</x:v>
      </x:c>
      <x:c r="M284" s="130" t="n">
        <x:v>88</x:v>
      </x:c>
      <x:c r="N284" s="130" t="n">
        <x:v>88</x:v>
      </x:c>
      <x:c r="O284" s="130" t="n">
        <x:v>84</x:v>
      </x:c>
      <x:c r="P284" s="130" t="n">
        <x:v>88</x:v>
      </x:c>
      <x:c r="Q284" s="130" t="n">
        <x:v>85</x:v>
      </x:c>
      <x:c r="R284" s="130" t="n">
        <x:v>15</x:v>
      </x:c>
      <x:c r="S284" s="128" t="str">
        <x:v>https://arxiv.org/abs/2605.24685</x:v>
      </x:c>
      <x:c r="T284" s="128" t="str">
        <x:v>三轮复核后与原表基本一致</x:v>
      </x:c>
    </x:row>
    <x:row r="285" ht="28" customHeight="1">
      <x:c r="A285" s="129" t="n">
        <x:v>284</x:v>
      </x:c>
      <x:c r="B285" s="129" t="str">
        <x:v>2026-05</x:v>
      </x:c>
      <x:c r="C285" s="129" t="n">
        <x:v>67</x:v>
      </x:c>
      <x:c r="D285" s="129" t="str">
        <x:v>2605.19757</x:v>
      </x:c>
      <x:c r="E285" s="128" t="str">
        <x:v>On a Multiphase Vectorial Bernoulli Free Boundary Problem</x:v>
      </x:c>
      <x:c r="F285" s="128" t="str">
        <x:v>Giovanni Siclari; Bozhidar Velichkov</x:v>
      </x:c>
      <x:c r="G285" s="128" t="str">
        <x:v>Free boundary regularity</x:v>
      </x:c>
      <x:c r="H285" s="129"/>
      <x:c r="I285" s="130" t="n">
        <x:v>86.95</x:v>
      </x:c>
      <x:c r="J285" s="130" t="n">
        <x:v>86.8</x:v>
      </x:c>
      <x:c r="K285" s="130" t="n">
        <x:v>87.1</x:v>
      </x:c>
      <x:c r="L285" s="130" t="n">
        <x:v>87</x:v>
      </x:c>
      <x:c r="M285" s="130" t="n">
        <x:v>88</x:v>
      </x:c>
      <x:c r="N285" s="130" t="n">
        <x:v>88</x:v>
      </x:c>
      <x:c r="O285" s="130" t="n">
        <x:v>84</x:v>
      </x:c>
      <x:c r="P285" s="130" t="n">
        <x:v>88</x:v>
      </x:c>
      <x:c r="Q285" s="130" t="n">
        <x:v>85</x:v>
      </x:c>
      <x:c r="R285" s="130" t="n">
        <x:v>15</x:v>
      </x:c>
      <x:c r="S285" s="128" t="str">
        <x:v>https://arxiv.org/abs/2605.19757</x:v>
      </x:c>
      <x:c r="T285" s="128" t="str">
        <x:v>三轮复核后与原表基本一致</x:v>
      </x:c>
    </x:row>
    <x:row r="286" ht="28" customHeight="1">
      <x:c r="A286" s="129" t="n">
        <x:v>285</x:v>
      </x:c>
      <x:c r="B286" s="129" t="str">
        <x:v>2026-05</x:v>
      </x:c>
      <x:c r="C286" s="129" t="n">
        <x:v>67</x:v>
      </x:c>
      <x:c r="D286" s="129" t="str">
        <x:v>2605.12883</x:v>
      </x:c>
      <x:c r="E286" s="128" t="str">
        <x:v>Mixing and Small-Scale Formation in a Passive Divergence-Free Vector Field</x:v>
      </x:c>
      <x:c r="F286" s="128" t="str">
        <x:v>Anuj Kumar; Franziska Weber</x:v>
      </x:c>
      <x:c r="G286" s="128" t="str">
        <x:v>Mixing / transport</x:v>
      </x:c>
      <x:c r="H286" s="129"/>
      <x:c r="I286" s="130" t="n">
        <x:v>86.95</x:v>
      </x:c>
      <x:c r="J286" s="130" t="n">
        <x:v>86.8</x:v>
      </x:c>
      <x:c r="K286" s="130" t="n">
        <x:v>87.1</x:v>
      </x:c>
      <x:c r="L286" s="130" t="n">
        <x:v>87</x:v>
      </x:c>
      <x:c r="M286" s="130" t="n">
        <x:v>88</x:v>
      </x:c>
      <x:c r="N286" s="130" t="n">
        <x:v>88</x:v>
      </x:c>
      <x:c r="O286" s="130" t="n">
        <x:v>84</x:v>
      </x:c>
      <x:c r="P286" s="130" t="n">
        <x:v>88</x:v>
      </x:c>
      <x:c r="Q286" s="130" t="n">
        <x:v>85</x:v>
      </x:c>
      <x:c r="R286" s="130" t="n">
        <x:v>15</x:v>
      </x:c>
      <x:c r="S286" s="128" t="str">
        <x:v>https://arxiv.org/abs/2605.12883</x:v>
      </x:c>
      <x:c r="T286" s="128" t="str">
        <x:v>三轮复核后与原表基本一致</x:v>
      </x:c>
    </x:row>
    <x:row r="287" ht="28" customHeight="1">
      <x:c r="A287" s="129" t="n">
        <x:v>286</x:v>
      </x:c>
      <x:c r="B287" s="129" t="str">
        <x:v>2026-08</x:v>
      </x:c>
      <x:c r="C287" s="129" t="n">
        <x:v>47</x:v>
      </x:c>
      <x:c r="D287" s="129" t="str">
        <x:v>2608.06226</x:v>
      </x:c>
      <x:c r="E287" s="128" t="str">
        <x:v>The energy of fractional Allen-Cahn layers in dimension one</x:v>
      </x:c>
      <x:c r="F287" s="128" t="str">
        <x:v>Alvaro Carballeira; Damien Galant; Javier Gomez-Serrano</x:v>
      </x:c>
      <x:c r="G287" s="128" t="str">
        <x:v>fractional Allen-Cahn</x:v>
      </x:c>
      <x:c r="H287" s="129" t="n">
        <x:v>49</x:v>
      </x:c>
      <x:c r="I287" s="130" t="n">
        <x:v>86.95</x:v>
      </x:c>
      <x:c r="J287" s="130" t="n">
        <x:v>86.8</x:v>
      </x:c>
      <x:c r="K287" s="130" t="n">
        <x:v>87.1</x:v>
      </x:c>
      <x:c r="L287" s="130" t="n">
        <x:v>87</x:v>
      </x:c>
      <x:c r="M287" s="130" t="n">
        <x:v>87</x:v>
      </x:c>
      <x:c r="N287" s="130" t="n">
        <x:v>89</x:v>
      </x:c>
      <x:c r="O287" s="130" t="n">
        <x:v>85</x:v>
      </x:c>
      <x:c r="P287" s="130" t="n">
        <x:v>89</x:v>
      </x:c>
      <x:c r="Q287" s="130" t="n">
        <x:v>83</x:v>
      </x:c>
      <x:c r="R287" s="130" t="n">
        <x:v>15</x:v>
      </x:c>
      <x:c r="S287" s="128" t="str">
        <x:v>https://arxiv.org/abs/2608.06226</x:v>
      </x:c>
      <x:c r="T287" s="128" t="str">
        <x:v>Fractional Allen-Cahn layer energy; code-assisted elements noted in listing.</x:v>
      </x:c>
    </x:row>
    <x:row r="288" ht="28" customHeight="1">
      <x:c r="A288" s="129" t="n">
        <x:v>287</x:v>
      </x:c>
      <x:c r="B288" s="129" t="str">
        <x:v>2026-07</x:v>
      </x:c>
      <x:c r="C288" s="129" t="n">
        <x:v>121</x:v>
      </x:c>
      <x:c r="D288" s="129" t="str">
        <x:v>2607.05725</x:v>
      </x:c>
      <x:c r="E288" s="128" t="str">
        <x:v>Decay of solutions and bilinear control to trajectories of a 1D degenerate parabolic system</x:v>
      </x:c>
      <x:c r="F288" s="128" t="str">
        <x:v>Alfredo S. Gamboa; Andre Da Rocha Lopes; Luis P. Yapu</x:v>
      </x:c>
      <x:c r="G288" s="128" t="str">
        <x:v>control/parabolic PDE</x:v>
      </x:c>
      <x:c r="H288" s="129" t="str">
        <x:v>-</x:v>
      </x:c>
      <x:c r="I288" s="130" t="n">
        <x:v>86.95</x:v>
      </x:c>
      <x:c r="J288" s="130" t="n">
        <x:v>86.75</x:v>
      </x:c>
      <x:c r="K288" s="130" t="n">
        <x:v>87.15</x:v>
      </x:c>
      <x:c r="L288" s="130" t="n">
        <x:v>87</x:v>
      </x:c>
      <x:c r="M288" s="130" t="n">
        <x:v>86</x:v>
      </x:c>
      <x:c r="N288" s="130" t="n">
        <x:v>88</x:v>
      </x:c>
      <x:c r="O288" s="130" t="n">
        <x:v>85</x:v>
      </x:c>
      <x:c r="P288" s="130" t="n">
        <x:v>88</x:v>
      </x:c>
      <x:c r="Q288" s="130" t="n">
        <x:v>87</x:v>
      </x:c>
      <x:c r="R288" s="130" t="n">
        <x:v>14</x:v>
      </x:c>
      <x:c r="S288" s="128" t="str">
        <x:v>https://arxiv.org/abs/2607.05725</x:v>
      </x:c>
      <x:c r="T288" s="128" t="str">
        <x:v>Background row in the 30% scored pool; title/authors from official July list.</x:v>
      </x:c>
    </x:row>
    <x:row r="289" ht="28" customHeight="1">
      <x:c r="A289" s="129" t="n">
        <x:v>288</x:v>
      </x:c>
      <x:c r="B289" s="129" t="str">
        <x:v>2026-07</x:v>
      </x:c>
      <x:c r="C289" s="129" t="n">
        <x:v>122</x:v>
      </x:c>
      <x:c r="D289" s="129" t="str">
        <x:v>2607.07344</x:v>
      </x:c>
      <x:c r="E289" s="128" t="str">
        <x:v>Dyadic potential theory and de Rham functions</x:v>
      </x:c>
      <x:c r="F289" s="128" t="str">
        <x:v>Nicola Arcozzi</x:v>
      </x:c>
      <x:c r="G289" s="128" t="str">
        <x:v>potential theory</x:v>
      </x:c>
      <x:c r="H289" s="129" t="n">
        <x:v>27</x:v>
      </x:c>
      <x:c r="I289" s="130" t="n">
        <x:v>86.95</x:v>
      </x:c>
      <x:c r="J289" s="130" t="n">
        <x:v>86.75</x:v>
      </x:c>
      <x:c r="K289" s="130" t="n">
        <x:v>87.15</x:v>
      </x:c>
      <x:c r="L289" s="130" t="n">
        <x:v>87</x:v>
      </x:c>
      <x:c r="M289" s="130" t="n">
        <x:v>86</x:v>
      </x:c>
      <x:c r="N289" s="130" t="n">
        <x:v>88</x:v>
      </x:c>
      <x:c r="O289" s="130" t="n">
        <x:v>85</x:v>
      </x:c>
      <x:c r="P289" s="130" t="n">
        <x:v>88</x:v>
      </x:c>
      <x:c r="Q289" s="130" t="n">
        <x:v>87</x:v>
      </x:c>
      <x:c r="R289" s="130" t="n">
        <x:v>14</x:v>
      </x:c>
      <x:c r="S289" s="128" t="str">
        <x:v>https://arxiv.org/abs/2607.07344</x:v>
      </x:c>
      <x:c r="T289" s="128" t="str">
        <x:v>Background row in the 30% scored pool; title/authors from official July list.</x:v>
      </x:c>
    </x:row>
    <x:row r="290" ht="28" customHeight="1">
      <x:c r="A290" s="129" t="n">
        <x:v>289</x:v>
      </x:c>
      <x:c r="B290" s="129" t="str">
        <x:v>2026-07</x:v>
      </x:c>
      <x:c r="C290" s="129" t="n">
        <x:v>123</x:v>
      </x:c>
      <x:c r="D290" s="129" t="str">
        <x:v>2607.08061</x:v>
      </x:c>
      <x:c r="E290" s="128" t="str">
        <x:v>Uniform L-infinity-Boundedness of Global Attractors for Reaction-Diffusion Equations with Neumann boundary condition in Uniformly Perturbed Non-Smooth Domains</x:v>
      </x:c>
      <x:c r="F290" s="128" t="str">
        <x:v>Antonio L. Pereira</x:v>
      </x:c>
      <x:c r="G290" s="128" t="str">
        <x:v>reaction-diffusion</x:v>
      </x:c>
      <x:c r="H290" s="129" t="n">
        <x:v>27</x:v>
      </x:c>
      <x:c r="I290" s="130" t="n">
        <x:v>86.95</x:v>
      </x:c>
      <x:c r="J290" s="130" t="n">
        <x:v>86.75</x:v>
      </x:c>
      <x:c r="K290" s="130" t="n">
        <x:v>87.15</x:v>
      </x:c>
      <x:c r="L290" s="130" t="n">
        <x:v>87</x:v>
      </x:c>
      <x:c r="M290" s="130" t="n">
        <x:v>86</x:v>
      </x:c>
      <x:c r="N290" s="130" t="n">
        <x:v>88</x:v>
      </x:c>
      <x:c r="O290" s="130" t="n">
        <x:v>85</x:v>
      </x:c>
      <x:c r="P290" s="130" t="n">
        <x:v>88</x:v>
      </x:c>
      <x:c r="Q290" s="130" t="n">
        <x:v>87</x:v>
      </x:c>
      <x:c r="R290" s="130" t="n">
        <x:v>14</x:v>
      </x:c>
      <x:c r="S290" s="128" t="str">
        <x:v>https://arxiv.org/abs/2607.08061</x:v>
      </x:c>
      <x:c r="T290" s="128" t="str">
        <x:v>Background row in the 30% scored pool; title/authors from official July list.</x:v>
      </x:c>
    </x:row>
    <x:row r="291" ht="28" customHeight="1">
      <x:c r="A291" s="129" t="n">
        <x:v>290</x:v>
      </x:c>
      <x:c r="B291" s="129" t="str">
        <x:v>2026-07</x:v>
      </x:c>
      <x:c r="C291" s="129" t="n">
        <x:v>124</x:v>
      </x:c>
      <x:c r="D291" s="129" t="str">
        <x:v>2607.11383</x:v>
      </x:c>
      <x:c r="E291" s="128" t="str">
        <x:v>A transient depth-averaged lava flow model with a Herschel-Bulkley rheology accounting for three phases</x:v>
      </x:c>
      <x:c r="F291" s="128" t="str">
        <x:v>Julie Binard; Alain Burgisser; Enrique D. Fernandez-Nieto; Gladys Narbona-Reina</x:v>
      </x:c>
      <x:c r="G291" s="128" t="str">
        <x:v>fluid models</x:v>
      </x:c>
      <x:c r="H291" s="129" t="str">
        <x:v>-</x:v>
      </x:c>
      <x:c r="I291" s="130" t="n">
        <x:v>86.95</x:v>
      </x:c>
      <x:c r="J291" s="130" t="n">
        <x:v>86.75</x:v>
      </x:c>
      <x:c r="K291" s="130" t="n">
        <x:v>87.15</x:v>
      </x:c>
      <x:c r="L291" s="130" t="n">
        <x:v>87</x:v>
      </x:c>
      <x:c r="M291" s="130" t="n">
        <x:v>86</x:v>
      </x:c>
      <x:c r="N291" s="130" t="n">
        <x:v>88</x:v>
      </x:c>
      <x:c r="O291" s="130" t="n">
        <x:v>85</x:v>
      </x:c>
      <x:c r="P291" s="130" t="n">
        <x:v>88</x:v>
      </x:c>
      <x:c r="Q291" s="130" t="n">
        <x:v>87</x:v>
      </x:c>
      <x:c r="R291" s="130" t="n">
        <x:v>14</x:v>
      </x:c>
      <x:c r="S291" s="128" t="str">
        <x:v>https://arxiv.org/abs/2607.11383</x:v>
      </x:c>
      <x:c r="T291" s="128" t="str">
        <x:v>Background row in the 30% scored pool; title/authors from official July list.</x:v>
      </x:c>
    </x:row>
    <x:row r="292" ht="28" customHeight="1">
      <x:c r="A292" s="129" t="n">
        <x:v>291</x:v>
      </x:c>
      <x:c r="B292" s="129" t="str">
        <x:v>2026-05</x:v>
      </x:c>
      <x:c r="C292" s="129" t="n">
        <x:v>67</x:v>
      </x:c>
      <x:c r="D292" s="129" t="str">
        <x:v>2605.23698</x:v>
      </x:c>
      <x:c r="E292" s="128" t="str">
        <x:v>Norm inflation in negative order Sobolev spaces for KdV and KP</x:v>
      </x:c>
      <x:c r="F292" s="128" t="str">
        <x:v>Remi Carles</x:v>
      </x:c>
      <x:c r="G292" s="128" t="str">
        <x:v>Dispersive ill-posedness</x:v>
      </x:c>
      <x:c r="H292" s="129" t="n">
        <x:v>20</x:v>
      </x:c>
      <x:c r="I292" s="130" t="n">
        <x:v>86.93</x:v>
      </x:c>
      <x:c r="J292" s="130" t="n">
        <x:v>86.8</x:v>
      </x:c>
      <x:c r="K292" s="130" t="n">
        <x:v>87.06</x:v>
      </x:c>
      <x:c r="L292" s="130" t="n">
        <x:v>87</x:v>
      </x:c>
      <x:c r="M292" s="130" t="n">
        <x:v>88</x:v>
      </x:c>
      <x:c r="N292" s="130" t="n">
        <x:v>88</x:v>
      </x:c>
      <x:c r="O292" s="130" t="n">
        <x:v>84</x:v>
      </x:c>
      <x:c r="P292" s="130" t="n">
        <x:v>88</x:v>
      </x:c>
      <x:c r="Q292" s="130" t="n">
        <x:v>85</x:v>
      </x:c>
      <x:c r="R292" s="130" t="n">
        <x:v>15.3</x:v>
      </x:c>
      <x:c r="S292" s="128" t="str">
        <x:v>https://arxiv.org/abs/2605.23698</x:v>
      </x:c>
      <x:c r="T292" s="128" t="str">
        <x:v>三轮复核后与原表基本一致</x:v>
      </x:c>
    </x:row>
    <x:row r="293" ht="28" customHeight="1">
      <x:c r="A293" s="129" t="n">
        <x:v>292</x:v>
      </x:c>
      <x:c r="B293" s="129" t="str">
        <x:v>2026-07</x:v>
      </x:c>
      <x:c r="C293" s="129" t="n">
        <x:v>125</x:v>
      </x:c>
      <x:c r="D293" s="129" t="str">
        <x:v>2607.00450</x:v>
      </x:c>
      <x:c r="E293" s="128" t="str">
        <x:v>A rigidity result for the 3D capillary liquid drop with constant vorticity</x:v>
      </x:c>
      <x:c r="F293" s="128" t="str">
        <x:v>Pietro Baldi; Domenico Angelo La Manna; Giuseppe La Scala</x:v>
      </x:c>
      <x:c r="G293" s="128" t="str">
        <x:v>capillary fluids</x:v>
      </x:c>
      <x:c r="H293" s="129" t="str">
        <x:v>-</x:v>
      </x:c>
      <x:c r="I293" s="130" t="n">
        <x:v>86.9</x:v>
      </x:c>
      <x:c r="J293" s="130" t="n">
        <x:v>86.65</x:v>
      </x:c>
      <x:c r="K293" s="130" t="n">
        <x:v>87.15</x:v>
      </x:c>
      <x:c r="L293" s="130" t="n">
        <x:v>87</x:v>
      </x:c>
      <x:c r="M293" s="130" t="n">
        <x:v>86</x:v>
      </x:c>
      <x:c r="N293" s="130" t="n">
        <x:v>88</x:v>
      </x:c>
      <x:c r="O293" s="130" t="n">
        <x:v>85</x:v>
      </x:c>
      <x:c r="P293" s="130" t="n">
        <x:v>88</x:v>
      </x:c>
      <x:c r="Q293" s="130" t="n">
        <x:v>86</x:v>
      </x:c>
      <x:c r="R293" s="130" t="n">
        <x:v>13</x:v>
      </x:c>
      <x:c r="S293" s="128" t="str">
        <x:v>https://arxiv.org/abs/2607.00450</x:v>
      </x:c>
      <x:c r="T293" s="128" t="str">
        <x:v>Scored candidate from official July math.AP list; correctness not checked.</x:v>
      </x:c>
    </x:row>
    <x:row r="294" ht="28" customHeight="1">
      <x:c r="A294" s="129" t="n">
        <x:v>293</x:v>
      </x:c>
      <x:c r="B294" s="129" t="str">
        <x:v>2026-07</x:v>
      </x:c>
      <x:c r="C294" s="129" t="n">
        <x:v>126</x:v>
      </x:c>
      <x:c r="D294" s="129" t="str">
        <x:v>2607.01154</x:v>
      </x:c>
      <x:c r="E294" s="128" t="str">
        <x:v>Local Uniqueness and Non-degeneracy of Blow Up Solutions To A Chern-Simons System</x:v>
      </x:c>
      <x:c r="F294" s="128" t="str">
        <x:v>Zetao Cheng; Haoyu Li; Lei Zhang</x:v>
      </x:c>
      <x:c r="G294" s="128" t="str">
        <x:v>elliptic blow-up</x:v>
      </x:c>
      <x:c r="H294" s="129" t="n">
        <x:v>35</x:v>
      </x:c>
      <x:c r="I294" s="130" t="n">
        <x:v>86.9</x:v>
      </x:c>
      <x:c r="J294" s="130" t="n">
        <x:v>86.65</x:v>
      </x:c>
      <x:c r="K294" s="130" t="n">
        <x:v>87.15</x:v>
      </x:c>
      <x:c r="L294" s="130" t="n">
        <x:v>87</x:v>
      </x:c>
      <x:c r="M294" s="130" t="n">
        <x:v>86</x:v>
      </x:c>
      <x:c r="N294" s="130" t="n">
        <x:v>88</x:v>
      </x:c>
      <x:c r="O294" s="130" t="n">
        <x:v>85</x:v>
      </x:c>
      <x:c r="P294" s="130" t="n">
        <x:v>88</x:v>
      </x:c>
      <x:c r="Q294" s="130" t="n">
        <x:v>86</x:v>
      </x:c>
      <x:c r="R294" s="130" t="n">
        <x:v>13</x:v>
      </x:c>
      <x:c r="S294" s="128" t="str">
        <x:v>https://arxiv.org/abs/2607.01154</x:v>
      </x:c>
      <x:c r="T294" s="128" t="str">
        <x:v>Scored candidate from official July math.AP list; correctness not checked.</x:v>
      </x:c>
    </x:row>
    <x:row r="295" ht="28" customHeight="1">
      <x:c r="A295" s="129" t="n">
        <x:v>294</x:v>
      </x:c>
      <x:c r="B295" s="129" t="str">
        <x:v>2026-07</x:v>
      </x:c>
      <x:c r="C295" s="129" t="n">
        <x:v>127</x:v>
      </x:c>
      <x:c r="D295" s="129" t="str">
        <x:v>2607.02414</x:v>
      </x:c>
      <x:c r="E295" s="128" t="str">
        <x:v>Weak and strong solutions for a class of quasilinear Allen-Cahn systems</x:v>
      </x:c>
      <x:c r="F295" s="128" t="str">
        <x:v>Harald Garcke; Tim Laux; Andrea Poiatti</x:v>
      </x:c>
      <x:c r="G295" s="128" t="str">
        <x:v>Allen-Cahn systems</x:v>
      </x:c>
      <x:c r="H295" s="129" t="str">
        <x:v>-</x:v>
      </x:c>
      <x:c r="I295" s="130" t="n">
        <x:v>86.9</x:v>
      </x:c>
      <x:c r="J295" s="130" t="n">
        <x:v>86.65</x:v>
      </x:c>
      <x:c r="K295" s="130" t="n">
        <x:v>87.15</x:v>
      </x:c>
      <x:c r="L295" s="130" t="n">
        <x:v>87</x:v>
      </x:c>
      <x:c r="M295" s="130" t="n">
        <x:v>86</x:v>
      </x:c>
      <x:c r="N295" s="130" t="n">
        <x:v>88</x:v>
      </x:c>
      <x:c r="O295" s="130" t="n">
        <x:v>85</x:v>
      </x:c>
      <x:c r="P295" s="130" t="n">
        <x:v>88</x:v>
      </x:c>
      <x:c r="Q295" s="130" t="n">
        <x:v>86</x:v>
      </x:c>
      <x:c r="R295" s="130" t="n">
        <x:v>13</x:v>
      </x:c>
      <x:c r="S295" s="128" t="str">
        <x:v>https://arxiv.org/abs/2607.02414</x:v>
      </x:c>
      <x:c r="T295" s="128" t="str">
        <x:v>Scored candidate from official July math.AP list; correctness not checked.</x:v>
      </x:c>
    </x:row>
    <x:row r="296" ht="28" customHeight="1">
      <x:c r="A296" s="129" t="n">
        <x:v>295</x:v>
      </x:c>
      <x:c r="B296" s="129" t="str">
        <x:v>2026-07</x:v>
      </x:c>
      <x:c r="C296" s="129" t="n">
        <x:v>128</x:v>
      </x:c>
      <x:c r="D296" s="129" t="str">
        <x:v>2607.03141</x:v>
      </x:c>
      <x:c r="E296" s="128" t="str">
        <x:v>Homogenization of Dynamic Signorini-Type Problems on Critically Oscillating Boundaries under Time-Periodic Forcing</x:v>
      </x:c>
      <x:c r="F296" s="128" t="str">
        <x:v>J. I. Diaz; A. V. Podolskyi; T. A. Shaposhnikova</x:v>
      </x:c>
      <x:c r="G296" s="128" t="str">
        <x:v>homogenization</x:v>
      </x:c>
      <x:c r="H296" s="129" t="n">
        <x:v>24</x:v>
      </x:c>
      <x:c r="I296" s="130" t="n">
        <x:v>86.9</x:v>
      </x:c>
      <x:c r="J296" s="130" t="n">
        <x:v>86.65</x:v>
      </x:c>
      <x:c r="K296" s="130" t="n">
        <x:v>87.15</x:v>
      </x:c>
      <x:c r="L296" s="130" t="n">
        <x:v>88</x:v>
      </x:c>
      <x:c r="M296" s="130" t="n">
        <x:v>85</x:v>
      </x:c>
      <x:c r="N296" s="130" t="n">
        <x:v>89</x:v>
      </x:c>
      <x:c r="O296" s="130" t="n">
        <x:v>84</x:v>
      </x:c>
      <x:c r="P296" s="130" t="n">
        <x:v>89</x:v>
      </x:c>
      <x:c r="Q296" s="130" t="n">
        <x:v>84</x:v>
      </x:c>
      <x:c r="R296" s="130" t="n">
        <x:v>13</x:v>
      </x:c>
      <x:c r="S296" s="128" t="str">
        <x:v>https://arxiv.org/abs/2607.03141</x:v>
      </x:c>
      <x:c r="T296" s="128" t="str">
        <x:v>Scored candidate from official July math.AP list; correctness not checked.</x:v>
      </x:c>
    </x:row>
    <x:row r="297" ht="28" customHeight="1">
      <x:c r="A297" s="129" t="n">
        <x:v>296</x:v>
      </x:c>
      <x:c r="B297" s="129" t="str">
        <x:v>2026-07</x:v>
      </x:c>
      <x:c r="C297" s="129" t="n">
        <x:v>129</x:v>
      </x:c>
      <x:c r="D297" s="129" t="str">
        <x:v>2607.03379</x:v>
      </x:c>
      <x:c r="E297" s="128" t="str">
        <x:v>Weighted estimates for the stability operator of the helicoid on slowly varying domains</x:v>
      </x:c>
      <x:c r="F297" s="128" t="str">
        <x:v>Stephen J. Kleene</x:v>
      </x:c>
      <x:c r="G297" s="128" t="str">
        <x:v>minimal surfaces</x:v>
      </x:c>
      <x:c r="H297" s="129" t="n">
        <x:v>26</x:v>
      </x:c>
      <x:c r="I297" s="130" t="n">
        <x:v>86.9</x:v>
      </x:c>
      <x:c r="J297" s="130" t="n">
        <x:v>86.65</x:v>
      </x:c>
      <x:c r="K297" s="130" t="n">
        <x:v>87.15</x:v>
      </x:c>
      <x:c r="L297" s="130" t="n">
        <x:v>87</x:v>
      </x:c>
      <x:c r="M297" s="130" t="n">
        <x:v>86</x:v>
      </x:c>
      <x:c r="N297" s="130" t="n">
        <x:v>88</x:v>
      </x:c>
      <x:c r="O297" s="130" t="n">
        <x:v>85</x:v>
      </x:c>
      <x:c r="P297" s="130" t="n">
        <x:v>88</x:v>
      </x:c>
      <x:c r="Q297" s="130" t="n">
        <x:v>86</x:v>
      </x:c>
      <x:c r="R297" s="130" t="n">
        <x:v>13</x:v>
      </x:c>
      <x:c r="S297" s="128" t="str">
        <x:v>https://arxiv.org/abs/2607.03379</x:v>
      </x:c>
      <x:c r="T297" s="128" t="str">
        <x:v>Scored candidate from official July math.AP list; correctness not checked.</x:v>
      </x:c>
    </x:row>
    <x:row r="298" ht="28" customHeight="1">
      <x:c r="A298" s="129" t="n">
        <x:v>297</x:v>
      </x:c>
      <x:c r="B298" s="129" t="str">
        <x:v>2026-07</x:v>
      </x:c>
      <x:c r="C298" s="129" t="n">
        <x:v>130</x:v>
      </x:c>
      <x:c r="D298" s="129" t="str">
        <x:v>2607.05388</x:v>
      </x:c>
      <x:c r="E298" s="128" t="str">
        <x:v>Sharp ratios for low-index Neumann eigenvalues on convex domains</x:v>
      </x:c>
      <x:c r="F298" s="128" t="str">
        <x:v>Quanyu Tang; Haiqi Zhang</x:v>
      </x:c>
      <x:c r="G298" s="128" t="str">
        <x:v>spectral geometry</x:v>
      </x:c>
      <x:c r="H298" s="129" t="n">
        <x:v>15</x:v>
      </x:c>
      <x:c r="I298" s="130" t="n">
        <x:v>86.9</x:v>
      </x:c>
      <x:c r="J298" s="130" t="n">
        <x:v>86.65</x:v>
      </x:c>
      <x:c r="K298" s="130" t="n">
        <x:v>87.15</x:v>
      </x:c>
      <x:c r="L298" s="130" t="n">
        <x:v>88</x:v>
      </x:c>
      <x:c r="M298" s="130" t="n">
        <x:v>85</x:v>
      </x:c>
      <x:c r="N298" s="130" t="n">
        <x:v>89</x:v>
      </x:c>
      <x:c r="O298" s="130" t="n">
        <x:v>84</x:v>
      </x:c>
      <x:c r="P298" s="130" t="n">
        <x:v>89</x:v>
      </x:c>
      <x:c r="Q298" s="130" t="n">
        <x:v>84</x:v>
      </x:c>
      <x:c r="R298" s="130" t="n">
        <x:v>13</x:v>
      </x:c>
      <x:c r="S298" s="128" t="str">
        <x:v>https://arxiv.org/abs/2607.05388</x:v>
      </x:c>
      <x:c r="T298" s="128" t="str">
        <x:v>Scored candidate from official July math.AP list; correctness not checked.</x:v>
      </x:c>
    </x:row>
    <x:row r="299" ht="28" customHeight="1">
      <x:c r="A299" s="129" t="n">
        <x:v>298</x:v>
      </x:c>
      <x:c r="B299" s="129" t="str">
        <x:v>2026-07</x:v>
      </x:c>
      <x:c r="C299" s="129" t="n">
        <x:v>131</x:v>
      </x:c>
      <x:c r="D299" s="129" t="str">
        <x:v>2607.06064</x:v>
      </x:c>
      <x:c r="E299" s="128" t="str">
        <x:v>A Time-Domain Pressure-Interface Model for Gas Bubble Dynamics with Surface Tension</x:v>
      </x:c>
      <x:c r="F299" s="128" t="str">
        <x:v>Long Li; Mourad Sini</x:v>
      </x:c>
      <x:c r="G299" s="128" t="str">
        <x:v>interfaces/waves</x:v>
      </x:c>
      <x:c r="H299" s="129" t="str">
        <x:v>-</x:v>
      </x:c>
      <x:c r="I299" s="130" t="n">
        <x:v>86.9</x:v>
      </x:c>
      <x:c r="J299" s="130" t="n">
        <x:v>86.65</x:v>
      </x:c>
      <x:c r="K299" s="130" t="n">
        <x:v>87.15</x:v>
      </x:c>
      <x:c r="L299" s="130" t="n">
        <x:v>87</x:v>
      </x:c>
      <x:c r="M299" s="130" t="n">
        <x:v>86</x:v>
      </x:c>
      <x:c r="N299" s="130" t="n">
        <x:v>88</x:v>
      </x:c>
      <x:c r="O299" s="130" t="n">
        <x:v>85</x:v>
      </x:c>
      <x:c r="P299" s="130" t="n">
        <x:v>88</x:v>
      </x:c>
      <x:c r="Q299" s="130" t="n">
        <x:v>86</x:v>
      </x:c>
      <x:c r="R299" s="130" t="n">
        <x:v>13</x:v>
      </x:c>
      <x:c r="S299" s="128" t="str">
        <x:v>https://arxiv.org/abs/2607.06064</x:v>
      </x:c>
      <x:c r="T299" s="128" t="str">
        <x:v>Scored candidate from official July math.AP list; correctness not checked.</x:v>
      </x:c>
    </x:row>
    <x:row r="300" ht="28" customHeight="1">
      <x:c r="A300" s="129" t="n">
        <x:v>299</x:v>
      </x:c>
      <x:c r="B300" s="129" t="str">
        <x:v>2026-07</x:v>
      </x:c>
      <x:c r="C300" s="129" t="n">
        <x:v>132</x:v>
      </x:c>
      <x:c r="D300" s="129" t="str">
        <x:v>2607.07628</x:v>
      </x:c>
      <x:c r="E300" s="128" t="str">
        <x:v>On probabilistic ill-posedness</x:v>
      </x:c>
      <x:c r="F300" s="128" t="str">
        <x:v>Tadahiro Oh; Nikolay Tzvetkov</x:v>
      </x:c>
      <x:c r="G300" s="128" t="str">
        <x:v>probabilistic PDE</x:v>
      </x:c>
      <x:c r="H300" s="129" t="n">
        <x:v>26</x:v>
      </x:c>
      <x:c r="I300" s="130" t="n">
        <x:v>86.9</x:v>
      </x:c>
      <x:c r="J300" s="130" t="n">
        <x:v>86.65</x:v>
      </x:c>
      <x:c r="K300" s="130" t="n">
        <x:v>87.15</x:v>
      </x:c>
      <x:c r="L300" s="130" t="n">
        <x:v>87</x:v>
      </x:c>
      <x:c r="M300" s="130" t="n">
        <x:v>86</x:v>
      </x:c>
      <x:c r="N300" s="130" t="n">
        <x:v>88</x:v>
      </x:c>
      <x:c r="O300" s="130" t="n">
        <x:v>85</x:v>
      </x:c>
      <x:c r="P300" s="130" t="n">
        <x:v>88</x:v>
      </x:c>
      <x:c r="Q300" s="130" t="n">
        <x:v>86</x:v>
      </x:c>
      <x:c r="R300" s="130" t="n">
        <x:v>13</x:v>
      </x:c>
      <x:c r="S300" s="128" t="str">
        <x:v>https://arxiv.org/abs/2607.07628</x:v>
      </x:c>
      <x:c r="T300" s="128" t="str">
        <x:v>Scored candidate from official July math.AP list; correctness not checked.</x:v>
      </x:c>
    </x:row>
    <x:row r="301" ht="28" customHeight="1">
      <x:c r="A301" s="129" t="n">
        <x:v>300</x:v>
      </x:c>
      <x:c r="B301" s="129" t="str">
        <x:v>2026-05</x:v>
      </x:c>
      <x:c r="C301" s="129" t="n">
        <x:v>67</x:v>
      </x:c>
      <x:c r="D301" s="129" t="str">
        <x:v>2605.16788</x:v>
      </x:c>
      <x:c r="E301" s="128" t="str">
        <x:v>Strong well-posedness of a singular SDE for signed Coulomb particles</x:v>
      </x:c>
      <x:c r="F301" s="128" t="str">
        <x:v>Patrick van Meurs; Yoan Tardy</x:v>
      </x:c>
      <x:c r="G301" s="128" t="str">
        <x:v>Coulomb particles / PDE-probability</x:v>
      </x:c>
      <x:c r="H301" s="129" t="n">
        <x:v>35</x:v>
      </x:c>
      <x:c r="I301" s="130" t="n">
        <x:v>86.88</x:v>
      </x:c>
      <x:c r="J301" s="130" t="n">
        <x:v>86.8</x:v>
      </x:c>
      <x:c r="K301" s="130" t="n">
        <x:v>86.95</x:v>
      </x:c>
      <x:c r="L301" s="130" t="n">
        <x:v>87</x:v>
      </x:c>
      <x:c r="M301" s="130" t="n">
        <x:v>88</x:v>
      </x:c>
      <x:c r="N301" s="130" t="n">
        <x:v>88</x:v>
      </x:c>
      <x:c r="O301" s="130" t="n">
        <x:v>84</x:v>
      </x:c>
      <x:c r="P301" s="130" t="n">
        <x:v>88</x:v>
      </x:c>
      <x:c r="Q301" s="130" t="n">
        <x:v>85</x:v>
      </x:c>
      <x:c r="R301" s="130" t="n">
        <x:v>16</x:v>
      </x:c>
      <x:c r="S301" s="128" t="str">
        <x:v>https://arxiv.org/abs/2605.16788</x:v>
      </x:c>
      <x:c r="T301" s="128" t="str">
        <x:v>三轮复核后与原表基本一致</x:v>
      </x:c>
    </x:row>
    <x:row r="302" ht="28" customHeight="1">
      <x:c r="A302" s="129" t="n">
        <x:v>301</x:v>
      </x:c>
      <x:c r="B302" s="129" t="str">
        <x:v>2026-07</x:v>
      </x:c>
      <x:c r="C302" s="129" t="n">
        <x:v>133</x:v>
      </x:c>
      <x:c r="D302" s="129" t="str">
        <x:v>2607.17794</x:v>
      </x:c>
      <x:c r="E302" s="128" t="str">
        <x:v>Minimizers and Weak Solutions for Singular Born-Infeld Type Functionals</x:v>
      </x:c>
      <x:c r="F302" s="128" t="str">
        <x:v>Tengyang Liu; Ruifeng Zhang</x:v>
      </x:c>
      <x:c r="G302" s="128" t="str">
        <x:v>Born-Infeld functionals</x:v>
      </x:c>
      <x:c r="H302" s="129" t="n">
        <x:v>24</x:v>
      </x:c>
      <x:c r="I302" s="130" t="n">
        <x:v>86.88</x:v>
      </x:c>
      <x:c r="J302" s="130" t="n">
        <x:v>86.45</x:v>
      </x:c>
      <x:c r="K302" s="130" t="n">
        <x:v>87.3</x:v>
      </x:c>
      <x:c r="L302" s="130" t="n">
        <x:v>87</x:v>
      </x:c>
      <x:c r="M302" s="130" t="n">
        <x:v>86</x:v>
      </x:c>
      <x:c r="N302" s="130" t="n">
        <x:v>88</x:v>
      </x:c>
      <x:c r="O302" s="130" t="n">
        <x:v>85</x:v>
      </x:c>
      <x:c r="P302" s="130" t="n">
        <x:v>88</x:v>
      </x:c>
      <x:c r="Q302" s="130" t="n">
        <x:v>84</x:v>
      </x:c>
      <x:c r="R302" s="130" t="n">
        <x:v>10</x:v>
      </x:c>
      <x:c r="S302" s="128" t="str">
        <x:v>https://arxiv.org/abs/2607.17794</x:v>
      </x:c>
      <x:c r="T302" s="128" t="str">
        <x:v>Later July exact candidate included in 30% scored pool.</x:v>
      </x:c>
    </x:row>
    <x:row r="303" ht="28" customHeight="1">
      <x:c r="A303" s="129" t="n">
        <x:v>302</x:v>
      </x:c>
      <x:c r="B303" s="129" t="str">
        <x:v>2026-05</x:v>
      </x:c>
      <x:c r="C303" s="129" t="n">
        <x:v>67</x:v>
      </x:c>
      <x:c r="D303" s="129" t="str">
        <x:v>2605.19971</x:v>
      </x:c>
      <x:c r="E303" s="128" t="str">
        <x:v>Flexibility and rigidity for the Couette flow in the infinite channel</x:v>
      </x:c>
      <x:c r="F303" s="128" t="str">
        <x:v>Dengjun Guo; Xiaoyutao Luo; Guolin Qin</x:v>
      </x:c>
      <x:c r="G303" s="128" t="str">
        <x:v>Hydrodynamic stability</x:v>
      </x:c>
      <x:c r="H303" s="129" t="n">
        <x:v>34</x:v>
      </x:c>
      <x:c r="I303" s="130" t="n">
        <x:v>86.87</x:v>
      </x:c>
      <x:c r="J303" s="130" t="n">
        <x:v>86.74</x:v>
      </x:c>
      <x:c r="K303" s="130" t="n">
        <x:v>87</x:v>
      </x:c>
      <x:c r="L303" s="130" t="n">
        <x:v>87</x:v>
      </x:c>
      <x:c r="M303" s="130" t="n">
        <x:v>88.1</x:v>
      </x:c>
      <x:c r="N303" s="130" t="n">
        <x:v>88</x:v>
      </x:c>
      <x:c r="O303" s="130" t="n">
        <x:v>84.1</x:v>
      </x:c>
      <x:c r="P303" s="130" t="n">
        <x:v>88.1</x:v>
      </x:c>
      <x:c r="Q303" s="130" t="n">
        <x:v>84</x:v>
      </x:c>
      <x:c r="R303" s="130" t="n">
        <x:v>15</x:v>
      </x:c>
      <x:c r="S303" s="128" t="str">
        <x:v>https://arxiv.org/abs/2605.19971</x:v>
      </x:c>
      <x:c r="T303" s="128" t="str">
        <x:v>三轮复核后与原表基本一致</x:v>
      </x:c>
    </x:row>
    <x:row r="304" ht="28" customHeight="1">
      <x:c r="A304" s="129" t="n">
        <x:v>303</x:v>
      </x:c>
      <x:c r="B304" s="129" t="str">
        <x:v>2026-05</x:v>
      </x:c>
      <x:c r="C304" s="129" t="n">
        <x:v>73</x:v>
      </x:c>
      <x:c r="D304" s="129" t="str">
        <x:v>2605.11251</x:v>
      </x:c>
      <x:c r="E304" s="128" t="str">
        <x:v>Global well-posedness for the Hele-Shaw problem with point injection</x:v>
      </x:c>
      <x:c r="F304" s="128" t="str">
        <x:v>Zhengjun Liang</x:v>
      </x:c>
      <x:c r="G304" s="128" t="str">
        <x:v>Hele-Shaw / free boundary</x:v>
      </x:c>
      <x:c r="H304" s="129" t="n">
        <x:v>55</x:v>
      </x:c>
      <x:c r="I304" s="130" t="n">
        <x:v>86.8</x:v>
      </x:c>
      <x:c r="J304" s="130" t="n">
        <x:v>86.64</x:v>
      </x:c>
      <x:c r="K304" s="130" t="n">
        <x:v>86.95</x:v>
      </x:c>
      <x:c r="L304" s="130" t="n">
        <x:v>87</x:v>
      </x:c>
      <x:c r="M304" s="130" t="n">
        <x:v>87.1</x:v>
      </x:c>
      <x:c r="N304" s="130" t="n">
        <x:v>88</x:v>
      </x:c>
      <x:c r="O304" s="130" t="n">
        <x:v>84.1</x:v>
      </x:c>
      <x:c r="P304" s="130" t="n">
        <x:v>88.1</x:v>
      </x:c>
      <x:c r="Q304" s="130" t="n">
        <x:v>85</x:v>
      </x:c>
      <x:c r="R304" s="130" t="n">
        <x:v>15</x:v>
      </x:c>
      <x:c r="S304" s="128" t="str">
        <x:v>https://arxiv.org/abs/2605.11251</x:v>
      </x:c>
      <x:c r="T304" s="128" t="str">
        <x:v>三轮复核后与原表基本一致</x:v>
      </x:c>
    </x:row>
    <x:row r="305" ht="28" customHeight="1">
      <x:c r="A305" s="129" t="n">
        <x:v>304</x:v>
      </x:c>
      <x:c r="B305" s="129" t="str">
        <x:v>2026-05</x:v>
      </x:c>
      <x:c r="C305" s="129" t="n">
        <x:v>73</x:v>
      </x:c>
      <x:c r="D305" s="129" t="str">
        <x:v>2605.20715</x:v>
      </x:c>
      <x:c r="E305" s="128" t="str">
        <x:v>Threshold dynamics for the 4d mass-energy double critical NLS</x:v>
      </x:c>
      <x:c r="F305" s="128" t="str">
        <x:v>Alex H. Ardila; Zuyu Ma; Jason Murphy; Jiqiang Zheng</x:v>
      </x:c>
      <x:c r="G305" s="128" t="str">
        <x:v>Dispersive PDE / NLS</x:v>
      </x:c>
      <x:c r="H305" s="129" t="n">
        <x:v>35</x:v>
      </x:c>
      <x:c r="I305" s="130" t="n">
        <x:v>86.75</x:v>
      </x:c>
      <x:c r="J305" s="130" t="n">
        <x:v>86.6</x:v>
      </x:c>
      <x:c r="K305" s="130" t="n">
        <x:v>86.9</x:v>
      </x:c>
      <x:c r="L305" s="130" t="n">
        <x:v>87</x:v>
      </x:c>
      <x:c r="M305" s="130" t="n">
        <x:v>87</x:v>
      </x:c>
      <x:c r="N305" s="130" t="n">
        <x:v>88</x:v>
      </x:c>
      <x:c r="O305" s="130" t="n">
        <x:v>84</x:v>
      </x:c>
      <x:c r="P305" s="130" t="n">
        <x:v>88</x:v>
      </x:c>
      <x:c r="Q305" s="130" t="n">
        <x:v>85</x:v>
      </x:c>
      <x:c r="R305" s="130" t="n">
        <x:v>15</x:v>
      </x:c>
      <x:c r="S305" s="128" t="str">
        <x:v>https://arxiv.org/abs/2605.20715</x:v>
      </x:c>
      <x:c r="T305" s="128" t="str">
        <x:v>三轮复核后与原表基本一致</x:v>
      </x:c>
    </x:row>
    <x:row r="306" ht="28" customHeight="1">
      <x:c r="A306" s="129" t="n">
        <x:v>305</x:v>
      </x:c>
      <x:c r="B306" s="129" t="str">
        <x:v>2026-05</x:v>
      </x:c>
      <x:c r="C306" s="129" t="n">
        <x:v>75</x:v>
      </x:c>
      <x:c r="D306" s="129" t="str">
        <x:v>2605.17485</x:v>
      </x:c>
      <x:c r="E306" s="128" t="str">
        <x:v>Variational derivation of the Flamant solution for a nonlinear elastic wedge</x:v>
      </x:c>
      <x:c r="F306" s="128" t="str">
        <x:v>Dominik Engl; Paul Plucinsky; Ian Tobasco</x:v>
      </x:c>
      <x:c r="G306" s="128" t="str">
        <x:v>Elasticity / variational PDE</x:v>
      </x:c>
      <x:c r="H306" s="129"/>
      <x:c r="I306" s="130" t="n">
        <x:v>86.73</x:v>
      </x:c>
      <x:c r="J306" s="130" t="n">
        <x:v>86.5</x:v>
      </x:c>
      <x:c r="K306" s="130" t="n">
        <x:v>86.95</x:v>
      </x:c>
      <x:c r="L306" s="130" t="n">
        <x:v>86</x:v>
      </x:c>
      <x:c r="M306" s="130" t="n">
        <x:v>88</x:v>
      </x:c>
      <x:c r="N306" s="130" t="n">
        <x:v>88</x:v>
      </x:c>
      <x:c r="O306" s="130" t="n">
        <x:v>84</x:v>
      </x:c>
      <x:c r="P306" s="130" t="n">
        <x:v>88</x:v>
      </x:c>
      <x:c r="Q306" s="130" t="n">
        <x:v>85</x:v>
      </x:c>
      <x:c r="R306" s="130" t="n">
        <x:v>16</x:v>
      </x:c>
      <x:c r="S306" s="128" t="str">
        <x:v>https://arxiv.org/abs/2605.17485</x:v>
      </x:c>
      <x:c r="T306" s="128" t="str">
        <x:v>三轮复核后与原表基本一致</x:v>
      </x:c>
    </x:row>
    <x:row r="307" ht="28" customHeight="1">
      <x:c r="A307" s="129" t="n">
        <x:v>306</x:v>
      </x:c>
      <x:c r="B307" s="129" t="str">
        <x:v>2026-05</x:v>
      </x:c>
      <x:c r="C307" s="129" t="n">
        <x:v>77</x:v>
      </x:c>
      <x:c r="D307" s="129" t="str">
        <x:v>2605.18126</x:v>
      </x:c>
      <x:c r="E307" s="128" t="str">
        <x:v>Stability of Anomalous Dissipation for the Forced 3D Navier-Stokes Equations under Geometric Perturbations</x:v>
      </x:c>
      <x:c r="F307" s="128" t="str">
        <x:v>Changhong Li</x:v>
      </x:c>
      <x:c r="G307" s="128" t="str">
        <x:v>Navier-Stokes / anomalous dissipation</x:v>
      </x:c>
      <x:c r="H307" s="129"/>
      <x:c r="I307" s="130" t="n">
        <x:v>86.65</x:v>
      </x:c>
      <x:c r="J307" s="130" t="n">
        <x:v>86.62</x:v>
      </x:c>
      <x:c r="K307" s="130" t="n">
        <x:v>86.67</x:v>
      </x:c>
      <x:c r="L307" s="130" t="n">
        <x:v>87</x:v>
      </x:c>
      <x:c r="M307" s="130" t="n">
        <x:v>88</x:v>
      </x:c>
      <x:c r="N307" s="130" t="n">
        <x:v>88.1</x:v>
      </x:c>
      <x:c r="O307" s="130" t="n">
        <x:v>84</x:v>
      </x:c>
      <x:c r="P307" s="130" t="n">
        <x:v>88</x:v>
      </x:c>
      <x:c r="Q307" s="130" t="n">
        <x:v>83</x:v>
      </x:c>
      <x:c r="R307" s="130" t="n">
        <x:v>16</x:v>
      </x:c>
      <x:c r="S307" s="128" t="str">
        <x:v>https://arxiv.org/abs/2605.18126</x:v>
      </x:c>
      <x:c r="T307" s="128" t="str">
        <x:v>三轮复核后与原表基本一致</x:v>
      </x:c>
    </x:row>
    <x:row r="308" ht="28" customHeight="1">
      <x:c r="A308" s="129" t="n">
        <x:v>307</x:v>
      </x:c>
      <x:c r="B308" s="129" t="str">
        <x:v>2026-05</x:v>
      </x:c>
      <x:c r="C308" s="129" t="n">
        <x:v>77</x:v>
      </x:c>
      <x:c r="D308" s="129" t="str">
        <x:v>2605.24317</x:v>
      </x:c>
      <x:c r="E308" s="128" t="str">
        <x:v>Quantitative Stability of Generalized p-Area Minimizing Surfaces</x:v>
      </x:c>
      <x:c r="F308" s="128" t="str">
        <x:v>Amir Moradifam; Gerardo Orozco-Fernandez</x:v>
      </x:c>
      <x:c r="G308" s="128" t="str">
        <x:v>Geometric variational inequalities</x:v>
      </x:c>
      <x:c r="H308" s="129"/>
      <x:c r="I308" s="130" t="n">
        <x:v>86.65</x:v>
      </x:c>
      <x:c r="J308" s="130" t="n">
        <x:v>86.34</x:v>
      </x:c>
      <x:c r="K308" s="130" t="n">
        <x:v>86.95</x:v>
      </x:c>
      <x:c r="L308" s="130" t="n">
        <x:v>86</x:v>
      </x:c>
      <x:c r="M308" s="130" t="n">
        <x:v>87.1</x:v>
      </x:c>
      <x:c r="N308" s="130" t="n">
        <x:v>88</x:v>
      </x:c>
      <x:c r="O308" s="130" t="n">
        <x:v>84.1</x:v>
      </x:c>
      <x:c r="P308" s="130" t="n">
        <x:v>88.1</x:v>
      </x:c>
      <x:c r="Q308" s="130" t="n">
        <x:v>85</x:v>
      </x:c>
      <x:c r="R308" s="130" t="n">
        <x:v>15</x:v>
      </x:c>
      <x:c r="S308" s="128" t="str">
        <x:v>https://arxiv.org/abs/2605.24317</x:v>
      </x:c>
      <x:c r="T308" s="128" t="str">
        <x:v>三轮复核后与原表基本一致</x:v>
      </x:c>
    </x:row>
    <x:row r="309" ht="28" customHeight="1">
      <x:c r="A309" s="129" t="n">
        <x:v>308</x:v>
      </x:c>
      <x:c r="B309" s="129" t="str">
        <x:v>2026-07</x:v>
      </x:c>
      <x:c r="C309" s="129" t="n">
        <x:v>134</x:v>
      </x:c>
      <x:c r="D309" s="129" t="str">
        <x:v>2607.12333</x:v>
      </x:c>
      <x:c r="E309" s="128" t="str">
        <x:v>On the p-torsional rigidity of compact metric graphs: a sharp Kohler-Jobin inequality</x:v>
      </x:c>
      <x:c r="F309" s="128" t="str">
        <x:v>Sedef Ozcan</x:v>
      </x:c>
      <x:c r="G309" s="128" t="str">
        <x:v>metric graph inequalities</x:v>
      </x:c>
      <x:c r="H309" s="129" t="str">
        <x:v>-</x:v>
      </x:c>
      <x:c r="I309" s="130" t="n">
        <x:v>86.65</x:v>
      </x:c>
      <x:c r="J309" s="130" t="n">
        <x:v>86</x:v>
      </x:c>
      <x:c r="K309" s="130" t="n">
        <x:v>87.3</x:v>
      </x:c>
      <x:c r="L309" s="130" t="n">
        <x:v>86</x:v>
      </x:c>
      <x:c r="M309" s="130" t="n">
        <x:v>86</x:v>
      </x:c>
      <x:c r="N309" s="130" t="n">
        <x:v>88</x:v>
      </x:c>
      <x:c r="O309" s="130" t="n">
        <x:v>84</x:v>
      </x:c>
      <x:c r="P309" s="130" t="n">
        <x:v>88</x:v>
      </x:c>
      <x:c r="Q309" s="130" t="n">
        <x:v>84</x:v>
      </x:c>
      <x:c r="R309" s="130" t="n">
        <x:v>10</x:v>
      </x:c>
      <x:c r="S309" s="128" t="str">
        <x:v>https://arxiv.org/abs/2607.12333</x:v>
      </x:c>
      <x:c r="T309" s="128" t="str">
        <x:v>Additional exact July entry retained to complete 30% scoring pool.</x:v>
      </x:c>
    </x:row>
    <x:row r="310" ht="28" customHeight="1">
      <x:c r="A310" s="129" t="n">
        <x:v>309</x:v>
      </x:c>
      <x:c r="B310" s="129" t="str">
        <x:v>2026-07</x:v>
      </x:c>
      <x:c r="C310" s="129" t="n">
        <x:v>135</x:v>
      </x:c>
      <x:c r="D310" s="129" t="str">
        <x:v>2607.12482</x:v>
      </x:c>
      <x:c r="E310" s="128" t="str">
        <x:v>Coercivity structure of positive-type memory: exact gaps, critical horizons, and singular limits</x:v>
      </x:c>
      <x:c r="F310" s="128" t="str">
        <x:v>Hiroki Ishizaka</x:v>
      </x:c>
      <x:c r="G310" s="128" t="str">
        <x:v>memory equations</x:v>
      </x:c>
      <x:c r="H310" s="129" t="str">
        <x:v>-</x:v>
      </x:c>
      <x:c r="I310" s="130" t="n">
        <x:v>86.65</x:v>
      </x:c>
      <x:c r="J310" s="130" t="n">
        <x:v>86</x:v>
      </x:c>
      <x:c r="K310" s="130" t="n">
        <x:v>87.3</x:v>
      </x:c>
      <x:c r="L310" s="130" t="n">
        <x:v>86</x:v>
      </x:c>
      <x:c r="M310" s="130" t="n">
        <x:v>86</x:v>
      </x:c>
      <x:c r="N310" s="130" t="n">
        <x:v>88</x:v>
      </x:c>
      <x:c r="O310" s="130" t="n">
        <x:v>84</x:v>
      </x:c>
      <x:c r="P310" s="130" t="n">
        <x:v>88</x:v>
      </x:c>
      <x:c r="Q310" s="130" t="n">
        <x:v>84</x:v>
      </x:c>
      <x:c r="R310" s="130" t="n">
        <x:v>10</x:v>
      </x:c>
      <x:c r="S310" s="128" t="str">
        <x:v>https://arxiv.org/abs/2607.12482</x:v>
      </x:c>
      <x:c r="T310" s="128" t="str">
        <x:v>Additional exact July entry retained to complete 30% scoring pool.</x:v>
      </x:c>
    </x:row>
    <x:row r="311" ht="28" customHeight="1">
      <x:c r="A311" s="129" t="n">
        <x:v>310</x:v>
      </x:c>
      <x:c r="B311" s="129" t="str">
        <x:v>2026-08</x:v>
      </x:c>
      <x:c r="C311" s="129" t="n">
        <x:v>48</x:v>
      </x:c>
      <x:c r="D311" s="129" t="str">
        <x:v>2608.00972</x:v>
      </x:c>
      <x:c r="E311" s="128" t="str">
        <x:v>Exponential decay for 3D Boussinesq equations with Navier boundary conditions</x:v>
      </x:c>
      <x:c r="F311" s="128" t="str">
        <x:v>Wen Feng; Weinan Wang; Xiang Xu</x:v>
      </x:c>
      <x:c r="G311" s="128" t="str">
        <x:v>Boussinesq</x:v>
      </x:c>
      <x:c r="H311" s="129" t="str">
        <x:v>-</x:v>
      </x:c>
      <x:c r="I311" s="130" t="n">
        <x:v>86.65</x:v>
      </x:c>
      <x:c r="J311" s="130" t="n">
        <x:v>86</x:v>
      </x:c>
      <x:c r="K311" s="130" t="n">
        <x:v>87.3</x:v>
      </x:c>
      <x:c r="L311" s="130" t="n">
        <x:v>86</x:v>
      </x:c>
      <x:c r="M311" s="130" t="n">
        <x:v>86</x:v>
      </x:c>
      <x:c r="N311" s="130" t="n">
        <x:v>88</x:v>
      </x:c>
      <x:c r="O311" s="130" t="n">
        <x:v>84</x:v>
      </x:c>
      <x:c r="P311" s="130" t="n">
        <x:v>88</x:v>
      </x:c>
      <x:c r="Q311" s="130" t="n">
        <x:v>84</x:v>
      </x:c>
      <x:c r="R311" s="130" t="n">
        <x:v>10</x:v>
      </x:c>
      <x:c r="S311" s="128" t="str">
        <x:v>https://arxiv.org/abs/2608.00972</x:v>
      </x:c>
      <x:c r="T311" s="128" t="str">
        <x:v>Decay result for boundary Boussinesq dynamics.</x:v>
      </x:c>
    </x:row>
    <x:row r="312" ht="28" customHeight="1">
      <x:c r="A312" s="129" t="n">
        <x:v>311</x:v>
      </x:c>
      <x:c r="B312" s="129" t="str">
        <x:v>2026-08</x:v>
      </x:c>
      <x:c r="C312" s="129" t="n">
        <x:v>49</x:v>
      </x:c>
      <x:c r="D312" s="129" t="str">
        <x:v>2608.01188</x:v>
      </x:c>
      <x:c r="E312" s="128" t="str">
        <x:v>A semiconvex counterexample to energy monotonicity for time-fractional gradient flows</x:v>
      </x:c>
      <x:c r="F312" s="128" t="str">
        <x:v>Marvin Fritz</x:v>
      </x:c>
      <x:c r="G312" s="128" t="str">
        <x:v>fractional gradient flows</x:v>
      </x:c>
      <x:c r="H312" s="129" t="str">
        <x:v>-</x:v>
      </x:c>
      <x:c r="I312" s="130" t="n">
        <x:v>86.65</x:v>
      </x:c>
      <x:c r="J312" s="130" t="n">
        <x:v>86</x:v>
      </x:c>
      <x:c r="K312" s="130" t="n">
        <x:v>87.3</x:v>
      </x:c>
      <x:c r="L312" s="130" t="n">
        <x:v>86</x:v>
      </x:c>
      <x:c r="M312" s="130" t="n">
        <x:v>86</x:v>
      </x:c>
      <x:c r="N312" s="130" t="n">
        <x:v>88</x:v>
      </x:c>
      <x:c r="O312" s="130" t="n">
        <x:v>84</x:v>
      </x:c>
      <x:c r="P312" s="130" t="n">
        <x:v>88</x:v>
      </x:c>
      <x:c r="Q312" s="130" t="n">
        <x:v>84</x:v>
      </x:c>
      <x:c r="R312" s="130" t="n">
        <x:v>10</x:v>
      </x:c>
      <x:c r="S312" s="128" t="str">
        <x:v>https://arxiv.org/abs/2608.01188</x:v>
      </x:c>
      <x:c r="T312" s="128" t="str">
        <x:v>Counterexample clarifies fractional gradient-flow behavior.</x:v>
      </x:c>
    </x:row>
    <x:row r="313" ht="28" customHeight="1">
      <x:c r="A313" s="129" t="n">
        <x:v>312</x:v>
      </x:c>
      <x:c r="B313" s="129" t="str">
        <x:v>2026-05</x:v>
      </x:c>
      <x:c r="C313" s="129" t="n">
        <x:v>77</x:v>
      </x:c>
      <x:c r="D313" s="129" t="str">
        <x:v>2605.13592</x:v>
      </x:c>
      <x:c r="E313" s="128" t="str">
        <x:v>Spectral instability and non-uniqueness for the Keller-Segel system</x:v>
      </x:c>
      <x:c r="F313" s="128" t="str">
        <x:v>Eliseo Luongo; Umberto Pappalettera</x:v>
      </x:c>
      <x:c r="G313" s="128" t="str">
        <x:v>Keller-Segel / spectral instability</x:v>
      </x:c>
      <x:c r="H313" s="129" t="n">
        <x:v>50</x:v>
      </x:c>
      <x:c r="I313" s="130" t="n">
        <x:v>86.63</x:v>
      </x:c>
      <x:c r="J313" s="130" t="n">
        <x:v>86.6</x:v>
      </x:c>
      <x:c r="K313" s="130" t="n">
        <x:v>86.65</x:v>
      </x:c>
      <x:c r="L313" s="130" t="n">
        <x:v>87</x:v>
      </x:c>
      <x:c r="M313" s="130" t="n">
        <x:v>88</x:v>
      </x:c>
      <x:c r="N313" s="130" t="n">
        <x:v>88</x:v>
      </x:c>
      <x:c r="O313" s="130" t="n">
        <x:v>84</x:v>
      </x:c>
      <x:c r="P313" s="130" t="n">
        <x:v>88</x:v>
      </x:c>
      <x:c r="Q313" s="130" t="n">
        <x:v>83</x:v>
      </x:c>
      <x:c r="R313" s="130" t="n">
        <x:v>16</x:v>
      </x:c>
      <x:c r="S313" s="128" t="str">
        <x:v>https://arxiv.org/abs/2605.13592</x:v>
      </x:c>
      <x:c r="T313" s="128" t="str">
        <x:v>三轮复核后与原表基本一致</x:v>
      </x:c>
    </x:row>
    <x:row r="314" ht="28" customHeight="1">
      <x:c r="A314" s="129" t="n">
        <x:v>313</x:v>
      </x:c>
      <x:c r="B314" s="129" t="str">
        <x:v>2026-05</x:v>
      </x:c>
      <x:c r="C314" s="129" t="n">
        <x:v>75</x:v>
      </x:c>
      <x:c r="D314" s="129" t="str">
        <x:v>2605.10478</x:v>
      </x:c>
      <x:c r="E314" s="128" t="str">
        <x:v>Nonexistence of vanishing-viscosity limits for mechanical Hamiltonian ergodic problems</x:v>
      </x:c>
      <x:c r="F314" s="128" t="str">
        <x:v>Ziran Liu; Hung V. Tran; Yifeng Yu</x:v>
      </x:c>
      <x:c r="G314" s="128" t="str">
        <x:v>Hamilton-Jacobi / ergodic problems</x:v>
      </x:c>
      <x:c r="H314" s="129" t="n">
        <x:v>15</x:v>
      </x:c>
      <x:c r="I314" s="130" t="n">
        <x:v>86.59</x:v>
      </x:c>
      <x:c r="J314" s="130" t="n">
        <x:v>87.43</x:v>
      </x:c>
      <x:c r="K314" s="130" t="n">
        <x:v>85.75</x:v>
      </x:c>
      <x:c r="L314" s="130" t="n">
        <x:v>88</x:v>
      </x:c>
      <x:c r="M314" s="130" t="n">
        <x:v>89</x:v>
      </x:c>
      <x:c r="N314" s="130" t="n">
        <x:v>87.9</x:v>
      </x:c>
      <x:c r="O314" s="130" t="n">
        <x:v>85</x:v>
      </x:c>
      <x:c r="P314" s="130" t="n">
        <x:v>87.9</x:v>
      </x:c>
      <x:c r="Q314" s="130" t="n">
        <x:v>85</x:v>
      </x:c>
      <x:c r="R314" s="130" t="n">
        <x:v>25</x:v>
      </x:c>
      <x:c r="S314" s="128" t="str">
        <x:v>https://arxiv.org/abs/2605.10478</x:v>
      </x:c>
      <x:c r="T314" s="128" t="str">
        <x:v>三轮复核后与原表基本一致</x:v>
      </x:c>
    </x:row>
    <x:row r="315" ht="28" customHeight="1">
      <x:c r="A315" s="129" t="n">
        <x:v>314</x:v>
      </x:c>
      <x:c r="B315" s="129" t="str">
        <x:v>2026-07</x:v>
      </x:c>
      <x:c r="C315" s="129" t="n">
        <x:v>136</x:v>
      </x:c>
      <x:c r="D315" s="129" t="str">
        <x:v>2607.05905</x:v>
      </x:c>
      <x:c r="E315" s="128" t="str">
        <x:v>A compensated Piola principle for critical nondiffusive parabolic systems</x:v>
      </x:c>
      <x:c r="F315" s="128" t="str">
        <x:v>Maotuo Guo</x:v>
      </x:c>
      <x:c r="G315" s="128" t="str">
        <x:v>parabolic systems</x:v>
      </x:c>
      <x:c r="H315" s="129" t="str">
        <x:v>-</x:v>
      </x:c>
      <x:c r="I315" s="130" t="n">
        <x:v>86.55</x:v>
      </x:c>
      <x:c r="J315" s="130" t="n">
        <x:v>86.3</x:v>
      </x:c>
      <x:c r="K315" s="130" t="n">
        <x:v>86.8</x:v>
      </x:c>
      <x:c r="L315" s="130" t="n">
        <x:v>87</x:v>
      </x:c>
      <x:c r="M315" s="130" t="n">
        <x:v>85</x:v>
      </x:c>
      <x:c r="N315" s="130" t="n">
        <x:v>88</x:v>
      </x:c>
      <x:c r="O315" s="130" t="n">
        <x:v>84</x:v>
      </x:c>
      <x:c r="P315" s="130" t="n">
        <x:v>88</x:v>
      </x:c>
      <x:c r="Q315" s="130" t="n">
        <x:v>86</x:v>
      </x:c>
      <x:c r="R315" s="130" t="n">
        <x:v>14</x:v>
      </x:c>
      <x:c r="S315" s="128" t="str">
        <x:v>https://arxiv.org/abs/2607.05905</x:v>
      </x:c>
      <x:c r="T315" s="128" t="str">
        <x:v>Background row in the 30% scored pool; title/authors from official July list.</x:v>
      </x:c>
    </x:row>
    <x:row r="316" ht="28" customHeight="1">
      <x:c r="A316" s="129" t="n">
        <x:v>315</x:v>
      </x:c>
      <x:c r="B316" s="129" t="str">
        <x:v>2026-07</x:v>
      </x:c>
      <x:c r="C316" s="129" t="n">
        <x:v>137</x:v>
      </x:c>
      <x:c r="D316" s="129" t="str">
        <x:v>2607.08021</x:v>
      </x:c>
      <x:c r="E316" s="128" t="str">
        <x:v>Infinitely many sign-changing solutions for critical Hamiltonian systems with linear perturbation</x:v>
      </x:c>
      <x:c r="F316" s="128" t="str">
        <x:v>Yuxia Guo; Congzheng Xuanyuan</x:v>
      </x:c>
      <x:c r="G316" s="128" t="str">
        <x:v>critical Hamiltonian systems</x:v>
      </x:c>
      <x:c r="H316" s="129" t="str">
        <x:v>-</x:v>
      </x:c>
      <x:c r="I316" s="130" t="n">
        <x:v>86.55</x:v>
      </x:c>
      <x:c r="J316" s="130" t="n">
        <x:v>86.3</x:v>
      </x:c>
      <x:c r="K316" s="130" t="n">
        <x:v>86.8</x:v>
      </x:c>
      <x:c r="L316" s="130" t="n">
        <x:v>87</x:v>
      </x:c>
      <x:c r="M316" s="130" t="n">
        <x:v>85</x:v>
      </x:c>
      <x:c r="N316" s="130" t="n">
        <x:v>88</x:v>
      </x:c>
      <x:c r="O316" s="130" t="n">
        <x:v>84</x:v>
      </x:c>
      <x:c r="P316" s="130" t="n">
        <x:v>88</x:v>
      </x:c>
      <x:c r="Q316" s="130" t="n">
        <x:v>86</x:v>
      </x:c>
      <x:c r="R316" s="130" t="n">
        <x:v>14</x:v>
      </x:c>
      <x:c r="S316" s="128" t="str">
        <x:v>https://arxiv.org/abs/2607.08021</x:v>
      </x:c>
      <x:c r="T316" s="128" t="str">
        <x:v>Background row in the 30% scored pool; title/authors from official July list.</x:v>
      </x:c>
    </x:row>
    <x:row r="317" ht="28" customHeight="1">
      <x:c r="A317" s="129" t="n">
        <x:v>316</x:v>
      </x:c>
      <x:c r="B317" s="129" t="str">
        <x:v>2026-07</x:v>
      </x:c>
      <x:c r="C317" s="129" t="n">
        <x:v>138</x:v>
      </x:c>
      <x:c r="D317" s="129" t="str">
        <x:v>2607.08498</x:v>
      </x:c>
      <x:c r="E317" s="128" t="str">
        <x:v>Stability of Equilibria in a Biofilm Reactor Model with Wall Attachment and Thermodynamic Growth Inhibition</x:v>
      </x:c>
      <x:c r="F317" s="128" t="str">
        <x:v>Katerina Nik; Christoph Walker</x:v>
      </x:c>
      <x:c r="G317" s="128" t="str">
        <x:v>biofilm model</x:v>
      </x:c>
      <x:c r="H317" s="129" t="str">
        <x:v>-</x:v>
      </x:c>
      <x:c r="I317" s="130" t="n">
        <x:v>86.55</x:v>
      </x:c>
      <x:c r="J317" s="130" t="n">
        <x:v>86.3</x:v>
      </x:c>
      <x:c r="K317" s="130" t="n">
        <x:v>86.8</x:v>
      </x:c>
      <x:c r="L317" s="130" t="n">
        <x:v>87</x:v>
      </x:c>
      <x:c r="M317" s="130" t="n">
        <x:v>85</x:v>
      </x:c>
      <x:c r="N317" s="130" t="n">
        <x:v>88</x:v>
      </x:c>
      <x:c r="O317" s="130" t="n">
        <x:v>84</x:v>
      </x:c>
      <x:c r="P317" s="130" t="n">
        <x:v>88</x:v>
      </x:c>
      <x:c r="Q317" s="130" t="n">
        <x:v>86</x:v>
      </x:c>
      <x:c r="R317" s="130" t="n">
        <x:v>14</x:v>
      </x:c>
      <x:c r="S317" s="128" t="str">
        <x:v>https://arxiv.org/abs/2607.08498</x:v>
      </x:c>
      <x:c r="T317" s="128" t="str">
        <x:v>Background row in the 30% scored pool; title/authors from official July list.</x:v>
      </x:c>
    </x:row>
    <x:row r="318" ht="28" customHeight="1">
      <x:c r="A318" s="129" t="n">
        <x:v>317</x:v>
      </x:c>
      <x:c r="B318" s="129" t="str">
        <x:v>2026-07</x:v>
      </x:c>
      <x:c r="C318" s="129" t="n">
        <x:v>139</x:v>
      </x:c>
      <x:c r="D318" s="129" t="str">
        <x:v>2607.10158</x:v>
      </x:c>
      <x:c r="E318" s="128" t="str">
        <x:v>Existence and Uniqueness of a Transport Equation coupled with a Balance law</x:v>
      </x:c>
      <x:c r="F318" s="128" t="str">
        <x:v>Shuvam Banerjee; Manas R. Sahoo</x:v>
      </x:c>
      <x:c r="G318" s="128" t="str">
        <x:v>transport equations</x:v>
      </x:c>
      <x:c r="H318" s="129" t="n">
        <x:v>22</x:v>
      </x:c>
      <x:c r="I318" s="130" t="n">
        <x:v>86.55</x:v>
      </x:c>
      <x:c r="J318" s="130" t="n">
        <x:v>86.3</x:v>
      </x:c>
      <x:c r="K318" s="130" t="n">
        <x:v>86.8</x:v>
      </x:c>
      <x:c r="L318" s="130" t="n">
        <x:v>87</x:v>
      </x:c>
      <x:c r="M318" s="130" t="n">
        <x:v>85</x:v>
      </x:c>
      <x:c r="N318" s="130" t="n">
        <x:v>88</x:v>
      </x:c>
      <x:c r="O318" s="130" t="n">
        <x:v>84</x:v>
      </x:c>
      <x:c r="P318" s="130" t="n">
        <x:v>88</x:v>
      </x:c>
      <x:c r="Q318" s="130" t="n">
        <x:v>86</x:v>
      </x:c>
      <x:c r="R318" s="130" t="n">
        <x:v>14</x:v>
      </x:c>
      <x:c r="S318" s="128" t="str">
        <x:v>https://arxiv.org/abs/2607.10158</x:v>
      </x:c>
      <x:c r="T318" s="128" t="str">
        <x:v>Background row in the 30% scored pool; title/authors from official July list.</x:v>
      </x:c>
    </x:row>
    <x:row r="319" ht="28" customHeight="1">
      <x:c r="A319" s="129" t="n">
        <x:v>318</x:v>
      </x:c>
      <x:c r="B319" s="129" t="str">
        <x:v>2026-07</x:v>
      </x:c>
      <x:c r="C319" s="129" t="n">
        <x:v>140</x:v>
      </x:c>
      <x:c r="D319" s="129" t="str">
        <x:v>2607.00344</x:v>
      </x:c>
      <x:c r="E319" s="128" t="str">
        <x:v>A minimax Bilinear Transport Problem and Nash-Monge-Kantorovich Maps</x:v>
      </x:c>
      <x:c r="F319" s="128" t="str">
        <x:v>Rene Cabrera; Edward Huynh</x:v>
      </x:c>
      <x:c r="G319" s="128" t="str">
        <x:v>optimal transport</x:v>
      </x:c>
      <x:c r="H319" s="129" t="n">
        <x:v>53</x:v>
      </x:c>
      <x:c r="I319" s="130" t="n">
        <x:v>86.5</x:v>
      </x:c>
      <x:c r="J319" s="130" t="n">
        <x:v>86.2</x:v>
      </x:c>
      <x:c r="K319" s="130" t="n">
        <x:v>86.8</x:v>
      </x:c>
      <x:c r="L319" s="130" t="n">
        <x:v>87</x:v>
      </x:c>
      <x:c r="M319" s="130" t="n">
        <x:v>85</x:v>
      </x:c>
      <x:c r="N319" s="130" t="n">
        <x:v>88</x:v>
      </x:c>
      <x:c r="O319" s="130" t="n">
        <x:v>84</x:v>
      </x:c>
      <x:c r="P319" s="130" t="n">
        <x:v>88</x:v>
      </x:c>
      <x:c r="Q319" s="130" t="n">
        <x:v>85</x:v>
      </x:c>
      <x:c r="R319" s="130" t="n">
        <x:v>13</x:v>
      </x:c>
      <x:c r="S319" s="128" t="str">
        <x:v>https://arxiv.org/abs/2607.00344</x:v>
      </x:c>
      <x:c r="T319" s="128" t="str">
        <x:v>Scored candidate from official July math.AP list; correctness not checked.</x:v>
      </x:c>
    </x:row>
    <x:row r="320" ht="28" customHeight="1">
      <x:c r="A320" s="129" t="n">
        <x:v>319</x:v>
      </x:c>
      <x:c r="B320" s="129" t="str">
        <x:v>2026-08</x:v>
      </x:c>
      <x:c r="C320" s="129" t="n">
        <x:v>50</x:v>
      </x:c>
      <x:c r="D320" s="129" t="str">
        <x:v>2608.01579</x:v>
      </x:c>
      <x:c r="E320" s="128" t="str">
        <x:v>A computer-assisted counterexample to the planar Pompeiu and Schiffer conjectures</x:v>
      </x:c>
      <x:c r="F320" s="128" t="str">
        <x:v>Matthew J. Colbrook; George Stepaniants</x:v>
      </x:c>
      <x:c r="G320" s="128" t="str">
        <x:v>spectral/conjectures</x:v>
      </x:c>
      <x:c r="H320" s="129" t="str">
        <x:v>-</x:v>
      </x:c>
      <x:c r="I320" s="130" t="n">
        <x:v>86.48</x:v>
      </x:c>
      <x:c r="J320" s="130" t="n">
        <x:v>87.95</x:v>
      </x:c>
      <x:c r="K320" s="130" t="n">
        <x:v>85</x:v>
      </x:c>
      <x:c r="L320" s="130" t="n">
        <x:v>88</x:v>
      </x:c>
      <x:c r="M320" s="130" t="n">
        <x:v>90</x:v>
      </x:c>
      <x:c r="N320" s="130" t="n">
        <x:v>89</x:v>
      </x:c>
      <x:c r="O320" s="130" t="n">
        <x:v>86</x:v>
      </x:c>
      <x:c r="P320" s="130" t="n">
        <x:v>86</x:v>
      </x:c>
      <x:c r="Q320" s="130" t="n">
        <x:v>84</x:v>
      </x:c>
      <x:c r="R320" s="130" t="n">
        <x:v>28</x:v>
      </x:c>
      <x:c r="S320" s="128" t="str">
        <x:v>https://arxiv.org/abs/2608.01579</x:v>
      </x:c>
      <x:c r="T320" s="128" t="str">
        <x:v>Important but computation-heavy conjectural counterexample work.</x:v>
      </x:c>
    </x:row>
    <x:row r="321" ht="28" customHeight="1">
      <x:c r="A321" s="129" t="n">
        <x:v>320</x:v>
      </x:c>
      <x:c r="B321" s="129" t="str">
        <x:v>2026-05</x:v>
      </x:c>
      <x:c r="C321" s="129" t="n">
        <x:v>80</x:v>
      </x:c>
      <x:c r="D321" s="129" t="str">
        <x:v>2605.17422</x:v>
      </x:c>
      <x:c r="E321" s="128" t="str">
        <x:v>On scalar nonlinear balance laws with singular nonlocal sources</x:v>
      </x:c>
      <x:c r="F321" s="128" t="str">
        <x:v>Evangelia Ftaka; Khai T. Nguyen</x:v>
      </x:c>
      <x:c r="G321" s="128" t="str">
        <x:v>Balance laws</x:v>
      </x:c>
      <x:c r="H321" s="129" t="n">
        <x:v>45</x:v>
      </x:c>
      <x:c r="I321" s="130" t="n">
        <x:v>86.45</x:v>
      </x:c>
      <x:c r="J321" s="130" t="n">
        <x:v>86.15</x:v>
      </x:c>
      <x:c r="K321" s="130" t="n">
        <x:v>86.75</x:v>
      </x:c>
      <x:c r="L321" s="130" t="n">
        <x:v>86</x:v>
      </x:c>
      <x:c r="M321" s="130" t="n">
        <x:v>87</x:v>
      </x:c>
      <x:c r="N321" s="130" t="n">
        <x:v>88</x:v>
      </x:c>
      <x:c r="O321" s="130" t="n">
        <x:v>83</x:v>
      </x:c>
      <x:c r="P321" s="130" t="n">
        <x:v>88</x:v>
      </x:c>
      <x:c r="Q321" s="130" t="n">
        <x:v>85</x:v>
      </x:c>
      <x:c r="R321" s="130" t="n">
        <x:v>16</x:v>
      </x:c>
      <x:c r="S321" s="128" t="str">
        <x:v>https://arxiv.org/abs/2605.17422</x:v>
      </x:c>
      <x:c r="T321" s="128" t="str">
        <x:v>三轮复核后与原表基本一致</x:v>
      </x:c>
    </x:row>
    <x:row r="322" ht="28" customHeight="1">
      <x:c r="A322" s="129" t="n">
        <x:v>321</x:v>
      </x:c>
      <x:c r="B322" s="129" t="str">
        <x:v>2026-07</x:v>
      </x:c>
      <x:c r="C322" s="129" t="n">
        <x:v>141</x:v>
      </x:c>
      <x:c r="D322" s="129" t="str">
        <x:v>2607.12270</x:v>
      </x:c>
      <x:c r="E322" s="128" t="str">
        <x:v>Effective stability for Hamiltonian PDEs with vanishing spectral gaps</x:v>
      </x:c>
      <x:c r="F322" s="128" t="str">
        <x:v>Bingqi Yu; Yong Li</x:v>
      </x:c>
      <x:c r="G322" s="128" t="str">
        <x:v>Hamiltonian PDE</x:v>
      </x:c>
      <x:c r="H322" s="129" t="str">
        <x:v>-</x:v>
      </x:c>
      <x:c r="I322" s="130" t="n">
        <x:v>86.45</x:v>
      </x:c>
      <x:c r="J322" s="130" t="n">
        <x:v>85.9</x:v>
      </x:c>
      <x:c r="K322" s="130" t="n">
        <x:v>87</x:v>
      </x:c>
      <x:c r="L322" s="130" t="n">
        <x:v>86</x:v>
      </x:c>
      <x:c r="M322" s="130" t="n">
        <x:v>86</x:v>
      </x:c>
      <x:c r="N322" s="130" t="n">
        <x:v>88</x:v>
      </x:c>
      <x:c r="O322" s="130" t="n">
        <x:v>84</x:v>
      </x:c>
      <x:c r="P322" s="130" t="n">
        <x:v>88</x:v>
      </x:c>
      <x:c r="Q322" s="130" t="n">
        <x:v>83</x:v>
      </x:c>
      <x:c r="R322" s="130" t="n">
        <x:v>11</x:v>
      </x:c>
      <x:c r="S322" s="128" t="str">
        <x:v>https://arxiv.org/abs/2607.12270</x:v>
      </x:c>
      <x:c r="T322" s="128" t="str">
        <x:v>Additional exact July entry retained to complete 30% scoring pool.</x:v>
      </x:c>
    </x:row>
    <x:row r="323" ht="28" customHeight="1">
      <x:c r="A323" s="129" t="n">
        <x:v>322</x:v>
      </x:c>
      <x:c r="B323" s="129" t="str">
        <x:v>2026-07</x:v>
      </x:c>
      <x:c r="C323" s="129" t="n">
        <x:v>142</x:v>
      </x:c>
      <x:c r="D323" s="129" t="str">
        <x:v>2607.13163</x:v>
      </x:c>
      <x:c r="E323" s="128" t="str">
        <x:v>Non-local evolution equations with Levy diffusion: Well-posedness and limiting behavior</x:v>
      </x:c>
      <x:c r="F323" s="128" t="str">
        <x:v>Xi Huang; Li Peng; Yong Zhou</x:v>
      </x:c>
      <x:c r="G323" s="128" t="str">
        <x:v>nonlocal evolution</x:v>
      </x:c>
      <x:c r="H323" s="129" t="str">
        <x:v>-</x:v>
      </x:c>
      <x:c r="I323" s="130" t="n">
        <x:v>86.45</x:v>
      </x:c>
      <x:c r="J323" s="130" t="n">
        <x:v>85.9</x:v>
      </x:c>
      <x:c r="K323" s="130" t="n">
        <x:v>87</x:v>
      </x:c>
      <x:c r="L323" s="130" t="n">
        <x:v>86</x:v>
      </x:c>
      <x:c r="M323" s="130" t="n">
        <x:v>86</x:v>
      </x:c>
      <x:c r="N323" s="130" t="n">
        <x:v>88</x:v>
      </x:c>
      <x:c r="O323" s="130" t="n">
        <x:v>84</x:v>
      </x:c>
      <x:c r="P323" s="130" t="n">
        <x:v>88</x:v>
      </x:c>
      <x:c r="Q323" s="130" t="n">
        <x:v>83</x:v>
      </x:c>
      <x:c r="R323" s="130" t="n">
        <x:v>11</x:v>
      </x:c>
      <x:c r="S323" s="128" t="str">
        <x:v>https://arxiv.org/abs/2607.13163</x:v>
      </x:c>
      <x:c r="T323" s="128" t="str">
        <x:v>Additional exact July entry retained to complete 30% scoring pool.</x:v>
      </x:c>
    </x:row>
    <x:row r="324" ht="28" customHeight="1">
      <x:c r="A324" s="129" t="n">
        <x:v>323</x:v>
      </x:c>
      <x:c r="B324" s="129" t="str">
        <x:v>2026-08</x:v>
      </x:c>
      <x:c r="C324" s="129" t="n">
        <x:v>51</x:v>
      </x:c>
      <x:c r="D324" s="129" t="str">
        <x:v>2608.00689</x:v>
      </x:c>
      <x:c r="E324" s="128" t="str">
        <x:v>Existence of weak solutions for power-law compressible non-Newtonian fluids</x:v>
      </x:c>
      <x:c r="F324" s="128" t="str">
        <x:v>Siran Li; Jianing Yang; Yuantu Zhu</x:v>
      </x:c>
      <x:c r="G324" s="128" t="str">
        <x:v>non-Newtonian fluids</x:v>
      </x:c>
      <x:c r="H324" s="129" t="n">
        <x:v>33</x:v>
      </x:c>
      <x:c r="I324" s="130" t="n">
        <x:v>86.45</x:v>
      </x:c>
      <x:c r="J324" s="130" t="n">
        <x:v>85.9</x:v>
      </x:c>
      <x:c r="K324" s="130" t="n">
        <x:v>87</x:v>
      </x:c>
      <x:c r="L324" s="130" t="n">
        <x:v>86</x:v>
      </x:c>
      <x:c r="M324" s="130" t="n">
        <x:v>86</x:v>
      </x:c>
      <x:c r="N324" s="130" t="n">
        <x:v>88</x:v>
      </x:c>
      <x:c r="O324" s="130" t="n">
        <x:v>84</x:v>
      </x:c>
      <x:c r="P324" s="130" t="n">
        <x:v>88</x:v>
      </x:c>
      <x:c r="Q324" s="130" t="n">
        <x:v>83</x:v>
      </x:c>
      <x:c r="R324" s="130" t="n">
        <x:v>11</x:v>
      </x:c>
      <x:c r="S324" s="128" t="str">
        <x:v>https://arxiv.org/abs/2608.00689</x:v>
      </x:c>
      <x:c r="T324" s="128" t="str">
        <x:v>Weak-solution existence for compressible non-Newtonian flow.</x:v>
      </x:c>
    </x:row>
    <x:row r="325" ht="28" customHeight="1">
      <x:c r="A325" s="129" t="n">
        <x:v>324</x:v>
      </x:c>
      <x:c r="B325" s="129" t="str">
        <x:v>2026-07</x:v>
      </x:c>
      <x:c r="C325" s="129" t="n">
        <x:v>143</x:v>
      </x:c>
      <x:c r="D325" s="129" t="str">
        <x:v>2607.06725</x:v>
      </x:c>
      <x:c r="E325" s="128" t="str">
        <x:v>H-convergence and Gamma-convergence in the Riesz fractional setting: the nonlinear case</x:v>
      </x:c>
      <x:c r="F325" s="128" t="str">
        <x:v>Giuseppe C. Brusca; Maicol Caponi; Alessandro Carbotti; Alberto Maione; Fabio Paronetto</x:v>
      </x:c>
      <x:c r="G325" s="128" t="str">
        <x:v>fractional homogenization</x:v>
      </x:c>
      <x:c r="H325" s="129" t="n">
        <x:v>34</x:v>
      </x:c>
      <x:c r="I325" s="130" t="n">
        <x:v>86.43</x:v>
      </x:c>
      <x:c r="J325" s="130" t="n">
        <x:v>86.2</x:v>
      </x:c>
      <x:c r="K325" s="130" t="n">
        <x:v>86.65</x:v>
      </x:c>
      <x:c r="L325" s="130" t="n">
        <x:v>87</x:v>
      </x:c>
      <x:c r="M325" s="130" t="n">
        <x:v>85</x:v>
      </x:c>
      <x:c r="N325" s="130" t="n">
        <x:v>88</x:v>
      </x:c>
      <x:c r="O325" s="130" t="n">
        <x:v>84</x:v>
      </x:c>
      <x:c r="P325" s="130" t="n">
        <x:v>88</x:v>
      </x:c>
      <x:c r="Q325" s="130" t="n">
        <x:v>85</x:v>
      </x:c>
      <x:c r="R325" s="130" t="n">
        <x:v>14</x:v>
      </x:c>
      <x:c r="S325" s="128" t="str">
        <x:v>https://arxiv.org/abs/2607.06725</x:v>
      </x:c>
      <x:c r="T325" s="128" t="str">
        <x:v>Background row in the 30% scored pool; title/authors from official July list.</x:v>
      </x:c>
    </x:row>
    <x:row r="326" ht="28" customHeight="1">
      <x:c r="A326" s="129" t="n">
        <x:v>325</x:v>
      </x:c>
      <x:c r="B326" s="129" t="str">
        <x:v>2026-07</x:v>
      </x:c>
      <x:c r="C326" s="129" t="n">
        <x:v>144</x:v>
      </x:c>
      <x:c r="D326" s="129" t="str">
        <x:v>2607.08919</x:v>
      </x:c>
      <x:c r="E326" s="128" t="str">
        <x:v>Gradient regularity for degenerate fully nonlinear free transmission problems with Hamiltonian terms</x:v>
      </x:c>
      <x:c r="F326" s="128" t="str">
        <x:v>Wentao Huo</x:v>
      </x:c>
      <x:c r="G326" s="128" t="str">
        <x:v>fully nonlinear/free boundary</x:v>
      </x:c>
      <x:c r="H326" s="129" t="n">
        <x:v>36</x:v>
      </x:c>
      <x:c r="I326" s="130" t="n">
        <x:v>86.43</x:v>
      </x:c>
      <x:c r="J326" s="130" t="n">
        <x:v>86.2</x:v>
      </x:c>
      <x:c r="K326" s="130" t="n">
        <x:v>86.65</x:v>
      </x:c>
      <x:c r="L326" s="130" t="n">
        <x:v>87</x:v>
      </x:c>
      <x:c r="M326" s="130" t="n">
        <x:v>85</x:v>
      </x:c>
      <x:c r="N326" s="130" t="n">
        <x:v>88</x:v>
      </x:c>
      <x:c r="O326" s="130" t="n">
        <x:v>84</x:v>
      </x:c>
      <x:c r="P326" s="130" t="n">
        <x:v>88</x:v>
      </x:c>
      <x:c r="Q326" s="130" t="n">
        <x:v>85</x:v>
      </x:c>
      <x:c r="R326" s="130" t="n">
        <x:v>14</x:v>
      </x:c>
      <x:c r="S326" s="128" t="str">
        <x:v>https://arxiv.org/abs/2607.08919</x:v>
      </x:c>
      <x:c r="T326" s="128" t="str">
        <x:v>Background row in the 30% scored pool; title/authors from official July list.</x:v>
      </x:c>
    </x:row>
    <x:row r="327" ht="28" customHeight="1">
      <x:c r="A327" s="129" t="n">
        <x:v>326</x:v>
      </x:c>
      <x:c r="B327" s="129" t="str">
        <x:v>2026-07</x:v>
      </x:c>
      <x:c r="C327" s="129" t="n">
        <x:v>145</x:v>
      </x:c>
      <x:c r="D327" s="129" t="str">
        <x:v>2607.11123</x:v>
      </x:c>
      <x:c r="E327" s="128" t="str">
        <x:v>On the direct scattering theory for the Calogero-Moser derivative nonlinear Schrodinger equation</x:v>
      </x:c>
      <x:c r="F327" s="128" t="str">
        <x:v>Sun Ruoci; Wang Deng-shan; Zhao Yi</x:v>
      </x:c>
      <x:c r="G327" s="128" t="str">
        <x:v>integrable PDE</x:v>
      </x:c>
      <x:c r="H327" s="129" t="str">
        <x:v>-</x:v>
      </x:c>
      <x:c r="I327" s="130" t="n">
        <x:v>86.43</x:v>
      </x:c>
      <x:c r="J327" s="130" t="n">
        <x:v>86.2</x:v>
      </x:c>
      <x:c r="K327" s="130" t="n">
        <x:v>86.65</x:v>
      </x:c>
      <x:c r="L327" s="130" t="n">
        <x:v>87</x:v>
      </x:c>
      <x:c r="M327" s="130" t="n">
        <x:v>85</x:v>
      </x:c>
      <x:c r="N327" s="130" t="n">
        <x:v>88</x:v>
      </x:c>
      <x:c r="O327" s="130" t="n">
        <x:v>84</x:v>
      </x:c>
      <x:c r="P327" s="130" t="n">
        <x:v>88</x:v>
      </x:c>
      <x:c r="Q327" s="130" t="n">
        <x:v>85</x:v>
      </x:c>
      <x:c r="R327" s="130" t="n">
        <x:v>14</x:v>
      </x:c>
      <x:c r="S327" s="128" t="str">
        <x:v>https://arxiv.org/abs/2607.11123</x:v>
      </x:c>
      <x:c r="T327" s="128" t="str">
        <x:v>Background row in the 30% scored pool; title/authors from official July list.</x:v>
      </x:c>
    </x:row>
    <x:row r="328" ht="28" customHeight="1">
      <x:c r="A328" s="129" t="n">
        <x:v>327</x:v>
      </x:c>
      <x:c r="B328" s="129" t="str">
        <x:v>2026-07</x:v>
      </x:c>
      <x:c r="C328" s="129" t="n">
        <x:v>146</x:v>
      </x:c>
      <x:c r="D328" s="129" t="str">
        <x:v>2607.11502</x:v>
      </x:c>
      <x:c r="E328" s="128" t="str">
        <x:v>On inverse scattering for the nonlocal nonlinear Schrodinger equation with slowly decaying data</x:v>
      </x:c>
      <x:c r="F328" s="128" t="str">
        <x:v>Hideo Takaoka</x:v>
      </x:c>
      <x:c r="G328" s="128" t="str">
        <x:v>inverse scattering/NLS</x:v>
      </x:c>
      <x:c r="H328" s="129" t="n">
        <x:v>19</x:v>
      </x:c>
      <x:c r="I328" s="130" t="n">
        <x:v>86.43</x:v>
      </x:c>
      <x:c r="J328" s="130" t="n">
        <x:v>86.2</x:v>
      </x:c>
      <x:c r="K328" s="130" t="n">
        <x:v>86.65</x:v>
      </x:c>
      <x:c r="L328" s="130" t="n">
        <x:v>87</x:v>
      </x:c>
      <x:c r="M328" s="130" t="n">
        <x:v>85</x:v>
      </x:c>
      <x:c r="N328" s="130" t="n">
        <x:v>88</x:v>
      </x:c>
      <x:c r="O328" s="130" t="n">
        <x:v>84</x:v>
      </x:c>
      <x:c r="P328" s="130" t="n">
        <x:v>88</x:v>
      </x:c>
      <x:c r="Q328" s="130" t="n">
        <x:v>85</x:v>
      </x:c>
      <x:c r="R328" s="130" t="n">
        <x:v>14</x:v>
      </x:c>
      <x:c r="S328" s="128" t="str">
        <x:v>https://arxiv.org/abs/2607.11502</x:v>
      </x:c>
      <x:c r="T328" s="128" t="str">
        <x:v>Background row in the 30% scored pool; title/authors from official July list.</x:v>
      </x:c>
    </x:row>
    <x:row r="329" ht="28" customHeight="1">
      <x:c r="A329" s="129" t="n">
        <x:v>328</x:v>
      </x:c>
      <x:c r="B329" s="129" t="str">
        <x:v>2026-07</x:v>
      </x:c>
      <x:c r="C329" s="129" t="n">
        <x:v>147</x:v>
      </x:c>
      <x:c r="D329" s="129" t="str">
        <x:v>2607.10143</x:v>
      </x:c>
      <x:c r="E329" s="128" t="str">
        <x:v>Global well-posedness of the Boltzmann equation via bilinear estimates</x:v>
      </x:c>
      <x:c r="F329" s="128" t="str">
        <x:v>Anne Niesdroy</x:v>
      </x:c>
      <x:c r="G329" s="128" t="str">
        <x:v>Boltzmann</x:v>
      </x:c>
      <x:c r="H329" s="129" t="n">
        <x:v>13</x:v>
      </x:c>
      <x:c r="I329" s="130" t="n">
        <x:v>86.38</x:v>
      </x:c>
      <x:c r="J329" s="130" t="n">
        <x:v>86.1</x:v>
      </x:c>
      <x:c r="K329" s="130" t="n">
        <x:v>86.65</x:v>
      </x:c>
      <x:c r="L329" s="130" t="n">
        <x:v>87</x:v>
      </x:c>
      <x:c r="M329" s="130" t="n">
        <x:v>85</x:v>
      </x:c>
      <x:c r="N329" s="130" t="n">
        <x:v>88</x:v>
      </x:c>
      <x:c r="O329" s="130" t="n">
        <x:v>84</x:v>
      </x:c>
      <x:c r="P329" s="130" t="n">
        <x:v>88</x:v>
      </x:c>
      <x:c r="Q329" s="130" t="n">
        <x:v>84</x:v>
      </x:c>
      <x:c r="R329" s="130" t="n">
        <x:v>13</x:v>
      </x:c>
      <x:c r="S329" s="128" t="str">
        <x:v>https://arxiv.org/abs/2607.10143</x:v>
      </x:c>
      <x:c r="T329" s="128" t="str">
        <x:v>Scored candidate from official July math.AP list; correctness not checked.</x:v>
      </x:c>
    </x:row>
    <x:row r="330" ht="28" customHeight="1">
      <x:c r="A330" s="129" t="n">
        <x:v>329</x:v>
      </x:c>
      <x:c r="B330" s="129" t="str">
        <x:v>2026-05</x:v>
      </x:c>
      <x:c r="C330" s="129" t="n">
        <x:v>81</x:v>
      </x:c>
      <x:c r="D330" s="129" t="str">
        <x:v>2605.30657</x:v>
      </x:c>
      <x:c r="E330" s="128" t="str">
        <x:v>Well-posedness for the periodic Intermediate nonlinear Schrodinger equation</x:v>
      </x:c>
      <x:c r="F330" s="128" t="str">
        <x:v>Andreia Chapouto; Justin Forlano; Thierry Laurens</x:v>
      </x:c>
      <x:c r="G330" s="128" t="str">
        <x:v>Dispersive PDE</x:v>
      </x:c>
      <x:c r="H330" s="129" t="n">
        <x:v>60</x:v>
      </x:c>
      <x:c r="I330" s="130" t="n">
        <x:v>86.32</x:v>
      </x:c>
      <x:c r="J330" s="130" t="n">
        <x:v>86.05</x:v>
      </x:c>
      <x:c r="K330" s="130" t="n">
        <x:v>86.6</x:v>
      </x:c>
      <x:c r="L330" s="130" t="n">
        <x:v>86</x:v>
      </x:c>
      <x:c r="M330" s="130" t="n">
        <x:v>87</x:v>
      </x:c>
      <x:c r="N330" s="130" t="n">
        <x:v>88</x:v>
      </x:c>
      <x:c r="O330" s="130" t="n">
        <x:v>83</x:v>
      </x:c>
      <x:c r="P330" s="130" t="n">
        <x:v>88</x:v>
      </x:c>
      <x:c r="Q330" s="130" t="n">
        <x:v>84</x:v>
      </x:c>
      <x:c r="R330" s="130" t="n">
        <x:v>16</x:v>
      </x:c>
      <x:c r="S330" s="128" t="str">
        <x:v>https://arxiv.org/abs/2605.30657</x:v>
      </x:c>
      <x:c r="T330" s="128" t="str">
        <x:v>三轮复核后与原表基本一致</x:v>
      </x:c>
    </x:row>
    <x:row r="331" ht="28" customHeight="1">
      <x:c r="A331" s="129" t="n">
        <x:v>330</x:v>
      </x:c>
      <x:c r="B331" s="129" t="str">
        <x:v>2026-05</x:v>
      </x:c>
      <x:c r="C331" s="129" t="n">
        <x:v>81</x:v>
      </x:c>
      <x:c r="D331" s="129" t="str">
        <x:v>2605.13389</x:v>
      </x:c>
      <x:c r="E331" s="128" t="str">
        <x:v>Optimal stability of complement value problems for p-Levy operators</x:v>
      </x:c>
      <x:c r="F331" s="128" t="str">
        <x:v>Guy Foghem</x:v>
      </x:c>
      <x:c r="G331" s="128" t="str">
        <x:v>Nonlocal operators</x:v>
      </x:c>
      <x:c r="H331" s="129" t="n">
        <x:v>49</x:v>
      </x:c>
      <x:c r="I331" s="130" t="n">
        <x:v>86.32</x:v>
      </x:c>
      <x:c r="J331" s="130" t="n">
        <x:v>86.05</x:v>
      </x:c>
      <x:c r="K331" s="130" t="n">
        <x:v>86.6</x:v>
      </x:c>
      <x:c r="L331" s="130" t="n">
        <x:v>86</x:v>
      </x:c>
      <x:c r="M331" s="130" t="n">
        <x:v>87</x:v>
      </x:c>
      <x:c r="N331" s="130" t="n">
        <x:v>88</x:v>
      </x:c>
      <x:c r="O331" s="130" t="n">
        <x:v>83</x:v>
      </x:c>
      <x:c r="P331" s="130" t="n">
        <x:v>88</x:v>
      </x:c>
      <x:c r="Q331" s="130" t="n">
        <x:v>84</x:v>
      </x:c>
      <x:c r="R331" s="130" t="n">
        <x:v>16</x:v>
      </x:c>
      <x:c r="S331" s="128" t="str">
        <x:v>https://arxiv.org/abs/2605.13389</x:v>
      </x:c>
      <x:c r="T331" s="128" t="str">
        <x:v>三轮复核后与原表基本一致</x:v>
      </x:c>
    </x:row>
    <x:row r="332" ht="28" customHeight="1">
      <x:c r="A332" s="129" t="n">
        <x:v>331</x:v>
      </x:c>
      <x:c r="B332" s="129" t="str">
        <x:v>2026-07</x:v>
      </x:c>
      <x:c r="C332" s="129" t="n">
        <x:v>148</x:v>
      </x:c>
      <x:c r="D332" s="129" t="str">
        <x:v>2607.13341</x:v>
      </x:c>
      <x:c r="E332" s="128" t="str">
        <x:v>Existence, Uniqueness, and Pathwise Regularity for Multidimensional Semilinear SPDEs with Locally Lipschitz Coefficients and Rough Initial Data</x:v>
      </x:c>
      <x:c r="F332" s="128" t="str">
        <x:v>Jitendra Nath Naik; Lok Pati Tripathi</x:v>
      </x:c>
      <x:c r="G332" s="128" t="str">
        <x:v>SPDE</x:v>
      </x:c>
      <x:c r="H332" s="129" t="n">
        <x:v>46</x:v>
      </x:c>
      <x:c r="I332" s="130" t="n">
        <x:v>86.28</x:v>
      </x:c>
      <x:c r="J332" s="130" t="n">
        <x:v>85.85</x:v>
      </x:c>
      <x:c r="K332" s="130" t="n">
        <x:v>86.7</x:v>
      </x:c>
      <x:c r="L332" s="130" t="n">
        <x:v>86</x:v>
      </x:c>
      <x:c r="M332" s="130" t="n">
        <x:v>85</x:v>
      </x:c>
      <x:c r="N332" s="130" t="n">
        <x:v>89</x:v>
      </x:c>
      <x:c r="O332" s="130" t="n">
        <x:v>84</x:v>
      </x:c>
      <x:c r="P332" s="130" t="n">
        <x:v>89</x:v>
      </x:c>
      <x:c r="Q332" s="130" t="n">
        <x:v>82</x:v>
      </x:c>
      <x:c r="R332" s="130" t="n">
        <x:v>14</x:v>
      </x:c>
      <x:c r="S332" s="128" t="str">
        <x:v>https://arxiv.org/abs/2607.13341</x:v>
      </x:c>
      <x:c r="T332" s="128" t="str">
        <x:v>Additional exact July entry retained to complete 30% scoring pool.</x:v>
      </x:c>
    </x:row>
    <x:row r="333" ht="28" customHeight="1">
      <x:c r="A333" s="129" t="n">
        <x:v>332</x:v>
      </x:c>
      <x:c r="B333" s="129" t="str">
        <x:v>2026-05</x:v>
      </x:c>
      <x:c r="C333" s="129" t="n">
        <x:v>83</x:v>
      </x:c>
      <x:c r="D333" s="129" t="str">
        <x:v>2605.26506</x:v>
      </x:c>
      <x:c r="E333" s="128" t="str">
        <x:v>The Stability of Minkowski Spacetime</x:v>
      </x:c>
      <x:c r="F333" s="128" t="str">
        <x:v>Dawei Shen</x:v>
      </x:c>
      <x:c r="G333" s="128" t="str">
        <x:v>GR stability / survey</x:v>
      </x:c>
      <x:c r="H333" s="129" t="n">
        <x:v>29</x:v>
      </x:c>
      <x:c r="I333" s="130" t="n">
        <x:v>86.2</x:v>
      </x:c>
      <x:c r="J333" s="130" t="n">
        <x:v>86.9</x:v>
      </x:c>
      <x:c r="K333" s="130" t="n">
        <x:v>85.5</x:v>
      </x:c>
      <x:c r="L333" s="130" t="n">
        <x:v>88</x:v>
      </x:c>
      <x:c r="M333" s="130" t="n">
        <x:v>85</x:v>
      </x:c>
      <x:c r="N333" s="130" t="n">
        <x:v>86</x:v>
      </x:c>
      <x:c r="O333" s="130" t="n">
        <x:v>88</x:v>
      </x:c>
      <x:c r="P333" s="130" t="n">
        <x:v>86</x:v>
      </x:c>
      <x:c r="Q333" s="130" t="n">
        <x:v>88</x:v>
      </x:c>
      <x:c r="R333" s="130" t="n">
        <x:v>18</x:v>
      </x:c>
      <x:c r="S333" s="128" t="str">
        <x:v>https://arxiv.org/abs/2605.26506</x:v>
      </x:c>
      <x:c r="T333" s="128" t="str">
        <x:v>三轮复核后与原表基本一致</x:v>
      </x:c>
    </x:row>
    <x:row r="334" ht="28" customHeight="1">
      <x:c r="A334" s="129" t="n">
        <x:v>333</x:v>
      </x:c>
      <x:c r="B334" s="129" t="str">
        <x:v>2026-07</x:v>
      </x:c>
      <x:c r="C334" s="129" t="n">
        <x:v>149</x:v>
      </x:c>
      <x:c r="D334" s="129" t="str">
        <x:v>2607.11702</x:v>
      </x:c>
      <x:c r="E334" s="128" t="str">
        <x:v>Uniform controllability for the wave equation with large potential</x:v>
      </x:c>
      <x:c r="F334" s="128" t="str">
        <x:v>Arthur Yax</x:v>
      </x:c>
      <x:c r="G334" s="128" t="str">
        <x:v>control/wave equations</x:v>
      </x:c>
      <x:c r="H334" s="129" t="str">
        <x:v>-</x:v>
      </x:c>
      <x:c r="I334" s="130" t="n">
        <x:v>86.18</x:v>
      </x:c>
      <x:c r="J334" s="130" t="n">
        <x:v>85.7</x:v>
      </x:c>
      <x:c r="K334" s="130" t="n">
        <x:v>86.65</x:v>
      </x:c>
      <x:c r="L334" s="130" t="n">
        <x:v>86</x:v>
      </x:c>
      <x:c r="M334" s="130" t="n">
        <x:v>85</x:v>
      </x:c>
      <x:c r="N334" s="130" t="n">
        <x:v>88</x:v>
      </x:c>
      <x:c r="O334" s="130" t="n">
        <x:v>84</x:v>
      </x:c>
      <x:c r="P334" s="130" t="n">
        <x:v>88</x:v>
      </x:c>
      <x:c r="Q334" s="130" t="n">
        <x:v>83</x:v>
      </x:c>
      <x:c r="R334" s="130" t="n">
        <x:v>12</x:v>
      </x:c>
      <x:c r="S334" s="128" t="str">
        <x:v>https://arxiv.org/abs/2607.11702</x:v>
      </x:c>
      <x:c r="T334" s="128" t="str">
        <x:v>Later July exact candidate included in 30% scored pool.</x:v>
      </x:c>
    </x:row>
    <x:row r="335" ht="28" customHeight="1">
      <x:c r="A335" s="129" t="n">
        <x:v>334</x:v>
      </x:c>
      <x:c r="B335" s="129" t="str">
        <x:v>2026-07</x:v>
      </x:c>
      <x:c r="C335" s="129" t="n">
        <x:v>150</x:v>
      </x:c>
      <x:c r="D335" s="129" t="str">
        <x:v>2607.12413</x:v>
      </x:c>
      <x:c r="E335" s="128" t="str">
        <x:v>Control and homogenization of a coupled hyperbolic system with an oscillating coefficient</x:v>
      </x:c>
      <x:c r="F335" s="128" t="str">
        <x:v>Vaibhav Kumar Jena; Abu Sufian</x:v>
      </x:c>
      <x:c r="G335" s="128" t="str">
        <x:v>control/homogenization</x:v>
      </x:c>
      <x:c r="H335" s="129" t="n">
        <x:v>18</x:v>
      </x:c>
      <x:c r="I335" s="130" t="n">
        <x:v>86.18</x:v>
      </x:c>
      <x:c r="J335" s="130" t="n">
        <x:v>85.7</x:v>
      </x:c>
      <x:c r="K335" s="130" t="n">
        <x:v>86.65</x:v>
      </x:c>
      <x:c r="L335" s="130" t="n">
        <x:v>86</x:v>
      </x:c>
      <x:c r="M335" s="130" t="n">
        <x:v>85</x:v>
      </x:c>
      <x:c r="N335" s="130" t="n">
        <x:v>88</x:v>
      </x:c>
      <x:c r="O335" s="130" t="n">
        <x:v>84</x:v>
      </x:c>
      <x:c r="P335" s="130" t="n">
        <x:v>88</x:v>
      </x:c>
      <x:c r="Q335" s="130" t="n">
        <x:v>83</x:v>
      </x:c>
      <x:c r="R335" s="130" t="n">
        <x:v>12</x:v>
      </x:c>
      <x:c r="S335" s="128" t="str">
        <x:v>https://arxiv.org/abs/2607.12413</x:v>
      </x:c>
      <x:c r="T335" s="128" t="str">
        <x:v>Additional exact July entry retained to complete 30% scoring pool.</x:v>
      </x:c>
    </x:row>
    <x:row r="336" ht="28" customHeight="1">
      <x:c r="A336" s="129" t="n">
        <x:v>335</x:v>
      </x:c>
      <x:c r="B336" s="129" t="str">
        <x:v>2026-05</x:v>
      </x:c>
      <x:c r="C336" s="129" t="n">
        <x:v>83</x:v>
      </x:c>
      <x:c r="D336" s="129" t="str">
        <x:v>2605.22741</x:v>
      </x:c>
      <x:c r="E336" s="128" t="str">
        <x:v>Global well-posedness of 2D non-resistive compressible MHD system</x:v>
      </x:c>
      <x:c r="F336" s="128" t="str">
        <x:v>Yi Zhu</x:v>
      </x:c>
      <x:c r="G336" s="128" t="str">
        <x:v>MHD</x:v>
      </x:c>
      <x:c r="H336" s="129" t="n">
        <x:v>72</x:v>
      </x:c>
      <x:c r="I336" s="130" t="n">
        <x:v>86.17</x:v>
      </x:c>
      <x:c r="J336" s="130" t="n">
        <x:v>85.89</x:v>
      </x:c>
      <x:c r="K336" s="130" t="n">
        <x:v>86.45</x:v>
      </x:c>
      <x:c r="L336" s="130" t="n">
        <x:v>86</x:v>
      </x:c>
      <x:c r="M336" s="130" t="n">
        <x:v>86.1</x:v>
      </x:c>
      <x:c r="N336" s="130" t="n">
        <x:v>88</x:v>
      </x:c>
      <x:c r="O336" s="130" t="n">
        <x:v>83.1</x:v>
      </x:c>
      <x:c r="P336" s="130" t="n">
        <x:v>88.1</x:v>
      </x:c>
      <x:c r="Q336" s="130" t="n">
        <x:v>84</x:v>
      </x:c>
      <x:c r="R336" s="130" t="n">
        <x:v>16</x:v>
      </x:c>
      <x:c r="S336" s="128" t="str">
        <x:v>https://arxiv.org/abs/2605.22741</x:v>
      </x:c>
      <x:c r="T336" s="128" t="str">
        <x:v>三轮复核后与原表基本一致</x:v>
      </x:c>
    </x:row>
    <x:row r="337" ht="28" customHeight="1">
      <x:c r="A337" s="129" t="n">
        <x:v>336</x:v>
      </x:c>
      <x:c r="B337" s="129" t="str">
        <x:v>2026-05</x:v>
      </x:c>
      <x:c r="C337" s="129" t="n">
        <x:v>85</x:v>
      </x:c>
      <x:c r="D337" s="129" t="str">
        <x:v>2605.19438</x:v>
      </x:c>
      <x:c r="E337" s="128" t="str">
        <x:v>Maximal inequalities and Riesz transforms for vector-valued magnetic Schrodinger operators</x:v>
      </x:c>
      <x:c r="F337" s="128" t="str">
        <x:v>Davide Addona; Vincenzo Leone; Luca Lorenzi; El Maati Ouhabaz; Abdelaziz Rhandi</x:v>
      </x:c>
      <x:c r="G337" s="128" t="str">
        <x:v>Schrodinger operators</x:v>
      </x:c>
      <x:c r="H337" s="129"/>
      <x:c r="I337" s="130" t="n">
        <x:v>86.08</x:v>
      </x:c>
      <x:c r="J337" s="130" t="n">
        <x:v>85.9</x:v>
      </x:c>
      <x:c r="K337" s="130" t="n">
        <x:v>86.25</x:v>
      </x:c>
      <x:c r="L337" s="130" t="n">
        <x:v>86</x:v>
      </x:c>
      <x:c r="M337" s="130" t="n">
        <x:v>87</x:v>
      </x:c>
      <x:c r="N337" s="130" t="n">
        <x:v>87</x:v>
      </x:c>
      <x:c r="O337" s="130" t="n">
        <x:v>83</x:v>
      </x:c>
      <x:c r="P337" s="130" t="n">
        <x:v>87</x:v>
      </x:c>
      <x:c r="Q337" s="130" t="n">
        <x:v>85</x:v>
      </x:c>
      <x:c r="R337" s="130" t="n">
        <x:v>16</x:v>
      </x:c>
      <x:c r="S337" s="128" t="str">
        <x:v>https://arxiv.org/abs/2605.19438</x:v>
      </x:c>
      <x:c r="T337" s="128" t="str">
        <x:v>三轮复核后与原表基本一致</x:v>
      </x:c>
    </x:row>
    <x:row r="338" ht="28" customHeight="1">
      <x:c r="A338" s="129" t="n">
        <x:v>337</x:v>
      </x:c>
      <x:c r="B338" s="129" t="str">
        <x:v>2026-07</x:v>
      </x:c>
      <x:c r="C338" s="129" t="n">
        <x:v>151</x:v>
      </x:c>
      <x:c r="D338" s="129" t="str">
        <x:v>2607.05166</x:v>
      </x:c>
      <x:c r="E338" s="128" t="str">
        <x:v>Stability of vertically charged steady magnetic field in 3D incompressible magneto-micropolar fluids without magnetic and angular viscosity in a strip domain</x:v>
      </x:c>
      <x:c r="F338" s="128" t="str">
        <x:v>Zefu Feng; Guangyi Hong; Jiahong Wu; Kun Zhao</x:v>
      </x:c>
      <x:c r="G338" s="128" t="str">
        <x:v>MHD/micropolar fluids</x:v>
      </x:c>
      <x:c r="H338" s="129" t="str">
        <x:v>-</x:v>
      </x:c>
      <x:c r="I338" s="130" t="n">
        <x:v>86.03</x:v>
      </x:c>
      <x:c r="J338" s="130" t="n">
        <x:v>85.75</x:v>
      </x:c>
      <x:c r="K338" s="130" t="n">
        <x:v>86.3</x:v>
      </x:c>
      <x:c r="L338" s="130" t="n">
        <x:v>87</x:v>
      </x:c>
      <x:c r="M338" s="130" t="n">
        <x:v>84</x:v>
      </x:c>
      <x:c r="N338" s="130" t="n">
        <x:v>88</x:v>
      </x:c>
      <x:c r="O338" s="130" t="n">
        <x:v>83</x:v>
      </x:c>
      <x:c r="P338" s="130" t="n">
        <x:v>88</x:v>
      </x:c>
      <x:c r="Q338" s="130" t="n">
        <x:v>84</x:v>
      </x:c>
      <x:c r="R338" s="130" t="n">
        <x:v>14</x:v>
      </x:c>
      <x:c r="S338" s="128" t="str">
        <x:v>https://arxiv.org/abs/2607.05166</x:v>
      </x:c>
      <x:c r="T338" s="128" t="str">
        <x:v>Background row in the 30% scored pool; title/authors from official July list.</x:v>
      </x:c>
    </x:row>
    <x:row r="339" ht="28" customHeight="1">
      <x:c r="A339" s="129" t="n">
        <x:v>338</x:v>
      </x:c>
      <x:c r="B339" s="129" t="str">
        <x:v>2026-07</x:v>
      </x:c>
      <x:c r="C339" s="129" t="n">
        <x:v>152</x:v>
      </x:c>
      <x:c r="D339" s="129" t="str">
        <x:v>2607.06895</x:v>
      </x:c>
      <x:c r="E339" s="128" t="str">
        <x:v>Power Convexity of Solutions to the Complex Monge-Ampere Equation in Complex Dimension Two</x:v>
      </x:c>
      <x:c r="F339" s="128" t="str">
        <x:v>Hongyu Chen; Jingchen Hu; Li Sheng</x:v>
      </x:c>
      <x:c r="G339" s="128" t="str">
        <x:v>complex Monge-Ampere</x:v>
      </x:c>
      <x:c r="H339" s="129" t="str">
        <x:v>-</x:v>
      </x:c>
      <x:c r="I339" s="130" t="n">
        <x:v>86.03</x:v>
      </x:c>
      <x:c r="J339" s="130" t="n">
        <x:v>85.75</x:v>
      </x:c>
      <x:c r="K339" s="130" t="n">
        <x:v>86.3</x:v>
      </x:c>
      <x:c r="L339" s="130" t="n">
        <x:v>86</x:v>
      </x:c>
      <x:c r="M339" s="130" t="n">
        <x:v>85</x:v>
      </x:c>
      <x:c r="N339" s="130" t="n">
        <x:v>87</x:v>
      </x:c>
      <x:c r="O339" s="130" t="n">
        <x:v>84</x:v>
      </x:c>
      <x:c r="P339" s="130" t="n">
        <x:v>87</x:v>
      </x:c>
      <x:c r="Q339" s="130" t="n">
        <x:v>86</x:v>
      </x:c>
      <x:c r="R339" s="130" t="n">
        <x:v>14</x:v>
      </x:c>
      <x:c r="S339" s="128" t="str">
        <x:v>https://arxiv.org/abs/2607.06895</x:v>
      </x:c>
      <x:c r="T339" s="128" t="str">
        <x:v>Background row in the 30% scored pool; title/authors from official July list.</x:v>
      </x:c>
    </x:row>
    <x:row r="340" ht="28" customHeight="1">
      <x:c r="A340" s="129" t="n">
        <x:v>339</x:v>
      </x:c>
      <x:c r="B340" s="129" t="str">
        <x:v>2026-07</x:v>
      </x:c>
      <x:c r="C340" s="129" t="n">
        <x:v>153</x:v>
      </x:c>
      <x:c r="D340" s="129" t="str">
        <x:v>2607.09147</x:v>
      </x:c>
      <x:c r="E340" s="128" t="str">
        <x:v>On subwavelength guided seismic waves in Matryoshka-type elastic media with ring defects</x:v>
      </x:c>
      <x:c r="F340" s="128" t="str">
        <x:v>Lingzheng Kong</x:v>
      </x:c>
      <x:c r="G340" s="128" t="str">
        <x:v>elastic waves</x:v>
      </x:c>
      <x:c r="H340" s="129" t="str">
        <x:v>-</x:v>
      </x:c>
      <x:c r="I340" s="130" t="n">
        <x:v>86.03</x:v>
      </x:c>
      <x:c r="J340" s="130" t="n">
        <x:v>85.75</x:v>
      </x:c>
      <x:c r="K340" s="130" t="n">
        <x:v>86.3</x:v>
      </x:c>
      <x:c r="L340" s="130" t="n">
        <x:v>86</x:v>
      </x:c>
      <x:c r="M340" s="130" t="n">
        <x:v>85</x:v>
      </x:c>
      <x:c r="N340" s="130" t="n">
        <x:v>87</x:v>
      </x:c>
      <x:c r="O340" s="130" t="n">
        <x:v>84</x:v>
      </x:c>
      <x:c r="P340" s="130" t="n">
        <x:v>87</x:v>
      </x:c>
      <x:c r="Q340" s="130" t="n">
        <x:v>86</x:v>
      </x:c>
      <x:c r="R340" s="130" t="n">
        <x:v>14</x:v>
      </x:c>
      <x:c r="S340" s="128" t="str">
        <x:v>https://arxiv.org/abs/2607.09147</x:v>
      </x:c>
      <x:c r="T340" s="128" t="str">
        <x:v>Background row in the 30% scored pool; title/authors from official July list.</x:v>
      </x:c>
    </x:row>
    <x:row r="341" ht="28" customHeight="1">
      <x:c r="A341" s="129" t="n">
        <x:v>340</x:v>
      </x:c>
      <x:c r="B341" s="129" t="str">
        <x:v>2026-07</x:v>
      </x:c>
      <x:c r="C341" s="129" t="n">
        <x:v>154</x:v>
      </x:c>
      <x:c r="D341" s="129" t="str">
        <x:v>2607.02312</x:v>
      </x:c>
      <x:c r="E341" s="128" t="str">
        <x:v>The structure of solution spaces for fractional-order operators, with gradient estimates</x:v>
      </x:c>
      <x:c r="F341" s="128" t="str">
        <x:v>Gerd Grubb</x:v>
      </x:c>
      <x:c r="G341" s="128" t="str">
        <x:v>fractional PDE</x:v>
      </x:c>
      <x:c r="H341" s="129" t="str">
        <x:v>-</x:v>
      </x:c>
      <x:c r="I341" s="130" t="n">
        <x:v>85.98</x:v>
      </x:c>
      <x:c r="J341" s="130" t="n">
        <x:v>85.65</x:v>
      </x:c>
      <x:c r="K341" s="130" t="n">
        <x:v>86.3</x:v>
      </x:c>
      <x:c r="L341" s="130" t="n">
        <x:v>86</x:v>
      </x:c>
      <x:c r="M341" s="130" t="n">
        <x:v>85</x:v>
      </x:c>
      <x:c r="N341" s="130" t="n">
        <x:v>87</x:v>
      </x:c>
      <x:c r="O341" s="130" t="n">
        <x:v>84</x:v>
      </x:c>
      <x:c r="P341" s="130" t="n">
        <x:v>87</x:v>
      </x:c>
      <x:c r="Q341" s="130" t="n">
        <x:v>85</x:v>
      </x:c>
      <x:c r="R341" s="130" t="n">
        <x:v>13</x:v>
      </x:c>
      <x:c r="S341" s="128" t="str">
        <x:v>https://arxiv.org/abs/2607.02312</x:v>
      </x:c>
      <x:c r="T341" s="128" t="str">
        <x:v>Scored candidate from official July math.AP list; correctness not checked.</x:v>
      </x:c>
    </x:row>
    <x:row r="342" ht="28" customHeight="1">
      <x:c r="A342" s="129" t="n">
        <x:v>341</x:v>
      </x:c>
      <x:c r="B342" s="129" t="str">
        <x:v>2026-07</x:v>
      </x:c>
      <x:c r="C342" s="129" t="n">
        <x:v>155</x:v>
      </x:c>
      <x:c r="D342" s="129" t="str">
        <x:v>2607.03373</x:v>
      </x:c>
      <x:c r="E342" s="128" t="str">
        <x:v>Existence, uniqueness and regularity of solutions to the parabolic Ambrosio-Tortorelli system</x:v>
      </x:c>
      <x:c r="F342" s="128" t="str">
        <x:v>Martin Rakovsky</x:v>
      </x:c>
      <x:c r="G342" s="128" t="str">
        <x:v>variational parabolic</x:v>
      </x:c>
      <x:c r="H342" s="129" t="n">
        <x:v>45</x:v>
      </x:c>
      <x:c r="I342" s="130" t="n">
        <x:v>85.98</x:v>
      </x:c>
      <x:c r="J342" s="130" t="n">
        <x:v>85.65</x:v>
      </x:c>
      <x:c r="K342" s="130" t="n">
        <x:v>86.3</x:v>
      </x:c>
      <x:c r="L342" s="130" t="n">
        <x:v>86</x:v>
      </x:c>
      <x:c r="M342" s="130" t="n">
        <x:v>85</x:v>
      </x:c>
      <x:c r="N342" s="130" t="n">
        <x:v>87</x:v>
      </x:c>
      <x:c r="O342" s="130" t="n">
        <x:v>84</x:v>
      </x:c>
      <x:c r="P342" s="130" t="n">
        <x:v>87</x:v>
      </x:c>
      <x:c r="Q342" s="130" t="n">
        <x:v>85</x:v>
      </x:c>
      <x:c r="R342" s="130" t="n">
        <x:v>13</x:v>
      </x:c>
      <x:c r="S342" s="128" t="str">
        <x:v>https://arxiv.org/abs/2607.03373</x:v>
      </x:c>
      <x:c r="T342" s="128" t="str">
        <x:v>Scored candidate from official July math.AP list; correctness not checked.</x:v>
      </x:c>
    </x:row>
    <x:row r="343" ht="28" customHeight="1">
      <x:c r="A343" s="129" t="n">
        <x:v>342</x:v>
      </x:c>
      <x:c r="B343" s="129" t="str">
        <x:v>2026-07</x:v>
      </x:c>
      <x:c r="C343" s="129" t="n">
        <x:v>156</x:v>
      </x:c>
      <x:c r="D343" s="129" t="str">
        <x:v>2607.04424</x:v>
      </x:c>
      <x:c r="E343" s="128" t="str">
        <x:v>The nonlocal attraction-repulsion transport equation with power kernels</x:v>
      </x:c>
      <x:c r="F343" s="128" t="str">
        <x:v>Massimo Fornasier; Hui Huang; Lukang Sun</x:v>
      </x:c>
      <x:c r="G343" s="128" t="str">
        <x:v>nonlocal transport</x:v>
      </x:c>
      <x:c r="H343" s="129" t="n">
        <x:v>62</x:v>
      </x:c>
      <x:c r="I343" s="130" t="n">
        <x:v>85.98</x:v>
      </x:c>
      <x:c r="J343" s="130" t="n">
        <x:v>85.65</x:v>
      </x:c>
      <x:c r="K343" s="130" t="n">
        <x:v>86.3</x:v>
      </x:c>
      <x:c r="L343" s="130" t="n">
        <x:v>86</x:v>
      </x:c>
      <x:c r="M343" s="130" t="n">
        <x:v>85</x:v>
      </x:c>
      <x:c r="N343" s="130" t="n">
        <x:v>87</x:v>
      </x:c>
      <x:c r="O343" s="130" t="n">
        <x:v>84</x:v>
      </x:c>
      <x:c r="P343" s="130" t="n">
        <x:v>87</x:v>
      </x:c>
      <x:c r="Q343" s="130" t="n">
        <x:v>85</x:v>
      </x:c>
      <x:c r="R343" s="130" t="n">
        <x:v>13</x:v>
      </x:c>
      <x:c r="S343" s="128" t="str">
        <x:v>https://arxiv.org/abs/2607.04424</x:v>
      </x:c>
      <x:c r="T343" s="128" t="str">
        <x:v>Scored candidate from official July math.AP list; correctness not checked.</x:v>
      </x:c>
    </x:row>
    <x:row r="344" ht="28" customHeight="1">
      <x:c r="A344" s="129" t="n">
        <x:v>343</x:v>
      </x:c>
      <x:c r="B344" s="129" t="str">
        <x:v>2026-07</x:v>
      </x:c>
      <x:c r="C344" s="129" t="n">
        <x:v>157</x:v>
      </x:c>
      <x:c r="D344" s="129" t="str">
        <x:v>2607.05237</x:v>
      </x:c>
      <x:c r="E344" s="128" t="str">
        <x:v>Sharp decay estimates for global solutions to the incompressible rotating Navier-Stokes equations</x:v>
      </x:c>
      <x:c r="F344" s="128" t="str">
        <x:v>Mikihiro Fujii; Yang Li; Jiang Xu</x:v>
      </x:c>
      <x:c r="G344" s="128" t="str">
        <x:v>rotating Navier-Stokes</x:v>
      </x:c>
      <x:c r="H344" s="129" t="str">
        <x:v>-</x:v>
      </x:c>
      <x:c r="I344" s="130" t="n">
        <x:v>85.98</x:v>
      </x:c>
      <x:c r="J344" s="130" t="n">
        <x:v>85.65</x:v>
      </x:c>
      <x:c r="K344" s="130" t="n">
        <x:v>86.3</x:v>
      </x:c>
      <x:c r="L344" s="130" t="n">
        <x:v>87</x:v>
      </x:c>
      <x:c r="M344" s="130" t="n">
        <x:v>84</x:v>
      </x:c>
      <x:c r="N344" s="130" t="n">
        <x:v>88</x:v>
      </x:c>
      <x:c r="O344" s="130" t="n">
        <x:v>83</x:v>
      </x:c>
      <x:c r="P344" s="130" t="n">
        <x:v>88</x:v>
      </x:c>
      <x:c r="Q344" s="130" t="n">
        <x:v>83</x:v>
      </x:c>
      <x:c r="R344" s="130" t="n">
        <x:v>13</x:v>
      </x:c>
      <x:c r="S344" s="128" t="str">
        <x:v>https://arxiv.org/abs/2607.05237</x:v>
      </x:c>
      <x:c r="T344" s="128" t="str">
        <x:v>Scored candidate from official July math.AP list; correctness not checked.</x:v>
      </x:c>
    </x:row>
    <x:row r="345" ht="28" customHeight="1">
      <x:c r="A345" s="129" t="n">
        <x:v>344</x:v>
      </x:c>
      <x:c r="B345" s="129" t="str">
        <x:v>2026-07</x:v>
      </x:c>
      <x:c r="C345" s="129" t="n">
        <x:v>158</x:v>
      </x:c>
      <x:c r="D345" s="129" t="str">
        <x:v>2607.10812</x:v>
      </x:c>
      <x:c r="E345" s="128" t="str">
        <x:v>Convergence rates of Wasserstein gradient flows for nonlinear Fokker-Planck equations with mobility and related inequalities</x:v>
      </x:c>
      <x:c r="F345" s="128" t="str">
        <x:v>Zhenxin Liu; Xuewei Wang</x:v>
      </x:c>
      <x:c r="G345" s="128" t="str">
        <x:v>gradient flows</x:v>
      </x:c>
      <x:c r="H345" s="129" t="str">
        <x:v>-</x:v>
      </x:c>
      <x:c r="I345" s="130" t="n">
        <x:v>85.98</x:v>
      </x:c>
      <x:c r="J345" s="130" t="n">
        <x:v>85.65</x:v>
      </x:c>
      <x:c r="K345" s="130" t="n">
        <x:v>86.3</x:v>
      </x:c>
      <x:c r="L345" s="130" t="n">
        <x:v>86</x:v>
      </x:c>
      <x:c r="M345" s="130" t="n">
        <x:v>85</x:v>
      </x:c>
      <x:c r="N345" s="130" t="n">
        <x:v>87</x:v>
      </x:c>
      <x:c r="O345" s="130" t="n">
        <x:v>84</x:v>
      </x:c>
      <x:c r="P345" s="130" t="n">
        <x:v>87</x:v>
      </x:c>
      <x:c r="Q345" s="130" t="n">
        <x:v>85</x:v>
      </x:c>
      <x:c r="R345" s="130" t="n">
        <x:v>13</x:v>
      </x:c>
      <x:c r="S345" s="128" t="str">
        <x:v>https://arxiv.org/abs/2607.10812</x:v>
      </x:c>
      <x:c r="T345" s="128" t="str">
        <x:v>Scored candidate from official July math.AP list; correctness not checked.</x:v>
      </x:c>
    </x:row>
    <x:row r="346" ht="28" customHeight="1">
      <x:c r="A346" s="129" t="n">
        <x:v>345</x:v>
      </x:c>
      <x:c r="B346" s="129" t="str">
        <x:v>2026-06</x:v>
      </x:c>
      <x:c r="C346" s="129" t="n">
        <x:v>51</x:v>
      </x:c>
      <x:c r="D346" s="129" t="str">
        <x:v>2606.07869</x:v>
      </x:c>
      <x:c r="E346" s="128" t="str">
        <x:v>Global Regularity for Axisymmetric Navier-Stokes Flows with Swirl</x:v>
      </x:c>
      <x:c r="F346" s="128" t="str">
        <x:v>Rishad Shahmurov</x:v>
      </x:c>
      <x:c r="G346" s="128" t="str">
        <x:v>fluid/kinetic PDE</x:v>
      </x:c>
      <x:c r="H346" s="129"/>
      <x:c r="I346" s="130" t="n">
        <x:v>85.79</x:v>
      </x:c>
      <x:c r="J346" s="130" t="n">
        <x:v>85.56</x:v>
      </x:c>
      <x:c r="K346" s="130" t="n">
        <x:v>86.02</x:v>
      </x:c>
      <x:c r="L346" s="130" t="n">
        <x:v>86</x:v>
      </x:c>
      <x:c r="M346" s="130" t="n">
        <x:v>85.1</x:v>
      </x:c>
      <x:c r="N346" s="130" t="n">
        <x:v>86.1</x:v>
      </x:c>
      <x:c r="O346" s="130" t="n">
        <x:v>84.1</x:v>
      </x:c>
      <x:c r="P346" s="130" t="n">
        <x:v>86.1</x:v>
      </x:c>
      <x:c r="Q346" s="130" t="n">
        <x:v>86</x:v>
      </x:c>
      <x:c r="R346" s="130" t="n">
        <x:v>13</x:v>
      </x:c>
      <x:c r="S346" s="128" t="str">
        <x:v>https://arxiv.org/abs/2606.07869</x:v>
      </x:c>
      <x:c r="T346" s="128" t="str">
        <x:v>三轮复核后与原表基本一致</x:v>
      </x:c>
    </x:row>
    <x:row r="347" ht="28" customHeight="1">
      <x:c r="A347" s="129" t="n">
        <x:v>346</x:v>
      </x:c>
      <x:c r="B347" s="129" t="str">
        <x:v>2026-07</x:v>
      </x:c>
      <x:c r="C347" s="129" t="n">
        <x:v>159</x:v>
      </x:c>
      <x:c r="D347" s="129" t="str">
        <x:v>2607.04704</x:v>
      </x:c>
      <x:c r="E347" s="128" t="str">
        <x:v>Stability and strong convergence for complex Hessian equations with L1 data</x:v>
      </x:c>
      <x:c r="F347" s="128" t="str">
        <x:v>Truong Dinh Dat</x:v>
      </x:c>
      <x:c r="G347" s="128" t="str">
        <x:v>complex Hessian</x:v>
      </x:c>
      <x:c r="H347" s="129" t="str">
        <x:v>-</x:v>
      </x:c>
      <x:c r="I347" s="130" t="n">
        <x:v>85.63</x:v>
      </x:c>
      <x:c r="J347" s="130" t="n">
        <x:v>85.3</x:v>
      </x:c>
      <x:c r="K347" s="130" t="n">
        <x:v>85.95</x:v>
      </x:c>
      <x:c r="L347" s="130" t="n">
        <x:v>86</x:v>
      </x:c>
      <x:c r="M347" s="130" t="n">
        <x:v>84</x:v>
      </x:c>
      <x:c r="N347" s="130" t="n">
        <x:v>87</x:v>
      </x:c>
      <x:c r="O347" s="130" t="n">
        <x:v>83</x:v>
      </x:c>
      <x:c r="P347" s="130" t="n">
        <x:v>87</x:v>
      </x:c>
      <x:c r="Q347" s="130" t="n">
        <x:v>85</x:v>
      </x:c>
      <x:c r="R347" s="130" t="n">
        <x:v>14</x:v>
      </x:c>
      <x:c r="S347" s="128" t="str">
        <x:v>https://arxiv.org/abs/2607.04704</x:v>
      </x:c>
      <x:c r="T347" s="128" t="str">
        <x:v>Background row in the 30% scored pool; title/authors from official July list.</x:v>
      </x:c>
    </x:row>
    <x:row r="348" ht="28" customHeight="1">
      <x:c r="A348" s="129" t="n">
        <x:v>347</x:v>
      </x:c>
      <x:c r="B348" s="129" t="str">
        <x:v>2026-07</x:v>
      </x:c>
      <x:c r="C348" s="129" t="n">
        <x:v>160</x:v>
      </x:c>
      <x:c r="D348" s="129" t="str">
        <x:v>2607.05885</x:v>
      </x:c>
      <x:c r="E348" s="128" t="str">
        <x:v>Existence of Kelvin-Invariant Positive Solutions for Critical Elliptic Equations with Variable Coefficients via Profile Decomposition</x:v>
      </x:c>
      <x:c r="F348" s="128" t="str">
        <x:v>Yohei Sato; Reo Suzuki</x:v>
      </x:c>
      <x:c r="G348" s="128" t="str">
        <x:v>critical elliptic equations</x:v>
      </x:c>
      <x:c r="H348" s="129" t="n">
        <x:v>21</x:v>
      </x:c>
      <x:c r="I348" s="130" t="n">
        <x:v>85.63</x:v>
      </x:c>
      <x:c r="J348" s="130" t="n">
        <x:v>85.3</x:v>
      </x:c>
      <x:c r="K348" s="130" t="n">
        <x:v>85.95</x:v>
      </x:c>
      <x:c r="L348" s="130" t="n">
        <x:v>86</x:v>
      </x:c>
      <x:c r="M348" s="130" t="n">
        <x:v>84</x:v>
      </x:c>
      <x:c r="N348" s="130" t="n">
        <x:v>87</x:v>
      </x:c>
      <x:c r="O348" s="130" t="n">
        <x:v>83</x:v>
      </x:c>
      <x:c r="P348" s="130" t="n">
        <x:v>87</x:v>
      </x:c>
      <x:c r="Q348" s="130" t="n">
        <x:v>85</x:v>
      </x:c>
      <x:c r="R348" s="130" t="n">
        <x:v>14</x:v>
      </x:c>
      <x:c r="S348" s="128" t="str">
        <x:v>https://arxiv.org/abs/2607.05885</x:v>
      </x:c>
      <x:c r="T348" s="128" t="str">
        <x:v>Background row in the 30% scored pool; title/authors from official July list.</x:v>
      </x:c>
    </x:row>
    <x:row r="349" ht="28" customHeight="1">
      <x:c r="A349" s="129" t="n">
        <x:v>348</x:v>
      </x:c>
      <x:c r="B349" s="129" t="str">
        <x:v>2026-07</x:v>
      </x:c>
      <x:c r="C349" s="129" t="n">
        <x:v>161</x:v>
      </x:c>
      <x:c r="D349" s="129" t="str">
        <x:v>2607.07218</x:v>
      </x:c>
      <x:c r="E349" s="128" t="str">
        <x:v>Symmetry-breaking and local stability of a two-phase eigenvalue problem in optimal insulation</x:v>
      </x:c>
      <x:c r="F349" s="128" t="str">
        <x:v>Emanuele Cristoforoni; Federico Villone</x:v>
      </x:c>
      <x:c r="G349" s="128" t="str">
        <x:v>optimal insulation</x:v>
      </x:c>
      <x:c r="H349" s="129" t="str">
        <x:v>-</x:v>
      </x:c>
      <x:c r="I349" s="130" t="n">
        <x:v>85.63</x:v>
      </x:c>
      <x:c r="J349" s="130" t="n">
        <x:v>85.3</x:v>
      </x:c>
      <x:c r="K349" s="130" t="n">
        <x:v>85.95</x:v>
      </x:c>
      <x:c r="L349" s="130" t="n">
        <x:v>86</x:v>
      </x:c>
      <x:c r="M349" s="130" t="n">
        <x:v>84</x:v>
      </x:c>
      <x:c r="N349" s="130" t="n">
        <x:v>87</x:v>
      </x:c>
      <x:c r="O349" s="130" t="n">
        <x:v>83</x:v>
      </x:c>
      <x:c r="P349" s="130" t="n">
        <x:v>87</x:v>
      </x:c>
      <x:c r="Q349" s="130" t="n">
        <x:v>85</x:v>
      </x:c>
      <x:c r="R349" s="130" t="n">
        <x:v>14</x:v>
      </x:c>
      <x:c r="S349" s="128" t="str">
        <x:v>https://arxiv.org/abs/2607.07218</x:v>
      </x:c>
      <x:c r="T349" s="128" t="str">
        <x:v>Background row in the 30% scored pool; title/authors from official July list.</x:v>
      </x:c>
    </x:row>
    <x:row r="350" ht="28" customHeight="1">
      <x:c r="A350" s="129" t="n">
        <x:v>349</x:v>
      </x:c>
      <x:c r="B350" s="129" t="str">
        <x:v>2026-07</x:v>
      </x:c>
      <x:c r="C350" s="129" t="n">
        <x:v>162</x:v>
      </x:c>
      <x:c r="D350" s="129" t="str">
        <x:v>2607.09987</x:v>
      </x:c>
      <x:c r="E350" s="128" t="str">
        <x:v>Reflected Optimal Stopping with a Max-Type Payoff: Measure-Valued Stopping Gains and Killed Resolvent Representation</x:v>
      </x:c>
      <x:c r="F350" s="128" t="str">
        <x:v>Ye Liang</x:v>
      </x:c>
      <x:c r="G350" s="128" t="str">
        <x:v>optimal stopping</x:v>
      </x:c>
      <x:c r="H350" s="129" t="str">
        <x:v>-</x:v>
      </x:c>
      <x:c r="I350" s="130" t="n">
        <x:v>85.63</x:v>
      </x:c>
      <x:c r="J350" s="130" t="n">
        <x:v>85.3</x:v>
      </x:c>
      <x:c r="K350" s="130" t="n">
        <x:v>85.95</x:v>
      </x:c>
      <x:c r="L350" s="130" t="n">
        <x:v>86</x:v>
      </x:c>
      <x:c r="M350" s="130" t="n">
        <x:v>84</x:v>
      </x:c>
      <x:c r="N350" s="130" t="n">
        <x:v>87</x:v>
      </x:c>
      <x:c r="O350" s="130" t="n">
        <x:v>83</x:v>
      </x:c>
      <x:c r="P350" s="130" t="n">
        <x:v>87</x:v>
      </x:c>
      <x:c r="Q350" s="130" t="n">
        <x:v>85</x:v>
      </x:c>
      <x:c r="R350" s="130" t="n">
        <x:v>14</x:v>
      </x:c>
      <x:c r="S350" s="128" t="str">
        <x:v>https://arxiv.org/abs/2607.09987</x:v>
      </x:c>
      <x:c r="T350" s="128" t="str">
        <x:v>Background row in the 30% scored pool; title/authors from official July list.</x:v>
      </x:c>
    </x:row>
    <x:row r="351" ht="28" customHeight="1">
      <x:c r="A351" s="129" t="n">
        <x:v>350</x:v>
      </x:c>
      <x:c r="B351" s="129" t="str">
        <x:v>2026-07</x:v>
      </x:c>
      <x:c r="C351" s="129" t="n">
        <x:v>163</x:v>
      </x:c>
      <x:c r="D351" s="129" t="str">
        <x:v>2607.04662</x:v>
      </x:c>
      <x:c r="E351" s="128" t="str">
        <x:v>Affine section tomography for inverse source problems in k-Hessian equations with restricted large boundary data</x:v>
      </x:c>
      <x:c r="F351" s="128" t="str">
        <x:v>Yi-Hsuan Lin</x:v>
      </x:c>
      <x:c r="G351" s="128" t="str">
        <x:v>inverse Hessian equations</x:v>
      </x:c>
      <x:c r="H351" s="129" t="n">
        <x:v>29</x:v>
      </x:c>
      <x:c r="I351" s="130" t="n">
        <x:v>85.5</x:v>
      </x:c>
      <x:c r="J351" s="130" t="n">
        <x:v>85.2</x:v>
      </x:c>
      <x:c r="K351" s="130" t="n">
        <x:v>85.8</x:v>
      </x:c>
      <x:c r="L351" s="130" t="n">
        <x:v>86</x:v>
      </x:c>
      <x:c r="M351" s="130" t="n">
        <x:v>84</x:v>
      </x:c>
      <x:c r="N351" s="130" t="n">
        <x:v>87</x:v>
      </x:c>
      <x:c r="O351" s="130" t="n">
        <x:v>83</x:v>
      </x:c>
      <x:c r="P351" s="130" t="n">
        <x:v>87</x:v>
      </x:c>
      <x:c r="Q351" s="130" t="n">
        <x:v>84</x:v>
      </x:c>
      <x:c r="R351" s="130" t="n">
        <x:v>14</x:v>
      </x:c>
      <x:c r="S351" s="128" t="str">
        <x:v>https://arxiv.org/abs/2607.04662</x:v>
      </x:c>
      <x:c r="T351" s="128" t="str">
        <x:v>Background row in the 30% scored pool; title/authors from official July list.</x:v>
      </x:c>
    </x:row>
    <x:row r="352" ht="28" customHeight="1">
      <x:c r="A352" s="129" t="n">
        <x:v>351</x:v>
      </x:c>
      <x:c r="B352" s="129" t="str">
        <x:v>2026-07</x:v>
      </x:c>
      <x:c r="C352" s="129" t="n">
        <x:v>164</x:v>
      </x:c>
      <x:c r="D352" s="129" t="str">
        <x:v>2607.11462</x:v>
      </x:c>
      <x:c r="E352" s="128" t="str">
        <x:v>Regularity for the fractional logarithmic p-Laplacian</x:v>
      </x:c>
      <x:c r="F352" s="128" t="str">
        <x:v>Nirjan Biswas; Stuti Das; Abhrojyoti Sen</x:v>
      </x:c>
      <x:c r="G352" s="128" t="str">
        <x:v>fractional p-Laplacian</x:v>
      </x:c>
      <x:c r="H352" s="129" t="n">
        <x:v>51</x:v>
      </x:c>
      <x:c r="I352" s="130" t="n">
        <x:v>85.5</x:v>
      </x:c>
      <x:c r="J352" s="130" t="n">
        <x:v>85.2</x:v>
      </x:c>
      <x:c r="K352" s="130" t="n">
        <x:v>85.8</x:v>
      </x:c>
      <x:c r="L352" s="130" t="n">
        <x:v>86</x:v>
      </x:c>
      <x:c r="M352" s="130" t="n">
        <x:v>84</x:v>
      </x:c>
      <x:c r="N352" s="130" t="n">
        <x:v>87</x:v>
      </x:c>
      <x:c r="O352" s="130" t="n">
        <x:v>83</x:v>
      </x:c>
      <x:c r="P352" s="130" t="n">
        <x:v>87</x:v>
      </x:c>
      <x:c r="Q352" s="130" t="n">
        <x:v>84</x:v>
      </x:c>
      <x:c r="R352" s="130" t="n">
        <x:v>14</x:v>
      </x:c>
      <x:c r="S352" s="128" t="str">
        <x:v>https://arxiv.org/abs/2607.11462</x:v>
      </x:c>
      <x:c r="T352" s="128" t="str">
        <x:v>Background row in the 30% scored pool; title/authors from official July list.</x:v>
      </x:c>
    </x:row>
    <x:row r="353" ht="28" customHeight="1">
      <x:c r="A353" s="129" t="n">
        <x:v>352</x:v>
      </x:c>
      <x:c r="B353" s="129" t="str">
        <x:v>2026-05</x:v>
      </x:c>
      <x:c r="C353" s="129" t="n">
        <x:v>86</x:v>
      </x:c>
      <x:c r="D353" s="129" t="str">
        <x:v>2605.19415</x:v>
      </x:c>
      <x:c r="E353" s="128" t="str">
        <x:v>Global well-posedness of the linearized R13 moment equations with Onsager boundary conditions</x:v>
      </x:c>
      <x:c r="F353" s="128" t="str">
        <x:v>Shuang Hu; Bo Lin; Huini Liu; Zhenning Cai</x:v>
      </x:c>
      <x:c r="G353" s="128" t="str">
        <x:v>Moment equations</x:v>
      </x:c>
      <x:c r="H353" s="129" t="n">
        <x:v>33</x:v>
      </x:c>
      <x:c r="I353" s="130" t="n">
        <x:v>85.49</x:v>
      </x:c>
      <x:c r="J353" s="130" t="n">
        <x:v>85.17</x:v>
      </x:c>
      <x:c r="K353" s="130" t="n">
        <x:v>85.8</x:v>
      </x:c>
      <x:c r="L353" s="130" t="n">
        <x:v>85</x:v>
      </x:c>
      <x:c r="M353" s="130" t="n">
        <x:v>86.1</x:v>
      </x:c>
      <x:c r="N353" s="130" t="n">
        <x:v>87</x:v>
      </x:c>
      <x:c r="O353" s="130" t="n">
        <x:v>82</x:v>
      </x:c>
      <x:c r="P353" s="130" t="n">
        <x:v>87.1</x:v>
      </x:c>
      <x:c r="Q353" s="130" t="n">
        <x:v>84</x:v>
      </x:c>
      <x:c r="R353" s="130" t="n">
        <x:v>17</x:v>
      </x:c>
      <x:c r="S353" s="128" t="str">
        <x:v>https://arxiv.org/abs/2605.19415</x:v>
      </x:c>
      <x:c r="T353" s="128" t="str">
        <x:v>范围偏专门，广度轻微回调</x:v>
      </x:c>
    </x:row>
    <x:row r="354" ht="28" customHeight="1">
      <x:c r="A354" s="129" t="n">
        <x:v>353</x:v>
      </x:c>
      <x:c r="B354" s="129" t="str">
        <x:v>2026-05</x:v>
      </x:c>
      <x:c r="C354" s="129" t="n">
        <x:v>86</x:v>
      </x:c>
      <x:c r="D354" s="129" t="str">
        <x:v>2605.30009</x:v>
      </x:c>
      <x:c r="E354" s="128" t="str">
        <x:v>On Kato's smoothing effects for KdV and Benjamin type equations</x:v>
      </x:c>
      <x:c r="F354" s="128" t="str">
        <x:v>Carlos Garzon; Oscar Riano</x:v>
      </x:c>
      <x:c r="G354" s="128" t="str">
        <x:v>Dispersive smoothing</x:v>
      </x:c>
      <x:c r="H354" s="129" t="n">
        <x:v>36</x:v>
      </x:c>
      <x:c r="I354" s="130" t="n">
        <x:v>85.45</x:v>
      </x:c>
      <x:c r="J354" s="130" t="n">
        <x:v>85.15</x:v>
      </x:c>
      <x:c r="K354" s="130" t="n">
        <x:v>85.75</x:v>
      </x:c>
      <x:c r="L354" s="130" t="n">
        <x:v>85</x:v>
      </x:c>
      <x:c r="M354" s="130" t="n">
        <x:v>86</x:v>
      </x:c>
      <x:c r="N354" s="130" t="n">
        <x:v>87</x:v>
      </x:c>
      <x:c r="O354" s="130" t="n">
        <x:v>82</x:v>
      </x:c>
      <x:c r="P354" s="130" t="n">
        <x:v>87</x:v>
      </x:c>
      <x:c r="Q354" s="130" t="n">
        <x:v>84</x:v>
      </x:c>
      <x:c r="R354" s="130" t="n">
        <x:v>17</x:v>
      </x:c>
      <x:c r="S354" s="128" t="str">
        <x:v>https://arxiv.org/abs/2605.30009</x:v>
      </x:c>
      <x:c r="T354" s="128" t="str">
        <x:v>三轮复核后与原表基本一致</x:v>
      </x:c>
    </x:row>
    <x:row r="355" ht="28" customHeight="1">
      <x:c r="A355" s="129" t="n">
        <x:v>354</x:v>
      </x:c>
      <x:c r="B355" s="129" t="str">
        <x:v>2026-07</x:v>
      </x:c>
      <x:c r="C355" s="129" t="n">
        <x:v>165</x:v>
      </x:c>
      <x:c r="D355" s="129" t="str">
        <x:v>2607.00749</x:v>
      </x:c>
      <x:c r="E355" s="128" t="str">
        <x:v>The Fast Limit Model Associated With The Euler-Maxwell-Two-Fluid System</x:v>
      </x:c>
      <x:c r="F355" s="128" t="str">
        <x:v>Nicolas Besse; Christophe Cheverry</x:v>
      </x:c>
      <x:c r="G355" s="128" t="str">
        <x:v>Euler-Maxwell</x:v>
      </x:c>
      <x:c r="H355" s="129" t="str">
        <x:v>-</x:v>
      </x:c>
      <x:c r="I355" s="130" t="n">
        <x:v>85.45</x:v>
      </x:c>
      <x:c r="J355" s="130" t="n">
        <x:v>85.1</x:v>
      </x:c>
      <x:c r="K355" s="130" t="n">
        <x:v>85.8</x:v>
      </x:c>
      <x:c r="L355" s="130" t="n">
        <x:v>86</x:v>
      </x:c>
      <x:c r="M355" s="130" t="n">
        <x:v>84</x:v>
      </x:c>
      <x:c r="N355" s="130" t="n">
        <x:v>87</x:v>
      </x:c>
      <x:c r="O355" s="130" t="n">
        <x:v>83</x:v>
      </x:c>
      <x:c r="P355" s="130" t="n">
        <x:v>87</x:v>
      </x:c>
      <x:c r="Q355" s="130" t="n">
        <x:v>83</x:v>
      </x:c>
      <x:c r="R355" s="130" t="n">
        <x:v>13</x:v>
      </x:c>
      <x:c r="S355" s="128" t="str">
        <x:v>https://arxiv.org/abs/2607.00749</x:v>
      </x:c>
      <x:c r="T355" s="128" t="str">
        <x:v>Scored candidate from official July math.AP list; correctness not checked.</x:v>
      </x:c>
    </x:row>
    <x:row r="356" ht="28" customHeight="1">
      <x:c r="A356" s="129" t="n">
        <x:v>355</x:v>
      </x:c>
      <x:c r="B356" s="129" t="str">
        <x:v>2026-07</x:v>
      </x:c>
      <x:c r="C356" s="129" t="n">
        <x:v>166</x:v>
      </x:c>
      <x:c r="D356" s="129" t="str">
        <x:v>2607.04715</x:v>
      </x:c>
      <x:c r="E356" s="128" t="str">
        <x:v>A logarithmic convexity approach to quantitative unique continuation for the complex Ginzburg-Landau operator</x:v>
      </x:c>
      <x:c r="F356" s="128" t="str">
        <x:v>Yueliang Duan; Borui Liu; Can Zhang</x:v>
      </x:c>
      <x:c r="G356" s="128" t="str">
        <x:v>unique continuation</x:v>
      </x:c>
      <x:c r="H356" s="129" t="str">
        <x:v>-</x:v>
      </x:c>
      <x:c r="I356" s="130" t="n">
        <x:v>85.45</x:v>
      </x:c>
      <x:c r="J356" s="130" t="n">
        <x:v>85.1</x:v>
      </x:c>
      <x:c r="K356" s="130" t="n">
        <x:v>85.8</x:v>
      </x:c>
      <x:c r="L356" s="130" t="n">
        <x:v>86</x:v>
      </x:c>
      <x:c r="M356" s="130" t="n">
        <x:v>84</x:v>
      </x:c>
      <x:c r="N356" s="130" t="n">
        <x:v>87</x:v>
      </x:c>
      <x:c r="O356" s="130" t="n">
        <x:v>83</x:v>
      </x:c>
      <x:c r="P356" s="130" t="n">
        <x:v>87</x:v>
      </x:c>
      <x:c r="Q356" s="130" t="n">
        <x:v>83</x:v>
      </x:c>
      <x:c r="R356" s="130" t="n">
        <x:v>13</x:v>
      </x:c>
      <x:c r="S356" s="128" t="str">
        <x:v>https://arxiv.org/abs/2607.04715</x:v>
      </x:c>
      <x:c r="T356" s="128" t="str">
        <x:v>Scored candidate from official July math.AP list; correctness not checked.</x:v>
      </x:c>
    </x:row>
    <x:row r="357" ht="28" customHeight="1">
      <x:c r="A357" s="129" t="n">
        <x:v>356</x:v>
      </x:c>
      <x:c r="B357" s="129" t="str">
        <x:v>2026-07</x:v>
      </x:c>
      <x:c r="C357" s="129" t="n">
        <x:v>167</x:v>
      </x:c>
      <x:c r="D357" s="129" t="str">
        <x:v>2607.07238</x:v>
      </x:c>
      <x:c r="E357" s="128" t="str">
        <x:v>Regularity for eigenvalue-type equations in sets with thick complement</x:v>
      </x:c>
      <x:c r="F357" s="128" t="str">
        <x:v>Lorenzo Braglia; Lorenzo Brasco</x:v>
      </x:c>
      <x:c r="G357" s="128" t="str">
        <x:v>regularity/spectral</x:v>
      </x:c>
      <x:c r="H357" s="129" t="n">
        <x:v>41</x:v>
      </x:c>
      <x:c r="I357" s="130" t="n">
        <x:v>85.45</x:v>
      </x:c>
      <x:c r="J357" s="130" t="n">
        <x:v>85.1</x:v>
      </x:c>
      <x:c r="K357" s="130" t="n">
        <x:v>85.8</x:v>
      </x:c>
      <x:c r="L357" s="130" t="n">
        <x:v>86</x:v>
      </x:c>
      <x:c r="M357" s="130" t="n">
        <x:v>84</x:v>
      </x:c>
      <x:c r="N357" s="130" t="n">
        <x:v>87</x:v>
      </x:c>
      <x:c r="O357" s="130" t="n">
        <x:v>83</x:v>
      </x:c>
      <x:c r="P357" s="130" t="n">
        <x:v>87</x:v>
      </x:c>
      <x:c r="Q357" s="130" t="n">
        <x:v>83</x:v>
      </x:c>
      <x:c r="R357" s="130" t="n">
        <x:v>13</x:v>
      </x:c>
      <x:c r="S357" s="128" t="str">
        <x:v>https://arxiv.org/abs/2607.07238</x:v>
      </x:c>
      <x:c r="T357" s="128" t="str">
        <x:v>Scored candidate from official July math.AP list; correctness not checked.</x:v>
      </x:c>
    </x:row>
    <x:row r="358" ht="28" customHeight="1">
      <x:c r="A358" s="129" t="n">
        <x:v>357</x:v>
      </x:c>
      <x:c r="B358" s="129" t="str">
        <x:v>2026-07</x:v>
      </x:c>
      <x:c r="C358" s="129" t="n">
        <x:v>168</x:v>
      </x:c>
      <x:c r="D358" s="129" t="str">
        <x:v>2607.09062</x:v>
      </x:c>
      <x:c r="E358" s="128" t="str">
        <x:v>Robust shape reconstruction of elastic impenetrable scatterers via monotonicity spectral sampling methods</x:v>
      </x:c>
      <x:c r="F358" s="128" t="str">
        <x:v>Mengjiao Bai; Huaian Diao; Weisheng Zhou</x:v>
      </x:c>
      <x:c r="G358" s="128" t="str">
        <x:v>inverse scattering</x:v>
      </x:c>
      <x:c r="H358" s="129" t="str">
        <x:v>-</x:v>
      </x:c>
      <x:c r="I358" s="130" t="n">
        <x:v>85.45</x:v>
      </x:c>
      <x:c r="J358" s="130" t="n">
        <x:v>85.1</x:v>
      </x:c>
      <x:c r="K358" s="130" t="n">
        <x:v>85.8</x:v>
      </x:c>
      <x:c r="L358" s="130" t="n">
        <x:v>86</x:v>
      </x:c>
      <x:c r="M358" s="130" t="n">
        <x:v>84</x:v>
      </x:c>
      <x:c r="N358" s="130" t="n">
        <x:v>87</x:v>
      </x:c>
      <x:c r="O358" s="130" t="n">
        <x:v>83</x:v>
      </x:c>
      <x:c r="P358" s="130" t="n">
        <x:v>87</x:v>
      </x:c>
      <x:c r="Q358" s="130" t="n">
        <x:v>83</x:v>
      </x:c>
      <x:c r="R358" s="130" t="n">
        <x:v>13</x:v>
      </x:c>
      <x:c r="S358" s="128" t="str">
        <x:v>https://arxiv.org/abs/2607.09062</x:v>
      </x:c>
      <x:c r="T358" s="128" t="str">
        <x:v>Scored candidate from official July math.AP list; correctness not checked.</x:v>
      </x:c>
    </x:row>
    <x:row r="359" ht="28" customHeight="1">
      <x:c r="A359" s="129" t="n">
        <x:v>358</x:v>
      </x:c>
      <x:c r="B359" s="129" t="str">
        <x:v>2026-07</x:v>
      </x:c>
      <x:c r="C359" s="129" t="n">
        <x:v>169</x:v>
      </x:c>
      <x:c r="D359" s="129" t="str">
        <x:v>2607.04458</x:v>
      </x:c>
      <x:c r="E359" s="128" t="str">
        <x:v>A continuous data assimilation method for a variant of Oberbeck-Boussinesq system with randomly perturbed data</x:v>
      </x:c>
      <x:c r="F359" s="128" t="str">
        <x:v>Eduard Feireisl; Madalina Petcu</x:v>
      </x:c>
      <x:c r="G359" s="128" t="str">
        <x:v>data assimilation/fluid</x:v>
      </x:c>
      <x:c r="H359" s="129" t="str">
        <x:v>-</x:v>
      </x:c>
      <x:c r="I359" s="130" t="n">
        <x:v>85.43</x:v>
      </x:c>
      <x:c r="J359" s="130" t="n">
        <x:v>85.75</x:v>
      </x:c>
      <x:c r="K359" s="130" t="n">
        <x:v>85.1</x:v>
      </x:c>
      <x:c r="L359" s="130" t="n">
        <x:v>86</x:v>
      </x:c>
      <x:c r="M359" s="130" t="n">
        <x:v>85</x:v>
      </x:c>
      <x:c r="N359" s="130" t="n">
        <x:v>87</x:v>
      </x:c>
      <x:c r="O359" s="130" t="n">
        <x:v>84</x:v>
      </x:c>
      <x:c r="P359" s="130" t="n">
        <x:v>87</x:v>
      </x:c>
      <x:c r="Q359" s="130" t="n">
        <x:v>86</x:v>
      </x:c>
      <x:c r="R359" s="130" t="n">
        <x:v>22</x:v>
      </x:c>
      <x:c r="S359" s="128" t="str">
        <x:v>https://arxiv.org/abs/2607.04458</x:v>
      </x:c>
      <x:c r="T359" s="128" t="str">
        <x:v>Background row in the 30% scored pool; title/authors from official July list.</x:v>
      </x:c>
    </x:row>
    <x:row r="360" ht="28" customHeight="1">
      <x:c r="A360" s="129" t="n">
        <x:v>359</x:v>
      </x:c>
      <x:c r="B360" s="129" t="str">
        <x:v>2026-07</x:v>
      </x:c>
      <x:c r="C360" s="129" t="n">
        <x:v>170</x:v>
      </x:c>
      <x:c r="D360" s="129" t="str">
        <x:v>2607.12472</x:v>
      </x:c>
      <x:c r="E360" s="128" t="str">
        <x:v>On a two-species Keller-Segel model with degenerate diffusion and two stimuli</x:v>
      </x:c>
      <x:c r="F360" s="128" t="str">
        <x:v>Shen Bian</x:v>
      </x:c>
      <x:c r="G360" s="128" t="str">
        <x:v>Keller-Segel</x:v>
      </x:c>
      <x:c r="H360" s="129" t="str">
        <x:v>-</x:v>
      </x:c>
      <x:c r="I360" s="130" t="n">
        <x:v>85.38</x:v>
      </x:c>
      <x:c r="J360" s="130" t="n">
        <x:v>84.8</x:v>
      </x:c>
      <x:c r="K360" s="130" t="n">
        <x:v>85.95</x:v>
      </x:c>
      <x:c r="L360" s="130" t="n">
        <x:v>85</x:v>
      </x:c>
      <x:c r="M360" s="130" t="n">
        <x:v>84</x:v>
      </x:c>
      <x:c r="N360" s="130" t="n">
        <x:v>87</x:v>
      </x:c>
      <x:c r="O360" s="130" t="n">
        <x:v>83</x:v>
      </x:c>
      <x:c r="P360" s="130" t="n">
        <x:v>87</x:v>
      </x:c>
      <x:c r="Q360" s="130" t="n">
        <x:v>83</x:v>
      </x:c>
      <x:c r="R360" s="130" t="n">
        <x:v>12</x:v>
      </x:c>
      <x:c r="S360" s="128" t="str">
        <x:v>https://arxiv.org/abs/2607.12472</x:v>
      </x:c>
      <x:c r="T360" s="128" t="str">
        <x:v>Additional exact July entry retained to complete 30% scoring pool.</x:v>
      </x:c>
    </x:row>
    <x:row r="361" ht="28" customHeight="1">
      <x:c r="A361" s="129" t="n">
        <x:v>360</x:v>
      </x:c>
      <x:c r="B361" s="129" t="str">
        <x:v>2026-05</x:v>
      </x:c>
      <x:c r="C361" s="129" t="n">
        <x:v>88</x:v>
      </x:c>
      <x:c r="D361" s="129" t="str">
        <x:v>2605.09213</x:v>
      </x:c>
      <x:c r="E361" s="128" t="str">
        <x:v>Kinetic theory for Transformers and the lost-in-the-middle phenomenon</x:v>
      </x:c>
      <x:c r="F361" s="128" t="str">
        <x:v>Mitia Duerinckx; Borjan Geshkovski; Stefano Rossi</x:v>
      </x:c>
      <x:c r="G361" s="128" t="str">
        <x:v>PDE/ML mean-field models</x:v>
      </x:c>
      <x:c r="H361" s="129"/>
      <x:c r="I361" s="130" t="n">
        <x:v>85.27</x:v>
      </x:c>
      <x:c r="J361" s="130" t="n">
        <x:v>87.23</x:v>
      </x:c>
      <x:c r="K361" s="130" t="n">
        <x:v>83.3</x:v>
      </x:c>
      <x:c r="L361" s="130" t="n">
        <x:v>87</x:v>
      </x:c>
      <x:c r="M361" s="130" t="n">
        <x:v>89</x:v>
      </x:c>
      <x:c r="N361" s="130" t="n">
        <x:v>86.9</x:v>
      </x:c>
      <x:c r="O361" s="130" t="n">
        <x:v>88</x:v>
      </x:c>
      <x:c r="P361" s="130" t="n">
        <x:v>85.9</x:v>
      </x:c>
      <x:c r="Q361" s="130" t="n">
        <x:v>84</x:v>
      </x:c>
      <x:c r="R361" s="130" t="n">
        <x:v>35</x:v>
      </x:c>
      <x:c r="S361" s="128" t="str">
        <x:v>https://arxiv.org/abs/2605.09213</x:v>
      </x:c>
      <x:c r="T361" s="128" t="str">
        <x:v>三轮复核后与原表基本一致</x:v>
      </x:c>
    </x:row>
    <x:row r="362" ht="28" customHeight="1">
      <x:c r="A362" s="129" t="n">
        <x:v>361</x:v>
      </x:c>
      <x:c r="B362" s="129" t="str">
        <x:v>2026-07</x:v>
      </x:c>
      <x:c r="C362" s="129" t="n">
        <x:v>171</x:v>
      </x:c>
      <x:c r="D362" s="129" t="str">
        <x:v>2607.04307</x:v>
      </x:c>
      <x:c r="E362" s="128" t="str">
        <x:v>L-infinity estimates for solutions to elliptic equations in the presence of gradient terms</x:v>
      </x:c>
      <x:c r="F362" s="128" t="str">
        <x:v>Edgar Antonio; Rosa Pardo</x:v>
      </x:c>
      <x:c r="G362" s="128" t="str">
        <x:v>elliptic estimates</x:v>
      </x:c>
      <x:c r="H362" s="129" t="str">
        <x:v>-</x:v>
      </x:c>
      <x:c r="I362" s="130" t="n">
        <x:v>85.1</x:v>
      </x:c>
      <x:c r="J362" s="130" t="n">
        <x:v>84.75</x:v>
      </x:c>
      <x:c r="K362" s="130" t="n">
        <x:v>85.45</x:v>
      </x:c>
      <x:c r="L362" s="130" t="n">
        <x:v>85</x:v>
      </x:c>
      <x:c r="M362" s="130" t="n">
        <x:v>84</x:v>
      </x:c>
      <x:c r="N362" s="130" t="n">
        <x:v>86</x:v>
      </x:c>
      <x:c r="O362" s="130" t="n">
        <x:v>83</x:v>
      </x:c>
      <x:c r="P362" s="130" t="n">
        <x:v>86</x:v>
      </x:c>
      <x:c r="Q362" s="130" t="n">
        <x:v>85</x:v>
      </x:c>
      <x:c r="R362" s="130" t="n">
        <x:v>14</x:v>
      </x:c>
      <x:c r="S362" s="128" t="str">
        <x:v>https://arxiv.org/abs/2607.04307</x:v>
      </x:c>
      <x:c r="T362" s="128" t="str">
        <x:v>Background row in the 30% scored pool; title/authors from official July list.</x:v>
      </x:c>
    </x:row>
    <x:row r="363" ht="28" customHeight="1">
      <x:c r="A363" s="129" t="n">
        <x:v>362</x:v>
      </x:c>
      <x:c r="B363" s="129" t="str">
        <x:v>2026-07</x:v>
      </x:c>
      <x:c r="C363" s="129" t="n">
        <x:v>172</x:v>
      </x:c>
      <x:c r="D363" s="129" t="str">
        <x:v>2607.05186</x:v>
      </x:c>
      <x:c r="E363" s="128" t="str">
        <x:v>Convergence Rates for Vanishing Viscosity Approximations of Possibly Degenerate Viscous Hamilton-Jacobi Equations</x:v>
      </x:c>
      <x:c r="F363" s="128" t="str">
        <x:v>Junkai Qi</x:v>
      </x:c>
      <x:c r="G363" s="128" t="str">
        <x:v>Hamilton-Jacobi</x:v>
      </x:c>
      <x:c r="H363" s="129" t="n">
        <x:v>17</x:v>
      </x:c>
      <x:c r="I363" s="130" t="n">
        <x:v>85.1</x:v>
      </x:c>
      <x:c r="J363" s="130" t="n">
        <x:v>84.75</x:v>
      </x:c>
      <x:c r="K363" s="130" t="n">
        <x:v>85.45</x:v>
      </x:c>
      <x:c r="L363" s="130" t="n">
        <x:v>85</x:v>
      </x:c>
      <x:c r="M363" s="130" t="n">
        <x:v>84</x:v>
      </x:c>
      <x:c r="N363" s="130" t="n">
        <x:v>86</x:v>
      </x:c>
      <x:c r="O363" s="130" t="n">
        <x:v>83</x:v>
      </x:c>
      <x:c r="P363" s="130" t="n">
        <x:v>86</x:v>
      </x:c>
      <x:c r="Q363" s="130" t="n">
        <x:v>85</x:v>
      </x:c>
      <x:c r="R363" s="130" t="n">
        <x:v>14</x:v>
      </x:c>
      <x:c r="S363" s="128" t="str">
        <x:v>https://arxiv.org/abs/2607.05186</x:v>
      </x:c>
      <x:c r="T363" s="128" t="str">
        <x:v>Background row in the 30% scored pool; title/authors from official July list.</x:v>
      </x:c>
    </x:row>
    <x:row r="364" ht="28" customHeight="1">
      <x:c r="A364" s="129" t="n">
        <x:v>363</x:v>
      </x:c>
      <x:c r="B364" s="129" t="str">
        <x:v>2026-07</x:v>
      </x:c>
      <x:c r="C364" s="129" t="n">
        <x:v>173</x:v>
      </x:c>
      <x:c r="D364" s="129" t="str">
        <x:v>2607.07966</x:v>
      </x:c>
      <x:c r="E364" s="128" t="str">
        <x:v>Weak KAM theorems for subriemannian Lagrangians depending on the unknown function</x:v>
      </x:c>
      <x:c r="F364" s="128" t="str">
        <x:v>Renato Iturriaga; Hector Sanchez Morgado</x:v>
      </x:c>
      <x:c r="G364" s="128" t="str">
        <x:v>Hamilton-Jacobi/weak KAM</x:v>
      </x:c>
      <x:c r="H364" s="129" t="n">
        <x:v>16</x:v>
      </x:c>
      <x:c r="I364" s="130" t="n">
        <x:v>85.1</x:v>
      </x:c>
      <x:c r="J364" s="130" t="n">
        <x:v>84.75</x:v>
      </x:c>
      <x:c r="K364" s="130" t="n">
        <x:v>85.45</x:v>
      </x:c>
      <x:c r="L364" s="130" t="n">
        <x:v>85</x:v>
      </x:c>
      <x:c r="M364" s="130" t="n">
        <x:v>84</x:v>
      </x:c>
      <x:c r="N364" s="130" t="n">
        <x:v>86</x:v>
      </x:c>
      <x:c r="O364" s="130" t="n">
        <x:v>83</x:v>
      </x:c>
      <x:c r="P364" s="130" t="n">
        <x:v>86</x:v>
      </x:c>
      <x:c r="Q364" s="130" t="n">
        <x:v>85</x:v>
      </x:c>
      <x:c r="R364" s="130" t="n">
        <x:v>14</x:v>
      </x:c>
      <x:c r="S364" s="128" t="str">
        <x:v>https://arxiv.org/abs/2607.07966</x:v>
      </x:c>
      <x:c r="T364" s="128" t="str">
        <x:v>Background row in the 30% scored pool; title/authors from official July list.</x:v>
      </x:c>
    </x:row>
    <x:row r="365" ht="28" customHeight="1">
      <x:c r="A365" s="129" t="n">
        <x:v>364</x:v>
      </x:c>
      <x:c r="B365" s="129" t="str">
        <x:v>2026-07</x:v>
      </x:c>
      <x:c r="C365" s="129" t="n">
        <x:v>174</x:v>
      </x:c>
      <x:c r="D365" s="129" t="str">
        <x:v>2607.08433</x:v>
      </x:c>
      <x:c r="E365" s="128" t="str">
        <x:v>A note on the convergence of the eigenvalues in a subdomain to the continuous spectrum</x:v>
      </x:c>
      <x:c r="F365" s="128" t="str">
        <x:v>Miroslav Bulicek; Bjorn Fredrik Nielsen; Zdenek Strakos</x:v>
      </x:c>
      <x:c r="G365" s="128" t="str">
        <x:v>spectral theory</x:v>
      </x:c>
      <x:c r="H365" s="129" t="str">
        <x:v>-</x:v>
      </x:c>
      <x:c r="I365" s="130" t="n">
        <x:v>85.1</x:v>
      </x:c>
      <x:c r="J365" s="130" t="n">
        <x:v>84.75</x:v>
      </x:c>
      <x:c r="K365" s="130" t="n">
        <x:v>85.45</x:v>
      </x:c>
      <x:c r="L365" s="130" t="n">
        <x:v>85</x:v>
      </x:c>
      <x:c r="M365" s="130" t="n">
        <x:v>84</x:v>
      </x:c>
      <x:c r="N365" s="130" t="n">
        <x:v>86</x:v>
      </x:c>
      <x:c r="O365" s="130" t="n">
        <x:v>83</x:v>
      </x:c>
      <x:c r="P365" s="130" t="n">
        <x:v>86</x:v>
      </x:c>
      <x:c r="Q365" s="130" t="n">
        <x:v>85</x:v>
      </x:c>
      <x:c r="R365" s="130" t="n">
        <x:v>14</x:v>
      </x:c>
      <x:c r="S365" s="128" t="str">
        <x:v>https://arxiv.org/abs/2607.08433</x:v>
      </x:c>
      <x:c r="T365" s="128" t="str">
        <x:v>Background row in the 30% scored pool; title/authors from official July list.</x:v>
      </x:c>
    </x:row>
    <x:row r="366" ht="28" customHeight="1">
      <x:c r="A366" s="129" t="n">
        <x:v>365</x:v>
      </x:c>
      <x:c r="B366" s="129" t="str">
        <x:v>2026-07</x:v>
      </x:c>
      <x:c r="C366" s="129" t="n">
        <x:v>175</x:v>
      </x:c>
      <x:c r="D366" s="129" t="str">
        <x:v>2607.08895</x:v>
      </x:c>
      <x:c r="E366" s="128" t="str">
        <x:v>Sharp well-posedness and ill-posedness of the Camassa-Holm equation in critical Triebel-Lizorkin spaces</x:v>
      </x:c>
      <x:c r="F366" s="128" t="str">
        <x:v>Qianyuan Zhang; Kai Yan</x:v>
      </x:c>
      <x:c r="G366" s="128" t="str">
        <x:v>Camassa-Holm</x:v>
      </x:c>
      <x:c r="H366" s="129" t="n">
        <x:v>14</x:v>
      </x:c>
      <x:c r="I366" s="130" t="n">
        <x:v>85.1</x:v>
      </x:c>
      <x:c r="J366" s="130" t="n">
        <x:v>84.75</x:v>
      </x:c>
      <x:c r="K366" s="130" t="n">
        <x:v>85.45</x:v>
      </x:c>
      <x:c r="L366" s="130" t="n">
        <x:v>86</x:v>
      </x:c>
      <x:c r="M366" s="130" t="n">
        <x:v>83</x:v>
      </x:c>
      <x:c r="N366" s="130" t="n">
        <x:v>87</x:v>
      </x:c>
      <x:c r="O366" s="130" t="n">
        <x:v>82</x:v>
      </x:c>
      <x:c r="P366" s="130" t="n">
        <x:v>87</x:v>
      </x:c>
      <x:c r="Q366" s="130" t="n">
        <x:v>83</x:v>
      </x:c>
      <x:c r="R366" s="130" t="n">
        <x:v>14</x:v>
      </x:c>
      <x:c r="S366" s="128" t="str">
        <x:v>https://arxiv.org/abs/2607.08895</x:v>
      </x:c>
      <x:c r="T366" s="128" t="str">
        <x:v>Background row in the 30% scored pool; title/authors from official July list.</x:v>
      </x:c>
    </x:row>
    <x:row r="367" ht="28" customHeight="1">
      <x:c r="A367" s="129" t="n">
        <x:v>366</x:v>
      </x:c>
      <x:c r="B367" s="129" t="str">
        <x:v>2026-07</x:v>
      </x:c>
      <x:c r="C367" s="129" t="n">
        <x:v>176</x:v>
      </x:c>
      <x:c r="D367" s="129" t="str">
        <x:v>2607.10636</x:v>
      </x:c>
      <x:c r="E367" s="128" t="str">
        <x:v>Anisotropic isoperimetric double tilings of the plane</x:v>
      </x:c>
      <x:c r="F367" s="128" t="str">
        <x:v>Francesco Nobili; Matteo Novaga; Emanuele Paolini</x:v>
      </x:c>
      <x:c r="G367" s="128" t="str">
        <x:v>isoperimetry</x:v>
      </x:c>
      <x:c r="H367" s="129" t="n">
        <x:v>20</x:v>
      </x:c>
      <x:c r="I367" s="130" t="n">
        <x:v>85.1</x:v>
      </x:c>
      <x:c r="J367" s="130" t="n">
        <x:v>84.75</x:v>
      </x:c>
      <x:c r="K367" s="130" t="n">
        <x:v>85.45</x:v>
      </x:c>
      <x:c r="L367" s="130" t="n">
        <x:v>85</x:v>
      </x:c>
      <x:c r="M367" s="130" t="n">
        <x:v>84</x:v>
      </x:c>
      <x:c r="N367" s="130" t="n">
        <x:v>86</x:v>
      </x:c>
      <x:c r="O367" s="130" t="n">
        <x:v>83</x:v>
      </x:c>
      <x:c r="P367" s="130" t="n">
        <x:v>86</x:v>
      </x:c>
      <x:c r="Q367" s="130" t="n">
        <x:v>85</x:v>
      </x:c>
      <x:c r="R367" s="130" t="n">
        <x:v>14</x:v>
      </x:c>
      <x:c r="S367" s="128" t="str">
        <x:v>https://arxiv.org/abs/2607.10636</x:v>
      </x:c>
      <x:c r="T367" s="128" t="str">
        <x:v>Background row in the 30% scored pool; title/authors from official July list.</x:v>
      </x:c>
    </x:row>
    <x:row r="368" ht="28" customHeight="1">
      <x:c r="A368" s="129" t="n">
        <x:v>367</x:v>
      </x:c>
      <x:c r="B368" s="129" t="str">
        <x:v>2026-07</x:v>
      </x:c>
      <x:c r="C368" s="129" t="n">
        <x:v>177</x:v>
      </x:c>
      <x:c r="D368" s="129" t="str">
        <x:v>2607.00225</x:v>
      </x:c>
      <x:c r="E368" s="128" t="str">
        <x:v>Onsager-Type Energy Equality and Prodi-Serrin Uniqueness for Nernst-Planck Fluid Systems</x:v>
      </x:c>
      <x:c r="F368" s="128" t="str">
        <x:v>Ruimeng Hu; Quyuan Lin; Qirui Peng</x:v>
      </x:c>
      <x:c r="G368" s="128" t="str">
        <x:v>fluid systems</x:v>
      </x:c>
      <x:c r="H368" s="129" t="n">
        <x:v>26</x:v>
      </x:c>
      <x:c r="I368" s="130" t="n">
        <x:v>85.05</x:v>
      </x:c>
      <x:c r="J368" s="130" t="n">
        <x:v>84.65</x:v>
      </x:c>
      <x:c r="K368" s="130" t="n">
        <x:v>85.45</x:v>
      </x:c>
      <x:c r="L368" s="130" t="n">
        <x:v>85</x:v>
      </x:c>
      <x:c r="M368" s="130" t="n">
        <x:v>84</x:v>
      </x:c>
      <x:c r="N368" s="130" t="n">
        <x:v>86</x:v>
      </x:c>
      <x:c r="O368" s="130" t="n">
        <x:v>83</x:v>
      </x:c>
      <x:c r="P368" s="130" t="n">
        <x:v>86</x:v>
      </x:c>
      <x:c r="Q368" s="130" t="n">
        <x:v>84</x:v>
      </x:c>
      <x:c r="R368" s="130" t="n">
        <x:v>13</x:v>
      </x:c>
      <x:c r="S368" s="128" t="str">
        <x:v>https://arxiv.org/abs/2607.00225</x:v>
      </x:c>
      <x:c r="T368" s="128" t="str">
        <x:v>Scored candidate from official July math.AP list; correctness not checked.</x:v>
      </x:c>
    </x:row>
    <x:row r="369" ht="28" customHeight="1">
      <x:c r="A369" s="129" t="n">
        <x:v>368</x:v>
      </x:c>
      <x:c r="B369" s="129" t="str">
        <x:v>2026-07</x:v>
      </x:c>
      <x:c r="C369" s="129" t="n">
        <x:v>178</x:v>
      </x:c>
      <x:c r="D369" s="129" t="str">
        <x:v>2607.00863</x:v>
      </x:c>
      <x:c r="E369" s="128" t="str">
        <x:v>A generalized Liouville theorem via division</x:v>
      </x:c>
      <x:c r="F369" s="128" t="str">
        <x:v>David Lee</x:v>
      </x:c>
      <x:c r="G369" s="128" t="str">
        <x:v>elliptic PDE</x:v>
      </x:c>
      <x:c r="H369" s="129" t="str">
        <x:v>-</x:v>
      </x:c>
      <x:c r="I369" s="130" t="n">
        <x:v>85.05</x:v>
      </x:c>
      <x:c r="J369" s="130" t="n">
        <x:v>84.65</x:v>
      </x:c>
      <x:c r="K369" s="130" t="n">
        <x:v>85.45</x:v>
      </x:c>
      <x:c r="L369" s="130" t="n">
        <x:v>85</x:v>
      </x:c>
      <x:c r="M369" s="130" t="n">
        <x:v>84</x:v>
      </x:c>
      <x:c r="N369" s="130" t="n">
        <x:v>86</x:v>
      </x:c>
      <x:c r="O369" s="130" t="n">
        <x:v>83</x:v>
      </x:c>
      <x:c r="P369" s="130" t="n">
        <x:v>86</x:v>
      </x:c>
      <x:c r="Q369" s="130" t="n">
        <x:v>84</x:v>
      </x:c>
      <x:c r="R369" s="130" t="n">
        <x:v>13</x:v>
      </x:c>
      <x:c r="S369" s="128" t="str">
        <x:v>https://arxiv.org/abs/2607.00863</x:v>
      </x:c>
      <x:c r="T369" s="128" t="str">
        <x:v>Scored candidate from official July math.AP list; correctness not checked.</x:v>
      </x:c>
    </x:row>
    <x:row r="370" ht="28" customHeight="1">
      <x:c r="A370" s="129" t="n">
        <x:v>369</x:v>
      </x:c>
      <x:c r="B370" s="129" t="str">
        <x:v>2026-07</x:v>
      </x:c>
      <x:c r="C370" s="129" t="n">
        <x:v>179</x:v>
      </x:c>
      <x:c r="D370" s="129" t="str">
        <x:v>2607.02261</x:v>
      </x:c>
      <x:c r="E370" s="128" t="str">
        <x:v>Quasistatic evolution of cohesive-type fracture</x:v>
      </x:c>
      <x:c r="F370" s="128" t="str">
        <x:v>Vito Crismale; Manuel Friedrich</x:v>
      </x:c>
      <x:c r="G370" s="128" t="str">
        <x:v>fracture mechanics</x:v>
      </x:c>
      <x:c r="H370" s="129" t="str">
        <x:v>-</x:v>
      </x:c>
      <x:c r="I370" s="130" t="n">
        <x:v>85.05</x:v>
      </x:c>
      <x:c r="J370" s="130" t="n">
        <x:v>84.65</x:v>
      </x:c>
      <x:c r="K370" s="130" t="n">
        <x:v>85.45</x:v>
      </x:c>
      <x:c r="L370" s="130" t="n">
        <x:v>85</x:v>
      </x:c>
      <x:c r="M370" s="130" t="n">
        <x:v>84</x:v>
      </x:c>
      <x:c r="N370" s="130" t="n">
        <x:v>86</x:v>
      </x:c>
      <x:c r="O370" s="130" t="n">
        <x:v>83</x:v>
      </x:c>
      <x:c r="P370" s="130" t="n">
        <x:v>86</x:v>
      </x:c>
      <x:c r="Q370" s="130" t="n">
        <x:v>84</x:v>
      </x:c>
      <x:c r="R370" s="130" t="n">
        <x:v>13</x:v>
      </x:c>
      <x:c r="S370" s="128" t="str">
        <x:v>https://arxiv.org/abs/2607.02261</x:v>
      </x:c>
      <x:c r="T370" s="128" t="str">
        <x:v>Scored candidate from official July math.AP list; correctness not checked.</x:v>
      </x:c>
    </x:row>
    <x:row r="371" ht="28" customHeight="1">
      <x:c r="A371" s="129" t="n">
        <x:v>370</x:v>
      </x:c>
      <x:c r="B371" s="129" t="str">
        <x:v>2026-07</x:v>
      </x:c>
      <x:c r="C371" s="129" t="n">
        <x:v>180</x:v>
      </x:c>
      <x:c r="D371" s="129" t="str">
        <x:v>2607.04263</x:v>
      </x:c>
      <x:c r="E371" s="128" t="str">
        <x:v>Local existence of strong solutions to the capillary wave kinetic equation</x:v>
      </x:c>
      <x:c r="F371" s="128" t="str">
        <x:v>Jiajun Wang</x:v>
      </x:c>
      <x:c r="G371" s="128" t="str">
        <x:v>wave kinetic PDE</x:v>
      </x:c>
      <x:c r="H371" s="129" t="n">
        <x:v>22</x:v>
      </x:c>
      <x:c r="I371" s="130" t="n">
        <x:v>85.05</x:v>
      </x:c>
      <x:c r="J371" s="130" t="n">
        <x:v>84.65</x:v>
      </x:c>
      <x:c r="K371" s="130" t="n">
        <x:v>85.45</x:v>
      </x:c>
      <x:c r="L371" s="130" t="n">
        <x:v>85</x:v>
      </x:c>
      <x:c r="M371" s="130" t="n">
        <x:v>84</x:v>
      </x:c>
      <x:c r="N371" s="130" t="n">
        <x:v>86</x:v>
      </x:c>
      <x:c r="O371" s="130" t="n">
        <x:v>83</x:v>
      </x:c>
      <x:c r="P371" s="130" t="n">
        <x:v>86</x:v>
      </x:c>
      <x:c r="Q371" s="130" t="n">
        <x:v>84</x:v>
      </x:c>
      <x:c r="R371" s="130" t="n">
        <x:v>13</x:v>
      </x:c>
      <x:c r="S371" s="128" t="str">
        <x:v>https://arxiv.org/abs/2607.04263</x:v>
      </x:c>
      <x:c r="T371" s="128" t="str">
        <x:v>Scored candidate from official July math.AP list; correctness not checked.</x:v>
      </x:c>
    </x:row>
    <x:row r="372" ht="28" customHeight="1">
      <x:c r="A372" s="129" t="n">
        <x:v>371</x:v>
      </x:c>
      <x:c r="B372" s="129" t="str">
        <x:v>2026-07</x:v>
      </x:c>
      <x:c r="C372" s="129" t="n">
        <x:v>181</x:v>
      </x:c>
      <x:c r="D372" s="129" t="str">
        <x:v>2607.04725</x:v>
      </x:c>
      <x:c r="E372" s="128" t="str">
        <x:v>Lipschitz regularity for the parabolic (s,p)-obstacle problem</x:v>
      </x:c>
      <x:c r="F372" s="128" t="str">
        <x:v>David Jesus; Aelson Sobral; José Miguel Urbano</x:v>
      </x:c>
      <x:c r="G372" s="128" t="str">
        <x:v>obstacle problem</x:v>
      </x:c>
      <x:c r="H372" s="129" t="str">
        <x:v>-</x:v>
      </x:c>
      <x:c r="I372" s="130" t="n">
        <x:v>85.05</x:v>
      </x:c>
      <x:c r="J372" s="130" t="n">
        <x:v>84.65</x:v>
      </x:c>
      <x:c r="K372" s="130" t="n">
        <x:v>85.45</x:v>
      </x:c>
      <x:c r="L372" s="130" t="n">
        <x:v>85</x:v>
      </x:c>
      <x:c r="M372" s="130" t="n">
        <x:v>84</x:v>
      </x:c>
      <x:c r="N372" s="130" t="n">
        <x:v>86</x:v>
      </x:c>
      <x:c r="O372" s="130" t="n">
        <x:v>83</x:v>
      </x:c>
      <x:c r="P372" s="130" t="n">
        <x:v>86</x:v>
      </x:c>
      <x:c r="Q372" s="130" t="n">
        <x:v>84</x:v>
      </x:c>
      <x:c r="R372" s="130" t="n">
        <x:v>13</x:v>
      </x:c>
      <x:c r="S372" s="128" t="str">
        <x:v>https://arxiv.org/abs/2607.04725</x:v>
      </x:c>
      <x:c r="T372" s="128" t="str">
        <x:v>Scored candidate from official July math.AP list; correctness not checked.</x:v>
      </x:c>
    </x:row>
    <x:row r="373" ht="28" customHeight="1">
      <x:c r="A373" s="129" t="n">
        <x:v>372</x:v>
      </x:c>
      <x:c r="B373" s="129" t="str">
        <x:v>2026-07</x:v>
      </x:c>
      <x:c r="C373" s="129" t="n">
        <x:v>182</x:v>
      </x:c>
      <x:c r="D373" s="129" t="str">
        <x:v>2607.07541</x:v>
      </x:c>
      <x:c r="E373" s="128" t="str">
        <x:v>On stationary Quasi-Geostrophic Shallow-Water flows</x:v>
      </x:c>
      <x:c r="F373" s="128" t="str">
        <x:v>Vittorio Baroncini; Claudia García; Emeric Roulley</x:v>
      </x:c>
      <x:c r="G373" s="128" t="str">
        <x:v>geophysical fluid dynamics</x:v>
      </x:c>
      <x:c r="H373" s="129" t="n">
        <x:v>42</x:v>
      </x:c>
      <x:c r="I373" s="130" t="n">
        <x:v>85.05</x:v>
      </x:c>
      <x:c r="J373" s="130" t="n">
        <x:v>84.65</x:v>
      </x:c>
      <x:c r="K373" s="130" t="n">
        <x:v>85.45</x:v>
      </x:c>
      <x:c r="L373" s="130" t="n">
        <x:v>85</x:v>
      </x:c>
      <x:c r="M373" s="130" t="n">
        <x:v>84</x:v>
      </x:c>
      <x:c r="N373" s="130" t="n">
        <x:v>86</x:v>
      </x:c>
      <x:c r="O373" s="130" t="n">
        <x:v>83</x:v>
      </x:c>
      <x:c r="P373" s="130" t="n">
        <x:v>86</x:v>
      </x:c>
      <x:c r="Q373" s="130" t="n">
        <x:v>84</x:v>
      </x:c>
      <x:c r="R373" s="130" t="n">
        <x:v>13</x:v>
      </x:c>
      <x:c r="S373" s="128" t="str">
        <x:v>https://arxiv.org/abs/2607.07541</x:v>
      </x:c>
      <x:c r="T373" s="128" t="str">
        <x:v>Scored candidate from official July math.AP list; correctness not checked.</x:v>
      </x:c>
    </x:row>
    <x:row r="374" ht="28" customHeight="1">
      <x:c r="A374" s="129" t="n">
        <x:v>373</x:v>
      </x:c>
      <x:c r="B374" s="129" t="str">
        <x:v>2026-06</x:v>
      </x:c>
      <x:c r="C374" s="129" t="n">
        <x:v>52</x:v>
      </x:c>
      <x:c r="D374" s="129" t="str">
        <x:v>2606.06956</x:v>
      </x:c>
      <x:c r="E374" s="128" t="str">
        <x:v>Thermal Relaxation Effects on Stability Thresholds: Timoshenko-Boltzmann systems</x:v>
      </x:c>
      <x:c r="F374" s="128" t="str">
        <x:v>Zhou Jun; Mou SiRuo</x:v>
      </x:c>
      <x:c r="G374" s="128" t="str">
        <x:v>fluid/kinetic PDE</x:v>
      </x:c>
      <x:c r="H374" s="129" t="n">
        <x:v>36</x:v>
      </x:c>
      <x:c r="I374" s="130" t="n">
        <x:v>84.7</x:v>
      </x:c>
      <x:c r="J374" s="130" t="n">
        <x:v>84.43</x:v>
      </x:c>
      <x:c r="K374" s="130" t="n">
        <x:v>84.97</x:v>
      </x:c>
      <x:c r="L374" s="130" t="n">
        <x:v>85</x:v>
      </x:c>
      <x:c r="M374" s="130" t="n">
        <x:v>84</x:v>
      </x:c>
      <x:c r="N374" s="130" t="n">
        <x:v>85.1</x:v>
      </x:c>
      <x:c r="O374" s="130" t="n">
        <x:v>83</x:v>
      </x:c>
      <x:c r="P374" s="130" t="n">
        <x:v>85</x:v>
      </x:c>
      <x:c r="Q374" s="130" t="n">
        <x:v>84</x:v>
      </x:c>
      <x:c r="R374" s="130" t="n">
        <x:v>13</x:v>
      </x:c>
      <x:c r="S374" s="128" t="str">
        <x:v>https://arxiv.org/abs/2606.06956</x:v>
      </x:c>
      <x:c r="T374" s="128" t="str">
        <x:v>三轮复核后与原表基本一致</x:v>
      </x:c>
    </x:row>
    <x:row r="375" ht="28" customHeight="1">
      <x:c r="A375" s="129" t="n">
        <x:v>374</x:v>
      </x:c>
      <x:c r="B375" s="129" t="str">
        <x:v>2026-07</x:v>
      </x:c>
      <x:c r="C375" s="129" t="n">
        <x:v>183</x:v>
      </x:c>
      <x:c r="D375" s="129" t="str">
        <x:v>2607.04301</x:v>
      </x:c>
      <x:c r="E375" s="128" t="str">
        <x:v>On (in)stability of discontinuous standing waves for the NLS with a delta-prime on star graphs</x:v>
      </x:c>
      <x:c r="F375" s="128" t="str">
        <x:v>Jaime Angulo Pava; Alexander Munoz</x:v>
      </x:c>
      <x:c r="G375" s="128" t="str">
        <x:v>NLS on graphs</x:v>
      </x:c>
      <x:c r="H375" s="129" t="str">
        <x:v>-</x:v>
      </x:c>
      <x:c r="I375" s="130" t="n">
        <x:v>84.7</x:v>
      </x:c>
      <x:c r="J375" s="130" t="n">
        <x:v>84.3</x:v>
      </x:c>
      <x:c r="K375" s="130" t="n">
        <x:v>85.1</x:v>
      </x:c>
      <x:c r="L375" s="130" t="n">
        <x:v>85</x:v>
      </x:c>
      <x:c r="M375" s="130" t="n">
        <x:v>83</x:v>
      </x:c>
      <x:c r="N375" s="130" t="n">
        <x:v>86</x:v>
      </x:c>
      <x:c r="O375" s="130" t="n">
        <x:v>82</x:v>
      </x:c>
      <x:c r="P375" s="130" t="n">
        <x:v>86</x:v>
      </x:c>
      <x:c r="Q375" s="130" t="n">
        <x:v>84</x:v>
      </x:c>
      <x:c r="R375" s="130" t="n">
        <x:v>14</x:v>
      </x:c>
      <x:c r="S375" s="128" t="str">
        <x:v>https://arxiv.org/abs/2607.04301</x:v>
      </x:c>
      <x:c r="T375" s="128" t="str">
        <x:v>Background row in the 30% scored pool; title/authors from official July list.</x:v>
      </x:c>
    </x:row>
    <x:row r="376" ht="28" customHeight="1">
      <x:c r="A376" s="129" t="n">
        <x:v>375</x:v>
      </x:c>
      <x:c r="B376" s="129" t="str">
        <x:v>2026-07</x:v>
      </x:c>
      <x:c r="C376" s="129" t="n">
        <x:v>184</x:v>
      </x:c>
      <x:c r="D376" s="129" t="str">
        <x:v>2607.07639</x:v>
      </x:c>
      <x:c r="E376" s="128" t="str">
        <x:v>Optimal rates of decay at infinity for solutions to Schrodinger equations</x:v>
      </x:c>
      <x:c r="F376" s="128" t="str">
        <x:v>Blair Davey; Cole Jeznach</x:v>
      </x:c>
      <x:c r="G376" s="128" t="str">
        <x:v>Schrodinger decay</x:v>
      </x:c>
      <x:c r="H376" s="129" t="n">
        <x:v>44</x:v>
      </x:c>
      <x:c r="I376" s="130" t="n">
        <x:v>84.7</x:v>
      </x:c>
      <x:c r="J376" s="130" t="n">
        <x:v>84.3</x:v>
      </x:c>
      <x:c r="K376" s="130" t="n">
        <x:v>85.1</x:v>
      </x:c>
      <x:c r="L376" s="130" t="n">
        <x:v>85</x:v>
      </x:c>
      <x:c r="M376" s="130" t="n">
        <x:v>83</x:v>
      </x:c>
      <x:c r="N376" s="130" t="n">
        <x:v>86</x:v>
      </x:c>
      <x:c r="O376" s="130" t="n">
        <x:v>82</x:v>
      </x:c>
      <x:c r="P376" s="130" t="n">
        <x:v>86</x:v>
      </x:c>
      <x:c r="Q376" s="130" t="n">
        <x:v>84</x:v>
      </x:c>
      <x:c r="R376" s="130" t="n">
        <x:v>14</x:v>
      </x:c>
      <x:c r="S376" s="128" t="str">
        <x:v>https://arxiv.org/abs/2607.07639</x:v>
      </x:c>
      <x:c r="T376" s="128" t="str">
        <x:v>Background row in the 30% scored pool; title/authors from official July list.</x:v>
      </x:c>
    </x:row>
    <x:row r="377" ht="28" customHeight="1">
      <x:c r="A377" s="129" t="n">
        <x:v>376</x:v>
      </x:c>
      <x:c r="B377" s="129" t="str">
        <x:v>2026-07</x:v>
      </x:c>
      <x:c r="C377" s="129" t="n">
        <x:v>185</x:v>
      </x:c>
      <x:c r="D377" s="129" t="str">
        <x:v>2607.09944</x:v>
      </x:c>
      <x:c r="E377" s="128" t="str">
        <x:v>Multiplier Sensitivity in Isoperimetric Optimal Control</x:v>
      </x:c>
      <x:c r="F377" s="128" t="str">
        <x:v>Ye Liang</x:v>
      </x:c>
      <x:c r="G377" s="128" t="str">
        <x:v>optimal control</x:v>
      </x:c>
      <x:c r="H377" s="129" t="str">
        <x:v>-</x:v>
      </x:c>
      <x:c r="I377" s="130" t="n">
        <x:v>84.7</x:v>
      </x:c>
      <x:c r="J377" s="130" t="n">
        <x:v>84.3</x:v>
      </x:c>
      <x:c r="K377" s="130" t="n">
        <x:v>85.1</x:v>
      </x:c>
      <x:c r="L377" s="130" t="n">
        <x:v>85</x:v>
      </x:c>
      <x:c r="M377" s="130" t="n">
        <x:v>83</x:v>
      </x:c>
      <x:c r="N377" s="130" t="n">
        <x:v>86</x:v>
      </x:c>
      <x:c r="O377" s="130" t="n">
        <x:v>82</x:v>
      </x:c>
      <x:c r="P377" s="130" t="n">
        <x:v>86</x:v>
      </x:c>
      <x:c r="Q377" s="130" t="n">
        <x:v>84</x:v>
      </x:c>
      <x:c r="R377" s="130" t="n">
        <x:v>14</x:v>
      </x:c>
      <x:c r="S377" s="128" t="str">
        <x:v>https://arxiv.org/abs/2607.09944</x:v>
      </x:c>
      <x:c r="T377" s="128" t="str">
        <x:v>Background row in the 30% scored pool; title/authors from official July list.</x:v>
      </x:c>
    </x:row>
    <x:row r="378" ht="28" customHeight="1">
      <x:c r="A378" s="129" t="n">
        <x:v>377</x:v>
      </x:c>
      <x:c r="B378" s="129" t="str">
        <x:v>2026-07</x:v>
      </x:c>
      <x:c r="C378" s="129" t="n">
        <x:v>186</x:v>
      </x:c>
      <x:c r="D378" s="129" t="str">
        <x:v>2607.10384</x:v>
      </x:c>
      <x:c r="E378" s="128" t="str">
        <x:v>Stability and instability for the fully parabolic Keller-Segel system around constant equilibrium</x:v>
      </x:c>
      <x:c r="F378" s="128" t="str">
        <x:v>Jaewook Ahn; Jae-Myoung Kim; Junha Kim</x:v>
      </x:c>
      <x:c r="G378" s="128" t="str">
        <x:v>Keller-Segel</x:v>
      </x:c>
      <x:c r="H378" s="129" t="n">
        <x:v>36</x:v>
      </x:c>
      <x:c r="I378" s="130" t="n">
        <x:v>84.7</x:v>
      </x:c>
      <x:c r="J378" s="130" t="n">
        <x:v>84.3</x:v>
      </x:c>
      <x:c r="K378" s="130" t="n">
        <x:v>85.1</x:v>
      </x:c>
      <x:c r="L378" s="130" t="n">
        <x:v>85</x:v>
      </x:c>
      <x:c r="M378" s="130" t="n">
        <x:v>83</x:v>
      </x:c>
      <x:c r="N378" s="130" t="n">
        <x:v>86</x:v>
      </x:c>
      <x:c r="O378" s="130" t="n">
        <x:v>82</x:v>
      </x:c>
      <x:c r="P378" s="130" t="n">
        <x:v>86</x:v>
      </x:c>
      <x:c r="Q378" s="130" t="n">
        <x:v>84</x:v>
      </x:c>
      <x:c r="R378" s="130" t="n">
        <x:v>14</x:v>
      </x:c>
      <x:c r="S378" s="128" t="str">
        <x:v>https://arxiv.org/abs/2607.10384</x:v>
      </x:c>
      <x:c r="T378" s="128" t="str">
        <x:v>Background row in the 30% scored pool; title/authors from official July list.</x:v>
      </x:c>
    </x:row>
    <x:row r="379" ht="28" customHeight="1">
      <x:c r="A379" s="129" t="n">
        <x:v>378</x:v>
      </x:c>
      <x:c r="B379" s="129" t="str">
        <x:v>2026-05</x:v>
      </x:c>
      <x:c r="C379" s="129" t="n">
        <x:v>89</x:v>
      </x:c>
      <x:c r="D379" s="129" t="str">
        <x:v>2605.30681</x:v>
      </x:c>
      <x:c r="E379" s="128" t="str">
        <x:v>On a structural acoustic model with logarithmic supercritical source terms</x:v>
      </x:c>
      <x:c r="F379" s="128" t="str">
        <x:v>Baowei Feng; Yanqiu Guo; Mohammad A. Rammaha</x:v>
      </x:c>
      <x:c r="G379" s="128" t="str">
        <x:v>Evolution equations</x:v>
      </x:c>
      <x:c r="H379" s="129" t="n">
        <x:v>34</x:v>
      </x:c>
      <x:c r="I379" s="130" t="n">
        <x:v>84.58</x:v>
      </x:c>
      <x:c r="J379" s="130" t="n">
        <x:v>84.25</x:v>
      </x:c>
      <x:c r="K379" s="130" t="n">
        <x:v>84.9</x:v>
      </x:c>
      <x:c r="L379" s="130" t="n">
        <x:v>84</x:v>
      </x:c>
      <x:c r="M379" s="130" t="n">
        <x:v>85</x:v>
      </x:c>
      <x:c r="N379" s="130" t="n">
        <x:v>86</x:v>
      </x:c>
      <x:c r="O379" s="130" t="n">
        <x:v>81</x:v>
      </x:c>
      <x:c r="P379" s="130" t="n">
        <x:v>86</x:v>
      </x:c>
      <x:c r="Q379" s="130" t="n">
        <x:v>84</x:v>
      </x:c>
      <x:c r="R379" s="130" t="n">
        <x:v>18</x:v>
      </x:c>
      <x:c r="S379" s="128" t="str">
        <x:v>https://arxiv.org/abs/2605.30681</x:v>
      </x:c>
      <x:c r="T379" s="128" t="str">
        <x:v>三轮复核后与原表基本一致</x:v>
      </x:c>
    </x:row>
    <x:row r="380" ht="28" customHeight="1">
      <x:c r="A380" s="129" t="n">
        <x:v>379</x:v>
      </x:c>
      <x:c r="B380" s="129" t="str">
        <x:v>2026-07</x:v>
      </x:c>
      <x:c r="C380" s="129" t="n">
        <x:v>187</x:v>
      </x:c>
      <x:c r="D380" s="129" t="str">
        <x:v>2607.06301</x:v>
      </x:c>
      <x:c r="E380" s="128" t="str">
        <x:v>Local well-posedness for fourth-order nonlinear dispersive systems on the one-dimensional torus under structural conditions</x:v>
      </x:c>
      <x:c r="F380" s="128" t="str">
        <x:v>Eiji Onodera</x:v>
      </x:c>
      <x:c r="G380" s="128" t="str">
        <x:v>dispersive PDE</x:v>
      </x:c>
      <x:c r="H380" s="129" t="str">
        <x:v>-</x:v>
      </x:c>
      <x:c r="I380" s="130" t="n">
        <x:v>84.58</x:v>
      </x:c>
      <x:c r="J380" s="130" t="n">
        <x:v>84.2</x:v>
      </x:c>
      <x:c r="K380" s="130" t="n">
        <x:v>84.95</x:v>
      </x:c>
      <x:c r="L380" s="130" t="n">
        <x:v>85</x:v>
      </x:c>
      <x:c r="M380" s="130" t="n">
        <x:v>83</x:v>
      </x:c>
      <x:c r="N380" s="130" t="n">
        <x:v>86</x:v>
      </x:c>
      <x:c r="O380" s="130" t="n">
        <x:v>82</x:v>
      </x:c>
      <x:c r="P380" s="130" t="n">
        <x:v>86</x:v>
      </x:c>
      <x:c r="Q380" s="130" t="n">
        <x:v>83</x:v>
      </x:c>
      <x:c r="R380" s="130" t="n">
        <x:v>14</x:v>
      </x:c>
      <x:c r="S380" s="128" t="str">
        <x:v>https://arxiv.org/abs/2607.06301</x:v>
      </x:c>
      <x:c r="T380" s="128" t="str">
        <x:v>Background row in the 30% scored pool; title/authors from official July list.</x:v>
      </x:c>
    </x:row>
    <x:row r="381" ht="28" customHeight="1">
      <x:c r="A381" s="129" t="n">
        <x:v>380</x:v>
      </x:c>
      <x:c r="B381" s="129" t="str">
        <x:v>2026-07</x:v>
      </x:c>
      <x:c r="C381" s="129" t="n">
        <x:v>188</x:v>
      </x:c>
      <x:c r="D381" s="129" t="str">
        <x:v>2607.11036</x:v>
      </x:c>
      <x:c r="E381" s="128" t="str">
        <x:v>Homogenization of a non-homogeneous incompressible heat-conducting fluid in perforated domains</x:v>
      </x:c>
      <x:c r="F381" s="128" t="str">
        <x:v>Yong Lu; Jiaojiao Pan; Luqi Wang</x:v>
      </x:c>
      <x:c r="G381" s="128" t="str">
        <x:v>homogenization</x:v>
      </x:c>
      <x:c r="H381" s="129" t="str">
        <x:v>-</x:v>
      </x:c>
      <x:c r="I381" s="130" t="n">
        <x:v>84.58</x:v>
      </x:c>
      <x:c r="J381" s="130" t="n">
        <x:v>84.2</x:v>
      </x:c>
      <x:c r="K381" s="130" t="n">
        <x:v>84.95</x:v>
      </x:c>
      <x:c r="L381" s="130" t="n">
        <x:v>85</x:v>
      </x:c>
      <x:c r="M381" s="130" t="n">
        <x:v>83</x:v>
      </x:c>
      <x:c r="N381" s="130" t="n">
        <x:v>86</x:v>
      </x:c>
      <x:c r="O381" s="130" t="n">
        <x:v>82</x:v>
      </x:c>
      <x:c r="P381" s="130" t="n">
        <x:v>86</x:v>
      </x:c>
      <x:c r="Q381" s="130" t="n">
        <x:v>83</x:v>
      </x:c>
      <x:c r="R381" s="130" t="n">
        <x:v>14</x:v>
      </x:c>
      <x:c r="S381" s="128" t="str">
        <x:v>https://arxiv.org/abs/2607.11036</x:v>
      </x:c>
      <x:c r="T381" s="128" t="str">
        <x:v>Background row in the 30% scored pool; title/authors from official July list.</x:v>
      </x:c>
    </x:row>
    <x:row r="382" ht="28" customHeight="1">
      <x:c r="A382" s="129" t="n">
        <x:v>381</x:v>
      </x:c>
      <x:c r="B382" s="129" t="str">
        <x:v>2026-07</x:v>
      </x:c>
      <x:c r="C382" s="129" t="n">
        <x:v>189</x:v>
      </x:c>
      <x:c r="D382" s="129" t="str">
        <x:v>2607.05879</x:v>
      </x:c>
      <x:c r="E382" s="128" t="str">
        <x:v>Hopf Obstruction and Transported Forced Brakke Motion in Ordered Viscoelastic Cores</x:v>
      </x:c>
      <x:c r="F382" s="128" t="str">
        <x:v>Sai Peng</x:v>
      </x:c>
      <x:c r="G382" s="128" t="str">
        <x:v>Brakke motion</x:v>
      </x:c>
      <x:c r="H382" s="129" t="str">
        <x:v>-</x:v>
      </x:c>
      <x:c r="I382" s="130" t="n">
        <x:v>84.18</x:v>
      </x:c>
      <x:c r="J382" s="130" t="n">
        <x:v>83.75</x:v>
      </x:c>
      <x:c r="K382" s="130" t="n">
        <x:v>84.6</x:v>
      </x:c>
      <x:c r="L382" s="130" t="n">
        <x:v>84</x:v>
      </x:c>
      <x:c r="M382" s="130" t="n">
        <x:v>83</x:v>
      </x:c>
      <x:c r="N382" s="130" t="n">
        <x:v>85</x:v>
      </x:c>
      <x:c r="O382" s="130" t="n">
        <x:v>82</x:v>
      </x:c>
      <x:c r="P382" s="130" t="n">
        <x:v>85</x:v>
      </x:c>
      <x:c r="Q382" s="130" t="n">
        <x:v>84</x:v>
      </x:c>
      <x:c r="R382" s="130" t="n">
        <x:v>14</x:v>
      </x:c>
      <x:c r="S382" s="128" t="str">
        <x:v>https://arxiv.org/abs/2607.05879</x:v>
      </x:c>
      <x:c r="T382" s="128" t="str">
        <x:v>Background row in the 30% scored pool; title/authors from official July list.</x:v>
      </x:c>
    </x:row>
    <x:row r="383" ht="28" customHeight="1">
      <x:c r="A383" s="129" t="n">
        <x:v>382</x:v>
      </x:c>
      <x:c r="B383" s="129" t="str">
        <x:v>2026-07</x:v>
      </x:c>
      <x:c r="C383" s="129" t="n">
        <x:v>190</x:v>
      </x:c>
      <x:c r="D383" s="129" t="str">
        <x:v>2607.06264</x:v>
      </x:c>
      <x:c r="E383" s="128" t="str">
        <x:v>Global stability and anisotropic large-time behavior of the three-dimensional compressible Navier-Stokes equations with eddy diffusion</x:v>
      </x:c>
      <x:c r="F383" s="128" t="str">
        <x:v>Zefu Feng; Guangyi Hong; Yinghui Wang; Jiahong Wu</x:v>
      </x:c>
      <x:c r="G383" s="128" t="str">
        <x:v>compressible NS</x:v>
      </x:c>
      <x:c r="H383" s="129" t="str">
        <x:v>-</x:v>
      </x:c>
      <x:c r="I383" s="130" t="n">
        <x:v>84.18</x:v>
      </x:c>
      <x:c r="J383" s="130" t="n">
        <x:v>83.75</x:v>
      </x:c>
      <x:c r="K383" s="130" t="n">
        <x:v>84.6</x:v>
      </x:c>
      <x:c r="L383" s="130" t="n">
        <x:v>85</x:v>
      </x:c>
      <x:c r="M383" s="130" t="n">
        <x:v>82</x:v>
      </x:c>
      <x:c r="N383" s="130" t="n">
        <x:v>86</x:v>
      </x:c>
      <x:c r="O383" s="130" t="n">
        <x:v>81</x:v>
      </x:c>
      <x:c r="P383" s="130" t="n">
        <x:v>86</x:v>
      </x:c>
      <x:c r="Q383" s="130" t="n">
        <x:v>82</x:v>
      </x:c>
      <x:c r="R383" s="130" t="n">
        <x:v>14</x:v>
      </x:c>
      <x:c r="S383" s="128" t="str">
        <x:v>https://arxiv.org/abs/2607.06264</x:v>
      </x:c>
      <x:c r="T383" s="128" t="str">
        <x:v>Background row in the 30% scored pool; title/authors from official July list.</x:v>
      </x:c>
    </x:row>
    <x:row r="384" ht="28" customHeight="1">
      <x:c r="A384" s="129" t="n">
        <x:v>383</x:v>
      </x:c>
      <x:c r="B384" s="129" t="str">
        <x:v>2026-07</x:v>
      </x:c>
      <x:c r="C384" s="129" t="n">
        <x:v>191</x:v>
      </x:c>
      <x:c r="D384" s="129" t="str">
        <x:v>2607.06387</x:v>
      </x:c>
      <x:c r="E384" s="128" t="str">
        <x:v>Solvability of divergence equation in Lipschitz spaces</x:v>
      </x:c>
      <x:c r="F384" s="128" t="str">
        <x:v>Maria Eugenia Cejas; Ricardo G. Duran</x:v>
      </x:c>
      <x:c r="G384" s="128" t="str">
        <x:v>divergence equation</x:v>
      </x:c>
      <x:c r="H384" s="129" t="str">
        <x:v>-</x:v>
      </x:c>
      <x:c r="I384" s="130" t="n">
        <x:v>84.18</x:v>
      </x:c>
      <x:c r="J384" s="130" t="n">
        <x:v>83.75</x:v>
      </x:c>
      <x:c r="K384" s="130" t="n">
        <x:v>84.6</x:v>
      </x:c>
      <x:c r="L384" s="130" t="n">
        <x:v>84</x:v>
      </x:c>
      <x:c r="M384" s="130" t="n">
        <x:v>83</x:v>
      </x:c>
      <x:c r="N384" s="130" t="n">
        <x:v>85</x:v>
      </x:c>
      <x:c r="O384" s="130" t="n">
        <x:v>82</x:v>
      </x:c>
      <x:c r="P384" s="130" t="n">
        <x:v>85</x:v>
      </x:c>
      <x:c r="Q384" s="130" t="n">
        <x:v>84</x:v>
      </x:c>
      <x:c r="R384" s="130" t="n">
        <x:v>14</x:v>
      </x:c>
      <x:c r="S384" s="128" t="str">
        <x:v>https://arxiv.org/abs/2607.06387</x:v>
      </x:c>
      <x:c r="T384" s="128" t="str">
        <x:v>Background row in the 30% scored pool; title/authors from official July list.</x:v>
      </x:c>
    </x:row>
    <x:row r="385" ht="28" customHeight="1">
      <x:c r="A385" s="129" t="n">
        <x:v>384</x:v>
      </x:c>
      <x:c r="B385" s="129" t="str">
        <x:v>2026-07</x:v>
      </x:c>
      <x:c r="C385" s="129" t="n">
        <x:v>192</x:v>
      </x:c>
      <x:c r="D385" s="129" t="str">
        <x:v>2607.07171</x:v>
      </x:c>
      <x:c r="E385" s="128" t="str">
        <x:v>Lp-Asymptotic Profiles for the Heat Equation with a Hardy Potential</x:v>
      </x:c>
      <x:c r="F385" s="128" t="str">
        <x:v>Radu Ordean</x:v>
      </x:c>
      <x:c r="G385" s="128" t="str">
        <x:v>heat equation/Hardy</x:v>
      </x:c>
      <x:c r="H385" s="129" t="str">
        <x:v>-</x:v>
      </x:c>
      <x:c r="I385" s="130" t="n">
        <x:v>84.18</x:v>
      </x:c>
      <x:c r="J385" s="130" t="n">
        <x:v>83.75</x:v>
      </x:c>
      <x:c r="K385" s="130" t="n">
        <x:v>84.6</x:v>
      </x:c>
      <x:c r="L385" s="130" t="n">
        <x:v>84</x:v>
      </x:c>
      <x:c r="M385" s="130" t="n">
        <x:v>83</x:v>
      </x:c>
      <x:c r="N385" s="130" t="n">
        <x:v>85</x:v>
      </x:c>
      <x:c r="O385" s="130" t="n">
        <x:v>82</x:v>
      </x:c>
      <x:c r="P385" s="130" t="n">
        <x:v>85</x:v>
      </x:c>
      <x:c r="Q385" s="130" t="n">
        <x:v>84</x:v>
      </x:c>
      <x:c r="R385" s="130" t="n">
        <x:v>14</x:v>
      </x:c>
      <x:c r="S385" s="128" t="str">
        <x:v>https://arxiv.org/abs/2607.07171</x:v>
      </x:c>
      <x:c r="T385" s="128" t="str">
        <x:v>Background row in the 30% scored pool; title/authors from official July list.</x:v>
      </x:c>
    </x:row>
    <x:row r="386" ht="28" customHeight="1">
      <x:c r="A386" s="129" t="n">
        <x:v>385</x:v>
      </x:c>
      <x:c r="B386" s="129" t="str">
        <x:v>2026-07</x:v>
      </x:c>
      <x:c r="C386" s="129" t="n">
        <x:v>193</x:v>
      </x:c>
      <x:c r="D386" s="129" t="str">
        <x:v>2607.08405</x:v>
      </x:c>
      <x:c r="E386" s="128" t="str">
        <x:v>A capacitary approach to Lyapunov-type inequalities for elliptic problems on weighted graphs</x:v>
      </x:c>
      <x:c r="F386" s="128" t="str">
        <x:v>Mohamed Jleli; Bessem Samet</x:v>
      </x:c>
      <x:c r="G386" s="128" t="str">
        <x:v>elliptic graphs</x:v>
      </x:c>
      <x:c r="H386" s="129" t="str">
        <x:v>-</x:v>
      </x:c>
      <x:c r="I386" s="130" t="n">
        <x:v>84.18</x:v>
      </x:c>
      <x:c r="J386" s="130" t="n">
        <x:v>83.75</x:v>
      </x:c>
      <x:c r="K386" s="130" t="n">
        <x:v>84.6</x:v>
      </x:c>
      <x:c r="L386" s="130" t="n">
        <x:v>84</x:v>
      </x:c>
      <x:c r="M386" s="130" t="n">
        <x:v>83</x:v>
      </x:c>
      <x:c r="N386" s="130" t="n">
        <x:v>85</x:v>
      </x:c>
      <x:c r="O386" s="130" t="n">
        <x:v>82</x:v>
      </x:c>
      <x:c r="P386" s="130" t="n">
        <x:v>85</x:v>
      </x:c>
      <x:c r="Q386" s="130" t="n">
        <x:v>84</x:v>
      </x:c>
      <x:c r="R386" s="130" t="n">
        <x:v>14</x:v>
      </x:c>
      <x:c r="S386" s="128" t="str">
        <x:v>https://arxiv.org/abs/2607.08405</x:v>
      </x:c>
      <x:c r="T386" s="128" t="str">
        <x:v>Background row in the 30% scored pool; title/authors from official July list.</x:v>
      </x:c>
    </x:row>
    <x:row r="387" ht="28" customHeight="1">
      <x:c r="A387" s="129" t="n">
        <x:v>386</x:v>
      </x:c>
      <x:c r="B387" s="129" t="str">
        <x:v>2026-07</x:v>
      </x:c>
      <x:c r="C387" s="129" t="n">
        <x:v>194</x:v>
      </x:c>
      <x:c r="D387" s="129" t="str">
        <x:v>2607.08916</x:v>
      </x:c>
      <x:c r="E387" s="128" t="str">
        <x:v>A chemotaxis-consumption model with boundary inflow of a nutrient, steady states</x:v>
      </x:c>
      <x:c r="F387" s="128" t="str">
        <x:v>Frederic Heihoff; Piotr Knosalla</x:v>
      </x:c>
      <x:c r="G387" s="128" t="str">
        <x:v>chemotaxis</x:v>
      </x:c>
      <x:c r="H387" s="129" t="n">
        <x:v>13</x:v>
      </x:c>
      <x:c r="I387" s="130" t="n">
        <x:v>84.18</x:v>
      </x:c>
      <x:c r="J387" s="130" t="n">
        <x:v>83.75</x:v>
      </x:c>
      <x:c r="K387" s="130" t="n">
        <x:v>84.6</x:v>
      </x:c>
      <x:c r="L387" s="130" t="n">
        <x:v>84</x:v>
      </x:c>
      <x:c r="M387" s="130" t="n">
        <x:v>83</x:v>
      </x:c>
      <x:c r="N387" s="130" t="n">
        <x:v>85</x:v>
      </x:c>
      <x:c r="O387" s="130" t="n">
        <x:v>82</x:v>
      </x:c>
      <x:c r="P387" s="130" t="n">
        <x:v>85</x:v>
      </x:c>
      <x:c r="Q387" s="130" t="n">
        <x:v>84</x:v>
      </x:c>
      <x:c r="R387" s="130" t="n">
        <x:v>14</x:v>
      </x:c>
      <x:c r="S387" s="128" t="str">
        <x:v>https://arxiv.org/abs/2607.08916</x:v>
      </x:c>
      <x:c r="T387" s="128" t="str">
        <x:v>Background row in the 30% scored pool; title/authors from official July list.</x:v>
      </x:c>
    </x:row>
    <x:row r="388" ht="28" customHeight="1">
      <x:c r="A388" s="129" t="n">
        <x:v>387</x:v>
      </x:c>
      <x:c r="B388" s="129" t="str">
        <x:v>2026-07</x:v>
      </x:c>
      <x:c r="C388" s="129" t="n">
        <x:v>195</x:v>
      </x:c>
      <x:c r="D388" s="129" t="str">
        <x:v>2607.11051</x:v>
      </x:c>
      <x:c r="E388" s="128" t="str">
        <x:v>Normalized solutions for a class of gradient-type Schrodinger systems under Neumann boundary conditions</x:v>
      </x:c>
      <x:c r="F388" s="128" t="str">
        <x:v>Xiaojun Chang; Yuxin Li; Yohei Sato; Yuxuan Zhang</x:v>
      </x:c>
      <x:c r="G388" s="128" t="str">
        <x:v>Schrodinger systems</x:v>
      </x:c>
      <x:c r="H388" s="129" t="str">
        <x:v>-</x:v>
      </x:c>
      <x:c r="I388" s="130" t="n">
        <x:v>84.18</x:v>
      </x:c>
      <x:c r="J388" s="130" t="n">
        <x:v>83.75</x:v>
      </x:c>
      <x:c r="K388" s="130" t="n">
        <x:v>84.6</x:v>
      </x:c>
      <x:c r="L388" s="130" t="n">
        <x:v>84</x:v>
      </x:c>
      <x:c r="M388" s="130" t="n">
        <x:v>83</x:v>
      </x:c>
      <x:c r="N388" s="130" t="n">
        <x:v>85</x:v>
      </x:c>
      <x:c r="O388" s="130" t="n">
        <x:v>82</x:v>
      </x:c>
      <x:c r="P388" s="130" t="n">
        <x:v>85</x:v>
      </x:c>
      <x:c r="Q388" s="130" t="n">
        <x:v>84</x:v>
      </x:c>
      <x:c r="R388" s="130" t="n">
        <x:v>14</x:v>
      </x:c>
      <x:c r="S388" s="128" t="str">
        <x:v>https://arxiv.org/abs/2607.11051</x:v>
      </x:c>
      <x:c r="T388" s="128" t="str">
        <x:v>Background row in the 30% scored pool; title/authors from official July list.</x:v>
      </x:c>
    </x:row>
    <x:row r="389" ht="28" customHeight="1">
      <x:c r="A389" s="129" t="n">
        <x:v>388</x:v>
      </x:c>
      <x:c r="B389" s="129" t="str">
        <x:v>2026-05</x:v>
      </x:c>
      <x:c r="C389" s="129" t="n">
        <x:v>90</x:v>
      </x:c>
      <x:c r="D389" s="129" t="str">
        <x:v>2605.03920</x:v>
      </x:c>
      <x:c r="E389" s="128" t="str">
        <x:v>Linear instability of a Burgers-Hilbert traveling wave</x:v>
      </x:c>
      <x:c r="F389" s="128" t="str">
        <x:v>Angel Castro; Javier Gomez-Serrano; Miguel Pascual-Caballo</x:v>
      </x:c>
      <x:c r="G389" s="128" t="str">
        <x:v>Nonlocal waves / computation</x:v>
      </x:c>
      <x:c r="H389" s="129"/>
      <x:c r="I389" s="130" t="n">
        <x:v>84.17</x:v>
      </x:c>
      <x:c r="J389" s="130" t="n">
        <x:v>85.18</x:v>
      </x:c>
      <x:c r="K389" s="130" t="n">
        <x:v>83.15</x:v>
      </x:c>
      <x:c r="L389" s="130" t="n">
        <x:v>86</x:v>
      </x:c>
      <x:c r="M389" s="130" t="n">
        <x:v>87</x:v>
      </x:c>
      <x:c r="N389" s="130" t="n">
        <x:v>85.9</x:v>
      </x:c>
      <x:c r="O389" s="130" t="n">
        <x:v>82</x:v>
      </x:c>
      <x:c r="P389" s="130" t="n">
        <x:v>84.9</x:v>
      </x:c>
      <x:c r="Q389" s="130" t="n">
        <x:v>82</x:v>
      </x:c>
      <x:c r="R389" s="130" t="n">
        <x:v>28</x:v>
      </x:c>
      <x:c r="S389" s="128" t="str">
        <x:v>https://arxiv.org/abs/2605.03920</x:v>
      </x:c>
      <x:c r="T389" s="128" t="str">
        <x:v>三轮复核后与原表基本一致</x:v>
      </x:c>
    </x:row>
    <x:row r="390" ht="28" customHeight="1">
      <x:c r="A390" s="129" t="n">
        <x:v>389</x:v>
      </x:c>
      <x:c r="B390" s="129" t="str">
        <x:v>2026-07</x:v>
      </x:c>
      <x:c r="C390" s="129" t="n">
        <x:v>196</x:v>
      </x:c>
      <x:c r="D390" s="129" t="str">
        <x:v>2607.00094</x:v>
      </x:c>
      <x:c r="E390" s="128" t="str">
        <x:v>Convergence of a minimizing movement scheme for a Landau-Ginzburg-Higgs energy</x:v>
      </x:c>
      <x:c r="F390" s="128" t="str">
        <x:v>Tokuhiro Eto; Jiwoong Jang</x:v>
      </x:c>
      <x:c r="G390" s="128" t="str">
        <x:v>variational PDE</x:v>
      </x:c>
      <x:c r="H390" s="129" t="n">
        <x:v>28</x:v>
      </x:c>
      <x:c r="I390" s="130" t="n">
        <x:v>84.13</x:v>
      </x:c>
      <x:c r="J390" s="130" t="n">
        <x:v>83.65</x:v>
      </x:c>
      <x:c r="K390" s="130" t="n">
        <x:v>84.6</x:v>
      </x:c>
      <x:c r="L390" s="130" t="n">
        <x:v>84</x:v>
      </x:c>
      <x:c r="M390" s="130" t="n">
        <x:v>83</x:v>
      </x:c>
      <x:c r="N390" s="130" t="n">
        <x:v>85</x:v>
      </x:c>
      <x:c r="O390" s="130" t="n">
        <x:v>82</x:v>
      </x:c>
      <x:c r="P390" s="130" t="n">
        <x:v>85</x:v>
      </x:c>
      <x:c r="Q390" s="130" t="n">
        <x:v>83</x:v>
      </x:c>
      <x:c r="R390" s="130" t="n">
        <x:v>13</x:v>
      </x:c>
      <x:c r="S390" s="128" t="str">
        <x:v>https://arxiv.org/abs/2607.00094</x:v>
      </x:c>
      <x:c r="T390" s="128" t="str">
        <x:v>Scored candidate from official July math.AP list; correctness not checked.</x:v>
      </x:c>
    </x:row>
    <x:row r="391" ht="28" customHeight="1">
      <x:c r="A391" s="129" t="n">
        <x:v>390</x:v>
      </x:c>
      <x:c r="B391" s="129" t="str">
        <x:v>2026-07</x:v>
      </x:c>
      <x:c r="C391" s="129" t="n">
        <x:v>197</x:v>
      </x:c>
      <x:c r="D391" s="129" t="str">
        <x:v>2607.02152</x:v>
      </x:c>
      <x:c r="E391" s="128" t="str">
        <x:v>Liouville-type theorems and existence of solutions for quasilinear elliptic problems</x:v>
      </x:c>
      <x:c r="F391" s="128" t="str">
        <x:v>J. M. Do O; R. F. Freire; E. S. Medeiros</x:v>
      </x:c>
      <x:c r="G391" s="128" t="str">
        <x:v>elliptic PDE</x:v>
      </x:c>
      <x:c r="H391" s="129" t="n">
        <x:v>29</x:v>
      </x:c>
      <x:c r="I391" s="130" t="n">
        <x:v>84.13</x:v>
      </x:c>
      <x:c r="J391" s="130" t="n">
        <x:v>83.65</x:v>
      </x:c>
      <x:c r="K391" s="130" t="n">
        <x:v>84.6</x:v>
      </x:c>
      <x:c r="L391" s="130" t="n">
        <x:v>84</x:v>
      </x:c>
      <x:c r="M391" s="130" t="n">
        <x:v>83</x:v>
      </x:c>
      <x:c r="N391" s="130" t="n">
        <x:v>85</x:v>
      </x:c>
      <x:c r="O391" s="130" t="n">
        <x:v>82</x:v>
      </x:c>
      <x:c r="P391" s="130" t="n">
        <x:v>85</x:v>
      </x:c>
      <x:c r="Q391" s="130" t="n">
        <x:v>83</x:v>
      </x:c>
      <x:c r="R391" s="130" t="n">
        <x:v>13</x:v>
      </x:c>
      <x:c r="S391" s="128" t="str">
        <x:v>https://arxiv.org/abs/2607.02152</x:v>
      </x:c>
      <x:c r="T391" s="128" t="str">
        <x:v>Scored candidate from official July math.AP list; correctness not checked.</x:v>
      </x:c>
    </x:row>
    <x:row r="392" ht="28" customHeight="1">
      <x:c r="A392" s="129" t="n">
        <x:v>391</x:v>
      </x:c>
      <x:c r="B392" s="129" t="str">
        <x:v>2026-07</x:v>
      </x:c>
      <x:c r="C392" s="129" t="n">
        <x:v>198</x:v>
      </x:c>
      <x:c r="D392" s="129" t="str">
        <x:v>2607.03122</x:v>
      </x:c>
      <x:c r="E392" s="128" t="str">
        <x:v>Equivalence of weak and viscosity solutions for nonlocal p-Laplace type equations on the Heisenberg group</x:v>
      </x:c>
      <x:c r="F392" s="128" t="str">
        <x:v>Debangana Mukherjee; Vivek Tewary</x:v>
      </x:c>
      <x:c r="G392" s="128" t="str">
        <x:v>nonlocal PDE</x:v>
      </x:c>
      <x:c r="H392" s="129" t="n">
        <x:v>30</x:v>
      </x:c>
      <x:c r="I392" s="130" t="n">
        <x:v>84.13</x:v>
      </x:c>
      <x:c r="J392" s="130" t="n">
        <x:v>83.65</x:v>
      </x:c>
      <x:c r="K392" s="130" t="n">
        <x:v>84.6</x:v>
      </x:c>
      <x:c r="L392" s="130" t="n">
        <x:v>84</x:v>
      </x:c>
      <x:c r="M392" s="130" t="n">
        <x:v>83</x:v>
      </x:c>
      <x:c r="N392" s="130" t="n">
        <x:v>85</x:v>
      </x:c>
      <x:c r="O392" s="130" t="n">
        <x:v>82</x:v>
      </x:c>
      <x:c r="P392" s="130" t="n">
        <x:v>85</x:v>
      </x:c>
      <x:c r="Q392" s="130" t="n">
        <x:v>83</x:v>
      </x:c>
      <x:c r="R392" s="130" t="n">
        <x:v>13</x:v>
      </x:c>
      <x:c r="S392" s="128" t="str">
        <x:v>https://arxiv.org/abs/2607.03122</x:v>
      </x:c>
      <x:c r="T392" s="128" t="str">
        <x:v>Scored candidate from official July math.AP list; correctness not checked.</x:v>
      </x:c>
    </x:row>
    <x:row r="393" ht="28" customHeight="1">
      <x:c r="A393" s="129" t="n">
        <x:v>392</x:v>
      </x:c>
      <x:c r="B393" s="129" t="str">
        <x:v>2026-07</x:v>
      </x:c>
      <x:c r="C393" s="129" t="n">
        <x:v>199</x:v>
      </x:c>
      <x:c r="D393" s="129" t="str">
        <x:v>2607.03773</x:v>
      </x:c>
      <x:c r="E393" s="128" t="str">
        <x:v>Initial layer analysis of relaxation-time limit of the collisional QHD</x:v>
      </x:c>
      <x:c r="F393" s="128" t="str">
        <x:v>Paolo Antonelli; Pierangelo Marcati; Hao Zheng</x:v>
      </x:c>
      <x:c r="G393" s="128" t="str">
        <x:v>quantum hydrodynamics</x:v>
      </x:c>
      <x:c r="H393" s="129" t="str">
        <x:v>-</x:v>
      </x:c>
      <x:c r="I393" s="130" t="n">
        <x:v>84.13</x:v>
      </x:c>
      <x:c r="J393" s="130" t="n">
        <x:v>83.65</x:v>
      </x:c>
      <x:c r="K393" s="130" t="n">
        <x:v>84.6</x:v>
      </x:c>
      <x:c r="L393" s="130" t="n">
        <x:v>84</x:v>
      </x:c>
      <x:c r="M393" s="130" t="n">
        <x:v>83</x:v>
      </x:c>
      <x:c r="N393" s="130" t="n">
        <x:v>85</x:v>
      </x:c>
      <x:c r="O393" s="130" t="n">
        <x:v>82</x:v>
      </x:c>
      <x:c r="P393" s="130" t="n">
        <x:v>85</x:v>
      </x:c>
      <x:c r="Q393" s="130" t="n">
        <x:v>83</x:v>
      </x:c>
      <x:c r="R393" s="130" t="n">
        <x:v>13</x:v>
      </x:c>
      <x:c r="S393" s="128" t="str">
        <x:v>https://arxiv.org/abs/2607.03773</x:v>
      </x:c>
      <x:c r="T393" s="128" t="str">
        <x:v>Scored candidate from official July math.AP list; correctness not checked.</x:v>
      </x:c>
    </x:row>
    <x:row r="394" ht="28" customHeight="1">
      <x:c r="A394" s="129" t="n">
        <x:v>393</x:v>
      </x:c>
      <x:c r="B394" s="129" t="str">
        <x:v>2026-06</x:v>
      </x:c>
      <x:c r="C394" s="129" t="n">
        <x:v>53</x:v>
      </x:c>
      <x:c r="D394" s="129" t="str">
        <x:v>2606.07501</x:v>
      </x:c>
      <x:c r="E394" s="128" t="str">
        <x:v>On the non-uniqueness of solutions of the axi-symmetric swirl-free Navier-Stokes equations, I</x:v>
      </x:c>
      <x:c r="F394" s="128" t="str">
        <x:v>Alexandru D. Ionescu; Hao Jia; Stan Palasek</x:v>
      </x:c>
      <x:c r="G394" s="128" t="str">
        <x:v>fluid/kinetic PDE</x:v>
      </x:c>
      <x:c r="H394" s="129" t="n">
        <x:v>24</x:v>
      </x:c>
      <x:c r="I394" s="130" t="n">
        <x:v>84.05</x:v>
      </x:c>
      <x:c r="J394" s="130" t="n">
        <x:v>83.78</x:v>
      </x:c>
      <x:c r="K394" s="130" t="n">
        <x:v>84.31</x:v>
      </x:c>
      <x:c r="L394" s="130" t="n">
        <x:v>84</x:v>
      </x:c>
      <x:c r="M394" s="130" t="n">
        <x:v>84</x:v>
      </x:c>
      <x:c r="N394" s="130" t="n">
        <x:v>84.1</x:v>
      </x:c>
      <x:c r="O394" s="130" t="n">
        <x:v>83</x:v>
      </x:c>
      <x:c r="P394" s="130" t="n">
        <x:v>84</x:v>
      </x:c>
      <x:c r="Q394" s="130" t="n">
        <x:v>83</x:v>
      </x:c>
      <x:c r="R394" s="130" t="n">
        <x:v>13.1</x:v>
      </x:c>
      <x:c r="S394" s="128" t="str">
        <x:v>https://arxiv.org/abs/2606.07501</x:v>
      </x:c>
      <x:c r="T394" s="128" t="str">
        <x:v>三轮复核后与原表基本一致</x:v>
      </x:c>
    </x:row>
    <x:row r="395" ht="28" customHeight="1">
      <x:c r="A395" s="129" t="n">
        <x:v>394</x:v>
      </x:c>
      <x:c r="B395" s="129" t="str">
        <x:v>2026-07</x:v>
      </x:c>
      <x:c r="C395" s="129" t="n">
        <x:v>200</x:v>
      </x:c>
      <x:c r="D395" s="129" t="str">
        <x:v>2607.04649</x:v>
      </x:c>
      <x:c r="E395" s="128" t="str">
        <x:v>Subcritical-mass global solvability in a doubly degenerate Keller-Segel system with signal production</x:v>
      </x:c>
      <x:c r="F395" s="128" t="str">
        <x:v>Tobias Black; Genglin Li</x:v>
      </x:c>
      <x:c r="G395" s="128" t="str">
        <x:v>Keller-Segel</x:v>
      </x:c>
      <x:c r="H395" s="129" t="n">
        <x:v>26</x:v>
      </x:c>
      <x:c r="I395" s="130" t="n">
        <x:v>83.78</x:v>
      </x:c>
      <x:c r="J395" s="130" t="n">
        <x:v>83.3</x:v>
      </x:c>
      <x:c r="K395" s="130" t="n">
        <x:v>84.25</x:v>
      </x:c>
      <x:c r="L395" s="130" t="n">
        <x:v>84</x:v>
      </x:c>
      <x:c r="M395" s="130" t="n">
        <x:v>82</x:v>
      </x:c>
      <x:c r="N395" s="130" t="n">
        <x:v>85</x:v>
      </x:c>
      <x:c r="O395" s="130" t="n">
        <x:v>81</x:v>
      </x:c>
      <x:c r="P395" s="130" t="n">
        <x:v>85</x:v>
      </x:c>
      <x:c r="Q395" s="130" t="n">
        <x:v>83</x:v>
      </x:c>
      <x:c r="R395" s="130" t="n">
        <x:v>14</x:v>
      </x:c>
      <x:c r="S395" s="128" t="str">
        <x:v>https://arxiv.org/abs/2607.04649</x:v>
      </x:c>
      <x:c r="T395" s="128" t="str">
        <x:v>Background row in the 30% scored pool; title/authors from official July list.</x:v>
      </x:c>
    </x:row>
    <x:row r="396" ht="28" customHeight="1">
      <x:c r="A396" s="129" t="n">
        <x:v>395</x:v>
      </x:c>
      <x:c r="B396" s="129" t="str">
        <x:v>2026-07</x:v>
      </x:c>
      <x:c r="C396" s="129" t="n">
        <x:v>201</x:v>
      </x:c>
      <x:c r="D396" s="129" t="str">
        <x:v>2607.05128</x:v>
      </x:c>
      <x:c r="E396" s="128" t="str">
        <x:v>Classification of singular solutions to the subcritical Lane-Emden equation in R^N minus a point</x:v>
      </x:c>
      <x:c r="F396" s="128" t="str">
        <x:v>Francesco Esposito; Luigi Muglia; Berardino Sciunzi; Domenico Vuono</x:v>
      </x:c>
      <x:c r="G396" s="128" t="str">
        <x:v>Lane-Emden classification</x:v>
      </x:c>
      <x:c r="H396" s="129" t="str">
        <x:v>-</x:v>
      </x:c>
      <x:c r="I396" s="130" t="n">
        <x:v>83.78</x:v>
      </x:c>
      <x:c r="J396" s="130" t="n">
        <x:v>83.3</x:v>
      </x:c>
      <x:c r="K396" s="130" t="n">
        <x:v>84.25</x:v>
      </x:c>
      <x:c r="L396" s="130" t="n">
        <x:v>84</x:v>
      </x:c>
      <x:c r="M396" s="130" t="n">
        <x:v>82</x:v>
      </x:c>
      <x:c r="N396" s="130" t="n">
        <x:v>85</x:v>
      </x:c>
      <x:c r="O396" s="130" t="n">
        <x:v>81</x:v>
      </x:c>
      <x:c r="P396" s="130" t="n">
        <x:v>85</x:v>
      </x:c>
      <x:c r="Q396" s="130" t="n">
        <x:v>83</x:v>
      </x:c>
      <x:c r="R396" s="130" t="n">
        <x:v>14</x:v>
      </x:c>
      <x:c r="S396" s="128" t="str">
        <x:v>https://arxiv.org/abs/2607.05128</x:v>
      </x:c>
      <x:c r="T396" s="128" t="str">
        <x:v>Background row in the 30% scored pool; title/authors from official July list.</x:v>
      </x:c>
    </x:row>
    <x:row r="397" ht="28" customHeight="1">
      <x:c r="A397" s="129" t="n">
        <x:v>396</x:v>
      </x:c>
      <x:c r="B397" s="129" t="str">
        <x:v>2026-07</x:v>
      </x:c>
      <x:c r="C397" s="129" t="n">
        <x:v>202</x:v>
      </x:c>
      <x:c r="D397" s="129" t="str">
        <x:v>2607.08381</x:v>
      </x:c>
      <x:c r="E397" s="128" t="str">
        <x:v>Normalized Semiclassical Solutions to Magnetic Schrodinger-Poisson Systems with Critical Local and Nonlocal Interactions</x:v>
      </x:c>
      <x:c r="F397" s="128" t="str">
        <x:v>Khaled Khachnaoui</x:v>
      </x:c>
      <x:c r="G397" s="128" t="str">
        <x:v>Schrodinger-Poisson</x:v>
      </x:c>
      <x:c r="H397" s="129" t="str">
        <x:v>-</x:v>
      </x:c>
      <x:c r="I397" s="130" t="n">
        <x:v>83.78</x:v>
      </x:c>
      <x:c r="J397" s="130" t="n">
        <x:v>83.3</x:v>
      </x:c>
      <x:c r="K397" s="130" t="n">
        <x:v>84.25</x:v>
      </x:c>
      <x:c r="L397" s="130" t="n">
        <x:v>84</x:v>
      </x:c>
      <x:c r="M397" s="130" t="n">
        <x:v>82</x:v>
      </x:c>
      <x:c r="N397" s="130" t="n">
        <x:v>85</x:v>
      </x:c>
      <x:c r="O397" s="130" t="n">
        <x:v>81</x:v>
      </x:c>
      <x:c r="P397" s="130" t="n">
        <x:v>85</x:v>
      </x:c>
      <x:c r="Q397" s="130" t="n">
        <x:v>83</x:v>
      </x:c>
      <x:c r="R397" s="130" t="n">
        <x:v>14</x:v>
      </x:c>
      <x:c r="S397" s="128" t="str">
        <x:v>https://arxiv.org/abs/2607.08381</x:v>
      </x:c>
      <x:c r="T397" s="128" t="str">
        <x:v>Background row in the 30% scored pool; title/authors from official July list.</x:v>
      </x:c>
    </x:row>
    <x:row r="398" ht="28" customHeight="1">
      <x:c r="A398" s="129" t="n">
        <x:v>397</x:v>
      </x:c>
      <x:c r="B398" s="129" t="str">
        <x:v>2026-07</x:v>
      </x:c>
      <x:c r="C398" s="129" t="n">
        <x:v>203</x:v>
      </x:c>
      <x:c r="D398" s="129" t="str">
        <x:v>2607.10382</x:v>
      </x:c>
      <x:c r="E398" s="128" t="str">
        <x:v>L2-Supercritical Nonlinear Klein-Gordon System with Quadratic Asymmetric Interaction</x:v>
      </x:c>
      <x:c r="F398" s="128" t="str">
        <x:v>Xiaojing Dong; Huagui Duan; Zaihui Gan; Jingyu Wu</x:v>
      </x:c>
      <x:c r="G398" s="128" t="str">
        <x:v>Klein-Gordon</x:v>
      </x:c>
      <x:c r="H398" s="129" t="n">
        <x:v>43</x:v>
      </x:c>
      <x:c r="I398" s="130" t="n">
        <x:v>83.78</x:v>
      </x:c>
      <x:c r="J398" s="130" t="n">
        <x:v>83.3</x:v>
      </x:c>
      <x:c r="K398" s="130" t="n">
        <x:v>84.25</x:v>
      </x:c>
      <x:c r="L398" s="130" t="n">
        <x:v>84</x:v>
      </x:c>
      <x:c r="M398" s="130" t="n">
        <x:v>82</x:v>
      </x:c>
      <x:c r="N398" s="130" t="n">
        <x:v>85</x:v>
      </x:c>
      <x:c r="O398" s="130" t="n">
        <x:v>81</x:v>
      </x:c>
      <x:c r="P398" s="130" t="n">
        <x:v>85</x:v>
      </x:c>
      <x:c r="Q398" s="130" t="n">
        <x:v>83</x:v>
      </x:c>
      <x:c r="R398" s="130" t="n">
        <x:v>14</x:v>
      </x:c>
      <x:c r="S398" s="128" t="str">
        <x:v>https://arxiv.org/abs/2607.10382</x:v>
      </x:c>
      <x:c r="T398" s="128" t="str">
        <x:v>Background row in the 30% scored pool; title/authors from official July list.</x:v>
      </x:c>
    </x:row>
    <x:row r="399" ht="28" customHeight="1">
      <x:c r="A399" s="129" t="n">
        <x:v>398</x:v>
      </x:c>
      <x:c r="B399" s="129" t="str">
        <x:v>2026-07</x:v>
      </x:c>
      <x:c r="C399" s="129" t="n">
        <x:v>204</x:v>
      </x:c>
      <x:c r="D399" s="129" t="str">
        <x:v>2607.04618</x:v>
      </x:c>
      <x:c r="E399" s="128" t="str">
        <x:v>Time-periodic solutions of the Boltzmann equation with soft potentials in R^3</x:v>
      </x:c>
      <x:c r="F399" s="128" t="str">
        <x:v>Yuanjie Lei; Shuangqian Liu; Jiaying Zhang; Huijiang Zhao</x:v>
      </x:c>
      <x:c r="G399" s="128" t="str">
        <x:v>Boltzmann</x:v>
      </x:c>
      <x:c r="H399" s="129" t="str">
        <x:v>-</x:v>
      </x:c>
      <x:c r="I399" s="130" t="n">
        <x:v>83.65</x:v>
      </x:c>
      <x:c r="J399" s="130" t="n">
        <x:v>83.2</x:v>
      </x:c>
      <x:c r="K399" s="130" t="n">
        <x:v>84.1</x:v>
      </x:c>
      <x:c r="L399" s="130" t="n">
        <x:v>84</x:v>
      </x:c>
      <x:c r="M399" s="130" t="n">
        <x:v>82</x:v>
      </x:c>
      <x:c r="N399" s="130" t="n">
        <x:v>85</x:v>
      </x:c>
      <x:c r="O399" s="130" t="n">
        <x:v>81</x:v>
      </x:c>
      <x:c r="P399" s="130" t="n">
        <x:v>85</x:v>
      </x:c>
      <x:c r="Q399" s="130" t="n">
        <x:v>82</x:v>
      </x:c>
      <x:c r="R399" s="130" t="n">
        <x:v>14</x:v>
      </x:c>
      <x:c r="S399" s="128" t="str">
        <x:v>https://arxiv.org/abs/2607.04618</x:v>
      </x:c>
      <x:c r="T399" s="128" t="str">
        <x:v>Background row in the 30% scored pool; title/authors from official July list.</x:v>
      </x:c>
    </x:row>
    <x:row r="400" ht="28" customHeight="1">
      <x:c r="A400" s="129" t="n">
        <x:v>399</x:v>
      </x:c>
      <x:c r="B400" s="129" t="str">
        <x:v>2026-07</x:v>
      </x:c>
      <x:c r="C400" s="129" t="n">
        <x:v>205</x:v>
      </x:c>
      <x:c r="D400" s="129" t="str">
        <x:v>2607.08866</x:v>
      </x:c>
      <x:c r="E400" s="128" t="str">
        <x:v>Logarithmic Depletion of Vortex Stretching and Singularity Evasion in the 3D Navier-Stokes Equations</x:v>
      </x:c>
      <x:c r="F400" s="128" t="str">
        <x:v>Zoran Grujic</x:v>
      </x:c>
      <x:c r="G400" s="128" t="str">
        <x:v>Navier-Stokes</x:v>
      </x:c>
      <x:c r="H400" s="129" t="str">
        <x:v>-</x:v>
      </x:c>
      <x:c r="I400" s="130" t="n">
        <x:v>83.65</x:v>
      </x:c>
      <x:c r="J400" s="130" t="n">
        <x:v>83.2</x:v>
      </x:c>
      <x:c r="K400" s="130" t="n">
        <x:v>84.1</x:v>
      </x:c>
      <x:c r="L400" s="130" t="n">
        <x:v>84</x:v>
      </x:c>
      <x:c r="M400" s="130" t="n">
        <x:v>82</x:v>
      </x:c>
      <x:c r="N400" s="130" t="n">
        <x:v>85</x:v>
      </x:c>
      <x:c r="O400" s="130" t="n">
        <x:v>81</x:v>
      </x:c>
      <x:c r="P400" s="130" t="n">
        <x:v>85</x:v>
      </x:c>
      <x:c r="Q400" s="130" t="n">
        <x:v>82</x:v>
      </x:c>
      <x:c r="R400" s="130" t="n">
        <x:v>14</x:v>
      </x:c>
      <x:c r="S400" s="128" t="str">
        <x:v>https://arxiv.org/abs/2607.08866</x:v>
      </x:c>
      <x:c r="T400" s="128" t="str">
        <x:v>Background row in the 30% scored pool; title/authors from official July list.</x:v>
      </x:c>
    </x:row>
    <x:row r="401" ht="28" customHeight="1">
      <x:c r="A401" s="129" t="n">
        <x:v>400</x:v>
      </x:c>
      <x:c r="B401" s="129" t="str">
        <x:v>2026-06</x:v>
      </x:c>
      <x:c r="C401" s="129" t="n">
        <x:v>54</x:v>
      </x:c>
      <x:c r="D401" s="129" t="str">
        <x:v>2606.09555</x:v>
      </x:c>
      <x:c r="E401" s="128" t="str">
        <x:v>Sharp Quantitative Stability for the Affine p-Sobolev Inequality, Part I: The Case 2&lt;=p&lt;n</x:v>
      </x:c>
      <x:c r="F401" s="128" t="str">
        <x:v>Song Fan; Gui-Dong Li; Jianjun Zhang</x:v>
      </x:c>
      <x:c r="G401" s="128" t="str">
        <x:v>inequalities/function spaces</x:v>
      </x:c>
      <x:c r="H401" s="129"/>
      <x:c r="I401" s="130" t="n">
        <x:v>83.47</x:v>
      </x:c>
      <x:c r="J401" s="130" t="n">
        <x:v>83.3</x:v>
      </x:c>
      <x:c r="K401" s="130" t="n">
        <x:v>83.63</x:v>
      </x:c>
      <x:c r="L401" s="130" t="n">
        <x:v>84</x:v>
      </x:c>
      <x:c r="M401" s="130" t="n">
        <x:v>83</x:v>
      </x:c>
      <x:c r="N401" s="130" t="n">
        <x:v>83</x:v>
      </x:c>
      <x:c r="O401" s="130" t="n">
        <x:v>83</x:v>
      </x:c>
      <x:c r="P401" s="130" t="n">
        <x:v>83.1</x:v>
      </x:c>
      <x:c r="Q401" s="130" t="n">
        <x:v>83</x:v>
      </x:c>
      <x:c r="R401" s="130" t="n">
        <x:v>13</x:v>
      </x:c>
      <x:c r="S401" s="128" t="str">
        <x:v>https://arxiv.org/abs/2606.09555</x:v>
      </x:c>
      <x:c r="T401" s="128" t="str">
        <x:v>系列/续篇按重叠性校准</x:v>
      </x:c>
    </x:row>
    <x:row r="402" ht="28" customHeight="1">
      <x:c r="A402" s="129" t="n">
        <x:v>401</x:v>
      </x:c>
      <x:c r="B402" s="129" t="str">
        <x:v>2026-06</x:v>
      </x:c>
      <x:c r="C402" s="129" t="n">
        <x:v>55</x:v>
      </x:c>
      <x:c r="D402" s="129" t="str">
        <x:v>2606.05707</x:v>
      </x:c>
      <x:c r="E402" s="128" t="str">
        <x:v>Sharp mass-threshold for Dancer-type solutions of the focusing mass-critical NLS on R^d x T</x:v>
      </x:c>
      <x:c r="F402" s="128" t="str">
        <x:v>Yongming Luo</x:v>
      </x:c>
      <x:c r="G402" s="128" t="str">
        <x:v>dispersive PDE</x:v>
      </x:c>
      <x:c r="H402" s="129"/>
      <x:c r="I402" s="130" t="n">
        <x:v>83.42</x:v>
      </x:c>
      <x:c r="J402" s="130" t="n">
        <x:v>83.19</x:v>
      </x:c>
      <x:c r="K402" s="130" t="n">
        <x:v>83.65</x:v>
      </x:c>
      <x:c r="L402" s="130" t="n">
        <x:v>84</x:v>
      </x:c>
      <x:c r="M402" s="130" t="n">
        <x:v>83.1</x:v>
      </x:c>
      <x:c r="N402" s="130" t="n">
        <x:v>83</x:v>
      </x:c>
      <x:c r="O402" s="130" t="n">
        <x:v>82.1</x:v>
      </x:c>
      <x:c r="P402" s="130" t="n">
        <x:v>83.1</x:v>
      </x:c>
      <x:c r="Q402" s="130" t="n">
        <x:v>83</x:v>
      </x:c>
      <x:c r="R402" s="130" t="n">
        <x:v>13</x:v>
      </x:c>
      <x:c r="S402" s="128" t="str">
        <x:v>https://arxiv.org/abs/2606.05707</x:v>
      </x:c>
      <x:c r="T402" s="128" t="str">
        <x:v>三轮复核后与原表基本一致</x:v>
      </x:c>
    </x:row>
    <x:row r="403" ht="28" customHeight="1">
      <x:c r="A403" s="129" t="n">
        <x:v>402</x:v>
      </x:c>
      <x:c r="B403" s="129" t="str">
        <x:v>2026-06</x:v>
      </x:c>
      <x:c r="C403" s="129" t="n">
        <x:v>56</x:v>
      </x:c>
      <x:c r="D403" s="129" t="str">
        <x:v>2606.04407</x:v>
      </x:c>
      <x:c r="E403" s="128" t="str">
        <x:v>Exponential stability for the three-dimensional Navier-Stokes equations on negatively curved manifolds</x:v>
      </x:c>
      <x:c r="F403" s="128" t="str">
        <x:v>Zhi-Wei Wang; Samuel L. Braunstein</x:v>
      </x:c>
      <x:c r="G403" s="128" t="str">
        <x:v>fluid/kinetic PDE</x:v>
      </x:c>
      <x:c r="H403" s="129" t="n">
        <x:v>8</x:v>
      </x:c>
      <x:c r="I403" s="130" t="n">
        <x:v>83.33</x:v>
      </x:c>
      <x:c r="J403" s="130" t="n">
        <x:v>82.98</x:v>
      </x:c>
      <x:c r="K403" s="130" t="n">
        <x:v>83.68</x:v>
      </x:c>
      <x:c r="L403" s="130" t="n">
        <x:v>84</x:v>
      </x:c>
      <x:c r="M403" s="130" t="n">
        <x:v>82</x:v>
      </x:c>
      <x:c r="N403" s="130" t="n">
        <x:v>83.1</x:v>
      </x:c>
      <x:c r="O403" s="130" t="n">
        <x:v>82</x:v>
      </x:c>
      <x:c r="P403" s="130" t="n">
        <x:v>84</x:v>
      </x:c>
      <x:c r="Q403" s="130" t="n">
        <x:v>83</x:v>
      </x:c>
      <x:c r="R403" s="130" t="n">
        <x:v>13.3</x:v>
      </x:c>
      <x:c r="S403" s="128" t="str">
        <x:v>https://arxiv.org/abs/2606.04407</x:v>
      </x:c>
      <x:c r="T403" s="128" t="str">
        <x:v>三轮复核后与原表基本一致</x:v>
      </x:c>
    </x:row>
    <x:row r="404" ht="28" customHeight="1">
      <x:c r="A404" s="129" t="n">
        <x:v>403</x:v>
      </x:c>
      <x:c r="B404" s="129" t="str">
        <x:v>2026-07</x:v>
      </x:c>
      <x:c r="C404" s="129" t="n">
        <x:v>206</x:v>
      </x:c>
      <x:c r="D404" s="129" t="str">
        <x:v>2607.04294</x:v>
      </x:c>
      <x:c r="E404" s="128" t="str">
        <x:v>Microlocal defect functionals in VMO: Geometric localisation and applications to highly heterogeneous media</x:v>
      </x:c>
      <x:c r="F404" s="128" t="str">
        <x:v>Marin Misur</x:v>
      </x:c>
      <x:c r="G404" s="128" t="str">
        <x:v>microlocal/heterogeneous media</x:v>
      </x:c>
      <x:c r="H404" s="129" t="str">
        <x:v>-</x:v>
      </x:c>
      <x:c r="I404" s="130" t="n">
        <x:v>83.25</x:v>
      </x:c>
      <x:c r="J404" s="130" t="n">
        <x:v>82.75</x:v>
      </x:c>
      <x:c r="K404" s="130" t="n">
        <x:v>83.75</x:v>
      </x:c>
      <x:c r="L404" s="130" t="n">
        <x:v>83</x:v>
      </x:c>
      <x:c r="M404" s="130" t="n">
        <x:v>82</x:v>
      </x:c>
      <x:c r="N404" s="130" t="n">
        <x:v>84</x:v>
      </x:c>
      <x:c r="O404" s="130" t="n">
        <x:v>81</x:v>
      </x:c>
      <x:c r="P404" s="130" t="n">
        <x:v>84</x:v>
      </x:c>
      <x:c r="Q404" s="130" t="n">
        <x:v>83</x:v>
      </x:c>
      <x:c r="R404" s="130" t="n">
        <x:v>14</x:v>
      </x:c>
      <x:c r="S404" s="128" t="str">
        <x:v>https://arxiv.org/abs/2607.04294</x:v>
      </x:c>
      <x:c r="T404" s="128" t="str">
        <x:v>Background row in the 30% scored pool; title/authors from official July list.</x:v>
      </x:c>
    </x:row>
    <x:row r="405" ht="28" customHeight="1">
      <x:c r="A405" s="129" t="n">
        <x:v>404</x:v>
      </x:c>
      <x:c r="B405" s="129" t="str">
        <x:v>2026-07</x:v>
      </x:c>
      <x:c r="C405" s="129" t="n">
        <x:v>207</x:v>
      </x:c>
      <x:c r="D405" s="129" t="str">
        <x:v>2607.05856</x:v>
      </x:c>
      <x:c r="E405" s="128" t="str">
        <x:v>The Damped Waves Equation and generalized Cosine and Sine families on Banach spaces</x:v>
      </x:c>
      <x:c r="F405" s="128" t="str">
        <x:v>Yuri Latushkin; Alin Pogan</x:v>
      </x:c>
      <x:c r="G405" s="128" t="str">
        <x:v>damped waves</x:v>
      </x:c>
      <x:c r="H405" s="129" t="str">
        <x:v>-</x:v>
      </x:c>
      <x:c r="I405" s="130" t="n">
        <x:v>83.25</x:v>
      </x:c>
      <x:c r="J405" s="130" t="n">
        <x:v>82.75</x:v>
      </x:c>
      <x:c r="K405" s="130" t="n">
        <x:v>83.75</x:v>
      </x:c>
      <x:c r="L405" s="130" t="n">
        <x:v>83</x:v>
      </x:c>
      <x:c r="M405" s="130" t="n">
        <x:v>82</x:v>
      </x:c>
      <x:c r="N405" s="130" t="n">
        <x:v>84</x:v>
      </x:c>
      <x:c r="O405" s="130" t="n">
        <x:v>81</x:v>
      </x:c>
      <x:c r="P405" s="130" t="n">
        <x:v>84</x:v>
      </x:c>
      <x:c r="Q405" s="130" t="n">
        <x:v>83</x:v>
      </x:c>
      <x:c r="R405" s="130" t="n">
        <x:v>14</x:v>
      </x:c>
      <x:c r="S405" s="128" t="str">
        <x:v>https://arxiv.org/abs/2607.05856</x:v>
      </x:c>
      <x:c r="T405" s="128" t="str">
        <x:v>Background row in the 30% scored pool; title/authors from official July list.</x:v>
      </x:c>
    </x:row>
    <x:row r="406" ht="28" customHeight="1">
      <x:c r="A406" s="129" t="n">
        <x:v>405</x:v>
      </x:c>
      <x:c r="B406" s="129" t="str">
        <x:v>2026-07</x:v>
      </x:c>
      <x:c r="C406" s="129" t="n">
        <x:v>208</x:v>
      </x:c>
      <x:c r="D406" s="129" t="str">
        <x:v>2607.07166</x:v>
      </x:c>
      <x:c r="E406" s="128" t="str">
        <x:v>An existence result for fractional problems with mixed boundary conditions</x:v>
      </x:c>
      <x:c r="F406" s="128" t="str">
        <x:v>El-Haj Laamri Giovanni Molica Bisci</x:v>
      </x:c>
      <x:c r="G406" s="128" t="str">
        <x:v>fractional PDE</x:v>
      </x:c>
      <x:c r="H406" s="129" t="str">
        <x:v>-</x:v>
      </x:c>
      <x:c r="I406" s="130" t="n">
        <x:v>83.25</x:v>
      </x:c>
      <x:c r="J406" s="130" t="n">
        <x:v>82.75</x:v>
      </x:c>
      <x:c r="K406" s="130" t="n">
        <x:v>83.75</x:v>
      </x:c>
      <x:c r="L406" s="130" t="n">
        <x:v>83</x:v>
      </x:c>
      <x:c r="M406" s="130" t="n">
        <x:v>82</x:v>
      </x:c>
      <x:c r="N406" s="130" t="n">
        <x:v>84</x:v>
      </x:c>
      <x:c r="O406" s="130" t="n">
        <x:v>81</x:v>
      </x:c>
      <x:c r="P406" s="130" t="n">
        <x:v>84</x:v>
      </x:c>
      <x:c r="Q406" s="130" t="n">
        <x:v>83</x:v>
      </x:c>
      <x:c r="R406" s="130" t="n">
        <x:v>14</x:v>
      </x:c>
      <x:c r="S406" s="128" t="str">
        <x:v>https://arxiv.org/abs/2607.07166</x:v>
      </x:c>
      <x:c r="T406" s="128" t="str">
        <x:v>Background row in the 30% scored pool; title/authors from official July list.</x:v>
      </x:c>
    </x:row>
    <x:row r="407" ht="28" customHeight="1">
      <x:c r="A407" s="129" t="n">
        <x:v>406</x:v>
      </x:c>
      <x:c r="B407" s="129" t="str">
        <x:v>2026-07</x:v>
      </x:c>
      <x:c r="C407" s="129" t="n">
        <x:v>209</x:v>
      </x:c>
      <x:c r="D407" s="129" t="str">
        <x:v>2607.07631</x:v>
      </x:c>
      <x:c r="E407" s="128" t="str">
        <x:v>Analysis of an Emden-Fowler-Henon type equation</x:v>
      </x:c>
      <x:c r="F407" s="128" t="str">
        <x:v>Pablo dos Santos Correa Junior; Ederson Moreira dos Santos; Delia Schiera</x:v>
      </x:c>
      <x:c r="G407" s="128" t="str">
        <x:v>elliptic PDE</x:v>
      </x:c>
      <x:c r="H407" s="129" t="str">
        <x:v>-</x:v>
      </x:c>
      <x:c r="I407" s="130" t="n">
        <x:v>83.25</x:v>
      </x:c>
      <x:c r="J407" s="130" t="n">
        <x:v>82.75</x:v>
      </x:c>
      <x:c r="K407" s="130" t="n">
        <x:v>83.75</x:v>
      </x:c>
      <x:c r="L407" s="130" t="n">
        <x:v>83</x:v>
      </x:c>
      <x:c r="M407" s="130" t="n">
        <x:v>82</x:v>
      </x:c>
      <x:c r="N407" s="130" t="n">
        <x:v>84</x:v>
      </x:c>
      <x:c r="O407" s="130" t="n">
        <x:v>81</x:v>
      </x:c>
      <x:c r="P407" s="130" t="n">
        <x:v>84</x:v>
      </x:c>
      <x:c r="Q407" s="130" t="n">
        <x:v>83</x:v>
      </x:c>
      <x:c r="R407" s="130" t="n">
        <x:v>14</x:v>
      </x:c>
      <x:c r="S407" s="128" t="str">
        <x:v>https://arxiv.org/abs/2607.07631</x:v>
      </x:c>
      <x:c r="T407" s="128" t="str">
        <x:v>Background row in the 30% scored pool; title/authors from official July list.</x:v>
      </x:c>
    </x:row>
    <x:row r="408" ht="28" customHeight="1">
      <x:c r="A408" s="129" t="n">
        <x:v>407</x:v>
      </x:c>
      <x:c r="B408" s="129" t="str">
        <x:v>2026-07</x:v>
      </x:c>
      <x:c r="C408" s="129" t="n">
        <x:v>210</x:v>
      </x:c>
      <x:c r="D408" s="129" t="str">
        <x:v>2607.09895</x:v>
      </x:c>
      <x:c r="E408" s="128" t="str">
        <x:v>Weighted W^{1,p}-estimates for Parabolic Equations of Fabes-Kenig-Serapioni singular-degenerate type</x:v>
      </x:c>
      <x:c r="F408" s="128" t="str">
        <x:v>Tuoc Phan</x:v>
      </x:c>
      <x:c r="G408" s="128" t="str">
        <x:v>parabolic estimates</x:v>
      </x:c>
      <x:c r="H408" s="129" t="n">
        <x:v>43</x:v>
      </x:c>
      <x:c r="I408" s="130" t="n">
        <x:v>83.25</x:v>
      </x:c>
      <x:c r="J408" s="130" t="n">
        <x:v>82.75</x:v>
      </x:c>
      <x:c r="K408" s="130" t="n">
        <x:v>83.75</x:v>
      </x:c>
      <x:c r="L408" s="130" t="n">
        <x:v>83</x:v>
      </x:c>
      <x:c r="M408" s="130" t="n">
        <x:v>82</x:v>
      </x:c>
      <x:c r="N408" s="130" t="n">
        <x:v>84</x:v>
      </x:c>
      <x:c r="O408" s="130" t="n">
        <x:v>81</x:v>
      </x:c>
      <x:c r="P408" s="130" t="n">
        <x:v>84</x:v>
      </x:c>
      <x:c r="Q408" s="130" t="n">
        <x:v>83</x:v>
      </x:c>
      <x:c r="R408" s="130" t="n">
        <x:v>14</x:v>
      </x:c>
      <x:c r="S408" s="128" t="str">
        <x:v>https://arxiv.org/abs/2607.09895</x:v>
      </x:c>
      <x:c r="T408" s="128" t="str">
        <x:v>Background row in the 30% scored pool; title/authors from official July list.</x:v>
      </x:c>
    </x:row>
    <x:row r="409" ht="28" customHeight="1">
      <x:c r="A409" s="129" t="n">
        <x:v>408</x:v>
      </x:c>
      <x:c r="B409" s="129" t="str">
        <x:v>2026-07</x:v>
      </x:c>
      <x:c r="C409" s="129" t="n">
        <x:v>211</x:v>
      </x:c>
      <x:c r="D409" s="129" t="str">
        <x:v>2607.11440</x:v>
      </x:c>
      <x:c r="E409" s="128" t="str">
        <x:v>Absence of non-compactly supported minimisers for the Lieb-Oxford bound</x:v>
      </x:c>
      <x:c r="F409" s="128" t="str">
        <x:v>Simone Di Marino; Rodrigue Lelotte</x:v>
      </x:c>
      <x:c r="G409" s="128" t="str">
        <x:v>mathematical physics</x:v>
      </x:c>
      <x:c r="H409" s="129" t="str">
        <x:v>-</x:v>
      </x:c>
      <x:c r="I409" s="130" t="n">
        <x:v>83.25</x:v>
      </x:c>
      <x:c r="J409" s="130" t="n">
        <x:v>82.75</x:v>
      </x:c>
      <x:c r="K409" s="130" t="n">
        <x:v>83.75</x:v>
      </x:c>
      <x:c r="L409" s="130" t="n">
        <x:v>83</x:v>
      </x:c>
      <x:c r="M409" s="130" t="n">
        <x:v>82</x:v>
      </x:c>
      <x:c r="N409" s="130" t="n">
        <x:v>84</x:v>
      </x:c>
      <x:c r="O409" s="130" t="n">
        <x:v>81</x:v>
      </x:c>
      <x:c r="P409" s="130" t="n">
        <x:v>84</x:v>
      </x:c>
      <x:c r="Q409" s="130" t="n">
        <x:v>83</x:v>
      </x:c>
      <x:c r="R409" s="130" t="n">
        <x:v>14</x:v>
      </x:c>
      <x:c r="S409" s="128" t="str">
        <x:v>https://arxiv.org/abs/2607.11440</x:v>
      </x:c>
      <x:c r="T409" s="128" t="str">
        <x:v>Background row in the 30% scored pool; title/authors from official July list.</x:v>
      </x:c>
    </x:row>
    <x:row r="410" ht="28" customHeight="1">
      <x:c r="A410" s="129" t="n">
        <x:v>409</x:v>
      </x:c>
      <x:c r="B410" s="129" t="str">
        <x:v>2026-06</x:v>
      </x:c>
      <x:c r="C410" s="129" t="n">
        <x:v>57</x:v>
      </x:c>
      <x:c r="D410" s="129" t="str">
        <x:v>2606.01762</x:v>
      </x:c>
      <x:c r="E410" s="128" t="str">
        <x:v>High-Velocity Inverse Scattering for Nonlinear Schrodinger Equations with Spatially Dependent Nonlinearities</x:v>
      </x:c>
      <x:c r="F410" s="128" t="str">
        <x:v>Satoshi Masaki; Yaxin Zhao</x:v>
      </x:c>
      <x:c r="G410" s="128" t="str">
        <x:v>inverse/scattering</x:v>
      </x:c>
      <x:c r="H410" s="129" t="n">
        <x:v>13</x:v>
      </x:c>
      <x:c r="I410" s="130" t="n">
        <x:v>83.21</x:v>
      </x:c>
      <x:c r="J410" s="130" t="n">
        <x:v>82.85</x:v>
      </x:c>
      <x:c r="K410" s="130" t="n">
        <x:v>83.56</x:v>
      </x:c>
      <x:c r="L410" s="130" t="n">
        <x:v>83</x:v>
      </x:c>
      <x:c r="M410" s="130" t="n">
        <x:v>83</x:v>
      </x:c>
      <x:c r="N410" s="130" t="n">
        <x:v>83</x:v>
      </x:c>
      <x:c r="O410" s="130" t="n">
        <x:v>82</x:v>
      </x:c>
      <x:c r="P410" s="130" t="n">
        <x:v>83</x:v>
      </x:c>
      <x:c r="Q410" s="130" t="n">
        <x:v>83</x:v>
      </x:c>
      <x:c r="R410" s="130" t="n">
        <x:v>13.3</x:v>
      </x:c>
      <x:c r="S410" s="128" t="str">
        <x:v>https://arxiv.org/abs/2606.01762</x:v>
      </x:c>
      <x:c r="T410" s="128" t="str">
        <x:v>三轮复核后与原表基本一致</x:v>
      </x:c>
    </x:row>
    <x:row r="411" ht="28" customHeight="1">
      <x:c r="A411" s="129" t="n">
        <x:v>410</x:v>
      </x:c>
      <x:c r="B411" s="129" t="str">
        <x:v>2026-06</x:v>
      </x:c>
      <x:c r="C411" s="129" t="n">
        <x:v>58</x:v>
      </x:c>
      <x:c r="D411" s="129" t="str">
        <x:v>2606.08352</x:v>
      </x:c>
      <x:c r="E411" s="128" t="str">
        <x:v>Finite-Scale One-Component Regularity via Harmonic Pressure for the 3D Navier-Stokes Equations</x:v>
      </x:c>
      <x:c r="F411" s="128" t="str">
        <x:v>Runlong Yu</x:v>
      </x:c>
      <x:c r="G411" s="128" t="str">
        <x:v>fluid/kinetic PDE</x:v>
      </x:c>
      <x:c r="H411" s="129"/>
      <x:c r="I411" s="130" t="n">
        <x:v>82.98</x:v>
      </x:c>
      <x:c r="J411" s="130" t="n">
        <x:v>82.53</x:v>
      </x:c>
      <x:c r="K411" s="130" t="n">
        <x:v>83.42</x:v>
      </x:c>
      <x:c r="L411" s="130" t="n">
        <x:v>83</x:v>
      </x:c>
      <x:c r="M411" s="130" t="n">
        <x:v>82</x:v>
      </x:c>
      <x:c r="N411" s="130" t="n">
        <x:v>83.1</x:v>
      </x:c>
      <x:c r="O411" s="130" t="n">
        <x:v>81</x:v>
      </x:c>
      <x:c r="P411" s="130" t="n">
        <x:v>83</x:v>
      </x:c>
      <x:c r="Q411" s="130" t="n">
        <x:v>83</x:v>
      </x:c>
      <x:c r="R411" s="130" t="n">
        <x:v>13</x:v>
      </x:c>
      <x:c r="S411" s="128" t="str">
        <x:v>https://arxiv.org/abs/2606.08352</x:v>
      </x:c>
      <x:c r="T411" s="128" t="str">
        <x:v>三轮复核后与原表基本一致</x:v>
      </x:c>
    </x:row>
    <x:row r="412" ht="28" customHeight="1">
      <x:c r="A412" s="129" t="n">
        <x:v>411</x:v>
      </x:c>
      <x:c r="B412" s="129" t="str">
        <x:v>2026-07</x:v>
      </x:c>
      <x:c r="C412" s="129" t="n">
        <x:v>212</x:v>
      </x:c>
      <x:c r="D412" s="129" t="str">
        <x:v>2607.08190</x:v>
      </x:c>
      <x:c r="E412" s="128" t="str">
        <x:v>Instability of gray solitons in a Gross-Pitaevskii model with a moving impurity</x:v>
      </x:c>
      <x:c r="F412" s="128" t="str">
        <x:v>Paolo Antonelli; Martino Caliaro</x:v>
      </x:c>
      <x:c r="G412" s="128" t="str">
        <x:v>Gross-Pitaevskii</x:v>
      </x:c>
      <x:c r="H412" s="129" t="str">
        <x:v>-</x:v>
      </x:c>
      <x:c r="I412" s="130" t="n">
        <x:v>82.85</x:v>
      </x:c>
      <x:c r="J412" s="130" t="n">
        <x:v>82.3</x:v>
      </x:c>
      <x:c r="K412" s="130" t="n">
        <x:v>83.4</x:v>
      </x:c>
      <x:c r="L412" s="130" t="n">
        <x:v>83</x:v>
      </x:c>
      <x:c r="M412" s="130" t="n">
        <x:v>81</x:v>
      </x:c>
      <x:c r="N412" s="130" t="n">
        <x:v>84</x:v>
      </x:c>
      <x:c r="O412" s="130" t="n">
        <x:v>80</x:v>
      </x:c>
      <x:c r="P412" s="130" t="n">
        <x:v>84</x:v>
      </x:c>
      <x:c r="Q412" s="130" t="n">
        <x:v>82</x:v>
      </x:c>
      <x:c r="R412" s="130" t="n">
        <x:v>14</x:v>
      </x:c>
      <x:c r="S412" s="128" t="str">
        <x:v>https://arxiv.org/abs/2607.08190</x:v>
      </x:c>
      <x:c r="T412" s="128" t="str">
        <x:v>Background row in the 30% scored pool; title/authors from official July list.</x:v>
      </x:c>
    </x:row>
    <x:row r="413" ht="28" customHeight="1">
      <x:c r="A413" s="129" t="n">
        <x:v>412</x:v>
      </x:c>
      <x:c r="B413" s="129" t="str">
        <x:v>2026-07</x:v>
      </x:c>
      <x:c r="C413" s="129" t="n">
        <x:v>213</x:v>
      </x:c>
      <x:c r="D413" s="129" t="str">
        <x:v>2607.10928</x:v>
      </x:c>
      <x:c r="E413" s="128" t="str">
        <x:v>Existence and stability estimates for weak solutions of p-systems by front tracking scheme</x:v>
      </x:c>
      <x:c r="F413" s="128" t="str">
        <x:v>Akash Parmar</x:v>
      </x:c>
      <x:c r="G413" s="128" t="str">
        <x:v>hyperbolic systems</x:v>
      </x:c>
      <x:c r="H413" s="129" t="str">
        <x:v>-</x:v>
      </x:c>
      <x:c r="I413" s="130" t="n">
        <x:v>82.85</x:v>
      </x:c>
      <x:c r="J413" s="130" t="n">
        <x:v>82.3</x:v>
      </x:c>
      <x:c r="K413" s="130" t="n">
        <x:v>83.4</x:v>
      </x:c>
      <x:c r="L413" s="130" t="n">
        <x:v>83</x:v>
      </x:c>
      <x:c r="M413" s="130" t="n">
        <x:v>81</x:v>
      </x:c>
      <x:c r="N413" s="130" t="n">
        <x:v>84</x:v>
      </x:c>
      <x:c r="O413" s="130" t="n">
        <x:v>80</x:v>
      </x:c>
      <x:c r="P413" s="130" t="n">
        <x:v>84</x:v>
      </x:c>
      <x:c r="Q413" s="130" t="n">
        <x:v>82</x:v>
      </x:c>
      <x:c r="R413" s="130" t="n">
        <x:v>14</x:v>
      </x:c>
      <x:c r="S413" s="128" t="str">
        <x:v>https://arxiv.org/abs/2607.10928</x:v>
      </x:c>
      <x:c r="T413" s="128" t="str">
        <x:v>Background row in the 30% scored pool; title/authors from official July list.</x:v>
      </x:c>
    </x:row>
    <x:row r="414" ht="28" customHeight="1">
      <x:c r="A414" s="129" t="n">
        <x:v>413</x:v>
      </x:c>
      <x:c r="B414" s="129" t="str">
        <x:v>2026-06</x:v>
      </x:c>
      <x:c r="C414" s="129" t="n">
        <x:v>59</x:v>
      </x:c>
      <x:c r="D414" s="129" t="str">
        <x:v>2606.03542</x:v>
      </x:c>
      <x:c r="E414" s="128" t="str">
        <x:v>Eventual regularity and asymptotic behavior of Leray-Hopf weak solutions for the Hall-MHD system</x:v>
      </x:c>
      <x:c r="F414" s="128" t="str">
        <x:v>Jinwook Jung; Jaeyong Shin</x:v>
      </x:c>
      <x:c r="G414" s="128" t="str">
        <x:v>fluid/kinetic PDE</x:v>
      </x:c>
      <x:c r="H414" s="129" t="n">
        <x:v>27</x:v>
      </x:c>
      <x:c r="I414" s="130" t="n">
        <x:v>82.8</x:v>
      </x:c>
      <x:c r="J414" s="130" t="n">
        <x:v>82.2</x:v>
      </x:c>
      <x:c r="K414" s="130" t="n">
        <x:v>83.4</x:v>
      </x:c>
      <x:c r="L414" s="130" t="n">
        <x:v>82</x:v>
      </x:c>
      <x:c r="M414" s="130" t="n">
        <x:v>82</x:v>
      </x:c>
      <x:c r="N414" s="130" t="n">
        <x:v>83</x:v>
      </x:c>
      <x:c r="O414" s="130" t="n">
        <x:v>81</x:v>
      </x:c>
      <x:c r="P414" s="130" t="n">
        <x:v>83</x:v>
      </x:c>
      <x:c r="Q414" s="130" t="n">
        <x:v>83</x:v>
      </x:c>
      <x:c r="R414" s="130" t="n">
        <x:v>13</x:v>
      </x:c>
      <x:c r="S414" s="128" t="str">
        <x:v>https://arxiv.org/abs/2606.03542</x:v>
      </x:c>
      <x:c r="T414" s="128" t="str">
        <x:v>三轮复核后与原表基本一致</x:v>
      </x:c>
    </x:row>
    <x:row r="415" ht="28" customHeight="1">
      <x:c r="A415" s="129" t="n">
        <x:v>414</x:v>
      </x:c>
      <x:c r="B415" s="129" t="str">
        <x:v>2026-06</x:v>
      </x:c>
      <x:c r="C415" s="129" t="n">
        <x:v>60</x:v>
      </x:c>
      <x:c r="D415" s="129" t="str">
        <x:v>2606.01812</x:v>
      </x:c>
      <x:c r="E415" s="128" t="str">
        <x:v>Uniqueness of an Inverse Coefficient Problem for a Time-Fractional Damped Wave Equation from Boundary Measurements</x:v>
      </x:c>
      <x:c r="F415" s="128" t="str">
        <x:v>Kai Yu</x:v>
      </x:c>
      <x:c r="G415" s="128" t="str">
        <x:v>inverse/scattering</x:v>
      </x:c>
      <x:c r="H415" s="129"/>
      <x:c r="I415" s="130" t="n">
        <x:v>82.75</x:v>
      </x:c>
      <x:c r="J415" s="130" t="n">
        <x:v>82.33</x:v>
      </x:c>
      <x:c r="K415" s="130" t="n">
        <x:v>83.17</x:v>
      </x:c>
      <x:c r="L415" s="130" t="n">
        <x:v>82</x:v>
      </x:c>
      <x:c r="M415" s="130" t="n">
        <x:v>83</x:v>
      </x:c>
      <x:c r="N415" s="130" t="n">
        <x:v>83.1</x:v>
      </x:c>
      <x:c r="O415" s="130" t="n">
        <x:v>81</x:v>
      </x:c>
      <x:c r="P415" s="130" t="n">
        <x:v>82</x:v>
      </x:c>
      <x:c r="Q415" s="130" t="n">
        <x:v>82</x:v>
      </x:c>
      <x:c r="R415" s="130" t="n">
        <x:v>13</x:v>
      </x:c>
      <x:c r="S415" s="128" t="str">
        <x:v>https://arxiv.org/abs/2606.01812</x:v>
      </x:c>
      <x:c r="T415" s="128" t="str">
        <x:v>三轮复核后与原表基本一致</x:v>
      </x:c>
    </x:row>
    <x:row r="416" ht="28" customHeight="1">
      <x:c r="A416" s="129" t="n">
        <x:v>415</x:v>
      </x:c>
      <x:c r="B416" s="129" t="str">
        <x:v>2026-06</x:v>
      </x:c>
      <x:c r="C416" s="129" t="n">
        <x:v>60</x:v>
      </x:c>
      <x:c r="D416" s="129" t="str">
        <x:v>2606.08321</x:v>
      </x:c>
      <x:c r="E416" s="128" t="str">
        <x:v>Inverse scattering for focusing NLS with elliptic background and full soliton gas</x:v>
      </x:c>
      <x:c r="F416" s="128" t="str">
        <x:v>Tamara Grava; Robert Jenkins; Xiaofan Zhang; Zechuan Zhang</x:v>
      </x:c>
      <x:c r="G416" s="128" t="str">
        <x:v>inverse/scattering</x:v>
      </x:c>
      <x:c r="H416" s="129" t="n">
        <x:v>33</x:v>
      </x:c>
      <x:c r="I416" s="130" t="n">
        <x:v>82.73</x:v>
      </x:c>
      <x:c r="J416" s="130" t="n">
        <x:v>82.3</x:v>
      </x:c>
      <x:c r="K416" s="130" t="n">
        <x:v>83.15</x:v>
      </x:c>
      <x:c r="L416" s="130" t="n">
        <x:v>82</x:v>
      </x:c>
      <x:c r="M416" s="130" t="n">
        <x:v>83</x:v>
      </x:c>
      <x:c r="N416" s="130" t="n">
        <x:v>83</x:v>
      </x:c>
      <x:c r="O416" s="130" t="n">
        <x:v>81</x:v>
      </x:c>
      <x:c r="P416" s="130" t="n">
        <x:v>82</x:v>
      </x:c>
      <x:c r="Q416" s="130" t="n">
        <x:v>82</x:v>
      </x:c>
      <x:c r="R416" s="130" t="n">
        <x:v>13</x:v>
      </x:c>
      <x:c r="S416" s="128" t="str">
        <x:v>https://arxiv.org/abs/2606.08321</x:v>
      </x:c>
      <x:c r="T416" s="128" t="str">
        <x:v>三轮复核后与原表基本一致</x:v>
      </x:c>
    </x:row>
    <x:row r="417" ht="28" customHeight="1">
      <x:c r="A417" s="129" t="n">
        <x:v>416</x:v>
      </x:c>
      <x:c r="B417" s="129" t="str">
        <x:v>2026-06</x:v>
      </x:c>
      <x:c r="C417" s="129" t="n">
        <x:v>63</x:v>
      </x:c>
      <x:c r="D417" s="129" t="str">
        <x:v>2606.00594</x:v>
      </x:c>
      <x:c r="E417" s="128" t="str">
        <x:v>A Nonlocal p-Laplacian Interface Model with Sharp Interface</x:v>
      </x:c>
      <x:c r="F417" s="128" t="str">
        <x:v>Kehan Shi; Zuoqiang Shi; Tangjun Wang</x:v>
      </x:c>
      <x:c r="G417" s="128" t="str">
        <x:v>analysis/PDE</x:v>
      </x:c>
      <x:c r="H417" s="129"/>
      <x:c r="I417" s="130" t="n">
        <x:v>82.7</x:v>
      </x:c>
      <x:c r="J417" s="130" t="n">
        <x:v>82.39</x:v>
      </x:c>
      <x:c r="K417" s="130" t="n">
        <x:v>83</x:v>
      </x:c>
      <x:c r="L417" s="130" t="n">
        <x:v>83</x:v>
      </x:c>
      <x:c r="M417" s="130" t="n">
        <x:v>83.1</x:v>
      </x:c>
      <x:c r="N417" s="130" t="n">
        <x:v>82</x:v>
      </x:c>
      <x:c r="O417" s="130" t="n">
        <x:v>81.1</x:v>
      </x:c>
      <x:c r="P417" s="130" t="n">
        <x:v>82.1</x:v>
      </x:c>
      <x:c r="Q417" s="130" t="n">
        <x:v>82</x:v>
      </x:c>
      <x:c r="R417" s="130" t="n">
        <x:v>13</x:v>
      </x:c>
      <x:c r="S417" s="128" t="str">
        <x:v>https://arxiv.org/abs/2606.00594</x:v>
      </x:c>
      <x:c r="T417" s="128" t="str">
        <x:v>三轮复核后与原表基本一致</x:v>
      </x:c>
    </x:row>
    <x:row r="418" ht="28" customHeight="1">
      <x:c r="A418" s="129" t="n">
        <x:v>417</x:v>
      </x:c>
      <x:c r="B418" s="129" t="str">
        <x:v>2026-06</x:v>
      </x:c>
      <x:c r="C418" s="129" t="n">
        <x:v>62</x:v>
      </x:c>
      <x:c r="D418" s="129" t="str">
        <x:v>2606.15731</x:v>
      </x:c>
      <x:c r="E418" s="128" t="str">
        <x:v>Scattering and blow-up solutions to nonlinear Schrodinger equation beyond the threshold</x:v>
      </x:c>
      <x:c r="F418" s="128" t="str">
        <x:v>Masaru Hamano</x:v>
      </x:c>
      <x:c r="G418" s="128" t="str">
        <x:v>inverse/scattering</x:v>
      </x:c>
      <x:c r="H418" s="129" t="n">
        <x:v>24</x:v>
      </x:c>
      <x:c r="I418" s="130" t="n">
        <x:v>82.67</x:v>
      </x:c>
      <x:c r="J418" s="130" t="n">
        <x:v>82.1</x:v>
      </x:c>
      <x:c r="K418" s="130" t="n">
        <x:v>83.24</x:v>
      </x:c>
      <x:c r="L418" s="130" t="n">
        <x:v>82</x:v>
      </x:c>
      <x:c r="M418" s="130" t="n">
        <x:v>82</x:v>
      </x:c>
      <x:c r="N418" s="130" t="n">
        <x:v>83</x:v>
      </x:c>
      <x:c r="O418" s="130" t="n">
        <x:v>81</x:v>
      </x:c>
      <x:c r="P418" s="130" t="n">
        <x:v>83</x:v>
      </x:c>
      <x:c r="Q418" s="130" t="n">
        <x:v>82</x:v>
      </x:c>
      <x:c r="R418" s="130" t="n">
        <x:v>13.1</x:v>
      </x:c>
      <x:c r="S418" s="128" t="str">
        <x:v>https://arxiv.org/abs/2606.15731</x:v>
      </x:c>
      <x:c r="T418" s="128" t="str">
        <x:v>三轮复核后与原表基本一致</x:v>
      </x:c>
    </x:row>
    <x:row r="419" ht="28" customHeight="1">
      <x:c r="A419" s="129" t="n">
        <x:v>418</x:v>
      </x:c>
      <x:c r="B419" s="129" t="str">
        <x:v>2026-06</x:v>
      </x:c>
      <x:c r="C419" s="129" t="n">
        <x:v>64</x:v>
      </x:c>
      <x:c r="D419" s="129" t="str">
        <x:v>2606.08924</x:v>
      </x:c>
      <x:c r="E419" s="128" t="str">
        <x:v>Strong Ill-posedness of the 2d Incompressible Euler Equation in Critical Besov Spaces</x:v>
      </x:c>
      <x:c r="F419" s="128" t="str">
        <x:v>Karim R. Shikh Khalil</x:v>
      </x:c>
      <x:c r="G419" s="128" t="str">
        <x:v>fluid/kinetic PDE</x:v>
      </x:c>
      <x:c r="H419" s="129"/>
      <x:c r="I419" s="130" t="n">
        <x:v>82.63</x:v>
      </x:c>
      <x:c r="J419" s="130" t="n">
        <x:v>82.18</x:v>
      </x:c>
      <x:c r="K419" s="130" t="n">
        <x:v>83.07</x:v>
      </x:c>
      <x:c r="L419" s="130" t="n">
        <x:v>83</x:v>
      </x:c>
      <x:c r="M419" s="130" t="n">
        <x:v>82</x:v>
      </x:c>
      <x:c r="N419" s="130" t="n">
        <x:v>82.1</x:v>
      </x:c>
      <x:c r="O419" s="130" t="n">
        <x:v>81</x:v>
      </x:c>
      <x:c r="P419" s="130" t="n">
        <x:v>83</x:v>
      </x:c>
      <x:c r="Q419" s="130" t="n">
        <x:v>82</x:v>
      </x:c>
      <x:c r="R419" s="130" t="n">
        <x:v>13</x:v>
      </x:c>
      <x:c r="S419" s="128" t="str">
        <x:v>https://arxiv.org/abs/2606.08924</x:v>
      </x:c>
      <x:c r="T419" s="128" t="str">
        <x:v>三轮复核后与原表基本一致</x:v>
      </x:c>
    </x:row>
    <x:row r="420" ht="28" customHeight="1">
      <x:c r="A420" s="129" t="n">
        <x:v>419</x:v>
      </x:c>
      <x:c r="B420" s="129" t="str">
        <x:v>2026-06</x:v>
      </x:c>
      <x:c r="C420" s="129" t="n">
        <x:v>65</x:v>
      </x:c>
      <x:c r="D420" s="129" t="str">
        <x:v>2606.01449</x:v>
      </x:c>
      <x:c r="E420" s="128" t="str">
        <x:v>Harnack inequality for superposition operators of mixed fractional order</x:v>
      </x:c>
      <x:c r="F420" s="128" t="str">
        <x:v>Souvik Bhowmick; Sekhar Ghosh; Vishvesh Kumar; R. Lakshmi</x:v>
      </x:c>
      <x:c r="G420" s="128" t="str">
        <x:v>elliptic/parabolic regularity</x:v>
      </x:c>
      <x:c r="H420" s="129"/>
      <x:c r="I420" s="130" t="n">
        <x:v>82.62</x:v>
      </x:c>
      <x:c r="J420" s="130" t="n">
        <x:v>82.29</x:v>
      </x:c>
      <x:c r="K420" s="130" t="n">
        <x:v>82.95</x:v>
      </x:c>
      <x:c r="L420" s="130" t="n">
        <x:v>82</x:v>
      </x:c>
      <x:c r="M420" s="130" t="n">
        <x:v>82.1</x:v>
      </x:c>
      <x:c r="N420" s="130" t="n">
        <x:v>82</x:v>
      </x:c>
      <x:c r="O420" s="130" t="n">
        <x:v>83.1</x:v>
      </x:c>
      <x:c r="P420" s="130" t="n">
        <x:v>82.1</x:v>
      </x:c>
      <x:c r="Q420" s="130" t="n">
        <x:v>83</x:v>
      </x:c>
      <x:c r="R420" s="130" t="n">
        <x:v>13</x:v>
      </x:c>
      <x:c r="S420" s="128" t="str">
        <x:v>https://arxiv.org/abs/2606.01449</x:v>
      </x:c>
      <x:c r="T420" s="128" t="str">
        <x:v>三轮复核后与原表基本一致</x:v>
      </x:c>
    </x:row>
    <x:row r="421" ht="28" customHeight="1">
      <x:c r="A421" s="129" t="n">
        <x:v>420</x:v>
      </x:c>
      <x:c r="B421" s="129" t="str">
        <x:v>2026-06</x:v>
      </x:c>
      <x:c r="C421" s="129" t="n">
        <x:v>66</x:v>
      </x:c>
      <x:c r="D421" s="129" t="str">
        <x:v>2606.01559</x:v>
      </x:c>
      <x:c r="E421" s="128" t="str">
        <x:v>Asymptotic stability of strong rarefaction waves to a parabolic-hyperbolic system arising from chemotaxis</x:v>
      </x:c>
      <x:c r="F421" s="128" t="str">
        <x:v>Sitong Liu; Jingyu Li</x:v>
      </x:c>
      <x:c r="G421" s="128" t="str">
        <x:v>homogenization/asymptotics</x:v>
      </x:c>
      <x:c r="H421" s="129"/>
      <x:c r="I421" s="130" t="n">
        <x:v>82.57</x:v>
      </x:c>
      <x:c r="J421" s="130" t="n">
        <x:v>82.14</x:v>
      </x:c>
      <x:c r="K421" s="130" t="n">
        <x:v>83</x:v>
      </x:c>
      <x:c r="L421" s="130" t="n">
        <x:v>82</x:v>
      </x:c>
      <x:c r="M421" s="130" t="n">
        <x:v>82.1</x:v>
      </x:c>
      <x:c r="N421" s="130" t="n">
        <x:v>83</x:v>
      </x:c>
      <x:c r="O421" s="130" t="n">
        <x:v>81.1</x:v>
      </x:c>
      <x:c r="P421" s="130" t="n">
        <x:v>82.1</x:v>
      </x:c>
      <x:c r="Q421" s="130" t="n">
        <x:v>82</x:v>
      </x:c>
      <x:c r="R421" s="130" t="n">
        <x:v>13</x:v>
      </x:c>
      <x:c r="S421" s="128" t="str">
        <x:v>https://arxiv.org/abs/2606.01559</x:v>
      </x:c>
      <x:c r="T421" s="128" t="str">
        <x:v>三轮复核后与原表基本一致</x:v>
      </x:c>
    </x:row>
    <x:row r="422" ht="28" customHeight="1">
      <x:c r="A422" s="129" t="n">
        <x:v>421</x:v>
      </x:c>
      <x:c r="B422" s="129" t="str">
        <x:v>2026-06</x:v>
      </x:c>
      <x:c r="C422" s="129" t="n">
        <x:v>66</x:v>
      </x:c>
      <x:c r="D422" s="129" t="str">
        <x:v>2606.02088</x:v>
      </x:c>
      <x:c r="E422" s="128" t="str">
        <x:v>Modified scattering type asymptotic behavior for a quadratic nonlinear Schrodinger system under the mass-resonance condition in two dimensions</x:v>
      </x:c>
      <x:c r="F422" s="128" t="str">
        <x:v>Satoshi Masaki; Kota Uriya</x:v>
      </x:c>
      <x:c r="G422" s="128" t="str">
        <x:v>homogenization/asymptotics</x:v>
      </x:c>
      <x:c r="H422" s="129" t="n">
        <x:v>18</x:v>
      </x:c>
      <x:c r="I422" s="130" t="n">
        <x:v>82.55</x:v>
      </x:c>
      <x:c r="J422" s="130" t="n">
        <x:v>82.14</x:v>
      </x:c>
      <x:c r="K422" s="130" t="n">
        <x:v>82.96</x:v>
      </x:c>
      <x:c r="L422" s="130" t="n">
        <x:v>82</x:v>
      </x:c>
      <x:c r="M422" s="130" t="n">
        <x:v>82.1</x:v>
      </x:c>
      <x:c r="N422" s="130" t="n">
        <x:v>83</x:v>
      </x:c>
      <x:c r="O422" s="130" t="n">
        <x:v>81.1</x:v>
      </x:c>
      <x:c r="P422" s="130" t="n">
        <x:v>82.1</x:v>
      </x:c>
      <x:c r="Q422" s="130" t="n">
        <x:v>82</x:v>
      </x:c>
      <x:c r="R422" s="130" t="n">
        <x:v>13.3</x:v>
      </x:c>
      <x:c r="S422" s="128" t="str">
        <x:v>https://arxiv.org/abs/2606.02088</x:v>
      </x:c>
      <x:c r="T422" s="128" t="str">
        <x:v>三轮复核后与原表基本一致</x:v>
      </x:c>
    </x:row>
    <x:row r="423" ht="28" customHeight="1">
      <x:c r="A423" s="129" t="n">
        <x:v>422</x:v>
      </x:c>
      <x:c r="B423" s="129" t="str">
        <x:v>2026-05</x:v>
      </x:c>
      <x:c r="C423" s="129" t="n">
        <x:v>91</x:v>
      </x:c>
      <x:c r="D423" s="129" t="str">
        <x:v>2605.04918</x:v>
      </x:c>
      <x:c r="E423" s="128" t="str">
        <x:v>Neural Discovery of Strichartz Extremizers</x:v>
      </x:c>
      <x:c r="F423" s="128" t="str">
        <x:v>Nicolas Valenzuela; Ricardo Freire; Claudio Munoz</x:v>
      </x:c>
      <x:c r="G423" s="128" t="str">
        <x:v>Dispersive PDE / AI discovery</x:v>
      </x:c>
      <x:c r="H423" s="129" t="n">
        <x:v>38</x:v>
      </x:c>
      <x:c r="I423" s="130" t="n">
        <x:v>82.54</x:v>
      </x:c>
      <x:c r="J423" s="130" t="n">
        <x:v>85.93</x:v>
      </x:c>
      <x:c r="K423" s="130" t="n">
        <x:v>79.15</x:v>
      </x:c>
      <x:c r="L423" s="130" t="n">
        <x:v>86</x:v>
      </x:c>
      <x:c r="M423" s="130" t="n">
        <x:v>89</x:v>
      </x:c>
      <x:c r="N423" s="130" t="n">
        <x:v>84.9</x:v>
      </x:c>
      <x:c r="O423" s="130" t="n">
        <x:v>86</x:v>
      </x:c>
      <x:c r="P423" s="130" t="n">
        <x:v>81.9</x:v>
      </x:c>
      <x:c r="Q423" s="130" t="n">
        <x:v>82</x:v>
      </x:c>
      <x:c r="R423" s="130" t="n">
        <x:v>50</x:v>
      </x:c>
      <x:c r="S423" s="128" t="str">
        <x:v>https://arxiv.org/abs/2605.04918</x:v>
      </x:c>
      <x:c r="T423" s="128" t="str">
        <x:v>三轮复核后与原表基本一致</x:v>
      </x:c>
    </x:row>
    <x:row r="424" ht="28" customHeight="1">
      <x:c r="A424" s="129" t="n">
        <x:v>423</x:v>
      </x:c>
      <x:c r="B424" s="129" t="str">
        <x:v>2026-07</x:v>
      </x:c>
      <x:c r="C424" s="129" t="n">
        <x:v>214</x:v>
      </x:c>
      <x:c r="D424" s="129" t="str">
        <x:v>2607.04284</x:v>
      </x:c>
      <x:c r="E424" s="128" t="str">
        <x:v>On Phase-Space Orthogonality for Higher-Order Distributions: Obstructions and Algebraic Resolutions</x:v>
      </x:c>
      <x:c r="F424" s="128" t="str">
        <x:v>Marin Misur</x:v>
      </x:c>
      <x:c r="G424" s="128" t="str">
        <x:v>functional analysis/PDE</x:v>
      </x:c>
      <x:c r="H424" s="129" t="str">
        <x:v>-</x:v>
      </x:c>
      <x:c r="I424" s="130" t="n">
        <x:v>82.33</x:v>
      </x:c>
      <x:c r="J424" s="130" t="n">
        <x:v>81.75</x:v>
      </x:c>
      <x:c r="K424" s="130" t="n">
        <x:v>82.9</x:v>
      </x:c>
      <x:c r="L424" s="130" t="n">
        <x:v>82</x:v>
      </x:c>
      <x:c r="M424" s="130" t="n">
        <x:v>81</x:v>
      </x:c>
      <x:c r="N424" s="130" t="n">
        <x:v>83</x:v>
      </x:c>
      <x:c r="O424" s="130" t="n">
        <x:v>80</x:v>
      </x:c>
      <x:c r="P424" s="130" t="n">
        <x:v>83</x:v>
      </x:c>
      <x:c r="Q424" s="130" t="n">
        <x:v>82</x:v>
      </x:c>
      <x:c r="R424" s="130" t="n">
        <x:v>14</x:v>
      </x:c>
      <x:c r="S424" s="128" t="str">
        <x:v>https://arxiv.org/abs/2607.04284</x:v>
      </x:c>
      <x:c r="T424" s="128" t="str">
        <x:v>Background row in the 30% scored pool; title/authors from official July list.</x:v>
      </x:c>
    </x:row>
    <x:row r="425" ht="28" customHeight="1">
      <x:c r="A425" s="129" t="n">
        <x:v>424</x:v>
      </x:c>
      <x:c r="B425" s="129" t="str">
        <x:v>2026-07</x:v>
      </x:c>
      <x:c r="C425" s="129" t="n">
        <x:v>215</x:v>
      </x:c>
      <x:c r="D425" s="129" t="str">
        <x:v>2607.04947</x:v>
      </x:c>
      <x:c r="E425" s="128" t="str">
        <x:v>A note on new mapping properties for Wolff potential</x:v>
      </x:c>
      <x:c r="F425" s="128" t="str">
        <x:v>Petteri Harjulehto; Ritva Hurri-Syrjanen</x:v>
      </x:c>
      <x:c r="G425" s="128" t="str">
        <x:v>nonlinear potential theory</x:v>
      </x:c>
      <x:c r="H425" s="129" t="str">
        <x:v>-</x:v>
      </x:c>
      <x:c r="I425" s="130" t="n">
        <x:v>82.33</x:v>
      </x:c>
      <x:c r="J425" s="130" t="n">
        <x:v>81.75</x:v>
      </x:c>
      <x:c r="K425" s="130" t="n">
        <x:v>82.9</x:v>
      </x:c>
      <x:c r="L425" s="130" t="n">
        <x:v>82</x:v>
      </x:c>
      <x:c r="M425" s="130" t="n">
        <x:v>81</x:v>
      </x:c>
      <x:c r="N425" s="130" t="n">
        <x:v>83</x:v>
      </x:c>
      <x:c r="O425" s="130" t="n">
        <x:v>80</x:v>
      </x:c>
      <x:c r="P425" s="130" t="n">
        <x:v>83</x:v>
      </x:c>
      <x:c r="Q425" s="130" t="n">
        <x:v>82</x:v>
      </x:c>
      <x:c r="R425" s="130" t="n">
        <x:v>14</x:v>
      </x:c>
      <x:c r="S425" s="128" t="str">
        <x:v>https://arxiv.org/abs/2607.04947</x:v>
      </x:c>
      <x:c r="T425" s="128" t="str">
        <x:v>Background row in the 30% scored pool; title/authors from official July list.</x:v>
      </x:c>
    </x:row>
    <x:row r="426" ht="28" customHeight="1">
      <x:c r="A426" s="129" t="n">
        <x:v>425</x:v>
      </x:c>
      <x:c r="B426" s="129" t="str">
        <x:v>2026-07</x:v>
      </x:c>
      <x:c r="C426" s="129" t="n">
        <x:v>216</x:v>
      </x:c>
      <x:c r="D426" s="129" t="str">
        <x:v>2607.05796</x:v>
      </x:c>
      <x:c r="E426" s="128" t="str">
        <x:v>Nowhere continuity of the flow map of an integrable derivative nonlinear Schrodinger system on the torus</x:v>
      </x:c>
      <x:c r="F426" s="128" t="str">
        <x:v>Toshiki Kondo</x:v>
      </x:c>
      <x:c r="G426" s="128" t="str">
        <x:v>derivative NLS</x:v>
      </x:c>
      <x:c r="H426" s="129" t="n">
        <x:v>17</x:v>
      </x:c>
      <x:c r="I426" s="130" t="n">
        <x:v>82.33</x:v>
      </x:c>
      <x:c r="J426" s="130" t="n">
        <x:v>81.75</x:v>
      </x:c>
      <x:c r="K426" s="130" t="n">
        <x:v>82.9</x:v>
      </x:c>
      <x:c r="L426" s="130" t="n">
        <x:v>82</x:v>
      </x:c>
      <x:c r="M426" s="130" t="n">
        <x:v>81</x:v>
      </x:c>
      <x:c r="N426" s="130" t="n">
        <x:v>83</x:v>
      </x:c>
      <x:c r="O426" s="130" t="n">
        <x:v>80</x:v>
      </x:c>
      <x:c r="P426" s="130" t="n">
        <x:v>83</x:v>
      </x:c>
      <x:c r="Q426" s="130" t="n">
        <x:v>82</x:v>
      </x:c>
      <x:c r="R426" s="130" t="n">
        <x:v>14</x:v>
      </x:c>
      <x:c r="S426" s="128" t="str">
        <x:v>https://arxiv.org/abs/2607.05796</x:v>
      </x:c>
      <x:c r="T426" s="128" t="str">
        <x:v>Background row in the 30% scored pool; title/authors from official July list.</x:v>
      </x:c>
    </x:row>
    <x:row r="427" ht="28" customHeight="1">
      <x:c r="A427" s="129" t="n">
        <x:v>426</x:v>
      </x:c>
      <x:c r="B427" s="129" t="str">
        <x:v>2026-07</x:v>
      </x:c>
      <x:c r="C427" s="129" t="n">
        <x:v>217</x:v>
      </x:c>
      <x:c r="D427" s="129" t="str">
        <x:v>2607.07130</x:v>
      </x:c>
      <x:c r="E427" s="128" t="str">
        <x:v>Boundedness and blow-up for a quasilinear Keller-Segel system with flux limitation and indirect signal production</x:v>
      </x:c>
      <x:c r="F427" s="128" t="str">
        <x:v>Yue Zhou; Changchun Liu</x:v>
      </x:c>
      <x:c r="G427" s="128" t="str">
        <x:v>Keller-Segel</x:v>
      </x:c>
      <x:c r="H427" s="129" t="str">
        <x:v>-</x:v>
      </x:c>
      <x:c r="I427" s="130" t="n">
        <x:v>82.33</x:v>
      </x:c>
      <x:c r="J427" s="130" t="n">
        <x:v>81.75</x:v>
      </x:c>
      <x:c r="K427" s="130" t="n">
        <x:v>82.9</x:v>
      </x:c>
      <x:c r="L427" s="130" t="n">
        <x:v>82</x:v>
      </x:c>
      <x:c r="M427" s="130" t="n">
        <x:v>81</x:v>
      </x:c>
      <x:c r="N427" s="130" t="n">
        <x:v>83</x:v>
      </x:c>
      <x:c r="O427" s="130" t="n">
        <x:v>80</x:v>
      </x:c>
      <x:c r="P427" s="130" t="n">
        <x:v>83</x:v>
      </x:c>
      <x:c r="Q427" s="130" t="n">
        <x:v>82</x:v>
      </x:c>
      <x:c r="R427" s="130" t="n">
        <x:v>14</x:v>
      </x:c>
      <x:c r="S427" s="128" t="str">
        <x:v>https://arxiv.org/abs/2607.07130</x:v>
      </x:c>
      <x:c r="T427" s="128" t="str">
        <x:v>Background row in the 30% scored pool; title/authors from official July list.</x:v>
      </x:c>
    </x:row>
    <x:row r="428" ht="28" customHeight="1">
      <x:c r="A428" s="129" t="n">
        <x:v>427</x:v>
      </x:c>
      <x:c r="B428" s="129" t="str">
        <x:v>2026-07</x:v>
      </x:c>
      <x:c r="C428" s="129" t="n">
        <x:v>218</x:v>
      </x:c>
      <x:c r="D428" s="129" t="str">
        <x:v>2607.07526</x:v>
      </x:c>
      <x:c r="E428" s="128" t="str">
        <x:v>On the rate of the vanishing viscosity approximation for Mean Field Games with nonlocal coupling</x:v>
      </x:c>
      <x:c r="F428" s="128" t="str">
        <x:v>Gennaro Ciampa; Alessandro Goffi</x:v>
      </x:c>
      <x:c r="G428" s="128" t="str">
        <x:v>mean field games</x:v>
      </x:c>
      <x:c r="H428" s="129" t="str">
        <x:v>-</x:v>
      </x:c>
      <x:c r="I428" s="130" t="n">
        <x:v>82.33</x:v>
      </x:c>
      <x:c r="J428" s="130" t="n">
        <x:v>81.75</x:v>
      </x:c>
      <x:c r="K428" s="130" t="n">
        <x:v>82.9</x:v>
      </x:c>
      <x:c r="L428" s="130" t="n">
        <x:v>82</x:v>
      </x:c>
      <x:c r="M428" s="130" t="n">
        <x:v>81</x:v>
      </x:c>
      <x:c r="N428" s="130" t="n">
        <x:v>83</x:v>
      </x:c>
      <x:c r="O428" s="130" t="n">
        <x:v>80</x:v>
      </x:c>
      <x:c r="P428" s="130" t="n">
        <x:v>83</x:v>
      </x:c>
      <x:c r="Q428" s="130" t="n">
        <x:v>82</x:v>
      </x:c>
      <x:c r="R428" s="130" t="n">
        <x:v>14</x:v>
      </x:c>
      <x:c r="S428" s="128" t="str">
        <x:v>https://arxiv.org/abs/2607.07526</x:v>
      </x:c>
      <x:c r="T428" s="128" t="str">
        <x:v>Background row in the 30% scored pool; title/authors from official July list.</x:v>
      </x:c>
    </x:row>
    <x:row r="429" ht="28" customHeight="1">
      <x:c r="A429" s="129" t="n">
        <x:v>428</x:v>
      </x:c>
      <x:c r="B429" s="129" t="str">
        <x:v>2026-07</x:v>
      </x:c>
      <x:c r="C429" s="129" t="n">
        <x:v>219</x:v>
      </x:c>
      <x:c r="D429" s="129" t="str">
        <x:v>2607.09574</x:v>
      </x:c>
      <x:c r="E429" s="128" t="str">
        <x:v>On Maximal Total Entropy Production Models for Steady Evaporation of a Calorically Perfect Polyatomic Gas</x:v>
      </x:c>
      <x:c r="F429" s="128" t="str">
        <x:v>Niclas Bernhoff; Eddie Wadbro</x:v>
      </x:c>
      <x:c r="G429" s="128" t="str">
        <x:v>kinetic gas</x:v>
      </x:c>
      <x:c r="H429" s="129" t="n">
        <x:v>16</x:v>
      </x:c>
      <x:c r="I429" s="130" t="n">
        <x:v>82.33</x:v>
      </x:c>
      <x:c r="J429" s="130" t="n">
        <x:v>81.75</x:v>
      </x:c>
      <x:c r="K429" s="130" t="n">
        <x:v>82.9</x:v>
      </x:c>
      <x:c r="L429" s="130" t="n">
        <x:v>82</x:v>
      </x:c>
      <x:c r="M429" s="130" t="n">
        <x:v>81</x:v>
      </x:c>
      <x:c r="N429" s="130" t="n">
        <x:v>83</x:v>
      </x:c>
      <x:c r="O429" s="130" t="n">
        <x:v>80</x:v>
      </x:c>
      <x:c r="P429" s="130" t="n">
        <x:v>83</x:v>
      </x:c>
      <x:c r="Q429" s="130" t="n">
        <x:v>82</x:v>
      </x:c>
      <x:c r="R429" s="130" t="n">
        <x:v>14</x:v>
      </x:c>
      <x:c r="S429" s="128" t="str">
        <x:v>https://arxiv.org/abs/2607.09574</x:v>
      </x:c>
      <x:c r="T429" s="128" t="str">
        <x:v>Background row in the 30% scored pool; title/authors from official July list.</x:v>
      </x:c>
    </x:row>
    <x:row r="430" ht="28" customHeight="1">
      <x:c r="A430" s="129" t="n">
        <x:v>429</x:v>
      </x:c>
      <x:c r="B430" s="129" t="str">
        <x:v>2026-07</x:v>
      </x:c>
      <x:c r="C430" s="129" t="n">
        <x:v>220</x:v>
      </x:c>
      <x:c r="D430" s="129" t="str">
        <x:v>2607.10307</x:v>
      </x:c>
      <x:c r="E430" s="128" t="str">
        <x:v>Evolutionary boundary delay equations</x:v>
      </x:c>
      <x:c r="F430" s="128" t="str">
        <x:v>Bernhard Aigner</x:v>
      </x:c>
      <x:c r="G430" s="128" t="str">
        <x:v>evolution equations</x:v>
      </x:c>
      <x:c r="H430" s="129" t="str">
        <x:v>-</x:v>
      </x:c>
      <x:c r="I430" s="130" t="n">
        <x:v>82.33</x:v>
      </x:c>
      <x:c r="J430" s="130" t="n">
        <x:v>81.75</x:v>
      </x:c>
      <x:c r="K430" s="130" t="n">
        <x:v>82.9</x:v>
      </x:c>
      <x:c r="L430" s="130" t="n">
        <x:v>82</x:v>
      </x:c>
      <x:c r="M430" s="130" t="n">
        <x:v>81</x:v>
      </x:c>
      <x:c r="N430" s="130" t="n">
        <x:v>83</x:v>
      </x:c>
      <x:c r="O430" s="130" t="n">
        <x:v>80</x:v>
      </x:c>
      <x:c r="P430" s="130" t="n">
        <x:v>83</x:v>
      </x:c>
      <x:c r="Q430" s="130" t="n">
        <x:v>82</x:v>
      </x:c>
      <x:c r="R430" s="130" t="n">
        <x:v>14</x:v>
      </x:c>
      <x:c r="S430" s="128" t="str">
        <x:v>https://arxiv.org/abs/2607.10307</x:v>
      </x:c>
      <x:c r="T430" s="128" t="str">
        <x:v>Background row in the 30% scored pool; title/authors from official July list.</x:v>
      </x:c>
    </x:row>
    <x:row r="431" ht="28" customHeight="1">
      <x:c r="A431" s="129" t="n">
        <x:v>430</x:v>
      </x:c>
      <x:c r="B431" s="129" t="str">
        <x:v>2026-07</x:v>
      </x:c>
      <x:c r="C431" s="129" t="n">
        <x:v>221</x:v>
      </x:c>
      <x:c r="D431" s="129" t="str">
        <x:v>2607.11430</x:v>
      </x:c>
      <x:c r="E431" s="128" t="str">
        <x:v>Small data global in-time existence for Nakao's problem in two and three space dimensions</x:v>
      </x:c>
      <x:c r="F431" s="128" t="str">
        <x:v>Wenhui Chen</x:v>
      </x:c>
      <x:c r="G431" s="128" t="str">
        <x:v>damped waves</x:v>
      </x:c>
      <x:c r="H431" s="129" t="str">
        <x:v>-</x:v>
      </x:c>
      <x:c r="I431" s="130" t="n">
        <x:v>82.33</x:v>
      </x:c>
      <x:c r="J431" s="130" t="n">
        <x:v>81.75</x:v>
      </x:c>
      <x:c r="K431" s="130" t="n">
        <x:v>82.9</x:v>
      </x:c>
      <x:c r="L431" s="130" t="n">
        <x:v>82</x:v>
      </x:c>
      <x:c r="M431" s="130" t="n">
        <x:v>81</x:v>
      </x:c>
      <x:c r="N431" s="130" t="n">
        <x:v>83</x:v>
      </x:c>
      <x:c r="O431" s="130" t="n">
        <x:v>80</x:v>
      </x:c>
      <x:c r="P431" s="130" t="n">
        <x:v>83</x:v>
      </x:c>
      <x:c r="Q431" s="130" t="n">
        <x:v>82</x:v>
      </x:c>
      <x:c r="R431" s="130" t="n">
        <x:v>14</x:v>
      </x:c>
      <x:c r="S431" s="128" t="str">
        <x:v>https://arxiv.org/abs/2607.11430</x:v>
      </x:c>
      <x:c r="T431" s="128" t="str">
        <x:v>Background row in the 30% scored pool; title/authors from official July list.</x:v>
      </x:c>
    </x:row>
    <x:row r="432" ht="28" customHeight="1">
      <x:c r="A432" s="129" t="n">
        <x:v>431</x:v>
      </x:c>
      <x:c r="B432" s="129" t="str">
        <x:v>2026-06</x:v>
      </x:c>
      <x:c r="C432" s="129" t="n">
        <x:v>68</x:v>
      </x:c>
      <x:c r="D432" s="129" t="str">
        <x:v>2606.03185</x:v>
      </x:c>
      <x:c r="E432" s="128" t="str">
        <x:v>Fractional Sobolev embeddings on noncommutative torus</x:v>
      </x:c>
      <x:c r="F432" s="128" t="str">
        <x:v>F. Sukochev; R. Tastankul; K. Tulenov; D. Zanin</x:v>
      </x:c>
      <x:c r="G432" s="128" t="str">
        <x:v>inequalities/function spaces</x:v>
      </x:c>
      <x:c r="H432" s="129" t="n">
        <x:v>30</x:v>
      </x:c>
      <x:c r="I432" s="130" t="n">
        <x:v>82.3</x:v>
      </x:c>
      <x:c r="J432" s="130" t="n">
        <x:v>81.85</x:v>
      </x:c>
      <x:c r="K432" s="130" t="n">
        <x:v>82.75</x:v>
      </x:c>
      <x:c r="L432" s="130" t="n">
        <x:v>82</x:v>
      </x:c>
      <x:c r="M432" s="130" t="n">
        <x:v>82</x:v>
      </x:c>
      <x:c r="N432" s="130" t="n">
        <x:v>82</x:v>
      </x:c>
      <x:c r="O432" s="130" t="n">
        <x:v>81</x:v>
      </x:c>
      <x:c r="P432" s="130" t="n">
        <x:v>82</x:v>
      </x:c>
      <x:c r="Q432" s="130" t="n">
        <x:v>82</x:v>
      </x:c>
      <x:c r="R432" s="130" t="n">
        <x:v>13</x:v>
      </x:c>
      <x:c r="S432" s="128" t="str">
        <x:v>https://arxiv.org/abs/2606.03185</x:v>
      </x:c>
      <x:c r="T432" s="128" t="str">
        <x:v>三轮复核后与原表基本一致</x:v>
      </x:c>
    </x:row>
    <x:row r="433" ht="28" customHeight="1">
      <x:c r="A433" s="129" t="n">
        <x:v>432</x:v>
      </x:c>
      <x:c r="B433" s="129" t="str">
        <x:v>2026-06</x:v>
      </x:c>
      <x:c r="C433" s="129" t="n">
        <x:v>69</x:v>
      </x:c>
      <x:c r="D433" s="129" t="str">
        <x:v>2606.12756</x:v>
      </x:c>
      <x:c r="E433" s="128" t="str">
        <x:v>Invisible Defect Cascades for Navier-Stokes Regularity</x:v>
      </x:c>
      <x:c r="F433" s="128" t="str">
        <x:v>Runlong Yu</x:v>
      </x:c>
      <x:c r="G433" s="128" t="str">
        <x:v>fluid/kinetic PDE</x:v>
      </x:c>
      <x:c r="H433" s="129"/>
      <x:c r="I433" s="130" t="n">
        <x:v>82.04</x:v>
      </x:c>
      <x:c r="J433" s="130" t="n">
        <x:v>81.52</x:v>
      </x:c>
      <x:c r="K433" s="130" t="n">
        <x:v>82.57</x:v>
      </x:c>
      <x:c r="L433" s="130" t="n">
        <x:v>82</x:v>
      </x:c>
      <x:c r="M433" s="130" t="n">
        <x:v>81</x:v>
      </x:c>
      <x:c r="N433" s="130" t="n">
        <x:v>82.1</x:v>
      </x:c>
      <x:c r="O433" s="130" t="n">
        <x:v>80</x:v>
      </x:c>
      <x:c r="P433" s="130" t="n">
        <x:v>82</x:v>
      </x:c>
      <x:c r="Q433" s="130" t="n">
        <x:v>82</x:v>
      </x:c>
      <x:c r="R433" s="130" t="n">
        <x:v>13</x:v>
      </x:c>
      <x:c r="S433" s="128" t="str">
        <x:v>https://arxiv.org/abs/2606.12756</x:v>
      </x:c>
      <x:c r="T433" s="128" t="str">
        <x:v>三轮复核后与原表基本一致</x:v>
      </x:c>
    </x:row>
    <x:row r="434" ht="28" customHeight="1">
      <x:c r="A434" s="129" t="n">
        <x:v>433</x:v>
      </x:c>
      <x:c r="B434" s="129" t="str">
        <x:v>2026-06</x:v>
      </x:c>
      <x:c r="C434" s="129" t="n">
        <x:v>69</x:v>
      </x:c>
      <x:c r="D434" s="129" t="str">
        <x:v>2606.11720</x:v>
      </x:c>
      <x:c r="E434" s="128" t="str">
        <x:v>Strict 2.5D Shadows for One-Component Navier-Stokes Regularity</x:v>
      </x:c>
      <x:c r="F434" s="128" t="str">
        <x:v>Runlong Yu</x:v>
      </x:c>
      <x:c r="G434" s="128" t="str">
        <x:v>fluid/kinetic PDE</x:v>
      </x:c>
      <x:c r="H434" s="129"/>
      <x:c r="I434" s="130" t="n">
        <x:v>82.04</x:v>
      </x:c>
      <x:c r="J434" s="130" t="n">
        <x:v>81.52</x:v>
      </x:c>
      <x:c r="K434" s="130" t="n">
        <x:v>82.57</x:v>
      </x:c>
      <x:c r="L434" s="130" t="n">
        <x:v>82</x:v>
      </x:c>
      <x:c r="M434" s="130" t="n">
        <x:v>81</x:v>
      </x:c>
      <x:c r="N434" s="130" t="n">
        <x:v>82.1</x:v>
      </x:c>
      <x:c r="O434" s="130" t="n">
        <x:v>80</x:v>
      </x:c>
      <x:c r="P434" s="130" t="n">
        <x:v>82</x:v>
      </x:c>
      <x:c r="Q434" s="130" t="n">
        <x:v>82</x:v>
      </x:c>
      <x:c r="R434" s="130" t="n">
        <x:v>13</x:v>
      </x:c>
      <x:c r="S434" s="128" t="str">
        <x:v>https://arxiv.org/abs/2606.11720</x:v>
      </x:c>
      <x:c r="T434" s="128" t="str">
        <x:v>三轮复核后与原表基本一致</x:v>
      </x:c>
    </x:row>
    <x:row r="435" ht="28" customHeight="1">
      <x:c r="A435" s="129" t="n">
        <x:v>434</x:v>
      </x:c>
      <x:c r="B435" s="129" t="str">
        <x:v>2026-06</x:v>
      </x:c>
      <x:c r="C435" s="129" t="n">
        <x:v>69</x:v>
      </x:c>
      <x:c r="D435" s="129" t="str">
        <x:v>2606.11575</x:v>
      </x:c>
      <x:c r="E435" s="128" t="str">
        <x:v>Pressure effects on critical scaling and global low-regularity solutions for compressible Navier-Stokes system</x:v>
      </x:c>
      <x:c r="F435" s="128" t="str">
        <x:v>Lin Xu; Xin Zhong</x:v>
      </x:c>
      <x:c r="G435" s="128" t="str">
        <x:v>fluid/kinetic PDE</x:v>
      </x:c>
      <x:c r="H435" s="129"/>
      <x:c r="I435" s="130" t="n">
        <x:v>82.04</x:v>
      </x:c>
      <x:c r="J435" s="130" t="n">
        <x:v>81.52</x:v>
      </x:c>
      <x:c r="K435" s="130" t="n">
        <x:v>82.57</x:v>
      </x:c>
      <x:c r="L435" s="130" t="n">
        <x:v>82</x:v>
      </x:c>
      <x:c r="M435" s="130" t="n">
        <x:v>81</x:v>
      </x:c>
      <x:c r="N435" s="130" t="n">
        <x:v>82.1</x:v>
      </x:c>
      <x:c r="O435" s="130" t="n">
        <x:v>80</x:v>
      </x:c>
      <x:c r="P435" s="130" t="n">
        <x:v>82</x:v>
      </x:c>
      <x:c r="Q435" s="130" t="n">
        <x:v>82</x:v>
      </x:c>
      <x:c r="R435" s="130" t="n">
        <x:v>13</x:v>
      </x:c>
      <x:c r="S435" s="128" t="str">
        <x:v>https://arxiv.org/abs/2606.11575</x:v>
      </x:c>
      <x:c r="T435" s="128" t="str">
        <x:v>三轮复核后与原表基本一致</x:v>
      </x:c>
    </x:row>
    <x:row r="436" ht="28" customHeight="1">
      <x:c r="A436" s="129" t="n">
        <x:v>435</x:v>
      </x:c>
      <x:c r="B436" s="129" t="str">
        <x:v>2026-06</x:v>
      </x:c>
      <x:c r="C436" s="129" t="n">
        <x:v>72</x:v>
      </x:c>
      <x:c r="D436" s="129" t="str">
        <x:v>2606.09185</x:v>
      </x:c>
      <x:c r="E436" s="128" t="str">
        <x:v>Global Mild solutions for fractional Navier-Stokes-Boussinesq equations in critical Fourier-Herz-Lorentz spaces</x:v>
      </x:c>
      <x:c r="F436" s="128" t="str">
        <x:v>Diego Chamorro; Maxence Mansais</x:v>
      </x:c>
      <x:c r="G436" s="128" t="str">
        <x:v>fluid/kinetic PDE</x:v>
      </x:c>
      <x:c r="H436" s="129"/>
      <x:c r="I436" s="130" t="n">
        <x:v>81.92</x:v>
      </x:c>
      <x:c r="J436" s="130" t="n">
        <x:v>81.42</x:v>
      </x:c>
      <x:c r="K436" s="130" t="n">
        <x:v>82.42</x:v>
      </x:c>
      <x:c r="L436" s="130" t="n">
        <x:v>82</x:v>
      </x:c>
      <x:c r="M436" s="130" t="n">
        <x:v>81</x:v>
      </x:c>
      <x:c r="N436" s="130" t="n">
        <x:v>82.1</x:v>
      </x:c>
      <x:c r="O436" s="130" t="n">
        <x:v>80</x:v>
      </x:c>
      <x:c r="P436" s="130" t="n">
        <x:v>82</x:v>
      </x:c>
      <x:c r="Q436" s="130" t="n">
        <x:v>81</x:v>
      </x:c>
      <x:c r="R436" s="130" t="n">
        <x:v>13</x:v>
      </x:c>
      <x:c r="S436" s="128" t="str">
        <x:v>https://arxiv.org/abs/2606.09185</x:v>
      </x:c>
      <x:c r="T436" s="128" t="str">
        <x:v>三轮复核后与原表基本一致</x:v>
      </x:c>
    </x:row>
    <x:row r="437" ht="28" customHeight="1">
      <x:c r="A437" s="129" t="n">
        <x:v>436</x:v>
      </x:c>
      <x:c r="B437" s="129" t="str">
        <x:v>2026-06</x:v>
      </x:c>
      <x:c r="C437" s="129" t="n">
        <x:v>72</x:v>
      </x:c>
      <x:c r="D437" s="129" t="str">
        <x:v>2606.04809</x:v>
      </x:c>
      <x:c r="E437" s="128" t="str">
        <x:v>Steady compressible Navier-Stokes-Fourier system with general temperature dependent viscosities and hard sphere pressure law</x:v>
      </x:c>
      <x:c r="F437" s="128" t="str">
        <x:v>Zhengguang Guo; Milan Pokorny</x:v>
      </x:c>
      <x:c r="G437" s="128" t="str">
        <x:v>fluid/kinetic PDE</x:v>
      </x:c>
      <x:c r="H437" s="129"/>
      <x:c r="I437" s="130" t="n">
        <x:v>81.92</x:v>
      </x:c>
      <x:c r="J437" s="130" t="n">
        <x:v>81.42</x:v>
      </x:c>
      <x:c r="K437" s="130" t="n">
        <x:v>82.42</x:v>
      </x:c>
      <x:c r="L437" s="130" t="n">
        <x:v>82</x:v>
      </x:c>
      <x:c r="M437" s="130" t="n">
        <x:v>81</x:v>
      </x:c>
      <x:c r="N437" s="130" t="n">
        <x:v>82.1</x:v>
      </x:c>
      <x:c r="O437" s="130" t="n">
        <x:v>80</x:v>
      </x:c>
      <x:c r="P437" s="130" t="n">
        <x:v>82</x:v>
      </x:c>
      <x:c r="Q437" s="130" t="n">
        <x:v>81</x:v>
      </x:c>
      <x:c r="R437" s="130" t="n">
        <x:v>13</x:v>
      </x:c>
      <x:c r="S437" s="128" t="str">
        <x:v>https://arxiv.org/abs/2606.04809</x:v>
      </x:c>
      <x:c r="T437" s="128" t="str">
        <x:v>三轮复核后与原表基本一致</x:v>
      </x:c>
    </x:row>
    <x:row r="438" ht="28" customHeight="1">
      <x:c r="A438" s="129" t="n">
        <x:v>437</x:v>
      </x:c>
      <x:c r="B438" s="129" t="str">
        <x:v>2026-06</x:v>
      </x:c>
      <x:c r="C438" s="129" t="n">
        <x:v>72</x:v>
      </x:c>
      <x:c r="D438" s="129" t="str">
        <x:v>2606.04403</x:v>
      </x:c>
      <x:c r="E438" s="128" t="str">
        <x:v>Well-posedness and vanishing rotational limit for the rotating incompressible Navier-Stokes equations in hybrid Besov space</x:v>
      </x:c>
      <x:c r="F438" s="128" t="str">
        <x:v>Zihua Guo; Zihao Song; Minghua Yang</x:v>
      </x:c>
      <x:c r="G438" s="128" t="str">
        <x:v>fluid/kinetic PDE</x:v>
      </x:c>
      <x:c r="H438" s="129" t="n">
        <x:v>13</x:v>
      </x:c>
      <x:c r="I438" s="130" t="n">
        <x:v>81.9</x:v>
      </x:c>
      <x:c r="J438" s="130" t="n">
        <x:v>81.42</x:v>
      </x:c>
      <x:c r="K438" s="130" t="n">
        <x:v>82.38</x:v>
      </x:c>
      <x:c r="L438" s="130" t="n">
        <x:v>82</x:v>
      </x:c>
      <x:c r="M438" s="130" t="n">
        <x:v>81</x:v>
      </x:c>
      <x:c r="N438" s="130" t="n">
        <x:v>82.1</x:v>
      </x:c>
      <x:c r="O438" s="130" t="n">
        <x:v>80</x:v>
      </x:c>
      <x:c r="P438" s="130" t="n">
        <x:v>82</x:v>
      </x:c>
      <x:c r="Q438" s="130" t="n">
        <x:v>81</x:v>
      </x:c>
      <x:c r="R438" s="130" t="n">
        <x:v>13.3</x:v>
      </x:c>
      <x:c r="S438" s="128" t="str">
        <x:v>https://arxiv.org/abs/2606.04403</x:v>
      </x:c>
      <x:c r="T438" s="128" t="str">
        <x:v>三轮复核后与原表基本一致</x:v>
      </x:c>
    </x:row>
    <x:row r="439" ht="28" customHeight="1">
      <x:c r="A439" s="129" t="n">
        <x:v>438</x:v>
      </x:c>
      <x:c r="B439" s="129" t="str">
        <x:v>2026-06</x:v>
      </x:c>
      <x:c r="C439" s="129" t="n">
        <x:v>75</x:v>
      </x:c>
      <x:c r="D439" s="129" t="str">
        <x:v>2606.06166</x:v>
      </x:c>
      <x:c r="E439" s="128" t="str">
        <x:v>Optimal decay for waves damped by superellipses</x:v>
      </x:c>
      <x:c r="F439" s="128" t="str">
        <x:v>B. Achammer; Perry Kleinhenz</x:v>
      </x:c>
      <x:c r="G439" s="128" t="str">
        <x:v>dispersive PDE</x:v>
      </x:c>
      <x:c r="H439" s="129" t="n">
        <x:v>14</x:v>
      </x:c>
      <x:c r="I439" s="130" t="n">
        <x:v>81.78</x:v>
      </x:c>
      <x:c r="J439" s="130" t="n">
        <x:v>81.3</x:v>
      </x:c>
      <x:c r="K439" s="130" t="n">
        <x:v>82.26</x:v>
      </x:c>
      <x:c r="L439" s="130" t="n">
        <x:v>81</x:v>
      </x:c>
      <x:c r="M439" s="130" t="n">
        <x:v>82</x:v>
      </x:c>
      <x:c r="N439" s="130" t="n">
        <x:v>82</x:v>
      </x:c>
      <x:c r="O439" s="130" t="n">
        <x:v>80</x:v>
      </x:c>
      <x:c r="P439" s="130" t="n">
        <x:v>81</x:v>
      </x:c>
      <x:c r="Q439" s="130" t="n">
        <x:v>81</x:v>
      </x:c>
      <x:c r="R439" s="130" t="n">
        <x:v>13.3</x:v>
      </x:c>
      <x:c r="S439" s="128" t="str">
        <x:v>https://arxiv.org/abs/2606.06166</x:v>
      </x:c>
      <x:c r="T439" s="128" t="str">
        <x:v>三轮复核后与原表基本一致</x:v>
      </x:c>
    </x:row>
    <x:row r="440" ht="28" customHeight="1">
      <x:c r="A440" s="129" t="n">
        <x:v>439</x:v>
      </x:c>
      <x:c r="B440" s="129" t="str">
        <x:v>2026-06</x:v>
      </x:c>
      <x:c r="C440" s="129" t="n">
        <x:v>76</x:v>
      </x:c>
      <x:c r="D440" s="129" t="str">
        <x:v>2606.00905</x:v>
      </x:c>
      <x:c r="E440" s="128" t="str">
        <x:v>On the wave equation with logarithmic damping: wellposedness, blow-up and numerical analysis</x:v>
      </x:c>
      <x:c r="F440" s="128" t="str">
        <x:v>Salim Messaoudi; Mohammad Kafini; Mostafa Zahri</x:v>
      </x:c>
      <x:c r="G440" s="128" t="str">
        <x:v>dispersive PDE</x:v>
      </x:c>
      <x:c r="H440" s="129" t="n">
        <x:v>22</x:v>
      </x:c>
      <x:c r="I440" s="130" t="n">
        <x:v>81.77</x:v>
      </x:c>
      <x:c r="J440" s="130" t="n">
        <x:v>81.27</x:v>
      </x:c>
      <x:c r="K440" s="130" t="n">
        <x:v>82.26</x:v>
      </x:c>
      <x:c r="L440" s="130" t="n">
        <x:v>81</x:v>
      </x:c>
      <x:c r="M440" s="130" t="n">
        <x:v>81</x:v>
      </x:c>
      <x:c r="N440" s="130" t="n">
        <x:v>82.1</x:v>
      </x:c>
      <x:c r="O440" s="130" t="n">
        <x:v>81</x:v>
      </x:c>
      <x:c r="P440" s="130" t="n">
        <x:v>82</x:v>
      </x:c>
      <x:c r="Q440" s="130" t="n">
        <x:v>81</x:v>
      </x:c>
      <x:c r="R440" s="130" t="n">
        <x:v>14.1</x:v>
      </x:c>
      <x:c r="S440" s="128" t="str">
        <x:v>https://arxiv.org/abs/2606.00905</x:v>
      </x:c>
      <x:c r="T440" s="128" t="str">
        <x:v>三轮复核后与原表基本一致</x:v>
      </x:c>
    </x:row>
    <x:row r="441" ht="28" customHeight="1">
      <x:c r="A441" s="129" t="n">
        <x:v>440</x:v>
      </x:c>
      <x:c r="B441" s="129" t="str">
        <x:v>2026-06</x:v>
      </x:c>
      <x:c r="C441" s="129" t="n">
        <x:v>77</x:v>
      </x:c>
      <x:c r="D441" s="129" t="str">
        <x:v>2606.08134</x:v>
      </x:c>
      <x:c r="E441" s="128" t="str">
        <x:v>Homogenization in fractional phase transitions at the critical scale</x:v>
      </x:c>
      <x:c r="F441" s="128" t="str">
        <x:v>Andrea Braides; Abdilaziz Zoir Ugli Komilov</x:v>
      </x:c>
      <x:c r="G441" s="128" t="str">
        <x:v>homogenization/asymptotics</x:v>
      </x:c>
      <x:c r="H441" s="129"/>
      <x:c r="I441" s="130" t="n">
        <x:v>81.72</x:v>
      </x:c>
      <x:c r="J441" s="130" t="n">
        <x:v>81.29</x:v>
      </x:c>
      <x:c r="K441" s="130" t="n">
        <x:v>82.15</x:v>
      </x:c>
      <x:c r="L441" s="130" t="n">
        <x:v>81</x:v>
      </x:c>
      <x:c r="M441" s="130" t="n">
        <x:v>81.1</x:v>
      </x:c>
      <x:c r="N441" s="130" t="n">
        <x:v>82</x:v>
      </x:c>
      <x:c r="O441" s="130" t="n">
        <x:v>81.1</x:v>
      </x:c>
      <x:c r="P441" s="130" t="n">
        <x:v>81.1</x:v>
      </x:c>
      <x:c r="Q441" s="130" t="n">
        <x:v>81</x:v>
      </x:c>
      <x:c r="R441" s="130" t="n">
        <x:v>13</x:v>
      </x:c>
      <x:c r="S441" s="128" t="str">
        <x:v>https://arxiv.org/abs/2606.08134</x:v>
      </x:c>
      <x:c r="T441" s="128" t="str">
        <x:v>三轮复核后与原表基本一致</x:v>
      </x:c>
    </x:row>
    <x:row r="442" ht="28" customHeight="1">
      <x:c r="A442" s="129" t="n">
        <x:v>441</x:v>
      </x:c>
      <x:c r="B442" s="129" t="str">
        <x:v>2026-06</x:v>
      </x:c>
      <x:c r="C442" s="129" t="n">
        <x:v>78</x:v>
      </x:c>
      <x:c r="D442" s="129" t="str">
        <x:v>2606.04693</x:v>
      </x:c>
      <x:c r="E442" s="128" t="str">
        <x:v>Global large smooth solutions and overdamped limits for the damped isothermal Euler-Poisson system</x:v>
      </x:c>
      <x:c r="F442" s="128" t="str">
        <x:v>Young-Pil Choi; Jinwook Jung</x:v>
      </x:c>
      <x:c r="G442" s="128" t="str">
        <x:v>fluid/kinetic PDE</x:v>
      </x:c>
      <x:c r="H442" s="129"/>
      <x:c r="I442" s="130" t="n">
        <x:v>81.69</x:v>
      </x:c>
      <x:c r="J442" s="130" t="n">
        <x:v>81.17</x:v>
      </x:c>
      <x:c r="K442" s="130" t="n">
        <x:v>82.22</x:v>
      </x:c>
      <x:c r="L442" s="130" t="n">
        <x:v>82</x:v>
      </x:c>
      <x:c r="M442" s="130" t="n">
        <x:v>81</x:v>
      </x:c>
      <x:c r="N442" s="130" t="n">
        <x:v>81.1</x:v>
      </x:c>
      <x:c r="O442" s="130" t="n">
        <x:v>80</x:v>
      </x:c>
      <x:c r="P442" s="130" t="n">
        <x:v>82</x:v>
      </x:c>
      <x:c r="Q442" s="130" t="n">
        <x:v>81</x:v>
      </x:c>
      <x:c r="R442" s="130" t="n">
        <x:v>13</x:v>
      </x:c>
      <x:c r="S442" s="128" t="str">
        <x:v>https://arxiv.org/abs/2606.04693</x:v>
      </x:c>
      <x:c r="T442" s="128" t="str">
        <x:v>三轮复核后与原表基本一致</x:v>
      </x:c>
    </x:row>
    <x:row r="443" ht="28" customHeight="1">
      <x:c r="A443" s="129" t="n">
        <x:v>442</x:v>
      </x:c>
      <x:c r="B443" s="129" t="str">
        <x:v>2026-06</x:v>
      </x:c>
      <x:c r="C443" s="129" t="n">
        <x:v>78</x:v>
      </x:c>
      <x:c r="D443" s="129" t="str">
        <x:v>2606.04785</x:v>
      </x:c>
      <x:c r="E443" s="128" t="str">
        <x:v>Entropic solutions to the 1D pressureless Euler system with nonlocal interactions</x:v>
      </x:c>
      <x:c r="F443" s="128" t="str">
        <x:v>Trevor M. Leslie; Changhui Tan</x:v>
      </x:c>
      <x:c r="G443" s="128" t="str">
        <x:v>fluid/kinetic PDE</x:v>
      </x:c>
      <x:c r="H443" s="129" t="n">
        <x:v>21</x:v>
      </x:c>
      <x:c r="I443" s="130" t="n">
        <x:v>81.69</x:v>
      </x:c>
      <x:c r="J443" s="130" t="n">
        <x:v>81.17</x:v>
      </x:c>
      <x:c r="K443" s="130" t="n">
        <x:v>82.21</x:v>
      </x:c>
      <x:c r="L443" s="130" t="n">
        <x:v>82</x:v>
      </x:c>
      <x:c r="M443" s="130" t="n">
        <x:v>81</x:v>
      </x:c>
      <x:c r="N443" s="130" t="n">
        <x:v>81.1</x:v>
      </x:c>
      <x:c r="O443" s="130" t="n">
        <x:v>80</x:v>
      </x:c>
      <x:c r="P443" s="130" t="n">
        <x:v>82</x:v>
      </x:c>
      <x:c r="Q443" s="130" t="n">
        <x:v>81</x:v>
      </x:c>
      <x:c r="R443" s="130" t="n">
        <x:v>13.1</x:v>
      </x:c>
      <x:c r="S443" s="128" t="str">
        <x:v>https://arxiv.org/abs/2606.04785</x:v>
      </x:c>
      <x:c r="T443" s="128" t="str">
        <x:v>三轮复核后与原表基本一致</x:v>
      </x:c>
    </x:row>
    <x:row r="444" ht="28" customHeight="1">
      <x:c r="A444" s="129" t="n">
        <x:v>443</x:v>
      </x:c>
      <x:c r="B444" s="129" t="str">
        <x:v>2026-06</x:v>
      </x:c>
      <x:c r="C444" s="129" t="n">
        <x:v>80</x:v>
      </x:c>
      <x:c r="D444" s="129" t="str">
        <x:v>2606.15657</x:v>
      </x:c>
      <x:c r="E444" s="128" t="str">
        <x:v>Semi-wave and sharp estimates of propagation for monostable free boundary problems in time-periodic environment</x:v>
      </x:c>
      <x:c r="F444" s="128" t="str">
        <x:v>Yihong Du; Zhuo Ma</x:v>
      </x:c>
      <x:c r="G444" s="128" t="str">
        <x:v>geometric analysis</x:v>
      </x:c>
      <x:c r="H444" s="129"/>
      <x:c r="I444" s="130" t="n">
        <x:v>81.64</x:v>
      </x:c>
      <x:c r="J444" s="130" t="n">
        <x:v>81.33</x:v>
      </x:c>
      <x:c r="K444" s="130" t="n">
        <x:v>81.95</x:v>
      </x:c>
      <x:c r="L444" s="130" t="n">
        <x:v>82</x:v>
      </x:c>
      <x:c r="M444" s="130" t="n">
        <x:v>81.1</x:v>
      </x:c>
      <x:c r="N444" s="130" t="n">
        <x:v>81</x:v>
      </x:c>
      <x:c r="O444" s="130" t="n">
        <x:v>81.1</x:v>
      </x:c>
      <x:c r="P444" s="130" t="n">
        <x:v>81.1</x:v>
      </x:c>
      <x:c r="Q444" s="130" t="n">
        <x:v>81</x:v>
      </x:c>
      <x:c r="R444" s="130" t="n">
        <x:v>13</x:v>
      </x:c>
      <x:c r="S444" s="128" t="str">
        <x:v>https://arxiv.org/abs/2606.15657</x:v>
      </x:c>
      <x:c r="T444" s="128" t="str">
        <x:v>三轮复核后与原表基本一致</x:v>
      </x:c>
    </x:row>
    <x:row r="445" ht="28" customHeight="1">
      <x:c r="A445" s="129" t="n">
        <x:v>444</x:v>
      </x:c>
      <x:c r="B445" s="129" t="str">
        <x:v>2026-06</x:v>
      </x:c>
      <x:c r="C445" s="129" t="n">
        <x:v>81</x:v>
      </x:c>
      <x:c r="D445" s="129" t="str">
        <x:v>2606.04951</x:v>
      </x:c>
      <x:c r="E445" s="128" t="str">
        <x:v>Pleijel's theorem for a class of degenerate elliptic operators</x:v>
      </x:c>
      <x:c r="F445" s="128" t="str">
        <x:v>Rupert L. Frank; Bernard Helffer</x:v>
      </x:c>
      <x:c r="G445" s="128" t="str">
        <x:v>analysis/PDE</x:v>
      </x:c>
      <x:c r="H445" s="129" t="n">
        <x:v>34</x:v>
      </x:c>
      <x:c r="I445" s="130" t="n">
        <x:v>81.37</x:v>
      </x:c>
      <x:c r="J445" s="130" t="n">
        <x:v>80.83</x:v>
      </x:c>
      <x:c r="K445" s="130" t="n">
        <x:v>81.9</x:v>
      </x:c>
      <x:c r="L445" s="130" t="n">
        <x:v>81</x:v>
      </x:c>
      <x:c r="M445" s="130" t="n">
        <x:v>81</x:v>
      </x:c>
      <x:c r="N445" s="130" t="n">
        <x:v>81</x:v>
      </x:c>
      <x:c r="O445" s="130" t="n">
        <x:v>79.9</x:v>
      </x:c>
      <x:c r="P445" s="130" t="n">
        <x:v>81</x:v>
      </x:c>
      <x:c r="Q445" s="130" t="n">
        <x:v>81</x:v>
      </x:c>
      <x:c r="R445" s="130" t="n">
        <x:v>13</x:v>
      </x:c>
      <x:c r="S445" s="128" t="str">
        <x:v>https://arxiv.org/abs/2606.04951</x:v>
      </x:c>
      <x:c r="T445" s="128" t="str">
        <x:v>范围偏专门，广度轻微回调</x:v>
      </x:c>
    </x:row>
    <x:row r="446" ht="28" customHeight="1">
      <x:c r="A446" s="129" t="n">
        <x:v>445</x:v>
      </x:c>
      <x:c r="B446" s="129" t="str">
        <x:v>2026-06</x:v>
      </x:c>
      <x:c r="C446" s="129" t="n">
        <x:v>82</x:v>
      </x:c>
      <x:c r="D446" s="129" t="str">
        <x:v>2606.00623</x:v>
      </x:c>
      <x:c r="E446" s="128" t="str">
        <x:v>Large time intrinsic growth and asymptotic behavior for the classical Timoshenko system</x:v>
      </x:c>
      <x:c r="F446" s="128" t="str">
        <x:v>Wenhui Chen</x:v>
      </x:c>
      <x:c r="G446" s="128" t="str">
        <x:v>homogenization/asymptotics</x:v>
      </x:c>
      <x:c r="H446" s="129"/>
      <x:c r="I446" s="130" t="n">
        <x:v>81.22</x:v>
      </x:c>
      <x:c r="J446" s="130" t="n">
        <x:v>80.68</x:v>
      </x:c>
      <x:c r="K446" s="130" t="n">
        <x:v>81.75</x:v>
      </x:c>
      <x:c r="L446" s="130" t="n">
        <x:v>81</x:v>
      </x:c>
      <x:c r="M446" s="130" t="n">
        <x:v>80.1</x:v>
      </x:c>
      <x:c r="N446" s="130" t="n">
        <x:v>81</x:v>
      </x:c>
      <x:c r="O446" s="130" t="n">
        <x:v>80.1</x:v>
      </x:c>
      <x:c r="P446" s="130" t="n">
        <x:v>81.1</x:v>
      </x:c>
      <x:c r="Q446" s="130" t="n">
        <x:v>81</x:v>
      </x:c>
      <x:c r="R446" s="130" t="n">
        <x:v>13</x:v>
      </x:c>
      <x:c r="S446" s="128" t="str">
        <x:v>https://arxiv.org/abs/2606.00623</x:v>
      </x:c>
      <x:c r="T446" s="128" t="str">
        <x:v>三轮复核后与原表基本一致</x:v>
      </x:c>
    </x:row>
    <x:row r="447" ht="28" customHeight="1">
      <x:c r="A447" s="129" t="n">
        <x:v>446</x:v>
      </x:c>
      <x:c r="B447" s="129" t="str">
        <x:v>2026-06</x:v>
      </x:c>
      <x:c r="C447" s="129" t="n">
        <x:v>82</x:v>
      </x:c>
      <x:c r="D447" s="129" t="str">
        <x:v>2606.06463</x:v>
      </x:c>
      <x:c r="E447" s="128" t="str">
        <x:v>Large data scattering for the defocusing k-dispersion generalized Benjamin-Ono equation in the energy space</x:v>
      </x:c>
      <x:c r="F447" s="128" t="str">
        <x:v>Luccas Campos; Felipe Linares; Thyago S. R. Santos</x:v>
      </x:c>
      <x:c r="G447" s="128" t="str">
        <x:v>inverse/scattering</x:v>
      </x:c>
      <x:c r="H447" s="129" t="n">
        <x:v>33</x:v>
      </x:c>
      <x:c r="I447" s="130" t="n">
        <x:v>81.18</x:v>
      </x:c>
      <x:c r="J447" s="130" t="n">
        <x:v>80.65</x:v>
      </x:c>
      <x:c r="K447" s="130" t="n">
        <x:v>81.7</x:v>
      </x:c>
      <x:c r="L447" s="130" t="n">
        <x:v>81</x:v>
      </x:c>
      <x:c r="M447" s="130" t="n">
        <x:v>80</x:v>
      </x:c>
      <x:c r="N447" s="130" t="n">
        <x:v>81</x:v>
      </x:c>
      <x:c r="O447" s="130" t="n">
        <x:v>80</x:v>
      </x:c>
      <x:c r="P447" s="130" t="n">
        <x:v>81</x:v>
      </x:c>
      <x:c r="Q447" s="130" t="n">
        <x:v>81</x:v>
      </x:c>
      <x:c r="R447" s="130" t="n">
        <x:v>13</x:v>
      </x:c>
      <x:c r="S447" s="128" t="str">
        <x:v>https://arxiv.org/abs/2606.06463</x:v>
      </x:c>
      <x:c r="T447" s="128" t="str">
        <x:v>三轮复核后与原表基本一致</x:v>
      </x:c>
    </x:row>
    <x:row r="448" ht="28" customHeight="1">
      <x:c r="A448" s="129" t="n">
        <x:v>447</x:v>
      </x:c>
      <x:c r="B448" s="129" t="str">
        <x:v>2026-06</x:v>
      </x:c>
      <x:c r="C448" s="129" t="n">
        <x:v>82</x:v>
      </x:c>
      <x:c r="D448" s="129" t="str">
        <x:v>2606.01618</x:v>
      </x:c>
      <x:c r="E448" s="128" t="str">
        <x:v>Stability of N-soliton solutions for modified Camassa-Holm equation</x:v>
      </x:c>
      <x:c r="F448" s="128" t="str">
        <x:v>Zhen Lu; Fei Tang; Shou-Fu Tian</x:v>
      </x:c>
      <x:c r="G448" s="128" t="str">
        <x:v>analysis/PDE</x:v>
      </x:c>
      <x:c r="H448" s="129"/>
      <x:c r="I448" s="130" t="n">
        <x:v>81.18</x:v>
      </x:c>
      <x:c r="J448" s="130" t="n">
        <x:v>80.65</x:v>
      </x:c>
      <x:c r="K448" s="130" t="n">
        <x:v>81.7</x:v>
      </x:c>
      <x:c r="L448" s="130" t="n">
        <x:v>81</x:v>
      </x:c>
      <x:c r="M448" s="130" t="n">
        <x:v>80</x:v>
      </x:c>
      <x:c r="N448" s="130" t="n">
        <x:v>81</x:v>
      </x:c>
      <x:c r="O448" s="130" t="n">
        <x:v>80</x:v>
      </x:c>
      <x:c r="P448" s="130" t="n">
        <x:v>81</x:v>
      </x:c>
      <x:c r="Q448" s="130" t="n">
        <x:v>81</x:v>
      </x:c>
      <x:c r="R448" s="130" t="n">
        <x:v>13</x:v>
      </x:c>
      <x:c r="S448" s="128" t="str">
        <x:v>https://arxiv.org/abs/2606.01618</x:v>
      </x:c>
      <x:c r="T448" s="128" t="str">
        <x:v>三轮复核后与原表基本一致</x:v>
      </x:c>
    </x:row>
    <x:row r="449" ht="28" customHeight="1">
      <x:c r="A449" s="129" t="n">
        <x:v>448</x:v>
      </x:c>
      <x:c r="B449" s="129" t="str">
        <x:v>2026-06</x:v>
      </x:c>
      <x:c r="C449" s="129" t="n">
        <x:v>82</x:v>
      </x:c>
      <x:c r="D449" s="129" t="str">
        <x:v>2606.00534</x:v>
      </x:c>
      <x:c r="E449" s="128" t="str">
        <x:v>Analytical Solutions of 3D Maxwell's Equations via Infinite-Order Curl-Operator Expansions</x:v>
      </x:c>
      <x:c r="F449" s="128" t="str">
        <x:v>David Wei Ge</x:v>
      </x:c>
      <x:c r="G449" s="128" t="str">
        <x:v>analysis/PDE</x:v>
      </x:c>
      <x:c r="H449" s="129" t="n">
        <x:v>54</x:v>
      </x:c>
      <x:c r="I449" s="130" t="n">
        <x:v>81.18</x:v>
      </x:c>
      <x:c r="J449" s="130" t="n">
        <x:v>80.65</x:v>
      </x:c>
      <x:c r="K449" s="130" t="n">
        <x:v>81.7</x:v>
      </x:c>
      <x:c r="L449" s="130" t="n">
        <x:v>81</x:v>
      </x:c>
      <x:c r="M449" s="130" t="n">
        <x:v>80</x:v>
      </x:c>
      <x:c r="N449" s="130" t="n">
        <x:v>81</x:v>
      </x:c>
      <x:c r="O449" s="130" t="n">
        <x:v>80</x:v>
      </x:c>
      <x:c r="P449" s="130" t="n">
        <x:v>81</x:v>
      </x:c>
      <x:c r="Q449" s="130" t="n">
        <x:v>81</x:v>
      </x:c>
      <x:c r="R449" s="130" t="n">
        <x:v>13</x:v>
      </x:c>
      <x:c r="S449" s="128" t="str">
        <x:v>https://arxiv.org/abs/2606.00534</x:v>
      </x:c>
      <x:c r="T449" s="128" t="str">
        <x:v>三轮复核后与原表基本一致</x:v>
      </x:c>
    </x:row>
    <x:row r="450" ht="28" customHeight="1">
      <x:c r="A450" s="129" t="n">
        <x:v>449</x:v>
      </x:c>
      <x:c r="B450" s="129" t="str">
        <x:v>2026-06</x:v>
      </x:c>
      <x:c r="C450" s="129" t="n">
        <x:v>86</x:v>
      </x:c>
      <x:c r="D450" s="129" t="str">
        <x:v>2606.30022</x:v>
      </x:c>
      <x:c r="E450" s="128" t="str">
        <x:v>Multiphase formulation of the Vlasov-Navier-Stokes equations</x:v>
      </x:c>
      <x:c r="F450" s="128" t="str">
        <x:v>Valentin Lemarie</x:v>
      </x:c>
      <x:c r="G450" s="128" t="str">
        <x:v>fluid/kinetic PDE</x:v>
      </x:c>
      <x:c r="H450" s="129"/>
      <x:c r="I450" s="130" t="n">
        <x:v>81.07</x:v>
      </x:c>
      <x:c r="J450" s="130" t="n">
        <x:v>80.57</x:v>
      </x:c>
      <x:c r="K450" s="130" t="n">
        <x:v>81.57</x:v>
      </x:c>
      <x:c r="L450" s="130" t="n">
        <x:v>81</x:v>
      </x:c>
      <x:c r="M450" s="130" t="n">
        <x:v>80</x:v>
      </x:c>
      <x:c r="N450" s="130" t="n">
        <x:v>81.1</x:v>
      </x:c>
      <x:c r="O450" s="130" t="n">
        <x:v>80</x:v>
      </x:c>
      <x:c r="P450" s="130" t="n">
        <x:v>81</x:v>
      </x:c>
      <x:c r="Q450" s="130" t="n">
        <x:v>80</x:v>
      </x:c>
      <x:c r="R450" s="130" t="n">
        <x:v>13</x:v>
      </x:c>
      <x:c r="S450" s="128" t="str">
        <x:v>https://arxiv.org/abs/2606.30022</x:v>
      </x:c>
      <x:c r="T450" s="128" t="str">
        <x:v>三轮复核后与原表基本一致</x:v>
      </x:c>
    </x:row>
    <x:row r="451" ht="28" customHeight="1">
      <x:c r="A451" s="129" t="n">
        <x:v>450</x:v>
      </x:c>
      <x:c r="B451" s="129" t="str">
        <x:v>2026-06</x:v>
      </x:c>
      <x:c r="C451" s="129" t="n">
        <x:v>86</x:v>
      </x:c>
      <x:c r="D451" s="129" t="str">
        <x:v>2606.09808</x:v>
      </x:c>
      <x:c r="E451" s="128" t="str">
        <x:v>High Mach number limit of the compressible Navier-Stokes equations in critical Besov spaces</x:v>
      </x:c>
      <x:c r="F451" s="128" t="str">
        <x:v>Jinkai Ni; Zhipeng Zhang</x:v>
      </x:c>
      <x:c r="G451" s="128" t="str">
        <x:v>fluid/kinetic PDE</x:v>
      </x:c>
      <x:c r="H451" s="129" t="n">
        <x:v>30</x:v>
      </x:c>
      <x:c r="I451" s="130" t="n">
        <x:v>81.07</x:v>
      </x:c>
      <x:c r="J451" s="130" t="n">
        <x:v>80.57</x:v>
      </x:c>
      <x:c r="K451" s="130" t="n">
        <x:v>81.57</x:v>
      </x:c>
      <x:c r="L451" s="130" t="n">
        <x:v>81</x:v>
      </x:c>
      <x:c r="M451" s="130" t="n">
        <x:v>80</x:v>
      </x:c>
      <x:c r="N451" s="130" t="n">
        <x:v>81.1</x:v>
      </x:c>
      <x:c r="O451" s="130" t="n">
        <x:v>80</x:v>
      </x:c>
      <x:c r="P451" s="130" t="n">
        <x:v>81</x:v>
      </x:c>
      <x:c r="Q451" s="130" t="n">
        <x:v>80</x:v>
      </x:c>
      <x:c r="R451" s="130" t="n">
        <x:v>13</x:v>
      </x:c>
      <x:c r="S451" s="128" t="str">
        <x:v>https://arxiv.org/abs/2606.09808</x:v>
      </x:c>
      <x:c r="T451" s="128" t="str">
        <x:v>三轮复核后与原表基本一致</x:v>
      </x:c>
    </x:row>
    <x:row r="452" ht="28" customHeight="1">
      <x:c r="A452" s="129" t="n">
        <x:v>451</x:v>
      </x:c>
      <x:c r="B452" s="129" t="str">
        <x:v>2026-06</x:v>
      </x:c>
      <x:c r="C452" s="129" t="n">
        <x:v>86</x:v>
      </x:c>
      <x:c r="D452" s="129" t="str">
        <x:v>2606.08877</x:v>
      </x:c>
      <x:c r="E452" s="128" t="str">
        <x:v>On product estimates in Besov-Morrey spaces and stationary solutions for the Hall-MHD and Navier-Stokes systems</x:v>
      </x:c>
      <x:c r="F452" s="128" t="str">
        <x:v>Lucas C. F. Ferreira; Rafael P. da Silva</x:v>
      </x:c>
      <x:c r="G452" s="128" t="str">
        <x:v>fluid/kinetic PDE</x:v>
      </x:c>
      <x:c r="H452" s="129" t="n">
        <x:v>26</x:v>
      </x:c>
      <x:c r="I452" s="130" t="n">
        <x:v>81.07</x:v>
      </x:c>
      <x:c r="J452" s="130" t="n">
        <x:v>80.56</x:v>
      </x:c>
      <x:c r="K452" s="130" t="n">
        <x:v>81.57</x:v>
      </x:c>
      <x:c r="L452" s="130" t="n">
        <x:v>81</x:v>
      </x:c>
      <x:c r="M452" s="130" t="n">
        <x:v>80</x:v>
      </x:c>
      <x:c r="N452" s="130" t="n">
        <x:v>81.1</x:v>
      </x:c>
      <x:c r="O452" s="130" t="n">
        <x:v>79.9</x:v>
      </x:c>
      <x:c r="P452" s="130" t="n">
        <x:v>81</x:v>
      </x:c>
      <x:c r="Q452" s="130" t="n">
        <x:v>80</x:v>
      </x:c>
      <x:c r="R452" s="130" t="n">
        <x:v>13</x:v>
      </x:c>
      <x:c r="S452" s="128" t="str">
        <x:v>https://arxiv.org/abs/2606.08877</x:v>
      </x:c>
      <x:c r="T452" s="128" t="str">
        <x:v>范围偏专门，广度轻微回调</x:v>
      </x:c>
    </x:row>
    <x:row r="453" ht="28" customHeight="1">
      <x:c r="A453" s="129" t="n">
        <x:v>452</x:v>
      </x:c>
      <x:c r="B453" s="129" t="str">
        <x:v>2026-06</x:v>
      </x:c>
      <x:c r="C453" s="129" t="n">
        <x:v>91</x:v>
      </x:c>
      <x:c r="D453" s="129" t="str">
        <x:v>2606.07223</x:v>
      </x:c>
      <x:c r="E453" s="128" t="str">
        <x:v>Homogenization of regularized Oldroyd-type fluids</x:v>
      </x:c>
      <x:c r="F453" s="128" t="str">
        <x:v>Florian Oschmann; Jonas Sauer</x:v>
      </x:c>
      <x:c r="G453" s="128" t="str">
        <x:v>fluid/kinetic PDE</x:v>
      </x:c>
      <x:c r="H453" s="129"/>
      <x:c r="I453" s="130" t="n">
        <x:v>81</x:v>
      </x:c>
      <x:c r="J453" s="130" t="n">
        <x:v>80.54</x:v>
      </x:c>
      <x:c r="K453" s="130" t="n">
        <x:v>81.45</x:v>
      </x:c>
      <x:c r="L453" s="130" t="n">
        <x:v>80</x:v>
      </x:c>
      <x:c r="M453" s="130" t="n">
        <x:v>80.1</x:v>
      </x:c>
      <x:c r="N453" s="130" t="n">
        <x:v>81</x:v>
      </x:c>
      <x:c r="O453" s="130" t="n">
        <x:v>81.1</x:v>
      </x:c>
      <x:c r="P453" s="130" t="n">
        <x:v>80.1</x:v>
      </x:c>
      <x:c r="Q453" s="130" t="n">
        <x:v>81</x:v>
      </x:c>
      <x:c r="R453" s="130" t="n">
        <x:v>13</x:v>
      </x:c>
      <x:c r="S453" s="128" t="str">
        <x:v>https://arxiv.org/abs/2606.07223</x:v>
      </x:c>
      <x:c r="T453" s="128" t="str">
        <x:v>三轮复核后与原表基本一致</x:v>
      </x:c>
    </x:row>
    <x:row r="454" ht="28" customHeight="1">
      <x:c r="A454" s="129" t="n">
        <x:v>453</x:v>
      </x:c>
      <x:c r="B454" s="129" t="str">
        <x:v>2026-06</x:v>
      </x:c>
      <x:c r="C454" s="129" t="n">
        <x:v>89</x:v>
      </x:c>
      <x:c r="D454" s="129" t="str">
        <x:v>2606.07875</x:v>
      </x:c>
      <x:c r="E454" s="128" t="str">
        <x:v>Hypothetical Singularity of 3D Navier-Stokes in Clay Institute set up Reduces to Axisymmetric with Swirl class</x:v>
      </x:c>
      <x:c r="F454" s="128" t="str">
        <x:v>Rishad Shahmurov</x:v>
      </x:c>
      <x:c r="G454" s="128" t="str">
        <x:v>fluid/kinetic PDE</x:v>
      </x:c>
      <x:c r="H454" s="129"/>
      <x:c r="I454" s="130" t="n">
        <x:v>81</x:v>
      </x:c>
      <x:c r="J454" s="130" t="n">
        <x:v>80.43</x:v>
      </x:c>
      <x:c r="K454" s="130" t="n">
        <x:v>81.57</x:v>
      </x:c>
      <x:c r="L454" s="130" t="n">
        <x:v>81</x:v>
      </x:c>
      <x:c r="M454" s="130" t="n">
        <x:v>80</x:v>
      </x:c>
      <x:c r="N454" s="130" t="n">
        <x:v>81.1</x:v>
      </x:c>
      <x:c r="O454" s="130" t="n">
        <x:v>79</x:v>
      </x:c>
      <x:c r="P454" s="130" t="n">
        <x:v>81</x:v>
      </x:c>
      <x:c r="Q454" s="130" t="n">
        <x:v>80</x:v>
      </x:c>
      <x:c r="R454" s="130" t="n">
        <x:v>13</x:v>
      </x:c>
      <x:c r="S454" s="128" t="str">
        <x:v>https://arxiv.org/abs/2606.07875</x:v>
      </x:c>
      <x:c r="T454" s="128" t="str">
        <x:v>三轮复核后与原表基本一致</x:v>
      </x:c>
    </x:row>
    <x:row r="455" ht="28" customHeight="1">
      <x:c r="A455" s="129" t="n">
        <x:v>454</x:v>
      </x:c>
      <x:c r="B455" s="129" t="str">
        <x:v>2026-06</x:v>
      </x:c>
      <x:c r="C455" s="129" t="n">
        <x:v>89</x:v>
      </x:c>
      <x:c r="D455" s="129" t="str">
        <x:v>2606.07423</x:v>
      </x:c>
      <x:c r="E455" s="128" t="str">
        <x:v>Invariant measures for the one-dimensional stochastic Navier-Stokes-Korteweg equations</x:v>
      </x:c>
      <x:c r="F455" s="128" t="str">
        <x:v>Donatella Donatelli; Lorenzo Pescatore; Stefano Spirito</x:v>
      </x:c>
      <x:c r="G455" s="128" t="str">
        <x:v>fluid/kinetic PDE</x:v>
      </x:c>
      <x:c r="H455" s="129"/>
      <x:c r="I455" s="130" t="n">
        <x:v>81</x:v>
      </x:c>
      <x:c r="J455" s="130" t="n">
        <x:v>80.43</x:v>
      </x:c>
      <x:c r="K455" s="130" t="n">
        <x:v>81.57</x:v>
      </x:c>
      <x:c r="L455" s="130" t="n">
        <x:v>81</x:v>
      </x:c>
      <x:c r="M455" s="130" t="n">
        <x:v>80</x:v>
      </x:c>
      <x:c r="N455" s="130" t="n">
        <x:v>81.1</x:v>
      </x:c>
      <x:c r="O455" s="130" t="n">
        <x:v>79</x:v>
      </x:c>
      <x:c r="P455" s="130" t="n">
        <x:v>81</x:v>
      </x:c>
      <x:c r="Q455" s="130" t="n">
        <x:v>80</x:v>
      </x:c>
      <x:c r="R455" s="130" t="n">
        <x:v>13</x:v>
      </x:c>
      <x:c r="S455" s="128" t="str">
        <x:v>https://arxiv.org/abs/2606.07423</x:v>
      </x:c>
      <x:c r="T455" s="128" t="str">
        <x:v>三轮复核后与原表基本一致</x:v>
      </x:c>
    </x:row>
    <x:row r="456" ht="28" customHeight="1">
      <x:c r="A456" s="129" t="n">
        <x:v>455</x:v>
      </x:c>
      <x:c r="B456" s="129" t="str">
        <x:v>2026-06</x:v>
      </x:c>
      <x:c r="C456" s="129" t="n">
        <x:v>92</x:v>
      </x:c>
      <x:c r="D456" s="129" t="str">
        <x:v>2606.07236</x:v>
      </x:c>
      <x:c r="E456" s="128" t="str">
        <x:v>Moving One-Component Regularity Criteria for the 3D Incompressible MHD Equations</x:v>
      </x:c>
      <x:c r="F456" s="128" t="str">
        <x:v>Maotuo Guo</x:v>
      </x:c>
      <x:c r="G456" s="128" t="str">
        <x:v>fluid/kinetic PDE</x:v>
      </x:c>
      <x:c r="H456" s="129"/>
      <x:c r="I456" s="130" t="n">
        <x:v>80.95</x:v>
      </x:c>
      <x:c r="J456" s="130" t="n">
        <x:v>80.2</x:v>
      </x:c>
      <x:c r="K456" s="130" t="n">
        <x:v>81.7</x:v>
      </x:c>
      <x:c r="L456" s="130" t="n">
        <x:v>80</x:v>
      </x:c>
      <x:c r="M456" s="130" t="n">
        <x:v>80</x:v>
      </x:c>
      <x:c r="N456" s="130" t="n">
        <x:v>81</x:v>
      </x:c>
      <x:c r="O456" s="130" t="n">
        <x:v>79</x:v>
      </x:c>
      <x:c r="P456" s="130" t="n">
        <x:v>81</x:v>
      </x:c>
      <x:c r="Q456" s="130" t="n">
        <x:v>81</x:v>
      </x:c>
      <x:c r="R456" s="130" t="n">
        <x:v>13</x:v>
      </x:c>
      <x:c r="S456" s="128" t="str">
        <x:v>https://arxiv.org/abs/2606.07236</x:v>
      </x:c>
      <x:c r="T456" s="128" t="str">
        <x:v>三轮复核后与原表基本一致</x:v>
      </x:c>
    </x:row>
    <x:row r="457" ht="28" customHeight="1">
      <x:c r="A457" s="129" t="n">
        <x:v>456</x:v>
      </x:c>
      <x:c r="B457" s="129" t="str">
        <x:v>2026-06</x:v>
      </x:c>
      <x:c r="C457" s="129" t="n">
        <x:v>92</x:v>
      </x:c>
      <x:c r="D457" s="129" t="str">
        <x:v>2606.07203</x:v>
      </x:c>
      <x:c r="E457" s="128" t="str">
        <x:v>Gradient Regularity for Fully Nonlinear Equations with Variable Degeneracy and Hamiltonian Lower-Order Terms</x:v>
      </x:c>
      <x:c r="F457" s="128" t="str">
        <x:v>Gleiciano Cosmo; Rafael R. Costa; Diego Marcon</x:v>
      </x:c>
      <x:c r="G457" s="128" t="str">
        <x:v>elliptic/parabolic regularity</x:v>
      </x:c>
      <x:c r="H457" s="129"/>
      <x:c r="I457" s="130" t="n">
        <x:v>80.95</x:v>
      </x:c>
      <x:c r="J457" s="130" t="n">
        <x:v>80.2</x:v>
      </x:c>
      <x:c r="K457" s="130" t="n">
        <x:v>81.7</x:v>
      </x:c>
      <x:c r="L457" s="130" t="n">
        <x:v>80</x:v>
      </x:c>
      <x:c r="M457" s="130" t="n">
        <x:v>80</x:v>
      </x:c>
      <x:c r="N457" s="130" t="n">
        <x:v>81</x:v>
      </x:c>
      <x:c r="O457" s="130" t="n">
        <x:v>79</x:v>
      </x:c>
      <x:c r="P457" s="130" t="n">
        <x:v>81</x:v>
      </x:c>
      <x:c r="Q457" s="130" t="n">
        <x:v>81</x:v>
      </x:c>
      <x:c r="R457" s="130" t="n">
        <x:v>13</x:v>
      </x:c>
      <x:c r="S457" s="128" t="str">
        <x:v>https://arxiv.org/abs/2606.07203</x:v>
      </x:c>
      <x:c r="T457" s="128" t="str">
        <x:v>三轮复核后与原表基本一致</x:v>
      </x:c>
    </x:row>
    <x:row r="458" ht="28" customHeight="1">
      <x:c r="A458" s="129" t="n">
        <x:v>457</x:v>
      </x:c>
      <x:c r="B458" s="129" t="str">
        <x:v>2026-06</x:v>
      </x:c>
      <x:c r="C458" s="129" t="n">
        <x:v>94</x:v>
      </x:c>
      <x:c r="D458" s="129" t="str">
        <x:v>2606.06654</x:v>
      </x:c>
      <x:c r="E458" s="128" t="str">
        <x:v>Euler Immersion</x:v>
      </x:c>
      <x:c r="F458" s="128" t="str">
        <x:v>Igor Kukavica; Amjad Tuffaha; Qi Xu</x:v>
      </x:c>
      <x:c r="G458" s="128" t="str">
        <x:v>fluid/kinetic PDE</x:v>
      </x:c>
      <x:c r="H458" s="129"/>
      <x:c r="I458" s="130" t="n">
        <x:v>80.85</x:v>
      </x:c>
      <x:c r="J458" s="130" t="n">
        <x:v>80.32</x:v>
      </x:c>
      <x:c r="K458" s="130" t="n">
        <x:v>81.37</x:v>
      </x:c>
      <x:c r="L458" s="130" t="n">
        <x:v>81</x:v>
      </x:c>
      <x:c r="M458" s="130" t="n">
        <x:v>80</x:v>
      </x:c>
      <x:c r="N458" s="130" t="n">
        <x:v>80.1</x:v>
      </x:c>
      <x:c r="O458" s="130" t="n">
        <x:v>80</x:v>
      </x:c>
      <x:c r="P458" s="130" t="n">
        <x:v>81</x:v>
      </x:c>
      <x:c r="Q458" s="130" t="n">
        <x:v>80</x:v>
      </x:c>
      <x:c r="R458" s="130" t="n">
        <x:v>13</x:v>
      </x:c>
      <x:c r="S458" s="128" t="str">
        <x:v>https://arxiv.org/abs/2606.06654</x:v>
      </x:c>
      <x:c r="T458" s="128" t="str">
        <x:v>三轮复核后与原表基本一致</x:v>
      </x:c>
    </x:row>
    <x:row r="459" ht="28" customHeight="1">
      <x:c r="A459" s="129" t="n">
        <x:v>458</x:v>
      </x:c>
      <x:c r="B459" s="129" t="str">
        <x:v>2026-06</x:v>
      </x:c>
      <x:c r="C459" s="129" t="n">
        <x:v>95</x:v>
      </x:c>
      <x:c r="D459" s="129" t="str">
        <x:v>2606.08257</x:v>
      </x:c>
      <x:c r="E459" s="128" t="str">
        <x:v>Infinity-harmonic functions in the plane: Regularity by injectivity</x:v>
      </x:c>
      <x:c r="F459" s="128" t="str">
        <x:v>Karl K. Brustad</x:v>
      </x:c>
      <x:c r="G459" s="128" t="str">
        <x:v>elliptic/parabolic regularity</x:v>
      </x:c>
      <x:c r="H459" s="129"/>
      <x:c r="I459" s="130" t="n">
        <x:v>80.82</x:v>
      </x:c>
      <x:c r="J459" s="130" t="n">
        <x:v>80.1</x:v>
      </x:c>
      <x:c r="K459" s="130" t="n">
        <x:v>81.55</x:v>
      </x:c>
      <x:c r="L459" s="130" t="n">
        <x:v>80</x:v>
      </x:c>
      <x:c r="M459" s="130" t="n">
        <x:v>80</x:v>
      </x:c>
      <x:c r="N459" s="130" t="n">
        <x:v>81</x:v>
      </x:c>
      <x:c r="O459" s="130" t="n">
        <x:v>79</x:v>
      </x:c>
      <x:c r="P459" s="130" t="n">
        <x:v>81</x:v>
      </x:c>
      <x:c r="Q459" s="130" t="n">
        <x:v>80</x:v>
      </x:c>
      <x:c r="R459" s="130" t="n">
        <x:v>13</x:v>
      </x:c>
      <x:c r="S459" s="128" t="str">
        <x:v>https://arxiv.org/abs/2606.08257</x:v>
      </x:c>
      <x:c r="T459" s="128" t="str">
        <x:v>三轮复核后与原表基本一致</x:v>
      </x:c>
    </x:row>
    <x:row r="460" ht="28" customHeight="1">
      <x:c r="A460" s="129" t="n">
        <x:v>459</x:v>
      </x:c>
      <x:c r="B460" s="129" t="str">
        <x:v>2026-06</x:v>
      </x:c>
      <x:c r="C460" s="129" t="n">
        <x:v>96</x:v>
      </x:c>
      <x:c r="D460" s="129" t="str">
        <x:v>2606.11159</x:v>
      </x:c>
      <x:c r="E460" s="128" t="str">
        <x:v>Unidirectional Entropic Solutions of the Pressureless Euler Alignment System</x:v>
      </x:c>
      <x:c r="F460" s="128" t="str">
        <x:v>Joshua O. Adeleke; Trevor M. Leslie</x:v>
      </x:c>
      <x:c r="G460" s="128" t="str">
        <x:v>fluid/kinetic PDE</x:v>
      </x:c>
      <x:c r="H460" s="129" t="n">
        <x:v>32</x:v>
      </x:c>
      <x:c r="I460" s="130" t="n">
        <x:v>80.78</x:v>
      </x:c>
      <x:c r="J460" s="130" t="n">
        <x:v>80.18</x:v>
      </x:c>
      <x:c r="K460" s="130" t="n">
        <x:v>81.37</x:v>
      </x:c>
      <x:c r="L460" s="130" t="n">
        <x:v>81</x:v>
      </x:c>
      <x:c r="M460" s="130" t="n">
        <x:v>80</x:v>
      </x:c>
      <x:c r="N460" s="130" t="n">
        <x:v>80.1</x:v>
      </x:c>
      <x:c r="O460" s="130" t="n">
        <x:v>79</x:v>
      </x:c>
      <x:c r="P460" s="130" t="n">
        <x:v>81</x:v>
      </x:c>
      <x:c r="Q460" s="130" t="n">
        <x:v>80</x:v>
      </x:c>
      <x:c r="R460" s="130" t="n">
        <x:v>13</x:v>
      </x:c>
      <x:c r="S460" s="128" t="str">
        <x:v>https://arxiv.org/abs/2606.11159</x:v>
      </x:c>
      <x:c r="T460" s="128" t="str">
        <x:v>三轮复核后与原表基本一致</x:v>
      </x:c>
    </x:row>
    <x:row r="461" ht="28" customHeight="1">
      <x:c r="A461" s="129" t="n">
        <x:v>460</x:v>
      </x:c>
      <x:c r="B461" s="129" t="str">
        <x:v>2026-06</x:v>
      </x:c>
      <x:c r="C461" s="129" t="n">
        <x:v>97</x:v>
      </x:c>
      <x:c r="D461" s="129" t="str">
        <x:v>2606.05990</x:v>
      </x:c>
      <x:c r="E461" s="128" t="str">
        <x:v>A Pohozaev-type neck proof of a conditional Harnack inequality in the critical p-Laplacian setting</x:v>
      </x:c>
      <x:c r="F461" s="128" t="str">
        <x:v>Guolin Qin; Yi Ru-Ya Zhang</x:v>
      </x:c>
      <x:c r="G461" s="128" t="str">
        <x:v>elliptic/parabolic regularity</x:v>
      </x:c>
      <x:c r="H461" s="129" t="n">
        <x:v>26</x:v>
      </x:c>
      <x:c r="I461" s="130" t="n">
        <x:v>80.77</x:v>
      </x:c>
      <x:c r="J461" s="130" t="n">
        <x:v>80.29</x:v>
      </x:c>
      <x:c r="K461" s="130" t="n">
        <x:v>81.25</x:v>
      </x:c>
      <x:c r="L461" s="130" t="n">
        <x:v>80</x:v>
      </x:c>
      <x:c r="M461" s="130" t="n">
        <x:v>80.1</x:v>
      </x:c>
      <x:c r="N461" s="130" t="n">
        <x:v>80</x:v>
      </x:c>
      <x:c r="O461" s="130" t="n">
        <x:v>81.1</x:v>
      </x:c>
      <x:c r="P461" s="130" t="n">
        <x:v>80.1</x:v>
      </x:c>
      <x:c r="Q461" s="130" t="n">
        <x:v>81</x:v>
      </x:c>
      <x:c r="R461" s="130" t="n">
        <x:v>13</x:v>
      </x:c>
      <x:c r="S461" s="128" t="str">
        <x:v>https://arxiv.org/abs/2606.05990</x:v>
      </x:c>
      <x:c r="T461" s="128" t="str">
        <x:v>三轮复核后与原表基本一致</x:v>
      </x:c>
    </x:row>
    <x:row r="462" ht="28" customHeight="1">
      <x:c r="A462" s="129" t="n">
        <x:v>461</x:v>
      </x:c>
      <x:c r="B462" s="129" t="str">
        <x:v>2026-06</x:v>
      </x:c>
      <x:c r="C462" s="129" t="n">
        <x:v>98</x:v>
      </x:c>
      <x:c r="D462" s="129" t="str">
        <x:v>2606.06488</x:v>
      </x:c>
      <x:c r="E462" s="128" t="str">
        <x:v>Homeomorphic modified wave operators for the Vlasov-Poisson system</x:v>
      </x:c>
      <x:c r="F462" s="128" t="str">
        <x:v>Leo Bigorgne</x:v>
      </x:c>
      <x:c r="G462" s="128" t="str">
        <x:v>fluid/kinetic PDE</x:v>
      </x:c>
      <x:c r="H462" s="129"/>
      <x:c r="I462" s="130" t="n">
        <x:v>80.68</x:v>
      </x:c>
      <x:c r="J462" s="130" t="n">
        <x:v>80.1</x:v>
      </x:c>
      <x:c r="K462" s="130" t="n">
        <x:v>81.25</x:v>
      </x:c>
      <x:c r="L462" s="130" t="n">
        <x:v>80</x:v>
      </x:c>
      <x:c r="M462" s="130" t="n">
        <x:v>80</x:v>
      </x:c>
      <x:c r="N462" s="130" t="n">
        <x:v>81</x:v>
      </x:c>
      <x:c r="O462" s="130" t="n">
        <x:v>79</x:v>
      </x:c>
      <x:c r="P462" s="130" t="n">
        <x:v>80</x:v>
      </x:c>
      <x:c r="Q462" s="130" t="n">
        <x:v>80</x:v>
      </x:c>
      <x:c r="R462" s="130" t="n">
        <x:v>13</x:v>
      </x:c>
      <x:c r="S462" s="128" t="str">
        <x:v>https://arxiv.org/abs/2606.06488</x:v>
      </x:c>
      <x:c r="T462" s="128" t="str">
        <x:v>三轮复核后与原表基本一致</x:v>
      </x:c>
    </x:row>
    <x:row r="463" ht="28" customHeight="1">
      <x:c r="A463" s="129" t="n">
        <x:v>462</x:v>
      </x:c>
      <x:c r="B463" s="129" t="str">
        <x:v>2026-06</x:v>
      </x:c>
      <x:c r="C463" s="129" t="n">
        <x:v>99</x:v>
      </x:c>
      <x:c r="D463" s="129" t="str">
        <x:v>2606.06009</x:v>
      </x:c>
      <x:c r="E463" s="128" t="str">
        <x:v>Preventing L^p blow-up by local anisotropy in a two-dimensional Keller-Segel system</x:v>
      </x:c>
      <x:c r="F463" s="128" t="str">
        <x:v>Youshan Tao; Michael Winkler</x:v>
      </x:c>
      <x:c r="G463" s="128" t="str">
        <x:v>analysis/PDE</x:v>
      </x:c>
      <x:c r="H463" s="129"/>
      <x:c r="I463" s="130" t="n">
        <x:v>80.68</x:v>
      </x:c>
      <x:c r="J463" s="130" t="n">
        <x:v>80</x:v>
      </x:c>
      <x:c r="K463" s="130" t="n">
        <x:v>81.35</x:v>
      </x:c>
      <x:c r="L463" s="130" t="n">
        <x:v>80</x:v>
      </x:c>
      <x:c r="M463" s="130" t="n">
        <x:v>80</x:v>
      </x:c>
      <x:c r="N463" s="130" t="n">
        <x:v>80</x:v>
      </x:c>
      <x:c r="O463" s="130" t="n">
        <x:v>80</x:v>
      </x:c>
      <x:c r="P463" s="130" t="n">
        <x:v>81</x:v>
      </x:c>
      <x:c r="Q463" s="130" t="n">
        <x:v>80</x:v>
      </x:c>
      <x:c r="R463" s="130" t="n">
        <x:v>13</x:v>
      </x:c>
      <x:c r="S463" s="128" t="str">
        <x:v>https://arxiv.org/abs/2606.06009</x:v>
      </x:c>
      <x:c r="T463" s="128" t="str">
        <x:v>三轮复核后与原表基本一致</x:v>
      </x:c>
    </x:row>
    <x:row r="464" ht="28" customHeight="1">
      <x:c r="A464" s="129" t="n">
        <x:v>463</x:v>
      </x:c>
      <x:c r="B464" s="129" t="str">
        <x:v>2026-06</x:v>
      </x:c>
      <x:c r="C464" s="129" t="n">
        <x:v>99</x:v>
      </x:c>
      <x:c r="D464" s="129" t="str">
        <x:v>2606.01383</x:v>
      </x:c>
      <x:c r="E464" s="128" t="str">
        <x:v>A symmetry formula for the spectral fractional Laplacian, and applications to boundary controllability for plate equation with structural damping</x:v>
      </x:c>
      <x:c r="F464" s="128" t="str">
        <x:v>Sergei Avdonin; Julian Edward</x:v>
      </x:c>
      <x:c r="G464" s="128" t="str">
        <x:v>analysis/PDE</x:v>
      </x:c>
      <x:c r="H464" s="129"/>
      <x:c r="I464" s="130" t="n">
        <x:v>80.68</x:v>
      </x:c>
      <x:c r="J464" s="130" t="n">
        <x:v>80</x:v>
      </x:c>
      <x:c r="K464" s="130" t="n">
        <x:v>81.35</x:v>
      </x:c>
      <x:c r="L464" s="130" t="n">
        <x:v>80</x:v>
      </x:c>
      <x:c r="M464" s="130" t="n">
        <x:v>80</x:v>
      </x:c>
      <x:c r="N464" s="130" t="n">
        <x:v>80</x:v>
      </x:c>
      <x:c r="O464" s="130" t="n">
        <x:v>80</x:v>
      </x:c>
      <x:c r="P464" s="130" t="n">
        <x:v>81</x:v>
      </x:c>
      <x:c r="Q464" s="130" t="n">
        <x:v>80</x:v>
      </x:c>
      <x:c r="R464" s="130" t="n">
        <x:v>13</x:v>
      </x:c>
      <x:c r="S464" s="128" t="str">
        <x:v>https://arxiv.org/abs/2606.01383</x:v>
      </x:c>
      <x:c r="T464" s="128" t="str">
        <x:v>三轮复核后与原表基本一致</x:v>
      </x:c>
    </x:row>
    <x:row r="465" ht="28" customHeight="1">
      <x:c r="A465" s="129" t="n">
        <x:v>464</x:v>
      </x:c>
      <x:c r="B465" s="129" t="str">
        <x:v>2026-06</x:v>
      </x:c>
      <x:c r="C465" s="129" t="n">
        <x:v>99</x:v>
      </x:c>
      <x:c r="D465" s="129" t="str">
        <x:v>2606.01321</x:v>
      </x:c>
      <x:c r="E465" s="128" t="str">
        <x:v>Existence of Solutions for time-dependent fractional Kohn-Sham Equations</x:v>
      </x:c>
      <x:c r="F465" s="128" t="str">
        <x:v>Sebastien Breteaux; Michele Fantechi; Jeremy Faupin</x:v>
      </x:c>
      <x:c r="G465" s="128" t="str">
        <x:v>analysis/PDE</x:v>
      </x:c>
      <x:c r="H465" s="129"/>
      <x:c r="I465" s="130" t="n">
        <x:v>80.68</x:v>
      </x:c>
      <x:c r="J465" s="130" t="n">
        <x:v>80</x:v>
      </x:c>
      <x:c r="K465" s="130" t="n">
        <x:v>81.35</x:v>
      </x:c>
      <x:c r="L465" s="130" t="n">
        <x:v>80</x:v>
      </x:c>
      <x:c r="M465" s="130" t="n">
        <x:v>80</x:v>
      </x:c>
      <x:c r="N465" s="130" t="n">
        <x:v>80</x:v>
      </x:c>
      <x:c r="O465" s="130" t="n">
        <x:v>80</x:v>
      </x:c>
      <x:c r="P465" s="130" t="n">
        <x:v>81</x:v>
      </x:c>
      <x:c r="Q465" s="130" t="n">
        <x:v>80</x:v>
      </x:c>
      <x:c r="R465" s="130" t="n">
        <x:v>13</x:v>
      </x:c>
      <x:c r="S465" s="128" t="str">
        <x:v>https://arxiv.org/abs/2606.01321</x:v>
      </x:c>
      <x:c r="T465" s="128" t="str">
        <x:v>三轮复核后与原表基本一致</x:v>
      </x:c>
    </x:row>
    <x:row r="466" ht="28" customHeight="1">
      <x:c r="A466" s="129" t="n">
        <x:v>465</x:v>
      </x:c>
      <x:c r="B466" s="129" t="str">
        <x:v>2026-06</x:v>
      </x:c>
      <x:c r="C466" s="129" t="n">
        <x:v>99</x:v>
      </x:c>
      <x:c r="D466" s="129" t="str">
        <x:v>2606.00899</x:v>
      </x:c>
      <x:c r="E466" s="128" t="str">
        <x:v>Well-posedness of a first-order formulation for fractionally damped nonlinear acoustics</x:v>
      </x:c>
      <x:c r="F466" s="128" t="str">
        <x:v>Pascal Lehner; Mostafa Meliani</x:v>
      </x:c>
      <x:c r="G466" s="128" t="str">
        <x:v>analysis/PDE</x:v>
      </x:c>
      <x:c r="H466" s="129"/>
      <x:c r="I466" s="130" t="n">
        <x:v>80.68</x:v>
      </x:c>
      <x:c r="J466" s="130" t="n">
        <x:v>80</x:v>
      </x:c>
      <x:c r="K466" s="130" t="n">
        <x:v>81.35</x:v>
      </x:c>
      <x:c r="L466" s="130" t="n">
        <x:v>80</x:v>
      </x:c>
      <x:c r="M466" s="130" t="n">
        <x:v>80</x:v>
      </x:c>
      <x:c r="N466" s="130" t="n">
        <x:v>80</x:v>
      </x:c>
      <x:c r="O466" s="130" t="n">
        <x:v>80</x:v>
      </x:c>
      <x:c r="P466" s="130" t="n">
        <x:v>81</x:v>
      </x:c>
      <x:c r="Q466" s="130" t="n">
        <x:v>80</x:v>
      </x:c>
      <x:c r="R466" s="130" t="n">
        <x:v>13</x:v>
      </x:c>
      <x:c r="S466" s="128" t="str">
        <x:v>https://arxiv.org/abs/2606.00899</x:v>
      </x:c>
      <x:c r="T466" s="128" t="str">
        <x:v>三轮复核后与原表基本一致</x:v>
      </x:c>
    </x:row>
    <x:row r="467" ht="28" customHeight="1">
      <x:c r="A467" s="129" t="n">
        <x:v>466</x:v>
      </x:c>
      <x:c r="B467" s="129" t="str">
        <x:v>2026-06</x:v>
      </x:c>
      <x:c r="C467" s="129" t="n">
        <x:v>104</x:v>
      </x:c>
      <x:c r="D467" s="129" t="str">
        <x:v>2606.07064</x:v>
      </x:c>
      <x:c r="E467" s="128" t="str">
        <x:v>An inverse source problem for the Monge-Ampere equation from large boundary data</x:v>
      </x:c>
      <x:c r="F467" s="128" t="str">
        <x:v>Catalin I. Carstea; Tuhin Ghosh</x:v>
      </x:c>
      <x:c r="G467" s="128" t="str">
        <x:v>inverse/scattering</x:v>
      </x:c>
      <x:c r="H467" s="129"/>
      <x:c r="I467" s="130" t="n">
        <x:v>80.65</x:v>
      </x:c>
      <x:c r="J467" s="130" t="n">
        <x:v>80.05</x:v>
      </x:c>
      <x:c r="K467" s="130" t="n">
        <x:v>81.25</x:v>
      </x:c>
      <x:c r="L467" s="130" t="n">
        <x:v>80</x:v>
      </x:c>
      <x:c r="M467" s="130" t="n">
        <x:v>81</x:v>
      </x:c>
      <x:c r="N467" s="130" t="n">
        <x:v>80</x:v>
      </x:c>
      <x:c r="O467" s="130" t="n">
        <x:v>79</x:v>
      </x:c>
      <x:c r="P467" s="130" t="n">
        <x:v>80</x:v>
      </x:c>
      <x:c r="Q467" s="130" t="n">
        <x:v>80</x:v>
      </x:c>
      <x:c r="R467" s="130" t="n">
        <x:v>13</x:v>
      </x:c>
      <x:c r="S467" s="128" t="str">
        <x:v>https://arxiv.org/abs/2606.07064</x:v>
      </x:c>
      <x:c r="T467" s="128" t="str">
        <x:v>三轮复核后与原表基本一致</x:v>
      </x:c>
    </x:row>
    <x:row r="468" ht="28" customHeight="1">
      <x:c r="A468" s="129" t="n">
        <x:v>467</x:v>
      </x:c>
      <x:c r="B468" s="129" t="str">
        <x:v>2026-06</x:v>
      </x:c>
      <x:c r="C468" s="129" t="n">
        <x:v>104</x:v>
      </x:c>
      <x:c r="D468" s="129" t="str">
        <x:v>2606.06431</x:v>
      </x:c>
      <x:c r="E468" s="128" t="str">
        <x:v>An inverse source problem for a fully nonlinear elliptic equation</x:v>
      </x:c>
      <x:c r="F468" s="128" t="str">
        <x:v>Ching-Lung Lin; Yi-Hsuan Lin; Jenn-Nan Wang</x:v>
      </x:c>
      <x:c r="G468" s="128" t="str">
        <x:v>inverse/scattering</x:v>
      </x:c>
      <x:c r="H468" s="129" t="n">
        <x:v>23</x:v>
      </x:c>
      <x:c r="I468" s="130" t="n">
        <x:v>80.65</x:v>
      </x:c>
      <x:c r="J468" s="130" t="n">
        <x:v>80.05</x:v>
      </x:c>
      <x:c r="K468" s="130" t="n">
        <x:v>81.24</x:v>
      </x:c>
      <x:c r="L468" s="130" t="n">
        <x:v>80</x:v>
      </x:c>
      <x:c r="M468" s="130" t="n">
        <x:v>81</x:v>
      </x:c>
      <x:c r="N468" s="130" t="n">
        <x:v>80</x:v>
      </x:c>
      <x:c r="O468" s="130" t="n">
        <x:v>79</x:v>
      </x:c>
      <x:c r="P468" s="130" t="n">
        <x:v>80</x:v>
      </x:c>
      <x:c r="Q468" s="130" t="n">
        <x:v>80</x:v>
      </x:c>
      <x:c r="R468" s="130" t="n">
        <x:v>13.1</x:v>
      </x:c>
      <x:c r="S468" s="128" t="str">
        <x:v>https://arxiv.org/abs/2606.06431</x:v>
      </x:c>
      <x:c r="T468" s="128" t="str">
        <x:v>三轮复核后与原表基本一致</x:v>
      </x:c>
    </x:row>
    <x:row r="469" ht="28" customHeight="1">
      <x:c r="A469" s="129" t="n">
        <x:v>468</x:v>
      </x:c>
      <x:c r="B469" s="129" t="str">
        <x:v>2026-06</x:v>
      </x:c>
      <x:c r="C469" s="129" t="n">
        <x:v>99</x:v>
      </x:c>
      <x:c r="D469" s="129" t="str">
        <x:v>2606.00713</x:v>
      </x:c>
      <x:c r="E469" s="128" t="str">
        <x:v>Liouville Type Theorem for the Steady Fractional Compressible MHD Equations in R^3</x:v>
      </x:c>
      <x:c r="F469" s="128" t="str">
        <x:v>Zhenyuan Liu; Weihua Wang</x:v>
      </x:c>
      <x:c r="G469" s="128" t="str">
        <x:v>fluid/kinetic PDE</x:v>
      </x:c>
      <x:c r="H469" s="129" t="n">
        <x:v>15</x:v>
      </x:c>
      <x:c r="I469" s="130" t="n">
        <x:v>80.65</x:v>
      </x:c>
      <x:c r="J469" s="130" t="n">
        <x:v>80</x:v>
      </x:c>
      <x:c r="K469" s="130" t="n">
        <x:v>81.3</x:v>
      </x:c>
      <x:c r="L469" s="130" t="n">
        <x:v>80</x:v>
      </x:c>
      <x:c r="M469" s="130" t="n">
        <x:v>80</x:v>
      </x:c>
      <x:c r="N469" s="130" t="n">
        <x:v>80</x:v>
      </x:c>
      <x:c r="O469" s="130" t="n">
        <x:v>80</x:v>
      </x:c>
      <x:c r="P469" s="130" t="n">
        <x:v>81</x:v>
      </x:c>
      <x:c r="Q469" s="130" t="n">
        <x:v>80</x:v>
      </x:c>
      <x:c r="R469" s="130" t="n">
        <x:v>13.3</x:v>
      </x:c>
      <x:c r="S469" s="128" t="str">
        <x:v>https://arxiv.org/abs/2606.00713</x:v>
      </x:c>
      <x:c r="T469" s="128" t="str">
        <x:v>三轮复核后与原表基本一致</x:v>
      </x:c>
    </x:row>
    <x:row r="470" ht="28" customHeight="1">
      <x:c r="A470" s="129" t="n">
        <x:v>469</x:v>
      </x:c>
      <x:c r="B470" s="129" t="str">
        <x:v>2026-06</x:v>
      </x:c>
      <x:c r="C470" s="129" t="n">
        <x:v>106</x:v>
      </x:c>
      <x:c r="D470" s="129" t="str">
        <x:v>2606.04654</x:v>
      </x:c>
      <x:c r="E470" s="128" t="str">
        <x:v>Small-Time Asymptotic Behavior of the Stochastic Landau-Lifshitz-Baryakhtar Equation</x:v>
      </x:c>
      <x:c r="F470" s="128" t="str">
        <x:v>Utpal Manna; Sangram Satpathi</x:v>
      </x:c>
      <x:c r="G470" s="128" t="str">
        <x:v>homogenization/asymptotics</x:v>
      </x:c>
      <x:c r="H470" s="129"/>
      <x:c r="I470" s="130" t="n">
        <x:v>80.52</x:v>
      </x:c>
      <x:c r="J470" s="130" t="n">
        <x:v>79.91</x:v>
      </x:c>
      <x:c r="K470" s="130" t="n">
        <x:v>81.12</x:v>
      </x:c>
      <x:c r="L470" s="130" t="n">
        <x:v>80</x:v>
      </x:c>
      <x:c r="M470" s="130" t="n">
        <x:v>80.1</x:v>
      </x:c>
      <x:c r="N470" s="130" t="n">
        <x:v>80.1</x:v>
      </x:c>
      <x:c r="O470" s="130" t="n">
        <x:v>79.1</x:v>
      </x:c>
      <x:c r="P470" s="130" t="n">
        <x:v>80.1</x:v>
      </x:c>
      <x:c r="Q470" s="130" t="n">
        <x:v>80</x:v>
      </x:c>
      <x:c r="R470" s="130" t="n">
        <x:v>13</x:v>
      </x:c>
      <x:c r="S470" s="128" t="str">
        <x:v>https://arxiv.org/abs/2606.04654</x:v>
      </x:c>
      <x:c r="T470" s="128" t="str">
        <x:v>三轮复核后与原表基本一致</x:v>
      </x:c>
    </x:row>
    <x:row r="471" ht="28" customHeight="1">
      <x:c r="A471" s="129" t="n">
        <x:v>470</x:v>
      </x:c>
      <x:c r="B471" s="129" t="str">
        <x:v>2026-06</x:v>
      </x:c>
      <x:c r="C471" s="129" t="n">
        <x:v>106</x:v>
      </x:c>
      <x:c r="D471" s="129" t="str">
        <x:v>2606.15658</x:v>
      </x:c>
      <x:c r="E471" s="128" t="str">
        <x:v>L^2-contraction and asymptotic stability of Cahn-Hilliard fronts</x:v>
      </x:c>
      <x:c r="F471" s="128" t="str">
        <x:v>Bongsuk Kwon; Wanyong Shim</x:v>
      </x:c>
      <x:c r="G471" s="128" t="str">
        <x:v>homogenization/asymptotics</x:v>
      </x:c>
      <x:c r="H471" s="129" t="n">
        <x:v>31</x:v>
      </x:c>
      <x:c r="I471" s="130" t="n">
        <x:v>80.49</x:v>
      </x:c>
      <x:c r="J471" s="130" t="n">
        <x:v>79.88</x:v>
      </x:c>
      <x:c r="K471" s="130" t="n">
        <x:v>81.1</x:v>
      </x:c>
      <x:c r="L471" s="130" t="n">
        <x:v>80</x:v>
      </x:c>
      <x:c r="M471" s="130" t="n">
        <x:v>80.1</x:v>
      </x:c>
      <x:c r="N471" s="130" t="n">
        <x:v>80</x:v>
      </x:c>
      <x:c r="O471" s="130" t="n">
        <x:v>79.1</x:v>
      </x:c>
      <x:c r="P471" s="130" t="n">
        <x:v>80.1</x:v>
      </x:c>
      <x:c r="Q471" s="130" t="n">
        <x:v>80</x:v>
      </x:c>
      <x:c r="R471" s="130" t="n">
        <x:v>13</x:v>
      </x:c>
      <x:c r="S471" s="128" t="str">
        <x:v>https://arxiv.org/abs/2606.15658</x:v>
      </x:c>
      <x:c r="T471" s="128" t="str">
        <x:v>三轮复核后与原表基本一致</x:v>
      </x:c>
    </x:row>
    <x:row r="472" ht="28" customHeight="1">
      <x:c r="A472" s="129" t="n">
        <x:v>471</x:v>
      </x:c>
      <x:c r="B472" s="129" t="str">
        <x:v>2026-06</x:v>
      </x:c>
      <x:c r="C472" s="129" t="n">
        <x:v>106</x:v>
      </x:c>
      <x:c r="D472" s="129" t="str">
        <x:v>2606.03150</x:v>
      </x:c>
      <x:c r="E472" s="128" t="str">
        <x:v>Singular limit of lattice graphs and its application to critical Lane-Emden equations on lattice graphs</x:v>
      </x:c>
      <x:c r="F472" s="128" t="str">
        <x:v>Zhentao He; Chao Ji</x:v>
      </x:c>
      <x:c r="G472" s="128" t="str">
        <x:v>homogenization/asymptotics</x:v>
      </x:c>
      <x:c r="H472" s="129" t="n">
        <x:v>53</x:v>
      </x:c>
      <x:c r="I472" s="130" t="n">
        <x:v>80.49</x:v>
      </x:c>
      <x:c r="J472" s="130" t="n">
        <x:v>79.88</x:v>
      </x:c>
      <x:c r="K472" s="130" t="n">
        <x:v>81.1</x:v>
      </x:c>
      <x:c r="L472" s="130" t="n">
        <x:v>80</x:v>
      </x:c>
      <x:c r="M472" s="130" t="n">
        <x:v>80.1</x:v>
      </x:c>
      <x:c r="N472" s="130" t="n">
        <x:v>80</x:v>
      </x:c>
      <x:c r="O472" s="130" t="n">
        <x:v>79.1</x:v>
      </x:c>
      <x:c r="P472" s="130" t="n">
        <x:v>80.1</x:v>
      </x:c>
      <x:c r="Q472" s="130" t="n">
        <x:v>80</x:v>
      </x:c>
      <x:c r="R472" s="130" t="n">
        <x:v>13</x:v>
      </x:c>
      <x:c r="S472" s="128" t="str">
        <x:v>https://arxiv.org/abs/2606.03150</x:v>
      </x:c>
      <x:c r="T472" s="128" t="str">
        <x:v>三轮复核后与原表基本一致</x:v>
      </x:c>
    </x:row>
    <x:row r="473" ht="28" customHeight="1">
      <x:c r="A473" s="129" t="n">
        <x:v>472</x:v>
      </x:c>
      <x:c r="B473" s="129" t="str">
        <x:v>2026-06</x:v>
      </x:c>
      <x:c r="C473" s="129" t="n">
        <x:v>106</x:v>
      </x:c>
      <x:c r="D473" s="129" t="str">
        <x:v>2606.03064</x:v>
      </x:c>
      <x:c r="E473" s="128" t="str">
        <x:v>Local and global well-posedness for the nonlinear Schrodinger equation with nonhomogeneous boundary conditions</x:v>
      </x:c>
      <x:c r="F473" s="128" t="str">
        <x:v>Engui Fan; Yuan Li; Xinhan Liu</x:v>
      </x:c>
      <x:c r="G473" s="128" t="str">
        <x:v>dispersive PDE</x:v>
      </x:c>
      <x:c r="H473" s="129" t="n">
        <x:v>61</x:v>
      </x:c>
      <x:c r="I473" s="130" t="n">
        <x:v>80.49</x:v>
      </x:c>
      <x:c r="J473" s="130" t="n">
        <x:v>79.88</x:v>
      </x:c>
      <x:c r="K473" s="130" t="n">
        <x:v>81.1</x:v>
      </x:c>
      <x:c r="L473" s="130" t="n">
        <x:v>80</x:v>
      </x:c>
      <x:c r="M473" s="130" t="n">
        <x:v>80.1</x:v>
      </x:c>
      <x:c r="N473" s="130" t="n">
        <x:v>80</x:v>
      </x:c>
      <x:c r="O473" s="130" t="n">
        <x:v>79.1</x:v>
      </x:c>
      <x:c r="P473" s="130" t="n">
        <x:v>80.1</x:v>
      </x:c>
      <x:c r="Q473" s="130" t="n">
        <x:v>80</x:v>
      </x:c>
      <x:c r="R473" s="130" t="n">
        <x:v>13</x:v>
      </x:c>
      <x:c r="S473" s="128" t="str">
        <x:v>https://arxiv.org/abs/2606.03064</x:v>
      </x:c>
      <x:c r="T473" s="128" t="str">
        <x:v>三轮复核后与原表基本一致</x:v>
      </x:c>
    </x:row>
    <x:row r="474" ht="28" customHeight="1">
      <x:c r="A474" s="129" t="n">
        <x:v>473</x:v>
      </x:c>
      <x:c r="B474" s="129" t="str">
        <x:v>2026-06</x:v>
      </x:c>
      <x:c r="C474" s="129" t="n">
        <x:v>106</x:v>
      </x:c>
      <x:c r="D474" s="129" t="str">
        <x:v>2606.01219</x:v>
      </x:c>
      <x:c r="E474" s="128" t="str">
        <x:v>Network transport with nonlinear dynamics at the nodes</x:v>
      </x:c>
      <x:c r="F474" s="128" t="str">
        <x:v>Jacek Banasiak; Adam Bloch</x:v>
      </x:c>
      <x:c r="G474" s="128" t="str">
        <x:v>analysis/PDE</x:v>
      </x:c>
      <x:c r="H474" s="129" t="n">
        <x:v>36</x:v>
      </x:c>
      <x:c r="I474" s="130" t="n">
        <x:v>80.45</x:v>
      </x:c>
      <x:c r="J474" s="130" t="n">
        <x:v>79.85</x:v>
      </x:c>
      <x:c r="K474" s="130" t="n">
        <x:v>81.05</x:v>
      </x:c>
      <x:c r="L474" s="130" t="n">
        <x:v>80</x:v>
      </x:c>
      <x:c r="M474" s="130" t="n">
        <x:v>80</x:v>
      </x:c>
      <x:c r="N474" s="130" t="n">
        <x:v>80</x:v>
      </x:c>
      <x:c r="O474" s="130" t="n">
        <x:v>79</x:v>
      </x:c>
      <x:c r="P474" s="130" t="n">
        <x:v>80</x:v>
      </x:c>
      <x:c r="Q474" s="130" t="n">
        <x:v>80</x:v>
      </x:c>
      <x:c r="R474" s="130" t="n">
        <x:v>13</x:v>
      </x:c>
      <x:c r="S474" s="128" t="str">
        <x:v>https://arxiv.org/abs/2606.01219</x:v>
      </x:c>
      <x:c r="T474" s="128" t="str">
        <x:v>三轮复核后与原表基本一致</x:v>
      </x:c>
    </x:row>
    <x:row r="475" ht="28" customHeight="1">
      <x:c r="A475" s="129" t="n">
        <x:v>474</x:v>
      </x:c>
      <x:c r="B475" s="129" t="str">
        <x:v>2026-06</x:v>
      </x:c>
      <x:c r="C475" s="129" t="n">
        <x:v>106</x:v>
      </x:c>
      <x:c r="D475" s="129" t="str">
        <x:v>2606.00885</x:v>
      </x:c>
      <x:c r="E475" s="128" t="str">
        <x:v>An elliptic regularization approach to the Stefan problem</x:v>
      </x:c>
      <x:c r="F475" s="128" t="str">
        <x:v>Filippo Paiano; Bozhidar Velichkov</x:v>
      </x:c>
      <x:c r="G475" s="128" t="str">
        <x:v>analysis/PDE</x:v>
      </x:c>
      <x:c r="H475" s="129" t="n">
        <x:v>38</x:v>
      </x:c>
      <x:c r="I475" s="130" t="n">
        <x:v>80.45</x:v>
      </x:c>
      <x:c r="J475" s="130" t="n">
        <x:v>79.85</x:v>
      </x:c>
      <x:c r="K475" s="130" t="n">
        <x:v>81.05</x:v>
      </x:c>
      <x:c r="L475" s="130" t="n">
        <x:v>80</x:v>
      </x:c>
      <x:c r="M475" s="130" t="n">
        <x:v>80</x:v>
      </x:c>
      <x:c r="N475" s="130" t="n">
        <x:v>80</x:v>
      </x:c>
      <x:c r="O475" s="130" t="n">
        <x:v>79</x:v>
      </x:c>
      <x:c r="P475" s="130" t="n">
        <x:v>80</x:v>
      </x:c>
      <x:c r="Q475" s="130" t="n">
        <x:v>80</x:v>
      </x:c>
      <x:c r="R475" s="130" t="n">
        <x:v>13</x:v>
      </x:c>
      <x:c r="S475" s="128" t="str">
        <x:v>https://arxiv.org/abs/2606.00885</x:v>
      </x:c>
      <x:c r="T475" s="128" t="str">
        <x:v>三轮复核后与原表基本一致</x:v>
      </x:c>
    </x:row>
    <x:row r="476" ht="28" customHeight="1">
      <x:c r="A476" s="129" t="n">
        <x:v>475</x:v>
      </x:c>
      <x:c r="B476" s="129" t="str">
        <x:v>2026-06</x:v>
      </x:c>
      <x:c r="C476" s="129" t="n">
        <x:v>112</x:v>
      </x:c>
      <x:c r="D476" s="129" t="str">
        <x:v>2606.05477</x:v>
      </x:c>
      <x:c r="E476" s="128" t="str">
        <x:v>Robust interpolation inequalities via Chebyshev-type integral inequalities</x:v>
      </x:c>
      <x:c r="F476" s="128" t="str">
        <x:v>Guy Foghem</x:v>
      </x:c>
      <x:c r="G476" s="128" t="str">
        <x:v>analysis/PDE</x:v>
      </x:c>
      <x:c r="H476" s="129" t="n">
        <x:v>59</x:v>
      </x:c>
      <x:c r="I476" s="130" t="n">
        <x:v>80.25</x:v>
      </x:c>
      <x:c r="J476" s="130" t="n">
        <x:v>79.65</x:v>
      </x:c>
      <x:c r="K476" s="130" t="n">
        <x:v>80.85</x:v>
      </x:c>
      <x:c r="L476" s="130" t="n">
        <x:v>80</x:v>
      </x:c>
      <x:c r="M476" s="130" t="n">
        <x:v>79</x:v>
      </x:c>
      <x:c r="N476" s="130" t="n">
        <x:v>80</x:v>
      </x:c>
      <x:c r="O476" s="130" t="n">
        <x:v>79</x:v>
      </x:c>
      <x:c r="P476" s="130" t="n">
        <x:v>80</x:v>
      </x:c>
      <x:c r="Q476" s="130" t="n">
        <x:v>80</x:v>
      </x:c>
      <x:c r="R476" s="130" t="n">
        <x:v>13</x:v>
      </x:c>
      <x:c r="S476" s="128" t="str">
        <x:v>https://arxiv.org/abs/2606.05477</x:v>
      </x:c>
      <x:c r="T476" s="128" t="str">
        <x:v>三轮复核后与原表基本一致</x:v>
      </x:c>
    </x:row>
    <x:row r="477" ht="28" customHeight="1">
      <x:c r="A477" s="129" t="n">
        <x:v>476</x:v>
      </x:c>
      <x:c r="B477" s="129" t="str">
        <x:v>2026-06</x:v>
      </x:c>
      <x:c r="C477" s="129" t="n">
        <x:v>112</x:v>
      </x:c>
      <x:c r="D477" s="129" t="str">
        <x:v>2606.04774</x:v>
      </x:c>
      <x:c r="E477" s="128" t="str">
        <x:v>Weighted centro-affine Poincare inequalities</x:v>
      </x:c>
      <x:c r="F477" s="128" t="str">
        <x:v>Yingxiang Hu; Mohammad N. Ivaki</x:v>
      </x:c>
      <x:c r="G477" s="128" t="str">
        <x:v>inequalities/function spaces</x:v>
      </x:c>
      <x:c r="H477" s="129"/>
      <x:c r="I477" s="130" t="n">
        <x:v>80.25</x:v>
      </x:c>
      <x:c r="J477" s="130" t="n">
        <x:v>79.65</x:v>
      </x:c>
      <x:c r="K477" s="130" t="n">
        <x:v>80.85</x:v>
      </x:c>
      <x:c r="L477" s="130" t="n">
        <x:v>80</x:v>
      </x:c>
      <x:c r="M477" s="130" t="n">
        <x:v>79</x:v>
      </x:c>
      <x:c r="N477" s="130" t="n">
        <x:v>80</x:v>
      </x:c>
      <x:c r="O477" s="130" t="n">
        <x:v>79</x:v>
      </x:c>
      <x:c r="P477" s="130" t="n">
        <x:v>80</x:v>
      </x:c>
      <x:c r="Q477" s="130" t="n">
        <x:v>80</x:v>
      </x:c>
      <x:c r="R477" s="130" t="n">
        <x:v>13</x:v>
      </x:c>
      <x:c r="S477" s="128" t="str">
        <x:v>https://arxiv.org/abs/2606.04774</x:v>
      </x:c>
      <x:c r="T477" s="128" t="str">
        <x:v>三轮复核后与原表基本一致</x:v>
      </x:c>
    </x:row>
    <x:row r="478" ht="28" customHeight="1">
      <x:c r="A478" s="129" t="n">
        <x:v>477</x:v>
      </x:c>
      <x:c r="B478" s="129" t="str">
        <x:v>2026-06</x:v>
      </x:c>
      <x:c r="C478" s="129" t="n">
        <x:v>112</x:v>
      </x:c>
      <x:c r="D478" s="129" t="str">
        <x:v>2606.04765</x:v>
      </x:c>
      <x:c r="E478" s="128" t="str">
        <x:v>Exact Poincare Constants in n-dimensional Annuli</x:v>
      </x:c>
      <x:c r="F478" s="128" t="str">
        <x:v>Bernd Rummler; Michael Ruzicka; Gudrun Thater</x:v>
      </x:c>
      <x:c r="G478" s="128" t="str">
        <x:v>inequalities/function spaces</x:v>
      </x:c>
      <x:c r="H478" s="129"/>
      <x:c r="I478" s="130" t="n">
        <x:v>80.25</x:v>
      </x:c>
      <x:c r="J478" s="130" t="n">
        <x:v>79.65</x:v>
      </x:c>
      <x:c r="K478" s="130" t="n">
        <x:v>80.85</x:v>
      </x:c>
      <x:c r="L478" s="130" t="n">
        <x:v>80</x:v>
      </x:c>
      <x:c r="M478" s="130" t="n">
        <x:v>79</x:v>
      </x:c>
      <x:c r="N478" s="130" t="n">
        <x:v>80</x:v>
      </x:c>
      <x:c r="O478" s="130" t="n">
        <x:v>79</x:v>
      </x:c>
      <x:c r="P478" s="130" t="n">
        <x:v>80</x:v>
      </x:c>
      <x:c r="Q478" s="130" t="n">
        <x:v>80</x:v>
      </x:c>
      <x:c r="R478" s="130" t="n">
        <x:v>13</x:v>
      </x:c>
      <x:c r="S478" s="128" t="str">
        <x:v>https://arxiv.org/abs/2606.04765</x:v>
      </x:c>
      <x:c r="T478" s="128" t="str">
        <x:v>三轮复核后与原表基本一致</x:v>
      </x:c>
    </x:row>
    <x:row r="479" ht="28" customHeight="1">
      <x:c r="A479" s="129" t="n">
        <x:v>478</x:v>
      </x:c>
      <x:c r="B479" s="129" t="str">
        <x:v>2026-06</x:v>
      </x:c>
      <x:c r="C479" s="129" t="n">
        <x:v>117</x:v>
      </x:c>
      <x:c r="D479" s="129" t="str">
        <x:v>2606.11856</x:v>
      </x:c>
      <x:c r="E479" s="128" t="str">
        <x:v>Some results for a stationary Navier-Stokes equation with rough drift in a weighted functional framework</x:v>
      </x:c>
      <x:c r="F479" s="128" t="str">
        <x:v>Diego Chamorro; Anca-Nicoleta Marcoci; Liviu-Gabriel Marcoci</x:v>
      </x:c>
      <x:c r="G479" s="128" t="str">
        <x:v>fluid/kinetic PDE</x:v>
      </x:c>
      <x:c r="H479" s="129"/>
      <x:c r="I479" s="130" t="n">
        <x:v>80.24</x:v>
      </x:c>
      <x:c r="J479" s="130" t="n">
        <x:v>79.72</x:v>
      </x:c>
      <x:c r="K479" s="130" t="n">
        <x:v>80.75</x:v>
      </x:c>
      <x:c r="L479" s="130" t="n">
        <x:v>80</x:v>
      </x:c>
      <x:c r="M479" s="130" t="n">
        <x:v>79</x:v>
      </x:c>
      <x:c r="N479" s="130" t="n">
        <x:v>80.1</x:v>
      </x:c>
      <x:c r="O479" s="130" t="n">
        <x:v>80</x:v>
      </x:c>
      <x:c r="P479" s="130" t="n">
        <x:v>80.1</x:v>
      </x:c>
      <x:c r="Q479" s="130" t="n">
        <x:v>79</x:v>
      </x:c>
      <x:c r="R479" s="130" t="n">
        <x:v>13</x:v>
      </x:c>
      <x:c r="S479" s="128" t="str">
        <x:v>https://arxiv.org/abs/2606.11856</x:v>
      </x:c>
      <x:c r="T479" s="128" t="str">
        <x:v>范围偏专门，广度轻微回调</x:v>
      </x:c>
    </x:row>
    <x:row r="480" ht="28" customHeight="1">
      <x:c r="A480" s="129" t="n">
        <x:v>479</x:v>
      </x:c>
      <x:c r="B480" s="129" t="str">
        <x:v>2026-06</x:v>
      </x:c>
      <x:c r="C480" s="129" t="n">
        <x:v>112</x:v>
      </x:c>
      <x:c r="D480" s="129" t="str">
        <x:v>2606.07307</x:v>
      </x:c>
      <x:c r="E480" s="128" t="str">
        <x:v>On shifting the thermal explosion threshold by a vortical flow in dimension two</x:v>
      </x:c>
      <x:c r="F480" s="128" t="str">
        <x:v>Tianyi Guo; Peter V. Gordon</x:v>
      </x:c>
      <x:c r="G480" s="128" t="str">
        <x:v>analysis/PDE</x:v>
      </x:c>
      <x:c r="H480" s="129" t="n">
        <x:v>17</x:v>
      </x:c>
      <x:c r="I480" s="130" t="n">
        <x:v>80.22</x:v>
      </x:c>
      <x:c r="J480" s="130" t="n">
        <x:v>79.65</x:v>
      </x:c>
      <x:c r="K480" s="130" t="n">
        <x:v>80.8</x:v>
      </x:c>
      <x:c r="L480" s="130" t="n">
        <x:v>80</x:v>
      </x:c>
      <x:c r="M480" s="130" t="n">
        <x:v>79</x:v>
      </x:c>
      <x:c r="N480" s="130" t="n">
        <x:v>80</x:v>
      </x:c>
      <x:c r="O480" s="130" t="n">
        <x:v>79</x:v>
      </x:c>
      <x:c r="P480" s="130" t="n">
        <x:v>80</x:v>
      </x:c>
      <x:c r="Q480" s="130" t="n">
        <x:v>80</x:v>
      </x:c>
      <x:c r="R480" s="130" t="n">
        <x:v>13.3</x:v>
      </x:c>
      <x:c r="S480" s="128" t="str">
        <x:v>https://arxiv.org/abs/2606.07307</x:v>
      </x:c>
      <x:c r="T480" s="128" t="str">
        <x:v>三轮复核后与原表基本一致</x:v>
      </x:c>
    </x:row>
    <x:row r="481" ht="28" customHeight="1">
      <x:c r="A481" s="129" t="n">
        <x:v>480</x:v>
      </x:c>
      <x:c r="B481" s="129" t="str">
        <x:v>2026-06</x:v>
      </x:c>
      <x:c r="C481" s="129" t="n">
        <x:v>112</x:v>
      </x:c>
      <x:c r="D481" s="129" t="str">
        <x:v>2606.04814</x:v>
      </x:c>
      <x:c r="E481" s="128" t="str">
        <x:v>Cauchy Problem for the Time-Fractional Airy-Type Equation on a Star Graph with Edge-Dependent Order of Derivative</x:v>
      </x:c>
      <x:c r="F481" s="128" t="str">
        <x:v>Zarif Sobirov; Kamoladdin Rakhimov</x:v>
      </x:c>
      <x:c r="G481" s="128" t="str">
        <x:v>analysis/PDE</x:v>
      </x:c>
      <x:c r="H481" s="129" t="n">
        <x:v>14</x:v>
      </x:c>
      <x:c r="I481" s="130" t="n">
        <x:v>80.22</x:v>
      </x:c>
      <x:c r="J481" s="130" t="n">
        <x:v>79.65</x:v>
      </x:c>
      <x:c r="K481" s="130" t="n">
        <x:v>80.8</x:v>
      </x:c>
      <x:c r="L481" s="130" t="n">
        <x:v>80</x:v>
      </x:c>
      <x:c r="M481" s="130" t="n">
        <x:v>79</x:v>
      </x:c>
      <x:c r="N481" s="130" t="n">
        <x:v>80</x:v>
      </x:c>
      <x:c r="O481" s="130" t="n">
        <x:v>79</x:v>
      </x:c>
      <x:c r="P481" s="130" t="n">
        <x:v>80</x:v>
      </x:c>
      <x:c r="Q481" s="130" t="n">
        <x:v>80</x:v>
      </x:c>
      <x:c r="R481" s="130" t="n">
        <x:v>13.3</x:v>
      </x:c>
      <x:c r="S481" s="128" t="str">
        <x:v>https://arxiv.org/abs/2606.04814</x:v>
      </x:c>
      <x:c r="T481" s="128" t="str">
        <x:v>三轮复核后与原表基本一致</x:v>
      </x:c>
    </x:row>
    <x:row r="482" ht="28" customHeight="1">
      <x:c r="A482" s="129" t="n">
        <x:v>481</x:v>
      </x:c>
      <x:c r="B482" s="129" t="str">
        <x:v>2026-06</x:v>
      </x:c>
      <x:c r="C482" s="129" t="n">
        <x:v>118</x:v>
      </x:c>
      <x:c r="D482" s="129" t="str">
        <x:v>2606.00276</x:v>
      </x:c>
      <x:c r="E482" s="128" t="str">
        <x:v>Dispersive-Dissipative estimates for Boussinesq and other generalized wave equations</x:v>
      </x:c>
      <x:c r="F482" s="128" t="str">
        <x:v>Marcello D'Abbicco; Marcelo Rempel Ebert; Antonio Lagioia</x:v>
      </x:c>
      <x:c r="G482" s="128" t="str">
        <x:v>fluid/kinetic PDE</x:v>
      </x:c>
      <x:c r="H482" s="129"/>
      <x:c r="I482" s="130" t="n">
        <x:v>80.2</x:v>
      </x:c>
      <x:c r="J482" s="130" t="n">
        <x:v>79.53</x:v>
      </x:c>
      <x:c r="K482" s="130" t="n">
        <x:v>80.87</x:v>
      </x:c>
      <x:c r="L482" s="130" t="n">
        <x:v>79</x:v>
      </x:c>
      <x:c r="M482" s="130" t="n">
        <x:v>79</x:v>
      </x:c>
      <x:c r="N482" s="130" t="n">
        <x:v>80.1</x:v>
      </x:c>
      <x:c r="O482" s="130" t="n">
        <x:v>80</x:v>
      </x:c>
      <x:c r="P482" s="130" t="n">
        <x:v>80</x:v>
      </x:c>
      <x:c r="Q482" s="130" t="n">
        <x:v>80</x:v>
      </x:c>
      <x:c r="R482" s="130" t="n">
        <x:v>13</x:v>
      </x:c>
      <x:c r="S482" s="128" t="str">
        <x:v>https://arxiv.org/abs/2606.00276</x:v>
      </x:c>
      <x:c r="T482" s="128" t="str">
        <x:v>三轮复核后与原表基本一致</x:v>
      </x:c>
    </x:row>
    <x:row r="483" ht="28" customHeight="1">
      <x:c r="A483" s="129" t="n">
        <x:v>482</x:v>
      </x:c>
      <x:c r="B483" s="129" t="str">
        <x:v>2026-06</x:v>
      </x:c>
      <x:c r="C483" s="129" t="n">
        <x:v>120</x:v>
      </x:c>
      <x:c r="D483" s="129" t="str">
        <x:v>2606.22384</x:v>
      </x:c>
      <x:c r="E483" s="128" t="str">
        <x:v>Global Well-Posedness of sessile drop problem: 2D Navier-Stokes Flow</x:v>
      </x:c>
      <x:c r="F483" s="128" t="str">
        <x:v>Xiaoding Yang</x:v>
      </x:c>
      <x:c r="G483" s="128" t="str">
        <x:v>fluid/kinetic PDE</x:v>
      </x:c>
      <x:c r="H483" s="129"/>
      <x:c r="I483" s="130" t="n">
        <x:v>80.11</x:v>
      </x:c>
      <x:c r="J483" s="130" t="n">
        <x:v>79.46</x:v>
      </x:c>
      <x:c r="K483" s="130" t="n">
        <x:v>80.77</x:v>
      </x:c>
      <x:c r="L483" s="130" t="n">
        <x:v>80</x:v>
      </x:c>
      <x:c r="M483" s="130" t="n">
        <x:v>79.1</x:v>
      </x:c>
      <x:c r="N483" s="130" t="n">
        <x:v>80.1</x:v>
      </x:c>
      <x:c r="O483" s="130" t="n">
        <x:v>78.1</x:v>
      </x:c>
      <x:c r="P483" s="130" t="n">
        <x:v>80.1</x:v>
      </x:c>
      <x:c r="Q483" s="130" t="n">
        <x:v>79</x:v>
      </x:c>
      <x:c r="R483" s="130" t="n">
        <x:v>13</x:v>
      </x:c>
      <x:c r="S483" s="128" t="str">
        <x:v>https://arxiv.org/abs/2606.22384</x:v>
      </x:c>
      <x:c r="T483" s="128" t="str">
        <x:v>三轮复核后与原表基本一致</x:v>
      </x:c>
    </x:row>
    <x:row r="484" ht="28" customHeight="1">
      <x:c r="A484" s="129" t="n">
        <x:v>483</x:v>
      </x:c>
      <x:c r="B484" s="129" t="str">
        <x:v>2026-06</x:v>
      </x:c>
      <x:c r="C484" s="129" t="n">
        <x:v>120</x:v>
      </x:c>
      <x:c r="D484" s="129" t="str">
        <x:v>2606.15086</x:v>
      </x:c>
      <x:c r="E484" s="128" t="str">
        <x:v>Finite-Window Singularity Audits and Local-to-Clean Defect Transfer for Navier-Stokes</x:v>
      </x:c>
      <x:c r="F484" s="128" t="str">
        <x:v>Runlong Yu</x:v>
      </x:c>
      <x:c r="G484" s="128" t="str">
        <x:v>fluid/kinetic PDE</x:v>
      </x:c>
      <x:c r="H484" s="129"/>
      <x:c r="I484" s="130" t="n">
        <x:v>80.08</x:v>
      </x:c>
      <x:c r="J484" s="130" t="n">
        <x:v>79.43</x:v>
      </x:c>
      <x:c r="K484" s="130" t="n">
        <x:v>80.72</x:v>
      </x:c>
      <x:c r="L484" s="130" t="n">
        <x:v>80</x:v>
      </x:c>
      <x:c r="M484" s="130" t="n">
        <x:v>79</x:v>
      </x:c>
      <x:c r="N484" s="130" t="n">
        <x:v>80.1</x:v>
      </x:c>
      <x:c r="O484" s="130" t="n">
        <x:v>78</x:v>
      </x:c>
      <x:c r="P484" s="130" t="n">
        <x:v>80</x:v>
      </x:c>
      <x:c r="Q484" s="130" t="n">
        <x:v>79</x:v>
      </x:c>
      <x:c r="R484" s="130" t="n">
        <x:v>13</x:v>
      </x:c>
      <x:c r="S484" s="128" t="str">
        <x:v>https://arxiv.org/abs/2606.15086</x:v>
      </x:c>
      <x:c r="T484" s="128" t="str">
        <x:v>三轮复核后与原表基本一致</x:v>
      </x:c>
    </x:row>
    <x:row r="485" ht="28" customHeight="1">
      <x:c r="A485" s="129" t="n">
        <x:v>484</x:v>
      </x:c>
      <x:c r="B485" s="129" t="str">
        <x:v>2026-06</x:v>
      </x:c>
      <x:c r="C485" s="129" t="n">
        <x:v>120</x:v>
      </x:c>
      <x:c r="D485" s="129" t="str">
        <x:v>2606.12267</x:v>
      </x:c>
      <x:c r="E485" s="128" t="str">
        <x:v>Schur Visibility and Anti-Phantom Reduction in One-Component Navier-Stokes Degeneration</x:v>
      </x:c>
      <x:c r="F485" s="128" t="str">
        <x:v>Runlong Yu</x:v>
      </x:c>
      <x:c r="G485" s="128" t="str">
        <x:v>fluid/kinetic PDE</x:v>
      </x:c>
      <x:c r="H485" s="129"/>
      <x:c r="I485" s="130" t="n">
        <x:v>80.08</x:v>
      </x:c>
      <x:c r="J485" s="130" t="n">
        <x:v>79.43</x:v>
      </x:c>
      <x:c r="K485" s="130" t="n">
        <x:v>80.72</x:v>
      </x:c>
      <x:c r="L485" s="130" t="n">
        <x:v>80</x:v>
      </x:c>
      <x:c r="M485" s="130" t="n">
        <x:v>79</x:v>
      </x:c>
      <x:c r="N485" s="130" t="n">
        <x:v>80.1</x:v>
      </x:c>
      <x:c r="O485" s="130" t="n">
        <x:v>78</x:v>
      </x:c>
      <x:c r="P485" s="130" t="n">
        <x:v>80</x:v>
      </x:c>
      <x:c r="Q485" s="130" t="n">
        <x:v>79</x:v>
      </x:c>
      <x:c r="R485" s="130" t="n">
        <x:v>13</x:v>
      </x:c>
      <x:c r="S485" s="128" t="str">
        <x:v>https://arxiv.org/abs/2606.12267</x:v>
      </x:c>
      <x:c r="T485" s="128" t="str">
        <x:v>三轮复核后与原表基本一致</x:v>
      </x:c>
    </x:row>
    <x:row r="486" ht="28" customHeight="1">
      <x:c r="A486" s="129" t="n">
        <x:v>485</x:v>
      </x:c>
      <x:c r="B486" s="129" t="str">
        <x:v>2026-06</x:v>
      </x:c>
      <x:c r="C486" s="129" t="n">
        <x:v>119</x:v>
      </x:c>
      <x:c r="D486" s="129" t="str">
        <x:v>2606.09429</x:v>
      </x:c>
      <x:c r="E486" s="128" t="str">
        <x:v>Low-regularity well-posedness for a mixed-sign quadratic Dirac equation on N-star metric graphs</x:v>
      </x:c>
      <x:c r="F486" s="128" t="str">
        <x:v>Huichao Xing; Zhipeng Yang</x:v>
      </x:c>
      <x:c r="G486" s="128" t="str">
        <x:v>elliptic/parabolic regularity</x:v>
      </x:c>
      <x:c r="H486" s="129" t="n">
        <x:v>19</x:v>
      </x:c>
      <x:c r="I486" s="130" t="n">
        <x:v>80.07</x:v>
      </x:c>
      <x:c r="J486" s="130" t="n">
        <x:v>79.35</x:v>
      </x:c>
      <x:c r="K486" s="130" t="n">
        <x:v>80.8</x:v>
      </x:c>
      <x:c r="L486" s="130" t="n">
        <x:v>79</x:v>
      </x:c>
      <x:c r="M486" s="130" t="n">
        <x:v>79</x:v>
      </x:c>
      <x:c r="N486" s="130" t="n">
        <x:v>80</x:v>
      </x:c>
      <x:c r="O486" s="130" t="n">
        <x:v>79</x:v>
      </x:c>
      <x:c r="P486" s="130" t="n">
        <x:v>80</x:v>
      </x:c>
      <x:c r="Q486" s="130" t="n">
        <x:v>80</x:v>
      </x:c>
      <x:c r="R486" s="130" t="n">
        <x:v>13.3</x:v>
      </x:c>
      <x:c r="S486" s="128" t="str">
        <x:v>https://arxiv.org/abs/2606.09429</x:v>
      </x:c>
      <x:c r="T486" s="128" t="str">
        <x:v>三轮复核后与原表基本一致</x:v>
      </x:c>
    </x:row>
    <x:row r="487" ht="28" customHeight="1">
      <x:c r="A487" s="129" t="n">
        <x:v>486</x:v>
      </x:c>
      <x:c r="B487" s="129" t="str">
        <x:v>2026-06</x:v>
      </x:c>
      <x:c r="C487" s="129" t="n">
        <x:v>123</x:v>
      </x:c>
      <x:c r="D487" s="129" t="str">
        <x:v>2606.11607</x:v>
      </x:c>
      <x:c r="E487" s="128" t="str">
        <x:v>Global C^{1,alpha} regularity for degenerate/singular fully nonlinear elliptic equations with Hamiltonian terms</x:v>
      </x:c>
      <x:c r="F487" s="128" t="str">
        <x:v>Jiangwen Wang; Feida Jiang</x:v>
      </x:c>
      <x:c r="G487" s="128" t="str">
        <x:v>elliptic/parabolic regularity</x:v>
      </x:c>
      <x:c r="H487" s="129"/>
      <x:c r="I487" s="130" t="n">
        <x:v>80.03</x:v>
      </x:c>
      <x:c r="J487" s="130" t="n">
        <x:v>79.2</x:v>
      </x:c>
      <x:c r="K487" s="130" t="n">
        <x:v>80.85</x:v>
      </x:c>
      <x:c r="L487" s="130" t="n">
        <x:v>79</x:v>
      </x:c>
      <x:c r="M487" s="130" t="n">
        <x:v>79</x:v>
      </x:c>
      <x:c r="N487" s="130" t="n">
        <x:v>80</x:v>
      </x:c>
      <x:c r="O487" s="130" t="n">
        <x:v>78</x:v>
      </x:c>
      <x:c r="P487" s="130" t="n">
        <x:v>80</x:v>
      </x:c>
      <x:c r="Q487" s="130" t="n">
        <x:v>80</x:v>
      </x:c>
      <x:c r="R487" s="130" t="n">
        <x:v>13</x:v>
      </x:c>
      <x:c r="S487" s="128" t="str">
        <x:v>https://arxiv.org/abs/2606.11607</x:v>
      </x:c>
      <x:c r="T487" s="128" t="str">
        <x:v>三轮复核后与原表基本一致</x:v>
      </x:c>
    </x:row>
    <x:row r="488" ht="28" customHeight="1">
      <x:c r="A488" s="129" t="n">
        <x:v>487</x:v>
      </x:c>
      <x:c r="B488" s="129" t="str">
        <x:v>2026-05</x:v>
      </x:c>
      <x:c r="C488" s="129" t="n">
        <x:v>92</x:v>
      </x:c>
      <x:c r="D488" s="129" t="str">
        <x:v>2605.20623</x:v>
      </x:c>
      <x:c r="E488" s="128" t="str">
        <x:v>Lower Bounds for Advection-Diffusion Equations: An Exploration with AI-Generated Proofs</x:v>
      </x:c>
      <x:c r="F488" s="128" t="str">
        <x:v>Chenyang An; Xiaoqian Xu</x:v>
      </x:c>
      <x:c r="G488" s="128" t="str">
        <x:v>Advection-diffusion / AI proof generation</x:v>
      </x:c>
      <x:c r="H488" s="129" t="n">
        <x:v>63</x:v>
      </x:c>
      <x:c r="I488" s="130" t="n">
        <x:v>80.02</x:v>
      </x:c>
      <x:c r="J488" s="130" t="n">
        <x:v>84.95</x:v>
      </x:c>
      <x:c r="K488" s="130" t="n">
        <x:v>75.09</x:v>
      </x:c>
      <x:c r="L488" s="130" t="n">
        <x:v>85</x:v>
      </x:c>
      <x:c r="M488" s="130" t="n">
        <x:v>88</x:v>
      </x:c>
      <x:c r="N488" s="130" t="n">
        <x:v>83.8</x:v>
      </x:c>
      <x:c r="O488" s="130" t="n">
        <x:v>86</x:v>
      </x:c>
      <x:c r="P488" s="130" t="n">
        <x:v>79.6</x:v>
      </x:c>
      <x:c r="Q488" s="130" t="n">
        <x:v>80</x:v>
      </x:c>
      <x:c r="R488" s="130" t="n">
        <x:v>67.7</x:v>
      </x:c>
      <x:c r="S488" s="128" t="str">
        <x:v>https://arxiv.org/abs/2605.20623</x:v>
      </x:c>
      <x:c r="T488" s="128" t="str">
        <x:v>AI-generated/proof-exploration 信号，AI占比上调</x:v>
      </x:c>
    </x:row>
    <x:row r="489" ht="28" customHeight="1">
      <x:c r="A489" s="129" t="n">
        <x:v>488</x:v>
      </x:c>
      <x:c r="B489" s="129" t="str">
        <x:v>2026-06</x:v>
      </x:c>
      <x:c r="C489" s="129" t="n">
        <x:v>126</x:v>
      </x:c>
      <x:c r="D489" s="129" t="str">
        <x:v>2606.00389</x:v>
      </x:c>
      <x:c r="E489" s="128" t="str">
        <x:v>Strichartz Estimates and Small-Mass Global Well-Posedness for the Periodic Quintic NLS in 1D</x:v>
      </x:c>
      <x:c r="F489" s="128" t="str">
        <x:v>Nikolaos Skouloudis; Jiahui Yu</x:v>
      </x:c>
      <x:c r="G489" s="128" t="str">
        <x:v>dispersive PDE</x:v>
      </x:c>
      <x:c r="H489" s="129"/>
      <x:c r="I489" s="130" t="n">
        <x:v>80</x:v>
      </x:c>
      <x:c r="J489" s="130" t="n">
        <x:v>79.29</x:v>
      </x:c>
      <x:c r="K489" s="130" t="n">
        <x:v>80.7</x:v>
      </x:c>
      <x:c r="L489" s="130" t="n">
        <x:v>79</x:v>
      </x:c>
      <x:c r="M489" s="130" t="n">
        <x:v>79.1</x:v>
      </x:c>
      <x:c r="N489" s="130" t="n">
        <x:v>79</x:v>
      </x:c>
      <x:c r="O489" s="130" t="n">
        <x:v>80.1</x:v>
      </x:c>
      <x:c r="P489" s="130" t="n">
        <x:v>80.1</x:v>
      </x:c>
      <x:c r="Q489" s="130" t="n">
        <x:v>80</x:v>
      </x:c>
      <x:c r="R489" s="130" t="n">
        <x:v>13</x:v>
      </x:c>
      <x:c r="S489" s="128" t="str">
        <x:v>https://arxiv.org/abs/2606.00389</x:v>
      </x:c>
      <x:c r="T489" s="128" t="str">
        <x:v>三轮复核后与原表基本一致</x:v>
      </x:c>
    </x:row>
    <x:row r="490" ht="28" customHeight="1">
      <x:c r="A490" s="129" t="n">
        <x:v>489</x:v>
      </x:c>
      <x:c r="B490" s="129" t="str">
        <x:v>2026-06</x:v>
      </x:c>
      <x:c r="C490" s="129" t="n">
        <x:v>125</x:v>
      </x:c>
      <x:c r="D490" s="129" t="str">
        <x:v>2606.11664</x:v>
      </x:c>
      <x:c r="E490" s="128" t="str">
        <x:v>Qualitative and quantitative homogenization of non-Newtonian flows in perforated domains: small holes</x:v>
      </x:c>
      <x:c r="F490" s="128" t="str">
        <x:v>Yong Lu; Zhengmao Qian; Chenchen Zhang</x:v>
      </x:c>
      <x:c r="G490" s="128" t="str">
        <x:v>homogenization/asymptotics</x:v>
      </x:c>
      <x:c r="H490" s="129" t="n">
        <x:v>26</x:v>
      </x:c>
      <x:c r="I490" s="130" t="n">
        <x:v>79.99</x:v>
      </x:c>
      <x:c r="J490" s="130" t="n">
        <x:v>79.38</x:v>
      </x:c>
      <x:c r="K490" s="130" t="n">
        <x:v>80.6</x:v>
      </x:c>
      <x:c r="L490" s="130" t="n">
        <x:v>79</x:v>
      </x:c>
      <x:c r="M490" s="130" t="n">
        <x:v>79.1</x:v>
      </x:c>
      <x:c r="N490" s="130" t="n">
        <x:v>80</x:v>
      </x:c>
      <x:c r="O490" s="130" t="n">
        <x:v>79.1</x:v>
      </x:c>
      <x:c r="P490" s="130" t="n">
        <x:v>79.1</x:v>
      </x:c>
      <x:c r="Q490" s="130" t="n">
        <x:v>80</x:v>
      </x:c>
      <x:c r="R490" s="130" t="n">
        <x:v>13</x:v>
      </x:c>
      <x:c r="S490" s="128" t="str">
        <x:v>https://arxiv.org/abs/2606.11664</x:v>
      </x:c>
      <x:c r="T490" s="128" t="str">
        <x:v>三轮复核后与原表基本一致</x:v>
      </x:c>
    </x:row>
    <x:row r="491" ht="28" customHeight="1">
      <x:c r="A491" s="129" t="n">
        <x:v>490</x:v>
      </x:c>
      <x:c r="B491" s="129" t="str">
        <x:v>2026-06</x:v>
      </x:c>
      <x:c r="C491" s="129" t="n">
        <x:v>124</x:v>
      </x:c>
      <x:c r="D491" s="129" t="str">
        <x:v>2606.00638</x:v>
      </x:c>
      <x:c r="E491" s="128" t="str">
        <x:v>Traveling waves for combustion reaction-diffusion-convection equations: the full range of wave speeds</x:v>
      </x:c>
      <x:c r="F491" s="128" t="str">
        <x:v>Pavel Drabek; Soyeun Jung; Eunkyung Ko; Michaela Zahradnikova</x:v>
      </x:c>
      <x:c r="G491" s="128" t="str">
        <x:v>dispersive PDE</x:v>
      </x:c>
      <x:c r="H491" s="129"/>
      <x:c r="I491" s="130" t="n">
        <x:v>79.97</x:v>
      </x:c>
      <x:c r="J491" s="130" t="n">
        <x:v>79.25</x:v>
      </x:c>
      <x:c r="K491" s="130" t="n">
        <x:v>80.7</x:v>
      </x:c>
      <x:c r="L491" s="130" t="n">
        <x:v>79</x:v>
      </x:c>
      <x:c r="M491" s="130" t="n">
        <x:v>79</x:v>
      </x:c>
      <x:c r="N491" s="130" t="n">
        <x:v>80</x:v>
      </x:c>
      <x:c r="O491" s="130" t="n">
        <x:v>79</x:v>
      </x:c>
      <x:c r="P491" s="130" t="n">
        <x:v>80</x:v>
      </x:c>
      <x:c r="Q491" s="130" t="n">
        <x:v>79</x:v>
      </x:c>
      <x:c r="R491" s="130" t="n">
        <x:v>13</x:v>
      </x:c>
      <x:c r="S491" s="128" t="str">
        <x:v>https://arxiv.org/abs/2606.00638</x:v>
      </x:c>
      <x:c r="T491" s="128" t="str">
        <x:v>三轮复核后与原表基本一致</x:v>
      </x:c>
    </x:row>
    <x:row r="492" ht="28" customHeight="1">
      <x:c r="A492" s="129" t="n">
        <x:v>491</x:v>
      </x:c>
      <x:c r="B492" s="129" t="str">
        <x:v>2026-06</x:v>
      </x:c>
      <x:c r="C492" s="129" t="n">
        <x:v>127</x:v>
      </x:c>
      <x:c r="D492" s="129" t="str">
        <x:v>2606.19177</x:v>
      </x:c>
      <x:c r="E492" s="128" t="str">
        <x:v>Global dynamics in the 3D pressureless Euler-Poisson system for ions</x:v>
      </x:c>
      <x:c r="F492" s="128" t="str">
        <x:v>Lucas Ertzbischoff; Catalina Jurja; Klaus Widmayer</x:v>
      </x:c>
      <x:c r="G492" s="128" t="str">
        <x:v>fluid/kinetic PDE</x:v>
      </x:c>
      <x:c r="H492" s="129" t="n">
        <x:v>42</x:v>
      </x:c>
      <x:c r="I492" s="130" t="n">
        <x:v>79.93</x:v>
      </x:c>
      <x:c r="J492" s="130" t="n">
        <x:v>79.33</x:v>
      </x:c>
      <x:c r="K492" s="130" t="n">
        <x:v>80.52</x:v>
      </x:c>
      <x:c r="L492" s="130" t="n">
        <x:v>80</x:v>
      </x:c>
      <x:c r="M492" s="130" t="n">
        <x:v>79</x:v>
      </x:c>
      <x:c r="N492" s="130" t="n">
        <x:v>79.1</x:v>
      </x:c>
      <x:c r="O492" s="130" t="n">
        <x:v>79</x:v>
      </x:c>
      <x:c r="P492" s="130" t="n">
        <x:v>80</x:v>
      </x:c>
      <x:c r="Q492" s="130" t="n">
        <x:v>79</x:v>
      </x:c>
      <x:c r="R492" s="130" t="n">
        <x:v>13</x:v>
      </x:c>
      <x:c r="S492" s="128" t="str">
        <x:v>https://arxiv.org/abs/2606.19177</x:v>
      </x:c>
      <x:c r="T492" s="128" t="str">
        <x:v>三轮复核后与原表基本一致</x:v>
      </x:c>
    </x:row>
    <x:row r="493" ht="28" customHeight="1">
      <x:c r="A493" s="129" t="n">
        <x:v>492</x:v>
      </x:c>
      <x:c r="B493" s="129" t="str">
        <x:v>2026-06</x:v>
      </x:c>
      <x:c r="C493" s="129" t="n">
        <x:v>127</x:v>
      </x:c>
      <x:c r="D493" s="129" t="str">
        <x:v>2606.18015</x:v>
      </x:c>
      <x:c r="E493" s="128" t="str">
        <x:v>Global relaxation limit for the one-fluid Euler-Poisson system with large smooth data</x:v>
      </x:c>
      <x:c r="F493" s="128" t="str">
        <x:v>Yue-Jun Peng; Ling-Yun Shou; Jiang Xu</x:v>
      </x:c>
      <x:c r="G493" s="128" t="str">
        <x:v>fluid/kinetic PDE</x:v>
      </x:c>
      <x:c r="H493" s="129" t="n">
        <x:v>32</x:v>
      </x:c>
      <x:c r="I493" s="130" t="n">
        <x:v>79.93</x:v>
      </x:c>
      <x:c r="J493" s="130" t="n">
        <x:v>79.33</x:v>
      </x:c>
      <x:c r="K493" s="130" t="n">
        <x:v>80.52</x:v>
      </x:c>
      <x:c r="L493" s="130" t="n">
        <x:v>80</x:v>
      </x:c>
      <x:c r="M493" s="130" t="n">
        <x:v>79</x:v>
      </x:c>
      <x:c r="N493" s="130" t="n">
        <x:v>79.1</x:v>
      </x:c>
      <x:c r="O493" s="130" t="n">
        <x:v>79</x:v>
      </x:c>
      <x:c r="P493" s="130" t="n">
        <x:v>80</x:v>
      </x:c>
      <x:c r="Q493" s="130" t="n">
        <x:v>79</x:v>
      </x:c>
      <x:c r="R493" s="130" t="n">
        <x:v>13</x:v>
      </x:c>
      <x:c r="S493" s="128" t="str">
        <x:v>https://arxiv.org/abs/2606.18015</x:v>
      </x:c>
      <x:c r="T493" s="128" t="str">
        <x:v>三轮复核后与原表基本一致</x:v>
      </x:c>
    </x:row>
    <x:row r="494" ht="28" customHeight="1">
      <x:c r="A494" s="129" t="n">
        <x:v>493</x:v>
      </x:c>
      <x:c r="B494" s="129" t="str">
        <x:v>2026-06</x:v>
      </x:c>
      <x:c r="C494" s="129" t="n">
        <x:v>129</x:v>
      </x:c>
      <x:c r="D494" s="129" t="str">
        <x:v>2606.18655</x:v>
      </x:c>
      <x:c r="E494" s="128" t="str">
        <x:v>Minus one Homogeneous Euler Flows are Geodesible</x:v>
      </x:c>
      <x:c r="F494" s="128" t="str">
        <x:v>Unknown authors</x:v>
      </x:c>
      <x:c r="G494" s="128" t="str">
        <x:v>fluid/kinetic PDE</x:v>
      </x:c>
      <x:c r="H494" s="129"/>
      <x:c r="I494" s="130" t="n">
        <x:v>79.85</x:v>
      </x:c>
      <x:c r="J494" s="130" t="n">
        <x:v>79.18</x:v>
      </x:c>
      <x:c r="K494" s="130" t="n">
        <x:v>80.52</x:v>
      </x:c>
      <x:c r="L494" s="130" t="n">
        <x:v>80</x:v>
      </x:c>
      <x:c r="M494" s="130" t="n">
        <x:v>79</x:v>
      </x:c>
      <x:c r="N494" s="130" t="n">
        <x:v>79.1</x:v>
      </x:c>
      <x:c r="O494" s="130" t="n">
        <x:v>78</x:v>
      </x:c>
      <x:c r="P494" s="130" t="n">
        <x:v>80</x:v>
      </x:c>
      <x:c r="Q494" s="130" t="n">
        <x:v>79</x:v>
      </x:c>
      <x:c r="R494" s="130" t="n">
        <x:v>13</x:v>
      </x:c>
      <x:c r="S494" s="128" t="str">
        <x:v>https://arxiv.org/abs/2606.18655</x:v>
      </x:c>
      <x:c r="T494" s="128" t="str">
        <x:v>三轮复核后与原表基本一致</x:v>
      </x:c>
    </x:row>
    <x:row r="495" ht="28" customHeight="1">
      <x:c r="A495" s="129" t="n">
        <x:v>494</x:v>
      </x:c>
      <x:c r="B495" s="129" t="str">
        <x:v>2026-06</x:v>
      </x:c>
      <x:c r="C495" s="129" t="n">
        <x:v>129</x:v>
      </x:c>
      <x:c r="D495" s="129" t="str">
        <x:v>2606.17863</x:v>
      </x:c>
      <x:c r="E495" s="128" t="str">
        <x:v>High Mach number limit for the 3D Euler-Poisson equations of ion dynamics</x:v>
      </x:c>
      <x:c r="F495" s="128" t="str">
        <x:v>Zihao Song</x:v>
      </x:c>
      <x:c r="G495" s="128" t="str">
        <x:v>fluid/kinetic PDE</x:v>
      </x:c>
      <x:c r="H495" s="129"/>
      <x:c r="I495" s="130" t="n">
        <x:v>79.85</x:v>
      </x:c>
      <x:c r="J495" s="130" t="n">
        <x:v>79.18</x:v>
      </x:c>
      <x:c r="K495" s="130" t="n">
        <x:v>80.52</x:v>
      </x:c>
      <x:c r="L495" s="130" t="n">
        <x:v>80</x:v>
      </x:c>
      <x:c r="M495" s="130" t="n">
        <x:v>79</x:v>
      </x:c>
      <x:c r="N495" s="130" t="n">
        <x:v>79.1</x:v>
      </x:c>
      <x:c r="O495" s="130" t="n">
        <x:v>78</x:v>
      </x:c>
      <x:c r="P495" s="130" t="n">
        <x:v>80</x:v>
      </x:c>
      <x:c r="Q495" s="130" t="n">
        <x:v>79</x:v>
      </x:c>
      <x:c r="R495" s="130" t="n">
        <x:v>13</x:v>
      </x:c>
      <x:c r="S495" s="128" t="str">
        <x:v>https://arxiv.org/abs/2606.17863</x:v>
      </x:c>
      <x:c r="T495" s="128" t="str">
        <x:v>三轮复核后与原表基本一致</x:v>
      </x:c>
    </x:row>
    <x:row r="496" ht="28" customHeight="1">
      <x:c r="A496" s="129" t="n">
        <x:v>495</x:v>
      </x:c>
      <x:c r="B496" s="129" t="str">
        <x:v>2026-06</x:v>
      </x:c>
      <x:c r="C496" s="129" t="n">
        <x:v>129</x:v>
      </x:c>
      <x:c r="D496" s="129" t="str">
        <x:v>2606.14446</x:v>
      </x:c>
      <x:c r="E496" s="128" t="str">
        <x:v>Decay of periodic entropy solutions to Euler-alignment systems with non-constant kernel</x:v>
      </x:c>
      <x:c r="F496" s="128" t="str">
        <x:v>Unknown authors</x:v>
      </x:c>
      <x:c r="G496" s="128" t="str">
        <x:v>fluid/kinetic PDE</x:v>
      </x:c>
      <x:c r="H496" s="129"/>
      <x:c r="I496" s="130" t="n">
        <x:v>79.85</x:v>
      </x:c>
      <x:c r="J496" s="130" t="n">
        <x:v>79.18</x:v>
      </x:c>
      <x:c r="K496" s="130" t="n">
        <x:v>80.52</x:v>
      </x:c>
      <x:c r="L496" s="130" t="n">
        <x:v>80</x:v>
      </x:c>
      <x:c r="M496" s="130" t="n">
        <x:v>79</x:v>
      </x:c>
      <x:c r="N496" s="130" t="n">
        <x:v>79.1</x:v>
      </x:c>
      <x:c r="O496" s="130" t="n">
        <x:v>78</x:v>
      </x:c>
      <x:c r="P496" s="130" t="n">
        <x:v>80</x:v>
      </x:c>
      <x:c r="Q496" s="130" t="n">
        <x:v>79</x:v>
      </x:c>
      <x:c r="R496" s="130" t="n">
        <x:v>13</x:v>
      </x:c>
      <x:c r="S496" s="128" t="str">
        <x:v>https://arxiv.org/abs/2606.14446</x:v>
      </x:c>
      <x:c r="T496" s="128" t="str">
        <x:v>三轮复核后与原表基本一致</x:v>
      </x:c>
    </x:row>
    <x:row r="497" ht="28" customHeight="1">
      <x:c r="A497" s="129" t="n">
        <x:v>496</x:v>
      </x:c>
      <x:c r="B497" s="129" t="str">
        <x:v>2026-06</x:v>
      </x:c>
      <x:c r="C497" s="129" t="n">
        <x:v>132</x:v>
      </x:c>
      <x:c r="D497" s="129" t="str">
        <x:v>2606.00554</x:v>
      </x:c>
      <x:c r="E497" s="128" t="str">
        <x:v>On a Local Radial Rigidity Phenomenon of Elliptic Systems on Riemannian Manifolds</x:v>
      </x:c>
      <x:c r="F497" s="128" t="str">
        <x:v>Yifei Pan; Yu Yan; Yuan Zhang</x:v>
      </x:c>
      <x:c r="G497" s="128" t="str">
        <x:v>analysis/PDE</x:v>
      </x:c>
      <x:c r="H497" s="129"/>
      <x:c r="I497" s="130" t="n">
        <x:v>79.79</x:v>
      </x:c>
      <x:c r="J497" s="130" t="n">
        <x:v>79.02</x:v>
      </x:c>
      <x:c r="K497" s="130" t="n">
        <x:v>80.55</x:v>
      </x:c>
      <x:c r="L497" s="130" t="n">
        <x:v>79</x:v>
      </x:c>
      <x:c r="M497" s="130" t="n">
        <x:v>79.1</x:v>
      </x:c>
      <x:c r="N497" s="130" t="n">
        <x:v>79</x:v>
      </x:c>
      <x:c r="O497" s="130" t="n">
        <x:v>79</x:v>
      </x:c>
      <x:c r="P497" s="130" t="n">
        <x:v>80.1</x:v>
      </x:c>
      <x:c r="Q497" s="130" t="n">
        <x:v>79</x:v>
      </x:c>
      <x:c r="R497" s="130" t="n">
        <x:v>13</x:v>
      </x:c>
      <x:c r="S497" s="128" t="str">
        <x:v>https://arxiv.org/abs/2606.00554</x:v>
      </x:c>
      <x:c r="T497" s="128" t="str">
        <x:v>范围偏专门，广度轻微回调</x:v>
      </x:c>
    </x:row>
    <x:row r="498" ht="28" customHeight="1">
      <x:c r="A498" s="129" t="n">
        <x:v>497</x:v>
      </x:c>
      <x:c r="B498" s="129" t="str">
        <x:v>2026-06</x:v>
      </x:c>
      <x:c r="C498" s="129" t="n">
        <x:v>132</x:v>
      </x:c>
      <x:c r="D498" s="129" t="str">
        <x:v>2606.08559</x:v>
      </x:c>
      <x:c r="E498" s="128" t="str">
        <x:v>Strong comparison principle and symmetry results for the fractional p-Laplacian</x:v>
      </x:c>
      <x:c r="F498" s="128" t="str">
        <x:v>Anup Biswas; Subhajit Roy; Aniket Sen</x:v>
      </x:c>
      <x:c r="G498" s="128" t="str">
        <x:v>analysis/PDE</x:v>
      </x:c>
      <x:c r="H498" s="129" t="n">
        <x:v>38</x:v>
      </x:c>
      <x:c r="I498" s="130" t="n">
        <x:v>79.75</x:v>
      </x:c>
      <x:c r="J498" s="130" t="n">
        <x:v>79</x:v>
      </x:c>
      <x:c r="K498" s="130" t="n">
        <x:v>80.5</x:v>
      </x:c>
      <x:c r="L498" s="130" t="n">
        <x:v>79</x:v>
      </x:c>
      <x:c r="M498" s="130" t="n">
        <x:v>79</x:v>
      </x:c>
      <x:c r="N498" s="130" t="n">
        <x:v>79</x:v>
      </x:c>
      <x:c r="O498" s="130" t="n">
        <x:v>79</x:v>
      </x:c>
      <x:c r="P498" s="130" t="n">
        <x:v>80</x:v>
      </x:c>
      <x:c r="Q498" s="130" t="n">
        <x:v>79</x:v>
      </x:c>
      <x:c r="R498" s="130" t="n">
        <x:v>13</x:v>
      </x:c>
      <x:c r="S498" s="128" t="str">
        <x:v>https://arxiv.org/abs/2606.08559</x:v>
      </x:c>
      <x:c r="T498" s="128" t="str">
        <x:v>三轮复核后与原表基本一致</x:v>
      </x:c>
    </x:row>
    <x:row r="499" ht="28" customHeight="1">
      <x:c r="A499" s="129" t="n">
        <x:v>498</x:v>
      </x:c>
      <x:c r="B499" s="129" t="str">
        <x:v>2026-06</x:v>
      </x:c>
      <x:c r="C499" s="129" t="n">
        <x:v>132</x:v>
      </x:c>
      <x:c r="D499" s="129" t="str">
        <x:v>2606.04218</x:v>
      </x:c>
      <x:c r="E499" s="128" t="str">
        <x:v>Absence of local anomalous dissipation and local energy balance in 2D incompressible flows away from the boundary</x:v>
      </x:c>
      <x:c r="F499" s="128" t="str">
        <x:v>Tobias Barker; Milton C. Lopes Filho; Helena J. Nussenzveig Lopes</x:v>
      </x:c>
      <x:c r="G499" s="128" t="str">
        <x:v>fluid/kinetic PDE</x:v>
      </x:c>
      <x:c r="H499" s="129" t="n">
        <x:v>31</x:v>
      </x:c>
      <x:c r="I499" s="130" t="n">
        <x:v>79.75</x:v>
      </x:c>
      <x:c r="J499" s="130" t="n">
        <x:v>79</x:v>
      </x:c>
      <x:c r="K499" s="130" t="n">
        <x:v>80.5</x:v>
      </x:c>
      <x:c r="L499" s="130" t="n">
        <x:v>79</x:v>
      </x:c>
      <x:c r="M499" s="130" t="n">
        <x:v>79</x:v>
      </x:c>
      <x:c r="N499" s="130" t="n">
        <x:v>79</x:v>
      </x:c>
      <x:c r="O499" s="130" t="n">
        <x:v>79</x:v>
      </x:c>
      <x:c r="P499" s="130" t="n">
        <x:v>80</x:v>
      </x:c>
      <x:c r="Q499" s="130" t="n">
        <x:v>79</x:v>
      </x:c>
      <x:c r="R499" s="130" t="n">
        <x:v>13</x:v>
      </x:c>
      <x:c r="S499" s="128" t="str">
        <x:v>https://arxiv.org/abs/2606.04218</x:v>
      </x:c>
      <x:c r="T499" s="128" t="str">
        <x:v>三轮复核后与原表基本一致</x:v>
      </x:c>
    </x:row>
    <x:row r="500" ht="28" customHeight="1">
      <x:c r="A500" s="129" t="n">
        <x:v>499</x:v>
      </x:c>
      <x:c r="B500" s="129" t="str">
        <x:v>2026-06</x:v>
      </x:c>
      <x:c r="C500" s="129" t="n">
        <x:v>132</x:v>
      </x:c>
      <x:c r="D500" s="129" t="str">
        <x:v>2606.10586</x:v>
      </x:c>
      <x:c r="E500" s="128" t="str">
        <x:v>Stationary points of conformally invariant polyconvex energies</x:v>
      </x:c>
      <x:c r="F500" s="128" t="str">
        <x:v>Andre Guerra; Riccardo Tione</x:v>
      </x:c>
      <x:c r="G500" s="128" t="str">
        <x:v>analysis/PDE</x:v>
      </x:c>
      <x:c r="H500" s="129" t="n">
        <x:v>30</x:v>
      </x:c>
      <x:c r="I500" s="130" t="n">
        <x:v>79.75</x:v>
      </x:c>
      <x:c r="J500" s="130" t="n">
        <x:v>78.99</x:v>
      </x:c>
      <x:c r="K500" s="130" t="n">
        <x:v>80.5</x:v>
      </x:c>
      <x:c r="L500" s="130" t="n">
        <x:v>79</x:v>
      </x:c>
      <x:c r="M500" s="130" t="n">
        <x:v>79</x:v>
      </x:c>
      <x:c r="N500" s="130" t="n">
        <x:v>79</x:v>
      </x:c>
      <x:c r="O500" s="130" t="n">
        <x:v>78.9</x:v>
      </x:c>
      <x:c r="P500" s="130" t="n">
        <x:v>80</x:v>
      </x:c>
      <x:c r="Q500" s="130" t="n">
        <x:v>79</x:v>
      </x:c>
      <x:c r="R500" s="130" t="n">
        <x:v>13</x:v>
      </x:c>
      <x:c r="S500" s="128" t="str">
        <x:v>https://arxiv.org/abs/2606.10586</x:v>
      </x:c>
      <x:c r="T500" s="128" t="str">
        <x:v>范围偏专门，广度轻微回调</x:v>
      </x:c>
    </x:row>
    <x:row r="501" ht="28" customHeight="1">
      <x:c r="A501" s="129" t="n">
        <x:v>500</x:v>
      </x:c>
      <x:c r="B501" s="129" t="str">
        <x:v>2026-06</x:v>
      </x:c>
      <x:c r="C501" s="129" t="n">
        <x:v>136</x:v>
      </x:c>
      <x:c r="D501" s="129" t="str">
        <x:v>2606.01200</x:v>
      </x:c>
      <x:c r="E501" s="128" t="str">
        <x:v>A high-order regularization of the non-linear shallow water equations with weakly singular shock waves and its approximation by finite volume methods</x:v>
      </x:c>
      <x:c r="F501" s="128" t="str">
        <x:v>Rezwana Razzaque Angana; Dimitrios Mitsotakis</x:v>
      </x:c>
      <x:c r="G501" s="128" t="str">
        <x:v>dispersive PDE</x:v>
      </x:c>
      <x:c r="H501" s="129"/>
      <x:c r="I501" s="130" t="n">
        <x:v>79.68</x:v>
      </x:c>
      <x:c r="J501" s="130" t="n">
        <x:v>79.1</x:v>
      </x:c>
      <x:c r="K501" s="130" t="n">
        <x:v>80.25</x:v>
      </x:c>
      <x:c r="L501" s="130" t="n">
        <x:v>79</x:v>
      </x:c>
      <x:c r="M501" s="130" t="n">
        <x:v>79</x:v>
      </x:c>
      <x:c r="N501" s="130" t="n">
        <x:v>80</x:v>
      </x:c>
      <x:c r="O501" s="130" t="n">
        <x:v>78</x:v>
      </x:c>
      <x:c r="P501" s="130" t="n">
        <x:v>79</x:v>
      </x:c>
      <x:c r="Q501" s="130" t="n">
        <x:v>79</x:v>
      </x:c>
      <x:c r="R501" s="130" t="n">
        <x:v>14</x:v>
      </x:c>
      <x:c r="S501" s="128" t="str">
        <x:v>https://arxiv.org/abs/2606.01200</x:v>
      </x:c>
      <x:c r="T501" s="128" t="str">
        <x:v>三轮复核后与原表基本一致</x:v>
      </x:c>
    </x:row>
    <x:row r="502" ht="28" customHeight="1">
      <x:c r="A502" s="129" t="n">
        <x:v>501</x:v>
      </x:c>
      <x:c r="B502" s="129" t="str">
        <x:v>2026-06</x:v>
      </x:c>
      <x:c r="C502" s="129" t="n">
        <x:v>139</x:v>
      </x:c>
      <x:c r="D502" s="129" t="str">
        <x:v>2606.27645</x:v>
      </x:c>
      <x:c r="E502" s="128" t="str">
        <x:v>Uniform large deviations and long-time dynamics for the 2D anisotropic Navier-Stokes equations on the torus</x:v>
      </x:c>
      <x:c r="F502" s="128" t="str">
        <x:v>Chengfeng Sun; Hao Yu; Hui Liu</x:v>
      </x:c>
      <x:c r="G502" s="128" t="str">
        <x:v>fluid/kinetic PDE</x:v>
      </x:c>
      <x:c r="H502" s="129"/>
      <x:c r="I502" s="130" t="n">
        <x:v>79.65</x:v>
      </x:c>
      <x:c r="J502" s="130" t="n">
        <x:v>78.98</x:v>
      </x:c>
      <x:c r="K502" s="130" t="n">
        <x:v>80.32</x:v>
      </x:c>
      <x:c r="L502" s="130" t="n">
        <x:v>80</x:v>
      </x:c>
      <x:c r="M502" s="130" t="n">
        <x:v>78</x:v>
      </x:c>
      <x:c r="N502" s="130" t="n">
        <x:v>79.1</x:v>
      </x:c>
      <x:c r="O502" s="130" t="n">
        <x:v>78</x:v>
      </x:c>
      <x:c r="P502" s="130" t="n">
        <x:v>80</x:v>
      </x:c>
      <x:c r="Q502" s="130" t="n">
        <x:v>79</x:v>
      </x:c>
      <x:c r="R502" s="130" t="n">
        <x:v>13</x:v>
      </x:c>
      <x:c r="S502" s="128" t="str">
        <x:v>https://arxiv.org/abs/2606.27645</x:v>
      </x:c>
      <x:c r="T502" s="128" t="str">
        <x:v>三轮复核后与原表基本一致</x:v>
      </x:c>
    </x:row>
    <x:row r="503" ht="28" customHeight="1">
      <x:c r="A503" s="129" t="n">
        <x:v>502</x:v>
      </x:c>
      <x:c r="B503" s="129" t="str">
        <x:v>2026-06</x:v>
      </x:c>
      <x:c r="C503" s="129" t="n">
        <x:v>137</x:v>
      </x:c>
      <x:c r="D503" s="129" t="str">
        <x:v>2606.03996</x:v>
      </x:c>
      <x:c r="E503" s="128" t="str">
        <x:v>Corrigendum to Ramification of multiple eigenvalues for the Dirichlet-Laplacian in perforated domains</x:v>
      </x:c>
      <x:c r="F503" s="128" t="str">
        <x:v>Laura Abatangelo; Corentin Lena; Paolo Musolino</x:v>
      </x:c>
      <x:c r="G503" s="128" t="str">
        <x:v>analysis/PDE</x:v>
      </x:c>
      <x:c r="H503" s="129" t="n">
        <x:v>15</x:v>
      </x:c>
      <x:c r="I503" s="130" t="n">
        <x:v>79.65</x:v>
      </x:c>
      <x:c r="J503" s="130" t="n">
        <x:v>78.85</x:v>
      </x:c>
      <x:c r="K503" s="130" t="n">
        <x:v>80.45</x:v>
      </x:c>
      <x:c r="L503" s="130" t="n">
        <x:v>79</x:v>
      </x:c>
      <x:c r="M503" s="130" t="n">
        <x:v>79</x:v>
      </x:c>
      <x:c r="N503" s="130" t="n">
        <x:v>79</x:v>
      </x:c>
      <x:c r="O503" s="130" t="n">
        <x:v>78</x:v>
      </x:c>
      <x:c r="P503" s="130" t="n">
        <x:v>80</x:v>
      </x:c>
      <x:c r="Q503" s="130" t="n">
        <x:v>79</x:v>
      </x:c>
      <x:c r="R503" s="130" t="n">
        <x:v>13.3</x:v>
      </x:c>
      <x:c r="S503" s="128" t="str">
        <x:v>https://arxiv.org/abs/2606.03996</x:v>
      </x:c>
      <x:c r="T503" s="128" t="str">
        <x:v>三轮复核后与原表基本一致</x:v>
      </x:c>
    </x:row>
    <x:row r="504" ht="28" customHeight="1">
      <x:c r="A504" s="129" t="n">
        <x:v>503</x:v>
      </x:c>
      <x:c r="B504" s="129" t="str">
        <x:v>2026-06</x:v>
      </x:c>
      <x:c r="C504" s="129" t="n">
        <x:v>137</x:v>
      </x:c>
      <x:c r="D504" s="129" t="str">
        <x:v>2606.01778</x:v>
      </x:c>
      <x:c r="E504" s="128" t="str">
        <x:v>Long Time Well-posedness for the Benjamin-Ono Equation with Quasi-Periodic Initial Data</x:v>
      </x:c>
      <x:c r="F504" s="128" t="str">
        <x:v>Yubo Wang</x:v>
      </x:c>
      <x:c r="G504" s="128" t="str">
        <x:v>dispersive PDE</x:v>
      </x:c>
      <x:c r="H504" s="129" t="n">
        <x:v>13</x:v>
      </x:c>
      <x:c r="I504" s="130" t="n">
        <x:v>79.65</x:v>
      </x:c>
      <x:c r="J504" s="130" t="n">
        <x:v>78.85</x:v>
      </x:c>
      <x:c r="K504" s="130" t="n">
        <x:v>80.45</x:v>
      </x:c>
      <x:c r="L504" s="130" t="n">
        <x:v>79</x:v>
      </x:c>
      <x:c r="M504" s="130" t="n">
        <x:v>79</x:v>
      </x:c>
      <x:c r="N504" s="130" t="n">
        <x:v>79</x:v>
      </x:c>
      <x:c r="O504" s="130" t="n">
        <x:v>78</x:v>
      </x:c>
      <x:c r="P504" s="130" t="n">
        <x:v>80</x:v>
      </x:c>
      <x:c r="Q504" s="130" t="n">
        <x:v>79</x:v>
      </x:c>
      <x:c r="R504" s="130" t="n">
        <x:v>13.3</x:v>
      </x:c>
      <x:c r="S504" s="128" t="str">
        <x:v>https://arxiv.org/abs/2606.01778</x:v>
      </x:c>
      <x:c r="T504" s="128" t="str">
        <x:v>三轮复核后与原表基本一致</x:v>
      </x:c>
    </x:row>
    <x:row r="505" ht="28" customHeight="1">
      <x:c r="A505" s="129" t="n">
        <x:v>504</x:v>
      </x:c>
      <x:c r="B505" s="129" t="str">
        <x:v>2026-06</x:v>
      </x:c>
      <x:c r="C505" s="129" t="n">
        <x:v>140</x:v>
      </x:c>
      <x:c r="D505" s="129" t="str">
        <x:v>2606.07224</x:v>
      </x:c>
      <x:c r="E505" s="128" t="str">
        <x:v>Mean-Field limit of the non-exchangeable Cucker-Dong model</x:v>
      </x:c>
      <x:c r="F505" s="128" t="str">
        <x:v>Nathalie Ayi; Adrien Cotil; Fanny Delebecque</x:v>
      </x:c>
      <x:c r="G505" s="128" t="str">
        <x:v>homogenization/asymptotics</x:v>
      </x:c>
      <x:c r="H505" s="129"/>
      <x:c r="I505" s="130" t="n">
        <x:v>79.59</x:v>
      </x:c>
      <x:c r="J505" s="130" t="n">
        <x:v>78.91</x:v>
      </x:c>
      <x:c r="K505" s="130" t="n">
        <x:v>80.27</x:v>
      </x:c>
      <x:c r="L505" s="130" t="n">
        <x:v>79</x:v>
      </x:c>
      <x:c r="M505" s="130" t="n">
        <x:v>79.1</x:v>
      </x:c>
      <x:c r="N505" s="130" t="n">
        <x:v>79.1</x:v>
      </x:c>
      <x:c r="O505" s="130" t="n">
        <x:v>78.1</x:v>
      </x:c>
      <x:c r="P505" s="130" t="n">
        <x:v>79.1</x:v>
      </x:c>
      <x:c r="Q505" s="130" t="n">
        <x:v>79</x:v>
      </x:c>
      <x:c r="R505" s="130" t="n">
        <x:v>13</x:v>
      </x:c>
      <x:c r="S505" s="128" t="str">
        <x:v>https://arxiv.org/abs/2606.07224</x:v>
      </x:c>
      <x:c r="T505" s="128" t="str">
        <x:v>三轮复核后与原表基本一致</x:v>
      </x:c>
    </x:row>
    <x:row r="506" ht="28" customHeight="1">
      <x:c r="A506" s="129" t="n">
        <x:v>505</x:v>
      </x:c>
      <x:c r="B506" s="129" t="str">
        <x:v>2026-06</x:v>
      </x:c>
      <x:c r="C506" s="129" t="n">
        <x:v>140</x:v>
      </x:c>
      <x:c r="D506" s="129" t="str">
        <x:v>2606.11376</x:v>
      </x:c>
      <x:c r="E506" s="128" t="str">
        <x:v>Global well-posedness of cubic fractional Schrodinger equation with rough data</x:v>
      </x:c>
      <x:c r="F506" s="128" t="str">
        <x:v>Jiajun Wang</x:v>
      </x:c>
      <x:c r="G506" s="128" t="str">
        <x:v>dispersive PDE</x:v>
      </x:c>
      <x:c r="H506" s="129" t="n">
        <x:v>46</x:v>
      </x:c>
      <x:c r="I506" s="130" t="n">
        <x:v>79.57</x:v>
      </x:c>
      <x:c r="J506" s="130" t="n">
        <x:v>78.89</x:v>
      </x:c>
      <x:c r="K506" s="130" t="n">
        <x:v>80.25</x:v>
      </x:c>
      <x:c r="L506" s="130" t="n">
        <x:v>79</x:v>
      </x:c>
      <x:c r="M506" s="130" t="n">
        <x:v>79.1</x:v>
      </x:c>
      <x:c r="N506" s="130" t="n">
        <x:v>79</x:v>
      </x:c>
      <x:c r="O506" s="130" t="n">
        <x:v>78.1</x:v>
      </x:c>
      <x:c r="P506" s="130" t="n">
        <x:v>79.1</x:v>
      </x:c>
      <x:c r="Q506" s="130" t="n">
        <x:v>79</x:v>
      </x:c>
      <x:c r="R506" s="130" t="n">
        <x:v>13</x:v>
      </x:c>
      <x:c r="S506" s="128" t="str">
        <x:v>https://arxiv.org/abs/2606.11376</x:v>
      </x:c>
      <x:c r="T506" s="128" t="str">
        <x:v>三轮复核后与原表基本一致</x:v>
      </x:c>
    </x:row>
    <x:row r="507" ht="28" customHeight="1">
      <x:c r="A507" s="129" t="n">
        <x:v>506</x:v>
      </x:c>
      <x:c r="B507" s="129" t="str">
        <x:v>2026-06</x:v>
      </x:c>
      <x:c r="C507" s="129" t="n">
        <x:v>140</x:v>
      </x:c>
      <x:c r="D507" s="129" t="str">
        <x:v>2606.09374</x:v>
      </x:c>
      <x:c r="E507" s="128" t="str">
        <x:v>Asymptotic analysis of Rayleigh-Lamb dispersion relations under various boundary conditions</x:v>
      </x:c>
      <x:c r="F507" s="128" t="str">
        <x:v>Angele Niclas; Titouan Rocabois</x:v>
      </x:c>
      <x:c r="G507" s="128" t="str">
        <x:v>homogenization/asymptotics</x:v>
      </x:c>
      <x:c r="H507" s="129"/>
      <x:c r="I507" s="130" t="n">
        <x:v>79.57</x:v>
      </x:c>
      <x:c r="J507" s="130" t="n">
        <x:v>78.89</x:v>
      </x:c>
      <x:c r="K507" s="130" t="n">
        <x:v>80.25</x:v>
      </x:c>
      <x:c r="L507" s="130" t="n">
        <x:v>79</x:v>
      </x:c>
      <x:c r="M507" s="130" t="n">
        <x:v>79.1</x:v>
      </x:c>
      <x:c r="N507" s="130" t="n">
        <x:v>79</x:v>
      </x:c>
      <x:c r="O507" s="130" t="n">
        <x:v>78.1</x:v>
      </x:c>
      <x:c r="P507" s="130" t="n">
        <x:v>79.1</x:v>
      </x:c>
      <x:c r="Q507" s="130" t="n">
        <x:v>79</x:v>
      </x:c>
      <x:c r="R507" s="130" t="n">
        <x:v>13</x:v>
      </x:c>
      <x:c r="S507" s="128" t="str">
        <x:v>https://arxiv.org/abs/2606.09374</x:v>
      </x:c>
      <x:c r="T507" s="128" t="str">
        <x:v>三轮复核后与原表基本一致</x:v>
      </x:c>
    </x:row>
    <x:row r="508" ht="28" customHeight="1">
      <x:c r="A508" s="129" t="n">
        <x:v>507</x:v>
      </x:c>
      <x:c r="B508" s="129" t="str">
        <x:v>2026-06</x:v>
      </x:c>
      <x:c r="C508" s="129" t="n">
        <x:v>140</x:v>
      </x:c>
      <x:c r="D508" s="129" t="str">
        <x:v>2606.27690</x:v>
      </x:c>
      <x:c r="E508" s="128" t="str">
        <x:v>Asymptotic stability for monotone traveling kinks of the dissipative Boussinesq problem</x:v>
      </x:c>
      <x:c r="F508" s="128" t="str">
        <x:v>Atanas G. Stefanov</x:v>
      </x:c>
      <x:c r="G508" s="128" t="str">
        <x:v>fluid/kinetic PDE</x:v>
      </x:c>
      <x:c r="H508" s="129"/>
      <x:c r="I508" s="130" t="n">
        <x:v>79.55</x:v>
      </x:c>
      <x:c r="J508" s="130" t="n">
        <x:v>78.88</x:v>
      </x:c>
      <x:c r="K508" s="130" t="n">
        <x:v>80.22</x:v>
      </x:c>
      <x:c r="L508" s="130" t="n">
        <x:v>79</x:v>
      </x:c>
      <x:c r="M508" s="130" t="n">
        <x:v>79</x:v>
      </x:c>
      <x:c r="N508" s="130" t="n">
        <x:v>79.1</x:v>
      </x:c>
      <x:c r="O508" s="130" t="n">
        <x:v>78</x:v>
      </x:c>
      <x:c r="P508" s="130" t="n">
        <x:v>79</x:v>
      </x:c>
      <x:c r="Q508" s="130" t="n">
        <x:v>79</x:v>
      </x:c>
      <x:c r="R508" s="130" t="n">
        <x:v>13</x:v>
      </x:c>
      <x:c r="S508" s="128" t="str">
        <x:v>https://arxiv.org/abs/2606.27690</x:v>
      </x:c>
      <x:c r="T508" s="128" t="str">
        <x:v>三轮复核后与原表基本一致</x:v>
      </x:c>
    </x:row>
    <x:row r="509" ht="28" customHeight="1">
      <x:c r="A509" s="129" t="n">
        <x:v>508</x:v>
      </x:c>
      <x:c r="B509" s="129" t="str">
        <x:v>2026-06</x:v>
      </x:c>
      <x:c r="C509" s="129" t="n">
        <x:v>140</x:v>
      </x:c>
      <x:c r="D509" s="129" t="str">
        <x:v>2606.10990</x:v>
      </x:c>
      <x:c r="E509" s="128" t="str">
        <x:v>Isolated Singularities for Fractional Hartree Equations</x:v>
      </x:c>
      <x:c r="F509" s="128" t="str">
        <x:v>Guangze Gu; Aleks Jevnikar; Zhipeng Yang</x:v>
      </x:c>
      <x:c r="G509" s="128" t="str">
        <x:v>analysis/PDE</x:v>
      </x:c>
      <x:c r="H509" s="129" t="n">
        <x:v>33</x:v>
      </x:c>
      <x:c r="I509" s="130" t="n">
        <x:v>79.53</x:v>
      </x:c>
      <x:c r="J509" s="130" t="n">
        <x:v>78.85</x:v>
      </x:c>
      <x:c r="K509" s="130" t="n">
        <x:v>80.2</x:v>
      </x:c>
      <x:c r="L509" s="130" t="n">
        <x:v>79</x:v>
      </x:c>
      <x:c r="M509" s="130" t="n">
        <x:v>79</x:v>
      </x:c>
      <x:c r="N509" s="130" t="n">
        <x:v>79</x:v>
      </x:c>
      <x:c r="O509" s="130" t="n">
        <x:v>78</x:v>
      </x:c>
      <x:c r="P509" s="130" t="n">
        <x:v>79</x:v>
      </x:c>
      <x:c r="Q509" s="130" t="n">
        <x:v>79</x:v>
      </x:c>
      <x:c r="R509" s="130" t="n">
        <x:v>13</x:v>
      </x:c>
      <x:c r="S509" s="128" t="str">
        <x:v>https://arxiv.org/abs/2606.10990</x:v>
      </x:c>
      <x:c r="T509" s="128" t="str">
        <x:v>三轮复核后与原表基本一致</x:v>
      </x:c>
    </x:row>
    <x:row r="510" ht="28" customHeight="1">
      <x:c r="A510" s="129" t="n">
        <x:v>509</x:v>
      </x:c>
      <x:c r="B510" s="129" t="str">
        <x:v>2026-06</x:v>
      </x:c>
      <x:c r="C510" s="129" t="n">
        <x:v>140</x:v>
      </x:c>
      <x:c r="D510" s="129" t="str">
        <x:v>2606.08537</x:v>
      </x:c>
      <x:c r="E510" s="128" t="str">
        <x:v>Two-bump axisymmetric solutions of the Nirenberg problem</x:v>
      </x:c>
      <x:c r="F510" s="128" t="str">
        <x:v>Yanyan Li; Luc Nguyen; Bo Wang</x:v>
      </x:c>
      <x:c r="G510" s="128" t="str">
        <x:v>analysis/PDE</x:v>
      </x:c>
      <x:c r="H510" s="129"/>
      <x:c r="I510" s="130" t="n">
        <x:v>79.53</x:v>
      </x:c>
      <x:c r="J510" s="130" t="n">
        <x:v>78.85</x:v>
      </x:c>
      <x:c r="K510" s="130" t="n">
        <x:v>80.2</x:v>
      </x:c>
      <x:c r="L510" s="130" t="n">
        <x:v>79</x:v>
      </x:c>
      <x:c r="M510" s="130" t="n">
        <x:v>79</x:v>
      </x:c>
      <x:c r="N510" s="130" t="n">
        <x:v>79</x:v>
      </x:c>
      <x:c r="O510" s="130" t="n">
        <x:v>78</x:v>
      </x:c>
      <x:c r="P510" s="130" t="n">
        <x:v>79</x:v>
      </x:c>
      <x:c r="Q510" s="130" t="n">
        <x:v>79</x:v>
      </x:c>
      <x:c r="R510" s="130" t="n">
        <x:v>13</x:v>
      </x:c>
      <x:c r="S510" s="128" t="str">
        <x:v>https://arxiv.org/abs/2606.08537</x:v>
      </x:c>
      <x:c r="T510" s="128" t="str">
        <x:v>三轮复核后与原表基本一致</x:v>
      </x:c>
    </x:row>
    <x:row r="511" ht="28" customHeight="1">
      <x:c r="A511" s="129" t="n">
        <x:v>510</x:v>
      </x:c>
      <x:c r="B511" s="129" t="str">
        <x:v>2026-06</x:v>
      </x:c>
      <x:c r="C511" s="129" t="n">
        <x:v>140</x:v>
      </x:c>
      <x:c r="D511" s="129" t="str">
        <x:v>2606.06916</x:v>
      </x:c>
      <x:c r="E511" s="128" t="str">
        <x:v>Non-unique solutions to the periodic gKdV equation</x:v>
      </x:c>
      <x:c r="F511" s="128" t="str">
        <x:v>Nicholas Gismondi; Kunyi (Mark) Ma; Mandon Pathak; Alexandru F. Radu</x:v>
      </x:c>
      <x:c r="G511" s="128" t="str">
        <x:v>dispersive PDE</x:v>
      </x:c>
      <x:c r="H511" s="129" t="n">
        <x:v>48</x:v>
      </x:c>
      <x:c r="I511" s="130" t="n">
        <x:v>79.53</x:v>
      </x:c>
      <x:c r="J511" s="130" t="n">
        <x:v>78.85</x:v>
      </x:c>
      <x:c r="K511" s="130" t="n">
        <x:v>80.2</x:v>
      </x:c>
      <x:c r="L511" s="130" t="n">
        <x:v>79</x:v>
      </x:c>
      <x:c r="M511" s="130" t="n">
        <x:v>79</x:v>
      </x:c>
      <x:c r="N511" s="130" t="n">
        <x:v>79</x:v>
      </x:c>
      <x:c r="O511" s="130" t="n">
        <x:v>78</x:v>
      </x:c>
      <x:c r="P511" s="130" t="n">
        <x:v>79</x:v>
      </x:c>
      <x:c r="Q511" s="130" t="n">
        <x:v>79</x:v>
      </x:c>
      <x:c r="R511" s="130" t="n">
        <x:v>13</x:v>
      </x:c>
      <x:c r="S511" s="128" t="str">
        <x:v>https://arxiv.org/abs/2606.06916</x:v>
      </x:c>
      <x:c r="T511" s="128" t="str">
        <x:v>三轮复核后与原表基本一致</x:v>
      </x:c>
    </x:row>
    <x:row r="512" ht="28" customHeight="1">
      <x:c r="A512" s="129" t="n">
        <x:v>511</x:v>
      </x:c>
      <x:c r="B512" s="129" t="str">
        <x:v>2026-06</x:v>
      </x:c>
      <x:c r="C512" s="129" t="n">
        <x:v>140</x:v>
      </x:c>
      <x:c r="D512" s="129" t="str">
        <x:v>2606.06911</x:v>
      </x:c>
      <x:c r="E512" s="128" t="str">
        <x:v>Area-preserving crystalline curvature flow in two dimensions</x:v>
      </x:c>
      <x:c r="F512" s="128" t="str">
        <x:v>Eric Kim</x:v>
      </x:c>
      <x:c r="G512" s="128" t="str">
        <x:v>geometric analysis</x:v>
      </x:c>
      <x:c r="H512" s="129" t="n">
        <x:v>42</x:v>
      </x:c>
      <x:c r="I512" s="130" t="n">
        <x:v>79.53</x:v>
      </x:c>
      <x:c r="J512" s="130" t="n">
        <x:v>78.85</x:v>
      </x:c>
      <x:c r="K512" s="130" t="n">
        <x:v>80.2</x:v>
      </x:c>
      <x:c r="L512" s="130" t="n">
        <x:v>79</x:v>
      </x:c>
      <x:c r="M512" s="130" t="n">
        <x:v>79</x:v>
      </x:c>
      <x:c r="N512" s="130" t="n">
        <x:v>79</x:v>
      </x:c>
      <x:c r="O512" s="130" t="n">
        <x:v>78</x:v>
      </x:c>
      <x:c r="P512" s="130" t="n">
        <x:v>79</x:v>
      </x:c>
      <x:c r="Q512" s="130" t="n">
        <x:v>79</x:v>
      </x:c>
      <x:c r="R512" s="130" t="n">
        <x:v>13</x:v>
      </x:c>
      <x:c r="S512" s="128" t="str">
        <x:v>https://arxiv.org/abs/2606.06911</x:v>
      </x:c>
      <x:c r="T512" s="128" t="str">
        <x:v>三轮复核后与原表基本一致</x:v>
      </x:c>
    </x:row>
    <x:row r="513" ht="28" customHeight="1">
      <x:c r="A513" s="129" t="n">
        <x:v>512</x:v>
      </x:c>
      <x:c r="B513" s="129" t="str">
        <x:v>2026-06</x:v>
      </x:c>
      <x:c r="C513" s="129" t="n">
        <x:v>140</x:v>
      </x:c>
      <x:c r="D513" s="129" t="str">
        <x:v>2606.06636</x:v>
      </x:c>
      <x:c r="E513" s="128" t="str">
        <x:v>On a rod-Kadomtsev-Petviashvili shallow water equation in two dimensions</x:v>
      </x:c>
      <x:c r="F513" s="128" t="str">
        <x:v>Tiantian Zhao; Kai Yan</x:v>
      </x:c>
      <x:c r="G513" s="128" t="str">
        <x:v>analysis/PDE</x:v>
      </x:c>
      <x:c r="H513" s="129" t="n">
        <x:v>36</x:v>
      </x:c>
      <x:c r="I513" s="130" t="n">
        <x:v>79.53</x:v>
      </x:c>
      <x:c r="J513" s="130" t="n">
        <x:v>78.85</x:v>
      </x:c>
      <x:c r="K513" s="130" t="n">
        <x:v>80.2</x:v>
      </x:c>
      <x:c r="L513" s="130" t="n">
        <x:v>79</x:v>
      </x:c>
      <x:c r="M513" s="130" t="n">
        <x:v>79</x:v>
      </x:c>
      <x:c r="N513" s="130" t="n">
        <x:v>79</x:v>
      </x:c>
      <x:c r="O513" s="130" t="n">
        <x:v>78</x:v>
      </x:c>
      <x:c r="P513" s="130" t="n">
        <x:v>79</x:v>
      </x:c>
      <x:c r="Q513" s="130" t="n">
        <x:v>79</x:v>
      </x:c>
      <x:c r="R513" s="130" t="n">
        <x:v>13</x:v>
      </x:c>
      <x:c r="S513" s="128" t="str">
        <x:v>https://arxiv.org/abs/2606.06636</x:v>
      </x:c>
      <x:c r="T513" s="128" t="str">
        <x:v>三轮复核后与原表基本一致</x:v>
      </x:c>
    </x:row>
    <x:row r="514" ht="28" customHeight="1">
      <x:c r="A514" s="129" t="n">
        <x:v>513</x:v>
      </x:c>
      <x:c r="B514" s="129" t="str">
        <x:v>2026-06</x:v>
      </x:c>
      <x:c r="C514" s="129" t="n">
        <x:v>140</x:v>
      </x:c>
      <x:c r="D514" s="129" t="str">
        <x:v>2606.06206</x:v>
      </x:c>
      <x:c r="E514" s="128" t="str">
        <x:v>Local and global properties of solutions of an elliptic equation involving exponential and gradient reaction</x:v>
      </x:c>
      <x:c r="F514" s="128" t="str">
        <x:v>Marie-Francoise Bidaut-Veron; Marta Garcia-Huidobro; Laurent Veron</x:v>
      </x:c>
      <x:c r="G514" s="128" t="str">
        <x:v>elliptic/parabolic regularity</x:v>
      </x:c>
      <x:c r="H514" s="129" t="n">
        <x:v>42</x:v>
      </x:c>
      <x:c r="I514" s="130" t="n">
        <x:v>79.53</x:v>
      </x:c>
      <x:c r="J514" s="130" t="n">
        <x:v>78.85</x:v>
      </x:c>
      <x:c r="K514" s="130" t="n">
        <x:v>80.2</x:v>
      </x:c>
      <x:c r="L514" s="130" t="n">
        <x:v>79</x:v>
      </x:c>
      <x:c r="M514" s="130" t="n">
        <x:v>79</x:v>
      </x:c>
      <x:c r="N514" s="130" t="n">
        <x:v>79</x:v>
      </x:c>
      <x:c r="O514" s="130" t="n">
        <x:v>78</x:v>
      </x:c>
      <x:c r="P514" s="130" t="n">
        <x:v>79</x:v>
      </x:c>
      <x:c r="Q514" s="130" t="n">
        <x:v>79</x:v>
      </x:c>
      <x:c r="R514" s="130" t="n">
        <x:v>13</x:v>
      </x:c>
      <x:c r="S514" s="128" t="str">
        <x:v>https://arxiv.org/abs/2606.06206</x:v>
      </x:c>
      <x:c r="T514" s="128" t="str">
        <x:v>三轮复核后与原表基本一致</x:v>
      </x:c>
    </x:row>
    <x:row r="515" ht="28" customHeight="1">
      <x:c r="A515" s="129" t="n">
        <x:v>514</x:v>
      </x:c>
      <x:c r="B515" s="129" t="str">
        <x:v>2026-06</x:v>
      </x:c>
      <x:c r="C515" s="129" t="n">
        <x:v>140</x:v>
      </x:c>
      <x:c r="D515" s="129" t="str">
        <x:v>2606.05593</x:v>
      </x:c>
      <x:c r="E515" s="128" t="str">
        <x:v>Interface problems of mixed spatial order</x:v>
      </x:c>
      <x:c r="F515" s="128" t="str">
        <x:v>Dionyssios Mantzavinos; Ravindra Pethiyagoda; Dave Smith</x:v>
      </x:c>
      <x:c r="G515" s="128" t="str">
        <x:v>analysis/PDE</x:v>
      </x:c>
      <x:c r="H515" s="129" t="n">
        <x:v>34</x:v>
      </x:c>
      <x:c r="I515" s="130" t="n">
        <x:v>79.53</x:v>
      </x:c>
      <x:c r="J515" s="130" t="n">
        <x:v>78.85</x:v>
      </x:c>
      <x:c r="K515" s="130" t="n">
        <x:v>80.2</x:v>
      </x:c>
      <x:c r="L515" s="130" t="n">
        <x:v>79</x:v>
      </x:c>
      <x:c r="M515" s="130" t="n">
        <x:v>79</x:v>
      </x:c>
      <x:c r="N515" s="130" t="n">
        <x:v>79</x:v>
      </x:c>
      <x:c r="O515" s="130" t="n">
        <x:v>78</x:v>
      </x:c>
      <x:c r="P515" s="130" t="n">
        <x:v>79</x:v>
      </x:c>
      <x:c r="Q515" s="130" t="n">
        <x:v>79</x:v>
      </x:c>
      <x:c r="R515" s="130" t="n">
        <x:v>13</x:v>
      </x:c>
      <x:c r="S515" s="128" t="str">
        <x:v>https://arxiv.org/abs/2606.05593</x:v>
      </x:c>
      <x:c r="T515" s="128" t="str">
        <x:v>三轮复核后与原表基本一致</x:v>
      </x:c>
    </x:row>
    <x:row r="516" ht="28" customHeight="1">
      <x:c r="A516" s="129" t="n">
        <x:v>515</x:v>
      </x:c>
      <x:c r="B516" s="129" t="str">
        <x:v>2026-06</x:v>
      </x:c>
      <x:c r="C516" s="129" t="n">
        <x:v>140</x:v>
      </x:c>
      <x:c r="D516" s="129" t="str">
        <x:v>2606.04270</x:v>
      </x:c>
      <x:c r="E516" s="128" t="str">
        <x:v>Space-Time Duality in Relativistic Diffusion via Subordination</x:v>
      </x:c>
      <x:c r="F516" s="128" t="str">
        <x:v>Cheng-Gang Li</x:v>
      </x:c>
      <x:c r="G516" s="128" t="str">
        <x:v>analysis/PDE</x:v>
      </x:c>
      <x:c r="H516" s="129"/>
      <x:c r="I516" s="130" t="n">
        <x:v>79.53</x:v>
      </x:c>
      <x:c r="J516" s="130" t="n">
        <x:v>78.85</x:v>
      </x:c>
      <x:c r="K516" s="130" t="n">
        <x:v>80.2</x:v>
      </x:c>
      <x:c r="L516" s="130" t="n">
        <x:v>79</x:v>
      </x:c>
      <x:c r="M516" s="130" t="n">
        <x:v>79</x:v>
      </x:c>
      <x:c r="N516" s="130" t="n">
        <x:v>79</x:v>
      </x:c>
      <x:c r="O516" s="130" t="n">
        <x:v>78</x:v>
      </x:c>
      <x:c r="P516" s="130" t="n">
        <x:v>79</x:v>
      </x:c>
      <x:c r="Q516" s="130" t="n">
        <x:v>79</x:v>
      </x:c>
      <x:c r="R516" s="130" t="n">
        <x:v>13</x:v>
      </x:c>
      <x:c r="S516" s="128" t="str">
        <x:v>https://arxiv.org/abs/2606.04270</x:v>
      </x:c>
      <x:c r="T516" s="128" t="str">
        <x:v>三轮复核后与原表基本一致</x:v>
      </x:c>
    </x:row>
    <x:row r="517" ht="28" customHeight="1">
      <x:c r="A517" s="129" t="n">
        <x:v>516</x:v>
      </x:c>
      <x:c r="B517" s="129" t="str">
        <x:v>2026-06</x:v>
      </x:c>
      <x:c r="C517" s="129" t="n">
        <x:v>140</x:v>
      </x:c>
      <x:c r="D517" s="129" t="str">
        <x:v>2606.03840</x:v>
      </x:c>
      <x:c r="E517" s="128" t="str">
        <x:v>On a system of semilinear damped sigma-evolution equations with different damping types in the critical case</x:v>
      </x:c>
      <x:c r="F517" s="128" t="str">
        <x:v>Trung Loc Tang; Tuan Anh Dao; The Anh Cung</x:v>
      </x:c>
      <x:c r="G517" s="128" t="str">
        <x:v>analysis/PDE</x:v>
      </x:c>
      <x:c r="H517" s="129"/>
      <x:c r="I517" s="130" t="n">
        <x:v>79.53</x:v>
      </x:c>
      <x:c r="J517" s="130" t="n">
        <x:v>78.85</x:v>
      </x:c>
      <x:c r="K517" s="130" t="n">
        <x:v>80.2</x:v>
      </x:c>
      <x:c r="L517" s="130" t="n">
        <x:v>79</x:v>
      </x:c>
      <x:c r="M517" s="130" t="n">
        <x:v>79</x:v>
      </x:c>
      <x:c r="N517" s="130" t="n">
        <x:v>79</x:v>
      </x:c>
      <x:c r="O517" s="130" t="n">
        <x:v>78</x:v>
      </x:c>
      <x:c r="P517" s="130" t="n">
        <x:v>79</x:v>
      </x:c>
      <x:c r="Q517" s="130" t="n">
        <x:v>79</x:v>
      </x:c>
      <x:c r="R517" s="130" t="n">
        <x:v>13</x:v>
      </x:c>
      <x:c r="S517" s="128" t="str">
        <x:v>https://arxiv.org/abs/2606.03840</x:v>
      </x:c>
      <x:c r="T517" s="128" t="str">
        <x:v>三轮复核后与原表基本一致</x:v>
      </x:c>
    </x:row>
    <x:row r="518" ht="28" customHeight="1">
      <x:c r="A518" s="129" t="n">
        <x:v>517</x:v>
      </x:c>
      <x:c r="B518" s="129" t="str">
        <x:v>2026-06</x:v>
      </x:c>
      <x:c r="C518" s="129" t="n">
        <x:v>140</x:v>
      </x:c>
      <x:c r="D518" s="129" t="str">
        <x:v>2606.02899</x:v>
      </x:c>
      <x:c r="E518" s="128" t="str">
        <x:v>A coupled prediction-correction Hughes' model for congested crowd motion</x:v>
      </x:c>
      <x:c r="F518" s="128" t="str">
        <x:v>Hamza Ennaji; Noureddine Igbida; Ghadir Jradi; Jose Miguel Urbano</x:v>
      </x:c>
      <x:c r="G518" s="128" t="str">
        <x:v>analysis/PDE</x:v>
      </x:c>
      <x:c r="H518" s="129"/>
      <x:c r="I518" s="130" t="n">
        <x:v>79.53</x:v>
      </x:c>
      <x:c r="J518" s="130" t="n">
        <x:v>78.85</x:v>
      </x:c>
      <x:c r="K518" s="130" t="n">
        <x:v>80.2</x:v>
      </x:c>
      <x:c r="L518" s="130" t="n">
        <x:v>79</x:v>
      </x:c>
      <x:c r="M518" s="130" t="n">
        <x:v>79</x:v>
      </x:c>
      <x:c r="N518" s="130" t="n">
        <x:v>79</x:v>
      </x:c>
      <x:c r="O518" s="130" t="n">
        <x:v>78</x:v>
      </x:c>
      <x:c r="P518" s="130" t="n">
        <x:v>79</x:v>
      </x:c>
      <x:c r="Q518" s="130" t="n">
        <x:v>79</x:v>
      </x:c>
      <x:c r="R518" s="130" t="n">
        <x:v>13</x:v>
      </x:c>
      <x:c r="S518" s="128" t="str">
        <x:v>https://arxiv.org/abs/2606.02899</x:v>
      </x:c>
      <x:c r="T518" s="128" t="str">
        <x:v>三轮复核后与原表基本一致</x:v>
      </x:c>
    </x:row>
    <x:row r="519" ht="28" customHeight="1">
      <x:c r="A519" s="129" t="n">
        <x:v>518</x:v>
      </x:c>
      <x:c r="B519" s="129" t="str">
        <x:v>2026-06</x:v>
      </x:c>
      <x:c r="C519" s="129" t="n">
        <x:v>140</x:v>
      </x:c>
      <x:c r="D519" s="129" t="str">
        <x:v>2606.02426</x:v>
      </x:c>
      <x:c r="E519" s="128" t="str">
        <x:v>Physical-Space Scarring in Generic Bunimovich Stadia</x:v>
      </x:c>
      <x:c r="F519" s="128" t="str">
        <x:v>Heng Li; Xizhi Liu</x:v>
      </x:c>
      <x:c r="G519" s="128" t="str">
        <x:v>analysis/PDE</x:v>
      </x:c>
      <x:c r="H519" s="129"/>
      <x:c r="I519" s="130" t="n">
        <x:v>79.53</x:v>
      </x:c>
      <x:c r="J519" s="130" t="n">
        <x:v>78.85</x:v>
      </x:c>
      <x:c r="K519" s="130" t="n">
        <x:v>80.2</x:v>
      </x:c>
      <x:c r="L519" s="130" t="n">
        <x:v>79</x:v>
      </x:c>
      <x:c r="M519" s="130" t="n">
        <x:v>79</x:v>
      </x:c>
      <x:c r="N519" s="130" t="n">
        <x:v>79</x:v>
      </x:c>
      <x:c r="O519" s="130" t="n">
        <x:v>78</x:v>
      </x:c>
      <x:c r="P519" s="130" t="n">
        <x:v>79</x:v>
      </x:c>
      <x:c r="Q519" s="130" t="n">
        <x:v>79</x:v>
      </x:c>
      <x:c r="R519" s="130" t="n">
        <x:v>13</x:v>
      </x:c>
      <x:c r="S519" s="128" t="str">
        <x:v>https://arxiv.org/abs/2606.02426</x:v>
      </x:c>
      <x:c r="T519" s="128" t="str">
        <x:v>三轮复核后与原表基本一致</x:v>
      </x:c>
    </x:row>
    <x:row r="520" ht="28" customHeight="1">
      <x:c r="A520" s="129" t="n">
        <x:v>519</x:v>
      </x:c>
      <x:c r="B520" s="129" t="str">
        <x:v>2026-06</x:v>
      </x:c>
      <x:c r="C520" s="129" t="n">
        <x:v>140</x:v>
      </x:c>
      <x:c r="D520" s="129" t="str">
        <x:v>2606.02141</x:v>
      </x:c>
      <x:c r="E520" s="128" t="str">
        <x:v>Normalized solutions to an exponential growth Choquard equation driven by mixed local-nonlocal operator in R^2</x:v>
      </x:c>
      <x:c r="F520" s="128" t="str">
        <x:v>Nidhi Nidhi; L. Sharma; K. Sreenadh</x:v>
      </x:c>
      <x:c r="G520" s="128" t="str">
        <x:v>analysis/PDE</x:v>
      </x:c>
      <x:c r="H520" s="129"/>
      <x:c r="I520" s="130" t="n">
        <x:v>79.53</x:v>
      </x:c>
      <x:c r="J520" s="130" t="n">
        <x:v>78.85</x:v>
      </x:c>
      <x:c r="K520" s="130" t="n">
        <x:v>80.2</x:v>
      </x:c>
      <x:c r="L520" s="130" t="n">
        <x:v>79</x:v>
      </x:c>
      <x:c r="M520" s="130" t="n">
        <x:v>79</x:v>
      </x:c>
      <x:c r="N520" s="130" t="n">
        <x:v>79</x:v>
      </x:c>
      <x:c r="O520" s="130" t="n">
        <x:v>78</x:v>
      </x:c>
      <x:c r="P520" s="130" t="n">
        <x:v>79</x:v>
      </x:c>
      <x:c r="Q520" s="130" t="n">
        <x:v>79</x:v>
      </x:c>
      <x:c r="R520" s="130" t="n">
        <x:v>13</x:v>
      </x:c>
      <x:c r="S520" s="128" t="str">
        <x:v>https://arxiv.org/abs/2606.02141</x:v>
      </x:c>
      <x:c r="T520" s="128" t="str">
        <x:v>三轮复核后与原表基本一致</x:v>
      </x:c>
    </x:row>
    <x:row r="521" ht="28" customHeight="1">
      <x:c r="A521" s="129" t="n">
        <x:v>520</x:v>
      </x:c>
      <x:c r="B521" s="129" t="str">
        <x:v>2026-06</x:v>
      </x:c>
      <x:c r="C521" s="129" t="n">
        <x:v>140</x:v>
      </x:c>
      <x:c r="D521" s="129" t="str">
        <x:v>2606.01913</x:v>
      </x:c>
      <x:c r="E521" s="128" t="str">
        <x:v>Three-scale singular limits with applications to rapidly rotating fluids and the hyperbolization of dispersive systems</x:v>
      </x:c>
      <x:c r="F521" s="128" t="str">
        <x:v>Vincent Duchene; Arnaud Duran; Khawla Msheik</x:v>
      </x:c>
      <x:c r="G521" s="128" t="str">
        <x:v>fluid/kinetic PDE</x:v>
      </x:c>
      <x:c r="H521" s="129"/>
      <x:c r="I521" s="130" t="n">
        <x:v>79.53</x:v>
      </x:c>
      <x:c r="J521" s="130" t="n">
        <x:v>78.85</x:v>
      </x:c>
      <x:c r="K521" s="130" t="n">
        <x:v>80.2</x:v>
      </x:c>
      <x:c r="L521" s="130" t="n">
        <x:v>79</x:v>
      </x:c>
      <x:c r="M521" s="130" t="n">
        <x:v>79</x:v>
      </x:c>
      <x:c r="N521" s="130" t="n">
        <x:v>79</x:v>
      </x:c>
      <x:c r="O521" s="130" t="n">
        <x:v>78</x:v>
      </x:c>
      <x:c r="P521" s="130" t="n">
        <x:v>79</x:v>
      </x:c>
      <x:c r="Q521" s="130" t="n">
        <x:v>79</x:v>
      </x:c>
      <x:c r="R521" s="130" t="n">
        <x:v>13</x:v>
      </x:c>
      <x:c r="S521" s="128" t="str">
        <x:v>https://arxiv.org/abs/2606.01913</x:v>
      </x:c>
      <x:c r="T521" s="128" t="str">
        <x:v>三轮复核后与原表基本一致</x:v>
      </x:c>
    </x:row>
    <x:row r="522" ht="28" customHeight="1">
      <x:c r="A522" s="129" t="n">
        <x:v>521</x:v>
      </x:c>
      <x:c r="B522" s="129" t="str">
        <x:v>2026-06</x:v>
      </x:c>
      <x:c r="C522" s="129" t="n">
        <x:v>140</x:v>
      </x:c>
      <x:c r="D522" s="129" t="str">
        <x:v>2606.01692</x:v>
      </x:c>
      <x:c r="E522" s="128" t="str">
        <x:v>On Dancer-type solutions for the Lane-Emden equation via semivirial-vanishing geometry</x:v>
      </x:c>
      <x:c r="F522" s="128" t="str">
        <x:v>Yongming Luo</x:v>
      </x:c>
      <x:c r="G522" s="128" t="str">
        <x:v>analysis/PDE</x:v>
      </x:c>
      <x:c r="H522" s="129"/>
      <x:c r="I522" s="130" t="n">
        <x:v>79.53</x:v>
      </x:c>
      <x:c r="J522" s="130" t="n">
        <x:v>78.85</x:v>
      </x:c>
      <x:c r="K522" s="130" t="n">
        <x:v>80.2</x:v>
      </x:c>
      <x:c r="L522" s="130" t="n">
        <x:v>79</x:v>
      </x:c>
      <x:c r="M522" s="130" t="n">
        <x:v>79</x:v>
      </x:c>
      <x:c r="N522" s="130" t="n">
        <x:v>79</x:v>
      </x:c>
      <x:c r="O522" s="130" t="n">
        <x:v>78</x:v>
      </x:c>
      <x:c r="P522" s="130" t="n">
        <x:v>79</x:v>
      </x:c>
      <x:c r="Q522" s="130" t="n">
        <x:v>79</x:v>
      </x:c>
      <x:c r="R522" s="130" t="n">
        <x:v>13</x:v>
      </x:c>
      <x:c r="S522" s="128" t="str">
        <x:v>https://arxiv.org/abs/2606.01692</x:v>
      </x:c>
      <x:c r="T522" s="128" t="str">
        <x:v>三轮复核后与原表基本一致</x:v>
      </x:c>
    </x:row>
    <x:row r="523" ht="28" customHeight="1">
      <x:c r="A523" s="129" t="n">
        <x:v>522</x:v>
      </x:c>
      <x:c r="B523" s="129" t="str">
        <x:v>2026-06</x:v>
      </x:c>
      <x:c r="C523" s="129" t="n">
        <x:v>140</x:v>
      </x:c>
      <x:c r="D523" s="129" t="str">
        <x:v>2606.01430</x:v>
      </x:c>
      <x:c r="E523" s="128" t="str">
        <x:v>A variational approach to ferronematics with a dimension reduction</x:v>
      </x:c>
      <x:c r="F523" s="128" t="str">
        <x:v>Shilpa Dutta</x:v>
      </x:c>
      <x:c r="G523" s="128" t="str">
        <x:v>analysis/PDE</x:v>
      </x:c>
      <x:c r="H523" s="129"/>
      <x:c r="I523" s="130" t="n">
        <x:v>79.53</x:v>
      </x:c>
      <x:c r="J523" s="130" t="n">
        <x:v>78.85</x:v>
      </x:c>
      <x:c r="K523" s="130" t="n">
        <x:v>80.2</x:v>
      </x:c>
      <x:c r="L523" s="130" t="n">
        <x:v>79</x:v>
      </x:c>
      <x:c r="M523" s="130" t="n">
        <x:v>79</x:v>
      </x:c>
      <x:c r="N523" s="130" t="n">
        <x:v>79</x:v>
      </x:c>
      <x:c r="O523" s="130" t="n">
        <x:v>78</x:v>
      </x:c>
      <x:c r="P523" s="130" t="n">
        <x:v>79</x:v>
      </x:c>
      <x:c r="Q523" s="130" t="n">
        <x:v>79</x:v>
      </x:c>
      <x:c r="R523" s="130" t="n">
        <x:v>13</x:v>
      </x:c>
      <x:c r="S523" s="128" t="str">
        <x:v>https://arxiv.org/abs/2606.01430</x:v>
      </x:c>
      <x:c r="T523" s="128" t="str">
        <x:v>三轮复核后与原表基本一致</x:v>
      </x:c>
    </x:row>
    <x:row r="524" ht="28" customHeight="1">
      <x:c r="A524" s="129" t="n">
        <x:v>523</x:v>
      </x:c>
      <x:c r="B524" s="129" t="str">
        <x:v>2026-06</x:v>
      </x:c>
      <x:c r="C524" s="129" t="n">
        <x:v>140</x:v>
      </x:c>
      <x:c r="D524" s="129" t="str">
        <x:v>2606.01073</x:v>
      </x:c>
      <x:c r="E524" s="128" t="str">
        <x:v>On admissible solutions to the coupled Riemann problem with heat-flux discontinuity</x:v>
      </x:c>
      <x:c r="F524" s="128" t="str">
        <x:v>Changsheng Yu; Tiegang Liu</x:v>
      </x:c>
      <x:c r="G524" s="128" t="str">
        <x:v>analysis/PDE</x:v>
      </x:c>
      <x:c r="H524" s="129"/>
      <x:c r="I524" s="130" t="n">
        <x:v>79.53</x:v>
      </x:c>
      <x:c r="J524" s="130" t="n">
        <x:v>78.85</x:v>
      </x:c>
      <x:c r="K524" s="130" t="n">
        <x:v>80.2</x:v>
      </x:c>
      <x:c r="L524" s="130" t="n">
        <x:v>79</x:v>
      </x:c>
      <x:c r="M524" s="130" t="n">
        <x:v>79</x:v>
      </x:c>
      <x:c r="N524" s="130" t="n">
        <x:v>79</x:v>
      </x:c>
      <x:c r="O524" s="130" t="n">
        <x:v>78</x:v>
      </x:c>
      <x:c r="P524" s="130" t="n">
        <x:v>79</x:v>
      </x:c>
      <x:c r="Q524" s="130" t="n">
        <x:v>79</x:v>
      </x:c>
      <x:c r="R524" s="130" t="n">
        <x:v>13</x:v>
      </x:c>
      <x:c r="S524" s="128" t="str">
        <x:v>https://arxiv.org/abs/2606.01073</x:v>
      </x:c>
      <x:c r="T524" s="128" t="str">
        <x:v>三轮复核后与原表基本一致</x:v>
      </x:c>
    </x:row>
    <x:row r="525" ht="28" customHeight="1">
      <x:c r="A525" s="129" t="n">
        <x:v>524</x:v>
      </x:c>
      <x:c r="B525" s="129" t="str">
        <x:v>2026-06</x:v>
      </x:c>
      <x:c r="C525" s="129" t="n">
        <x:v>140</x:v>
      </x:c>
      <x:c r="D525" s="129" t="str">
        <x:v>2606.03684</x:v>
      </x:c>
      <x:c r="E525" s="128" t="str">
        <x:v>To 1/2-logconcavity and beyond: Geometric properties of Dirichlet eigenfunctions</x:v>
      </x:c>
      <x:c r="F525" s="128" t="str">
        <x:v>Lei Qin; Jin Sun; Kui Wang</x:v>
      </x:c>
      <x:c r="G525" s="128" t="str">
        <x:v>geometric analysis</x:v>
      </x:c>
      <x:c r="H525" s="129" t="n">
        <x:v>22</x:v>
      </x:c>
      <x:c r="I525" s="130" t="n">
        <x:v>79.52</x:v>
      </x:c>
      <x:c r="J525" s="130" t="n">
        <x:v>78.85</x:v>
      </x:c>
      <x:c r="K525" s="130" t="n">
        <x:v>80.18</x:v>
      </x:c>
      <x:c r="L525" s="130" t="n">
        <x:v>79</x:v>
      </x:c>
      <x:c r="M525" s="130" t="n">
        <x:v>79</x:v>
      </x:c>
      <x:c r="N525" s="130" t="n">
        <x:v>79</x:v>
      </x:c>
      <x:c r="O525" s="130" t="n">
        <x:v>78</x:v>
      </x:c>
      <x:c r="P525" s="130" t="n">
        <x:v>79</x:v>
      </x:c>
      <x:c r="Q525" s="130" t="n">
        <x:v>79</x:v>
      </x:c>
      <x:c r="R525" s="130" t="n">
        <x:v>13.1</x:v>
      </x:c>
      <x:c r="S525" s="128" t="str">
        <x:v>https://arxiv.org/abs/2606.03684</x:v>
      </x:c>
      <x:c r="T525" s="128" t="str">
        <x:v>三轮复核后与原表基本一致</x:v>
      </x:c>
    </x:row>
    <x:row r="526" ht="28" customHeight="1">
      <x:c r="A526" s="129" t="n">
        <x:v>525</x:v>
      </x:c>
      <x:c r="B526" s="129" t="str">
        <x:v>2026-06</x:v>
      </x:c>
      <x:c r="C526" s="129" t="n">
        <x:v>140</x:v>
      </x:c>
      <x:c r="D526" s="129" t="str">
        <x:v>2606.02227</x:v>
      </x:c>
      <x:c r="E526" s="128" t="str">
        <x:v>On a class of critical Schrodinger-Poisson systems involving the (p,q)-Laplacian</x:v>
      </x:c>
      <x:c r="F526" s="128" t="str">
        <x:v>Laura Baldelli; Roberta Filippucci</x:v>
      </x:c>
      <x:c r="G526" s="128" t="str">
        <x:v>dispersive PDE</x:v>
      </x:c>
      <x:c r="H526" s="129"/>
      <x:c r="I526" s="130" t="n">
        <x:v>79.52</x:v>
      </x:c>
      <x:c r="J526" s="130" t="n">
        <x:v>78.84</x:v>
      </x:c>
      <x:c r="K526" s="130" t="n">
        <x:v>80.2</x:v>
      </x:c>
      <x:c r="L526" s="130" t="n">
        <x:v>79</x:v>
      </x:c>
      <x:c r="M526" s="130" t="n">
        <x:v>79</x:v>
      </x:c>
      <x:c r="N526" s="130" t="n">
        <x:v>79</x:v>
      </x:c>
      <x:c r="O526" s="130" t="n">
        <x:v>77.9</x:v>
      </x:c>
      <x:c r="P526" s="130" t="n">
        <x:v>79</x:v>
      </x:c>
      <x:c r="Q526" s="130" t="n">
        <x:v>79</x:v>
      </x:c>
      <x:c r="R526" s="130" t="n">
        <x:v>13</x:v>
      </x:c>
      <x:c r="S526" s="128" t="str">
        <x:v>https://arxiv.org/abs/2606.02227</x:v>
      </x:c>
      <x:c r="T526" s="128" t="str">
        <x:v>范围偏专门，广度轻微回调</x:v>
      </x:c>
    </x:row>
    <x:row r="527" ht="28" customHeight="1">
      <x:c r="A527" s="129" t="n">
        <x:v>526</x:v>
      </x:c>
      <x:c r="B527" s="129" t="str">
        <x:v>2026-06</x:v>
      </x:c>
      <x:c r="C527" s="129" t="n">
        <x:v>166</x:v>
      </x:c>
      <x:c r="D527" s="129" t="str">
        <x:v>2606.04682</x:v>
      </x:c>
      <x:c r="E527" s="128" t="str">
        <x:v>L^2-boundedness of the n-th Calderon commutator on Lipschitz graphs</x:v>
      </x:c>
      <x:c r="F527" s="128" t="str">
        <x:v>Joan Hernandez; Joan Mateu; Laura Prat</x:v>
      </x:c>
      <x:c r="G527" s="128" t="str">
        <x:v>inverse/scattering</x:v>
      </x:c>
      <x:c r="H527" s="129"/>
      <x:c r="I527" s="130" t="n">
        <x:v>79.5</x:v>
      </x:c>
      <x:c r="J527" s="130" t="n">
        <x:v>78.98</x:v>
      </x:c>
      <x:c r="K527" s="130" t="n">
        <x:v>80.02</x:v>
      </x:c>
      <x:c r="L527" s="130" t="n">
        <x:v>80</x:v>
      </x:c>
      <x:c r="M527" s="130" t="n">
        <x:v>78</x:v>
      </x:c>
      <x:c r="N527" s="130" t="n">
        <x:v>79.1</x:v>
      </x:c>
      <x:c r="O527" s="130" t="n">
        <x:v>78</x:v>
      </x:c>
      <x:c r="P527" s="130" t="n">
        <x:v>79</x:v>
      </x:c>
      <x:c r="Q527" s="130" t="n">
        <x:v>79</x:v>
      </x:c>
      <x:c r="R527" s="130" t="n">
        <x:v>13</x:v>
      </x:c>
      <x:c r="S527" s="128" t="str">
        <x:v>https://arxiv.org/abs/2606.04682</x:v>
      </x:c>
      <x:c r="T527" s="128" t="str">
        <x:v>三轮复核后与原表基本一致</x:v>
      </x:c>
    </x:row>
    <x:row r="528" ht="28" customHeight="1">
      <x:c r="A528" s="129" t="n">
        <x:v>527</x:v>
      </x:c>
      <x:c r="B528" s="129" t="str">
        <x:v>2026-06</x:v>
      </x:c>
      <x:c r="C528" s="129" t="n">
        <x:v>140</x:v>
      </x:c>
      <x:c r="D528" s="129" t="str">
        <x:v>2606.09775</x:v>
      </x:c>
      <x:c r="E528" s="128" t="str">
        <x:v>Linear Stability of the Lamb-Chaplygin Dipole</x:v>
      </x:c>
      <x:c r="F528" s="128" t="str">
        <x:v>Francesco Pio Numero; Paolo Ventura</x:v>
      </x:c>
      <x:c r="G528" s="128" t="str">
        <x:v>analysis/PDE</x:v>
      </x:c>
      <x:c r="H528" s="129" t="n">
        <x:v>16</x:v>
      </x:c>
      <x:c r="I528" s="130" t="n">
        <x:v>79.5</x:v>
      </x:c>
      <x:c r="J528" s="130" t="n">
        <x:v>78.85</x:v>
      </x:c>
      <x:c r="K528" s="130" t="n">
        <x:v>80.15</x:v>
      </x:c>
      <x:c r="L528" s="130" t="n">
        <x:v>79</x:v>
      </x:c>
      <x:c r="M528" s="130" t="n">
        <x:v>79</x:v>
      </x:c>
      <x:c r="N528" s="130" t="n">
        <x:v>79</x:v>
      </x:c>
      <x:c r="O528" s="130" t="n">
        <x:v>78</x:v>
      </x:c>
      <x:c r="P528" s="130" t="n">
        <x:v>79</x:v>
      </x:c>
      <x:c r="Q528" s="130" t="n">
        <x:v>79</x:v>
      </x:c>
      <x:c r="R528" s="130" t="n">
        <x:v>13.3</x:v>
      </x:c>
      <x:c r="S528" s="128" t="str">
        <x:v>https://arxiv.org/abs/2606.09775</x:v>
      </x:c>
      <x:c r="T528" s="128" t="str">
        <x:v>三轮复核后与原表基本一致</x:v>
      </x:c>
    </x:row>
    <x:row r="529" ht="28" customHeight="1">
      <x:c r="A529" s="129" t="n">
        <x:v>528</x:v>
      </x:c>
      <x:c r="B529" s="129" t="str">
        <x:v>2026-06</x:v>
      </x:c>
      <x:c r="C529" s="129" t="n">
        <x:v>140</x:v>
      </x:c>
      <x:c r="D529" s="129" t="str">
        <x:v>2606.04230</x:v>
      </x:c>
      <x:c r="E529" s="128" t="str">
        <x:v>Study via Approximate Symmetries of the Emergence of Secondary Flux in the Bevilacqua-Galeao Model</x:v>
      </x:c>
      <x:c r="F529" s="128" t="str">
        <x:v>Yuri Bozhkov; Stylianos Dimas; Antonio J. Silva Neto</x:v>
      </x:c>
      <x:c r="G529" s="128" t="str">
        <x:v>analysis/PDE</x:v>
      </x:c>
      <x:c r="H529" s="129" t="n">
        <x:v>16</x:v>
      </x:c>
      <x:c r="I529" s="130" t="n">
        <x:v>79.5</x:v>
      </x:c>
      <x:c r="J529" s="130" t="n">
        <x:v>78.85</x:v>
      </x:c>
      <x:c r="K529" s="130" t="n">
        <x:v>80.15</x:v>
      </x:c>
      <x:c r="L529" s="130" t="n">
        <x:v>79</x:v>
      </x:c>
      <x:c r="M529" s="130" t="n">
        <x:v>79</x:v>
      </x:c>
      <x:c r="N529" s="130" t="n">
        <x:v>79</x:v>
      </x:c>
      <x:c r="O529" s="130" t="n">
        <x:v>78</x:v>
      </x:c>
      <x:c r="P529" s="130" t="n">
        <x:v>79</x:v>
      </x:c>
      <x:c r="Q529" s="130" t="n">
        <x:v>79</x:v>
      </x:c>
      <x:c r="R529" s="130" t="n">
        <x:v>13.3</x:v>
      </x:c>
      <x:c r="S529" s="128" t="str">
        <x:v>https://arxiv.org/abs/2606.04230</x:v>
      </x:c>
      <x:c r="T529" s="128" t="str">
        <x:v>三轮复核后与原表基本一致</x:v>
      </x:c>
    </x:row>
    <x:row r="530" ht="28" customHeight="1">
      <x:c r="A530" s="129" t="n">
        <x:v>529</x:v>
      </x:c>
      <x:c r="B530" s="129" t="str">
        <x:v>2026-06</x:v>
      </x:c>
      <x:c r="C530" s="129" t="n">
        <x:v>140</x:v>
      </x:c>
      <x:c r="D530" s="129" t="str">
        <x:v>2606.04195</x:v>
      </x:c>
      <x:c r="E530" s="128" t="str">
        <x:v>Kernel-Robust Dynamics for Reaction-Diffusion Equations with Measure-Valued Delay</x:v>
      </x:c>
      <x:c r="F530" s="128" t="str">
        <x:v>Lennon Shikhman</x:v>
      </x:c>
      <x:c r="G530" s="128" t="str">
        <x:v>analysis/PDE</x:v>
      </x:c>
      <x:c r="H530" s="129" t="n">
        <x:v>18</x:v>
      </x:c>
      <x:c r="I530" s="130" t="n">
        <x:v>79.5</x:v>
      </x:c>
      <x:c r="J530" s="130" t="n">
        <x:v>78.85</x:v>
      </x:c>
      <x:c r="K530" s="130" t="n">
        <x:v>80.15</x:v>
      </x:c>
      <x:c r="L530" s="130" t="n">
        <x:v>79</x:v>
      </x:c>
      <x:c r="M530" s="130" t="n">
        <x:v>79</x:v>
      </x:c>
      <x:c r="N530" s="130" t="n">
        <x:v>79</x:v>
      </x:c>
      <x:c r="O530" s="130" t="n">
        <x:v>78</x:v>
      </x:c>
      <x:c r="P530" s="130" t="n">
        <x:v>79</x:v>
      </x:c>
      <x:c r="Q530" s="130" t="n">
        <x:v>79</x:v>
      </x:c>
      <x:c r="R530" s="130" t="n">
        <x:v>13.3</x:v>
      </x:c>
      <x:c r="S530" s="128" t="str">
        <x:v>https://arxiv.org/abs/2606.04195</x:v>
      </x:c>
      <x:c r="T530" s="128" t="str">
        <x:v>三轮复核后与原表基本一致</x:v>
      </x:c>
    </x:row>
    <x:row r="531" ht="28" customHeight="1">
      <x:c r="A531" s="129" t="n">
        <x:v>530</x:v>
      </x:c>
      <x:c r="B531" s="129" t="str">
        <x:v>2026-06</x:v>
      </x:c>
      <x:c r="C531" s="129" t="n">
        <x:v>140</x:v>
      </x:c>
      <x:c r="D531" s="129" t="str">
        <x:v>2606.03580</x:v>
      </x:c>
      <x:c r="E531" s="128" t="str">
        <x:v>Remarks on selection problems for first-order discounted mean field games</x:v>
      </x:c>
      <x:c r="F531" s="128" t="str">
        <x:v>Kengo Terai</x:v>
      </x:c>
      <x:c r="G531" s="128" t="str">
        <x:v>analysis/PDE</x:v>
      </x:c>
      <x:c r="H531" s="129" t="n">
        <x:v>16</x:v>
      </x:c>
      <x:c r="I531" s="130" t="n">
        <x:v>79.5</x:v>
      </x:c>
      <x:c r="J531" s="130" t="n">
        <x:v>78.85</x:v>
      </x:c>
      <x:c r="K531" s="130" t="n">
        <x:v>80.15</x:v>
      </x:c>
      <x:c r="L531" s="130" t="n">
        <x:v>79</x:v>
      </x:c>
      <x:c r="M531" s="130" t="n">
        <x:v>79</x:v>
      </x:c>
      <x:c r="N531" s="130" t="n">
        <x:v>79</x:v>
      </x:c>
      <x:c r="O531" s="130" t="n">
        <x:v>78</x:v>
      </x:c>
      <x:c r="P531" s="130" t="n">
        <x:v>79</x:v>
      </x:c>
      <x:c r="Q531" s="130" t="n">
        <x:v>79</x:v>
      </x:c>
      <x:c r="R531" s="130" t="n">
        <x:v>13.3</x:v>
      </x:c>
      <x:c r="S531" s="128" t="str">
        <x:v>https://arxiv.org/abs/2606.03580</x:v>
      </x:c>
      <x:c r="T531" s="128" t="str">
        <x:v>三轮复核后与原表基本一致</x:v>
      </x:c>
    </x:row>
    <x:row r="532" ht="28" customHeight="1">
      <x:c r="A532" s="129" t="n">
        <x:v>531</x:v>
      </x:c>
      <x:c r="B532" s="129" t="str">
        <x:v>2026-06</x:v>
      </x:c>
      <x:c r="C532" s="129" t="n">
        <x:v>167</x:v>
      </x:c>
      <x:c r="D532" s="129" t="str">
        <x:v>2606.12388</x:v>
      </x:c>
      <x:c r="E532" s="128" t="str">
        <x:v>Schauder-type Estimates and Log-Critical Well-posedness for Two-Phase Muskat Problem with Surface Tension</x:v>
      </x:c>
      <x:c r="F532" s="128" t="str">
        <x:v>Ke Chen; Ruilin Hu; Quoc-Hung Nguyen</x:v>
      </x:c>
      <x:c r="G532" s="128" t="str">
        <x:v>elliptic/parabolic regularity</x:v>
      </x:c>
      <x:c r="H532" s="129"/>
      <x:c r="I532" s="130" t="n">
        <x:v>79.44</x:v>
      </x:c>
      <x:c r="J532" s="130" t="n">
        <x:v>78.84</x:v>
      </x:c>
      <x:c r="K532" s="130" t="n">
        <x:v>80.05</x:v>
      </x:c>
      <x:c r="L532" s="130" t="n">
        <x:v>79</x:v>
      </x:c>
      <x:c r="M532" s="130" t="n">
        <x:v>78.1</x:v>
      </x:c>
      <x:c r="N532" s="130" t="n">
        <x:v>79</x:v>
      </x:c>
      <x:c r="O532" s="130" t="n">
        <x:v>79.1</x:v>
      </x:c>
      <x:c r="P532" s="130" t="n">
        <x:v>79.1</x:v>
      </x:c>
      <x:c r="Q532" s="130" t="n">
        <x:v>79</x:v>
      </x:c>
      <x:c r="R532" s="130" t="n">
        <x:v>13</x:v>
      </x:c>
      <x:c r="S532" s="128" t="str">
        <x:v>https://arxiv.org/abs/2606.12388</x:v>
      </x:c>
      <x:c r="T532" s="128" t="str">
        <x:v>三轮复核后与原表基本一致</x:v>
      </x:c>
    </x:row>
    <x:row r="533" ht="28" customHeight="1">
      <x:c r="A533" s="129" t="n">
        <x:v>532</x:v>
      </x:c>
      <x:c r="B533" s="129" t="str">
        <x:v>2026-06</x:v>
      </x:c>
      <x:c r="C533" s="129" t="n">
        <x:v>168</x:v>
      </x:c>
      <x:c r="D533" s="129" t="str">
        <x:v>2606.15541</x:v>
      </x:c>
      <x:c r="E533" s="128" t="str">
        <x:v>Strong ill-posedness of 2D Boussinesq equations in supercritical Besov spaces</x:v>
      </x:c>
      <x:c r="F533" s="128" t="str">
        <x:v>Jinlu Li; Yanghai Yu</x:v>
      </x:c>
      <x:c r="G533" s="128" t="str">
        <x:v>fluid/kinetic PDE</x:v>
      </x:c>
      <x:c r="H533" s="129"/>
      <x:c r="I533" s="130" t="n">
        <x:v>79.35</x:v>
      </x:c>
      <x:c r="J533" s="130" t="n">
        <x:v>78.68</x:v>
      </x:c>
      <x:c r="K533" s="130" t="n">
        <x:v>80.02</x:v>
      </x:c>
      <x:c r="L533" s="130" t="n">
        <x:v>79</x:v>
      </x:c>
      <x:c r="M533" s="130" t="n">
        <x:v>78</x:v>
      </x:c>
      <x:c r="N533" s="130" t="n">
        <x:v>79.1</x:v>
      </x:c>
      <x:c r="O533" s="130" t="n">
        <x:v>78</x:v>
      </x:c>
      <x:c r="P533" s="130" t="n">
        <x:v>79</x:v>
      </x:c>
      <x:c r="Q533" s="130" t="n">
        <x:v>79</x:v>
      </x:c>
      <x:c r="R533" s="130" t="n">
        <x:v>13</x:v>
      </x:c>
      <x:c r="S533" s="128" t="str">
        <x:v>https://arxiv.org/abs/2606.15541</x:v>
      </x:c>
      <x:c r="T533" s="128" t="str">
        <x:v>三轮复核后与原表基本一致</x:v>
      </x:c>
    </x:row>
    <x:row r="534" ht="28" customHeight="1">
      <x:c r="A534" s="129" t="n">
        <x:v>533</x:v>
      </x:c>
      <x:c r="B534" s="129" t="str">
        <x:v>2026-06</x:v>
      </x:c>
      <x:c r="C534" s="129" t="n">
        <x:v>168</x:v>
      </x:c>
      <x:c r="D534" s="129" t="str">
        <x:v>2606.27185</x:v>
      </x:c>
      <x:c r="E534" s="128" t="str">
        <x:v>Instability of periodic waves in generalized Korteweg-de Vries-Burgers equation with monostable source</x:v>
      </x:c>
      <x:c r="F534" s="128" t="str">
        <x:v>Aarushi Kansal; Ashish Kumar Pandey</x:v>
      </x:c>
      <x:c r="G534" s="128" t="str">
        <x:v>dispersive PDE</x:v>
      </x:c>
      <x:c r="H534" s="129" t="n">
        <x:v>38</x:v>
      </x:c>
      <x:c r="I534" s="130" t="n">
        <x:v>79.33</x:v>
      </x:c>
      <x:c r="J534" s="130" t="n">
        <x:v>78.65</x:v>
      </x:c>
      <x:c r="K534" s="130" t="n">
        <x:v>80</x:v>
      </x:c>
      <x:c r="L534" s="130" t="n">
        <x:v>79</x:v>
      </x:c>
      <x:c r="M534" s="130" t="n">
        <x:v>78</x:v>
      </x:c>
      <x:c r="N534" s="130" t="n">
        <x:v>79</x:v>
      </x:c>
      <x:c r="O534" s="130" t="n">
        <x:v>78</x:v>
      </x:c>
      <x:c r="P534" s="130" t="n">
        <x:v>79</x:v>
      </x:c>
      <x:c r="Q534" s="130" t="n">
        <x:v>79</x:v>
      </x:c>
      <x:c r="R534" s="130" t="n">
        <x:v>13</x:v>
      </x:c>
      <x:c r="S534" s="128" t="str">
        <x:v>https://arxiv.org/abs/2606.27185</x:v>
      </x:c>
      <x:c r="T534" s="128" t="str">
        <x:v>三轮复核后与原表基本一致</x:v>
      </x:c>
    </x:row>
    <x:row r="535" ht="28" customHeight="1">
      <x:c r="A535" s="129" t="n">
        <x:v>534</x:v>
      </x:c>
      <x:c r="B535" s="129" t="str">
        <x:v>2026-06</x:v>
      </x:c>
      <x:c r="C535" s="129" t="n">
        <x:v>168</x:v>
      </x:c>
      <x:c r="D535" s="129" t="str">
        <x:v>2606.11124</x:v>
      </x:c>
      <x:c r="E535" s="128" t="str">
        <x:v>Well-posedness and stability for a thermoelectromagnetic system</x:v>
      </x:c>
      <x:c r="F535" s="128" t="str">
        <x:v>Francesca Bucci; Matthias Eller; Nella Rotundo</x:v>
      </x:c>
      <x:c r="G535" s="128" t="str">
        <x:v>analysis/PDE</x:v>
      </x:c>
      <x:c r="H535" s="129" t="n">
        <x:v>20</x:v>
      </x:c>
      <x:c r="I535" s="130" t="n">
        <x:v>79.31</x:v>
      </x:c>
      <x:c r="J535" s="130" t="n">
        <x:v>78.65</x:v>
      </x:c>
      <x:c r="K535" s="130" t="n">
        <x:v>79.96</x:v>
      </x:c>
      <x:c r="L535" s="130" t="n">
        <x:v>79</x:v>
      </x:c>
      <x:c r="M535" s="130" t="n">
        <x:v>78</x:v>
      </x:c>
      <x:c r="N535" s="130" t="n">
        <x:v>79</x:v>
      </x:c>
      <x:c r="O535" s="130" t="n">
        <x:v>78</x:v>
      </x:c>
      <x:c r="P535" s="130" t="n">
        <x:v>79</x:v>
      </x:c>
      <x:c r="Q535" s="130" t="n">
        <x:v>79</x:v>
      </x:c>
      <x:c r="R535" s="130" t="n">
        <x:v>13.3</x:v>
      </x:c>
      <x:c r="S535" s="128" t="str">
        <x:v>https://arxiv.org/abs/2606.11124</x:v>
      </x:c>
      <x:c r="T535" s="128" t="str">
        <x:v>三轮复核后与原表基本一致</x:v>
      </x:c>
    </x:row>
    <x:row r="536" ht="28" customHeight="1">
      <x:c r="A536" s="129" t="n">
        <x:v>535</x:v>
      </x:c>
      <x:c r="B536" s="129" t="str">
        <x:v>2026-06</x:v>
      </x:c>
      <x:c r="C536" s="129" t="n">
        <x:v>168</x:v>
      </x:c>
      <x:c r="D536" s="129" t="str">
        <x:v>2606.04635</x:v>
      </x:c>
      <x:c r="E536" s="128" t="str">
        <x:v>Gaussian decay for the Harmonic oscillator</x:v>
      </x:c>
      <x:c r="F536" s="128" t="str">
        <x:v>Manish Chaurasia</x:v>
      </x:c>
      <x:c r="G536" s="128" t="str">
        <x:v>analysis/PDE</x:v>
      </x:c>
      <x:c r="H536" s="129" t="n">
        <x:v>15</x:v>
      </x:c>
      <x:c r="I536" s="130" t="n">
        <x:v>79.31</x:v>
      </x:c>
      <x:c r="J536" s="130" t="n">
        <x:v>78.65</x:v>
      </x:c>
      <x:c r="K536" s="130" t="n">
        <x:v>79.96</x:v>
      </x:c>
      <x:c r="L536" s="130" t="n">
        <x:v>79</x:v>
      </x:c>
      <x:c r="M536" s="130" t="n">
        <x:v>78</x:v>
      </x:c>
      <x:c r="N536" s="130" t="n">
        <x:v>79</x:v>
      </x:c>
      <x:c r="O536" s="130" t="n">
        <x:v>78</x:v>
      </x:c>
      <x:c r="P536" s="130" t="n">
        <x:v>79</x:v>
      </x:c>
      <x:c r="Q536" s="130" t="n">
        <x:v>79</x:v>
      </x:c>
      <x:c r="R536" s="130" t="n">
        <x:v>13.3</x:v>
      </x:c>
      <x:c r="S536" s="128" t="str">
        <x:v>https://arxiv.org/abs/2606.04635</x:v>
      </x:c>
      <x:c r="T536" s="128" t="str">
        <x:v>三轮复核后与原表基本一致</x:v>
      </x:c>
    </x:row>
    <x:row r="537" ht="28" customHeight="1">
      <x:c r="A537" s="129" t="n">
        <x:v>536</x:v>
      </x:c>
      <x:c r="B537" s="129" t="str">
        <x:v>2026-06</x:v>
      </x:c>
      <x:c r="C537" s="129" t="n">
        <x:v>168</x:v>
      </x:c>
      <x:c r="D537" s="129" t="str">
        <x:v>2606.04498</x:v>
      </x:c>
      <x:c r="E537" s="128" t="str">
        <x:v>The Free Lunch Theorem of Homogenisation</x:v>
      </x:c>
      <x:c r="F537" s="128" t="str">
        <x:v>Andreas Buchinger; Marianna Porfido; Marcus Waurick</x:v>
      </x:c>
      <x:c r="G537" s="128" t="str">
        <x:v>analysis/PDE</x:v>
      </x:c>
      <x:c r="H537" s="129" t="n">
        <x:v>20</x:v>
      </x:c>
      <x:c r="I537" s="130" t="n">
        <x:v>79.31</x:v>
      </x:c>
      <x:c r="J537" s="130" t="n">
        <x:v>78.65</x:v>
      </x:c>
      <x:c r="K537" s="130" t="n">
        <x:v>79.96</x:v>
      </x:c>
      <x:c r="L537" s="130" t="n">
        <x:v>79</x:v>
      </x:c>
      <x:c r="M537" s="130" t="n">
        <x:v>78</x:v>
      </x:c>
      <x:c r="N537" s="130" t="n">
        <x:v>79</x:v>
      </x:c>
      <x:c r="O537" s="130" t="n">
        <x:v>78</x:v>
      </x:c>
      <x:c r="P537" s="130" t="n">
        <x:v>79</x:v>
      </x:c>
      <x:c r="Q537" s="130" t="n">
        <x:v>79</x:v>
      </x:c>
      <x:c r="R537" s="130" t="n">
        <x:v>13.3</x:v>
      </x:c>
      <x:c r="S537" s="128" t="str">
        <x:v>https://arxiv.org/abs/2606.04498</x:v>
      </x:c>
      <x:c r="T537" s="128" t="str">
        <x:v>三轮复核后与原表基本一致</x:v>
      </x:c>
    </x:row>
    <x:row r="538" ht="28" customHeight="1">
      <x:c r="A538" s="129" t="n">
        <x:v>537</x:v>
      </x:c>
      <x:c r="B538" s="129" t="str">
        <x:v>2026-06</x:v>
      </x:c>
      <x:c r="C538" s="129" t="n">
        <x:v>173</x:v>
      </x:c>
      <x:c r="D538" s="129" t="str">
        <x:v>2606.07021</x:v>
      </x:c>
      <x:c r="E538" s="128" t="str">
        <x:v>Rogue waves for semilinear wave equations</x:v>
      </x:c>
      <x:c r="F538" s="128" t="str">
        <x:v>Julia Henninger</x:v>
      </x:c>
      <x:c r="G538" s="128" t="str">
        <x:v>dispersive PDE</x:v>
      </x:c>
      <x:c r="H538" s="129"/>
      <x:c r="I538" s="130" t="n">
        <x:v>78.85</x:v>
      </x:c>
      <x:c r="J538" s="130" t="n">
        <x:v>78.13</x:v>
      </x:c>
      <x:c r="K538" s="130" t="n">
        <x:v>79.57</x:v>
      </x:c>
      <x:c r="L538" s="130" t="n">
        <x:v>78</x:v>
      </x:c>
      <x:c r="M538" s="130" t="n">
        <x:v>78</x:v>
      </x:c>
      <x:c r="N538" s="130" t="n">
        <x:v>79.1</x:v>
      </x:c>
      <x:c r="O538" s="130" t="n">
        <x:v>77</x:v>
      </x:c>
      <x:c r="P538" s="130" t="n">
        <x:v>78</x:v>
      </x:c>
      <x:c r="Q538" s="130" t="n">
        <x:v>78</x:v>
      </x:c>
      <x:c r="R538" s="130" t="n">
        <x:v>13</x:v>
      </x:c>
      <x:c r="S538" s="128" t="str">
        <x:v>https://arxiv.org/abs/2606.07021</x:v>
      </x:c>
      <x:c r="T538" s="128" t="str">
        <x:v>三轮复核后与原表基本一致</x:v>
      </x:c>
    </x:row>
    <x:row r="539" ht="28" customHeight="1">
      <x:c r="A539" s="129" t="n">
        <x:v>538</x:v>
      </x:c>
      <x:c r="B539" s="129" t="str">
        <x:v>2026-06</x:v>
      </x:c>
      <x:c r="C539" s="129" t="n">
        <x:v>174</x:v>
      </x:c>
      <x:c r="D539" s="129" t="str">
        <x:v>2606.10556</x:v>
      </x:c>
      <x:c r="E539" s="128" t="str">
        <x:v>Structured deformations for energies with general surface terms</x:v>
      </x:c>
      <x:c r="F539" s="128" t="str">
        <x:v>Davide Donati; Manuel Friedrich</x:v>
      </x:c>
      <x:c r="G539" s="128" t="str">
        <x:v>analysis/PDE</x:v>
      </x:c>
      <x:c r="H539" s="129" t="n">
        <x:v>58</x:v>
      </x:c>
      <x:c r="I539" s="130" t="n">
        <x:v>78.83</x:v>
      </x:c>
      <x:c r="J539" s="130" t="n">
        <x:v>78</x:v>
      </x:c>
      <x:c r="K539" s="130" t="n">
        <x:v>79.65</x:v>
      </x:c>
      <x:c r="L539" s="130" t="n">
        <x:v>78</x:v>
      </x:c>
      <x:c r="M539" s="130" t="n">
        <x:v>78</x:v>
      </x:c>
      <x:c r="N539" s="130" t="n">
        <x:v>78</x:v>
      </x:c>
      <x:c r="O539" s="130" t="n">
        <x:v>78</x:v>
      </x:c>
      <x:c r="P539" s="130" t="n">
        <x:v>79</x:v>
      </x:c>
      <x:c r="Q539" s="130" t="n">
        <x:v>78</x:v>
      </x:c>
      <x:c r="R539" s="130" t="n">
        <x:v>13</x:v>
      </x:c>
      <x:c r="S539" s="128" t="str">
        <x:v>https://arxiv.org/abs/2606.10556</x:v>
      </x:c>
      <x:c r="T539" s="128" t="str">
        <x:v>三轮复核后与原表基本一致</x:v>
      </x:c>
    </x:row>
    <x:row r="540" ht="28" customHeight="1">
      <x:c r="A540" s="129" t="n">
        <x:v>539</x:v>
      </x:c>
      <x:c r="B540" s="129" t="str">
        <x:v>2026-06</x:v>
      </x:c>
      <x:c r="C540" s="129" t="n">
        <x:v>174</x:v>
      </x:c>
      <x:c r="D540" s="129" t="str">
        <x:v>2606.05764</x:v>
      </x:c>
      <x:c r="E540" s="128" t="str">
        <x:v>Global Existence for 3D Anisotropic MHD system with Horizontal Dissipation and Small Horizontal Variations</x:v>
      </x:c>
      <x:c r="F540" s="128" t="str">
        <x:v>Qiliang Lin; Chenyin Qian; Daoyao Zhou</x:v>
      </x:c>
      <x:c r="G540" s="128" t="str">
        <x:v>fluid/kinetic PDE</x:v>
      </x:c>
      <x:c r="H540" s="129"/>
      <x:c r="I540" s="130" t="n">
        <x:v>78.83</x:v>
      </x:c>
      <x:c r="J540" s="130" t="n">
        <x:v>78</x:v>
      </x:c>
      <x:c r="K540" s="130" t="n">
        <x:v>79.65</x:v>
      </x:c>
      <x:c r="L540" s="130" t="n">
        <x:v>78</x:v>
      </x:c>
      <x:c r="M540" s="130" t="n">
        <x:v>78</x:v>
      </x:c>
      <x:c r="N540" s="130" t="n">
        <x:v>78</x:v>
      </x:c>
      <x:c r="O540" s="130" t="n">
        <x:v>78</x:v>
      </x:c>
      <x:c r="P540" s="130" t="n">
        <x:v>79</x:v>
      </x:c>
      <x:c r="Q540" s="130" t="n">
        <x:v>78</x:v>
      </x:c>
      <x:c r="R540" s="130" t="n">
        <x:v>13</x:v>
      </x:c>
      <x:c r="S540" s="128" t="str">
        <x:v>https://arxiv.org/abs/2606.05764</x:v>
      </x:c>
      <x:c r="T540" s="128" t="str">
        <x:v>三轮复核后与原表基本一致</x:v>
      </x:c>
    </x:row>
    <x:row r="541" ht="28" customHeight="1">
      <x:c r="A541" s="129" t="n">
        <x:v>540</x:v>
      </x:c>
      <x:c r="B541" s="129" t="str">
        <x:v>2026-06</x:v>
      </x:c>
      <x:c r="C541" s="129" t="n">
        <x:v>174</x:v>
      </x:c>
      <x:c r="D541" s="129" t="str">
        <x:v>2606.05592</x:v>
      </x:c>
      <x:c r="E541" s="128" t="str">
        <x:v>Solutions to critical equations with a superposition of nonlocal Hartree-type nonlinearities</x:v>
      </x:c>
      <x:c r="F541" s="128" t="str">
        <x:v>Artur Jorge Marinho; Kanishka Perera</x:v>
      </x:c>
      <x:c r="G541" s="128" t="str">
        <x:v>analysis/PDE</x:v>
      </x:c>
      <x:c r="H541" s="129"/>
      <x:c r="I541" s="130" t="n">
        <x:v>78.83</x:v>
      </x:c>
      <x:c r="J541" s="130" t="n">
        <x:v>78</x:v>
      </x:c>
      <x:c r="K541" s="130" t="n">
        <x:v>79.65</x:v>
      </x:c>
      <x:c r="L541" s="130" t="n">
        <x:v>78</x:v>
      </x:c>
      <x:c r="M541" s="130" t="n">
        <x:v>78</x:v>
      </x:c>
      <x:c r="N541" s="130" t="n">
        <x:v>78</x:v>
      </x:c>
      <x:c r="O541" s="130" t="n">
        <x:v>78</x:v>
      </x:c>
      <x:c r="P541" s="130" t="n">
        <x:v>79</x:v>
      </x:c>
      <x:c r="Q541" s="130" t="n">
        <x:v>78</x:v>
      </x:c>
      <x:c r="R541" s="130" t="n">
        <x:v>13</x:v>
      </x:c>
      <x:c r="S541" s="128" t="str">
        <x:v>https://arxiv.org/abs/2606.05592</x:v>
      </x:c>
      <x:c r="T541" s="128" t="str">
        <x:v>三轮复核后与原表基本一致</x:v>
      </x:c>
    </x:row>
    <x:row r="542" ht="28" customHeight="1">
      <x:c r="A542" s="129" t="n">
        <x:v>541</x:v>
      </x:c>
      <x:c r="B542" s="129" t="str">
        <x:v>2026-06</x:v>
      </x:c>
      <x:c r="C542" s="129" t="n">
        <x:v>174</x:v>
      </x:c>
      <x:c r="D542" s="129" t="str">
        <x:v>2606.05398</x:v>
      </x:c>
      <x:c r="E542" s="128" t="str">
        <x:v>Thin Domains, Reduction, and Slow Manifolds</x:v>
      </x:c>
      <x:c r="F542" s="128" t="str">
        <x:v>Christian Kuehn; Jan-Eric Sulzbach</x:v>
      </x:c>
      <x:c r="G542" s="128" t="str">
        <x:v>analysis/PDE</x:v>
      </x:c>
      <x:c r="H542" s="129"/>
      <x:c r="I542" s="130" t="n">
        <x:v>78.83</x:v>
      </x:c>
      <x:c r="J542" s="130" t="n">
        <x:v>78</x:v>
      </x:c>
      <x:c r="K542" s="130" t="n">
        <x:v>79.65</x:v>
      </x:c>
      <x:c r="L542" s="130" t="n">
        <x:v>78</x:v>
      </x:c>
      <x:c r="M542" s="130" t="n">
        <x:v>78</x:v>
      </x:c>
      <x:c r="N542" s="130" t="n">
        <x:v>78</x:v>
      </x:c>
      <x:c r="O542" s="130" t="n">
        <x:v>78</x:v>
      </x:c>
      <x:c r="P542" s="130" t="n">
        <x:v>79</x:v>
      </x:c>
      <x:c r="Q542" s="130" t="n">
        <x:v>78</x:v>
      </x:c>
      <x:c r="R542" s="130" t="n">
        <x:v>13</x:v>
      </x:c>
      <x:c r="S542" s="128" t="str">
        <x:v>https://arxiv.org/abs/2606.05398</x:v>
      </x:c>
      <x:c r="T542" s="128" t="str">
        <x:v>三轮复核后与原表基本一致</x:v>
      </x:c>
    </x:row>
    <x:row r="543" ht="28" customHeight="1">
      <x:c r="A543" s="129" t="n">
        <x:v>542</x:v>
      </x:c>
      <x:c r="B543" s="129" t="str">
        <x:v>2026-06</x:v>
      </x:c>
      <x:c r="C543" s="129" t="n">
        <x:v>179</x:v>
      </x:c>
      <x:c r="D543" s="129" t="str">
        <x:v>2606.07295</x:v>
      </x:c>
      <x:c r="E543" s="128" t="str">
        <x:v>Kohler-Jobin inequality for p-Laplace operator</x:v>
      </x:c>
      <x:c r="F543" s="128" t="str">
        <x:v>Francesco Chiacchio; Vincenzo Ferone; Anna Mercaldo; Jing Wang</x:v>
      </x:c>
      <x:c r="G543" s="128" t="str">
        <x:v>inequalities/function spaces</x:v>
      </x:c>
      <x:c r="H543" s="129"/>
      <x:c r="I543" s="130" t="n">
        <x:v>78.8</x:v>
      </x:c>
      <x:c r="J543" s="130" t="n">
        <x:v>78.1</x:v>
      </x:c>
      <x:c r="K543" s="130" t="n">
        <x:v>79.5</x:v>
      </x:c>
      <x:c r="L543" s="130" t="n">
        <x:v>78</x:v>
      </x:c>
      <x:c r="M543" s="130" t="n">
        <x:v>78</x:v>
      </x:c>
      <x:c r="N543" s="130" t="n">
        <x:v>78</x:v>
      </x:c>
      <x:c r="O543" s="130" t="n">
        <x:v>78</x:v>
      </x:c>
      <x:c r="P543" s="130" t="n">
        <x:v>78</x:v>
      </x:c>
      <x:c r="Q543" s="130" t="n">
        <x:v>79</x:v>
      </x:c>
      <x:c r="R543" s="130" t="n">
        <x:v>13</x:v>
      </x:c>
      <x:c r="S543" s="128" t="str">
        <x:v>https://arxiv.org/abs/2606.07295</x:v>
      </x:c>
      <x:c r="T543" s="128" t="str">
        <x:v>三轮复核后与原表基本一致</x:v>
      </x:c>
    </x:row>
    <x:row r="544" ht="28" customHeight="1">
      <x:c r="A544" s="129" t="n">
        <x:v>543</x:v>
      </x:c>
      <x:c r="B544" s="129" t="str">
        <x:v>2026-06</x:v>
      </x:c>
      <x:c r="C544" s="129" t="n">
        <x:v>174</x:v>
      </x:c>
      <x:c r="D544" s="129" t="str">
        <x:v>2606.05140</x:v>
      </x:c>
      <x:c r="E544" s="128" t="str">
        <x:v>Phase transitions for the noisy transformer model in arbitrary dimension</x:v>
      </x:c>
      <x:c r="F544" s="128" t="str">
        <x:v>Kyunghoo Mun; Matthew Rosenzweig</x:v>
      </x:c>
      <x:c r="G544" s="128" t="str">
        <x:v>analysis/PDE</x:v>
      </x:c>
      <x:c r="H544" s="129" t="n">
        <x:v>18</x:v>
      </x:c>
      <x:c r="I544" s="130" t="n">
        <x:v>78.8</x:v>
      </x:c>
      <x:c r="J544" s="130" t="n">
        <x:v>78</x:v>
      </x:c>
      <x:c r="K544" s="130" t="n">
        <x:v>79.6</x:v>
      </x:c>
      <x:c r="L544" s="130" t="n">
        <x:v>78</x:v>
      </x:c>
      <x:c r="M544" s="130" t="n">
        <x:v>78</x:v>
      </x:c>
      <x:c r="N544" s="130" t="n">
        <x:v>78</x:v>
      </x:c>
      <x:c r="O544" s="130" t="n">
        <x:v>78</x:v>
      </x:c>
      <x:c r="P544" s="130" t="n">
        <x:v>79</x:v>
      </x:c>
      <x:c r="Q544" s="130" t="n">
        <x:v>78</x:v>
      </x:c>
      <x:c r="R544" s="130" t="n">
        <x:v>13.3</x:v>
      </x:c>
      <x:c r="S544" s="128" t="str">
        <x:v>https://arxiv.org/abs/2606.05140</x:v>
      </x:c>
      <x:c r="T544" s="128" t="str">
        <x:v>三轮复核后与原表基本一致</x:v>
      </x:c>
    </x:row>
    <x:row r="545" ht="28" customHeight="1">
      <x:c r="A545" s="129" t="n">
        <x:v>544</x:v>
      </x:c>
      <x:c r="B545" s="129" t="str">
        <x:v>2026-06</x:v>
      </x:c>
      <x:c r="C545" s="129" t="n">
        <x:v>180</x:v>
      </x:c>
      <x:c r="D545" s="129" t="str">
        <x:v>2606.05879</x:v>
      </x:c>
      <x:c r="E545" s="128" t="str">
        <x:v>Convergence of a discrete-in-time Approximation to a Degenerate Parabolic-Hyperbolic System</x:v>
      </x:c>
      <x:c r="F545" s="128" t="str">
        <x:v>Julia Hauser; Hideki Murakawa; Markus Schmidtchen</x:v>
      </x:c>
      <x:c r="G545" s="128" t="str">
        <x:v>analysis/PDE</x:v>
      </x:c>
      <x:c r="H545" s="129"/>
      <x:c r="I545" s="130" t="n">
        <x:v>78.75</x:v>
      </x:c>
      <x:c r="J545" s="130" t="n">
        <x:v>78</x:v>
      </x:c>
      <x:c r="K545" s="130" t="n">
        <x:v>79.5</x:v>
      </x:c>
      <x:c r="L545" s="130" t="n">
        <x:v>78</x:v>
      </x:c>
      <x:c r="M545" s="130" t="n">
        <x:v>78</x:v>
      </x:c>
      <x:c r="N545" s="130" t="n">
        <x:v>78</x:v>
      </x:c>
      <x:c r="O545" s="130" t="n">
        <x:v>78</x:v>
      </x:c>
      <x:c r="P545" s="130" t="n">
        <x:v>79</x:v>
      </x:c>
      <x:c r="Q545" s="130" t="n">
        <x:v>78</x:v>
      </x:c>
      <x:c r="R545" s="130" t="n">
        <x:v>14</x:v>
      </x:c>
      <x:c r="S545" s="128" t="str">
        <x:v>https://arxiv.org/abs/2606.05879</x:v>
      </x:c>
      <x:c r="T545" s="128" t="str">
        <x:v>三轮复核后与原表基本一致</x:v>
      </x:c>
    </x:row>
    <x:row r="546" ht="28" customHeight="1">
      <x:c r="A546" s="129" t="n">
        <x:v>545</x:v>
      </x:c>
      <x:c r="B546" s="129" t="str">
        <x:v>2026-06</x:v>
      </x:c>
      <x:c r="C546" s="129" t="n">
        <x:v>181</x:v>
      </x:c>
      <x:c r="D546" s="129" t="str">
        <x:v>2606.30279</x:v>
      </x:c>
      <x:c r="E546" s="128" t="str">
        <x:v>Blow-up for weakly superlinear heat equations and blow-up controllability of the linear heat equation</x:v>
      </x:c>
      <x:c r="F546" s="128" t="str">
        <x:v>Kevin Le Balc'h; Philippe Souplet</x:v>
      </x:c>
      <x:c r="G546" s="128" t="str">
        <x:v>analysis/PDE</x:v>
      </x:c>
      <x:c r="H546" s="129"/>
      <x:c r="I546" s="130" t="n">
        <x:v>78.75</x:v>
      </x:c>
      <x:c r="J546" s="130" t="n">
        <x:v>77.85</x:v>
      </x:c>
      <x:c r="K546" s="130" t="n">
        <x:v>79.65</x:v>
      </x:c>
      <x:c r="L546" s="130" t="n">
        <x:v>78</x:v>
      </x:c>
      <x:c r="M546" s="130" t="n">
        <x:v>78</x:v>
      </x:c>
      <x:c r="N546" s="130" t="n">
        <x:v>78</x:v>
      </x:c>
      <x:c r="O546" s="130" t="n">
        <x:v>77</x:v>
      </x:c>
      <x:c r="P546" s="130" t="n">
        <x:v>79</x:v>
      </x:c>
      <x:c r="Q546" s="130" t="n">
        <x:v>78</x:v>
      </x:c>
      <x:c r="R546" s="130" t="n">
        <x:v>13</x:v>
      </x:c>
      <x:c r="S546" s="128" t="str">
        <x:v>https://arxiv.org/abs/2606.30279</x:v>
      </x:c>
      <x:c r="T546" s="128" t="str">
        <x:v>三轮复核后与原表基本一致</x:v>
      </x:c>
    </x:row>
    <x:row r="547" ht="28" customHeight="1">
      <x:c r="A547" s="129" t="n">
        <x:v>546</x:v>
      </x:c>
      <x:c r="B547" s="129" t="str">
        <x:v>2026-06</x:v>
      </x:c>
      <x:c r="C547" s="129" t="n">
        <x:v>182</x:v>
      </x:c>
      <x:c r="D547" s="129" t="str">
        <x:v>2606.11892</x:v>
      </x:c>
      <x:c r="E547" s="128" t="str">
        <x:v>Mean-field imitation dynamics on fast assortative networks</x:v>
      </x:c>
      <x:c r="F547" s="128" t="str">
        <x:v>Benedict Russell; Andrew Nugent; Jacques Bara</x:v>
      </x:c>
      <x:c r="G547" s="128" t="str">
        <x:v>analysis/PDE</x:v>
      </x:c>
      <x:c r="H547" s="129"/>
      <x:c r="I547" s="130" t="n">
        <x:v>78.63</x:v>
      </x:c>
      <x:c r="J547" s="130" t="n">
        <x:v>77.88</x:v>
      </x:c>
      <x:c r="K547" s="130" t="n">
        <x:v>79.37</x:v>
      </x:c>
      <x:c r="L547" s="130" t="n">
        <x:v>78</x:v>
      </x:c>
      <x:c r="M547" s="130" t="n">
        <x:v>78</x:v>
      </x:c>
      <x:c r="N547" s="130" t="n">
        <x:v>78.1</x:v>
      </x:c>
      <x:c r="O547" s="130" t="n">
        <x:v>77</x:v>
      </x:c>
      <x:c r="P547" s="130" t="n">
        <x:v>78</x:v>
      </x:c>
      <x:c r="Q547" s="130" t="n">
        <x:v>78</x:v>
      </x:c>
      <x:c r="R547" s="130" t="n">
        <x:v>13</x:v>
      </x:c>
      <x:c r="S547" s="128" t="str">
        <x:v>https://arxiv.org/abs/2606.11892</x:v>
      </x:c>
      <x:c r="T547" s="128" t="str">
        <x:v>三轮复核后与原表基本一致</x:v>
      </x:c>
    </x:row>
    <x:row r="548" ht="28" customHeight="1">
      <x:c r="A548" s="129" t="n">
        <x:v>547</x:v>
      </x:c>
      <x:c r="B548" s="129" t="str">
        <x:v>2026-06</x:v>
      </x:c>
      <x:c r="C548" s="129" t="n">
        <x:v>182</x:v>
      </x:c>
      <x:c r="D548" s="129" t="str">
        <x:v>2606.12227</x:v>
      </x:c>
      <x:c r="E548" s="128" t="str">
        <x:v>Stability of critical constant steady state of a Keller-Segel model</x:v>
      </x:c>
      <x:c r="F548" s="128" t="str">
        <x:v>Nobuhito Miyake; Hiroshi Wakui; Tetsuya Yamada</x:v>
      </x:c>
      <x:c r="G548" s="128" t="str">
        <x:v>analysis/PDE</x:v>
      </x:c>
      <x:c r="H548" s="129"/>
      <x:c r="I548" s="130" t="n">
        <x:v>78.6</x:v>
      </x:c>
      <x:c r="J548" s="130" t="n">
        <x:v>77.85</x:v>
      </x:c>
      <x:c r="K548" s="130" t="n">
        <x:v>79.35</x:v>
      </x:c>
      <x:c r="L548" s="130" t="n">
        <x:v>78</x:v>
      </x:c>
      <x:c r="M548" s="130" t="n">
        <x:v>78</x:v>
      </x:c>
      <x:c r="N548" s="130" t="n">
        <x:v>78</x:v>
      </x:c>
      <x:c r="O548" s="130" t="n">
        <x:v>77</x:v>
      </x:c>
      <x:c r="P548" s="130" t="n">
        <x:v>78</x:v>
      </x:c>
      <x:c r="Q548" s="130" t="n">
        <x:v>78</x:v>
      </x:c>
      <x:c r="R548" s="130" t="n">
        <x:v>13</x:v>
      </x:c>
      <x:c r="S548" s="128" t="str">
        <x:v>https://arxiv.org/abs/2606.12227</x:v>
      </x:c>
      <x:c r="T548" s="128" t="str">
        <x:v>三轮复核后与原表基本一致</x:v>
      </x:c>
    </x:row>
    <x:row r="549" ht="28" customHeight="1">
      <x:c r="A549" s="129" t="n">
        <x:v>548</x:v>
      </x:c>
      <x:c r="B549" s="129" t="str">
        <x:v>2026-06</x:v>
      </x:c>
      <x:c r="C549" s="129" t="n">
        <x:v>182</x:v>
      </x:c>
      <x:c r="D549" s="129" t="str">
        <x:v>2606.12183</x:v>
      </x:c>
      <x:c r="E549" s="128" t="str">
        <x:v>On almost sure growth of Holder norms for 1d periodic fractional BBM equation</x:v>
      </x:c>
      <x:c r="F549" s="128" t="str">
        <x:v>Pablo Merino</x:v>
      </x:c>
      <x:c r="G549" s="128" t="str">
        <x:v>analysis/PDE</x:v>
      </x:c>
      <x:c r="H549" s="129"/>
      <x:c r="I549" s="130" t="n">
        <x:v>78.6</x:v>
      </x:c>
      <x:c r="J549" s="130" t="n">
        <x:v>77.85</x:v>
      </x:c>
      <x:c r="K549" s="130" t="n">
        <x:v>79.35</x:v>
      </x:c>
      <x:c r="L549" s="130" t="n">
        <x:v>78</x:v>
      </x:c>
      <x:c r="M549" s="130" t="n">
        <x:v>78</x:v>
      </x:c>
      <x:c r="N549" s="130" t="n">
        <x:v>78</x:v>
      </x:c>
      <x:c r="O549" s="130" t="n">
        <x:v>77</x:v>
      </x:c>
      <x:c r="P549" s="130" t="n">
        <x:v>78</x:v>
      </x:c>
      <x:c r="Q549" s="130" t="n">
        <x:v>78</x:v>
      </x:c>
      <x:c r="R549" s="130" t="n">
        <x:v>13</x:v>
      </x:c>
      <x:c r="S549" s="128" t="str">
        <x:v>https://arxiv.org/abs/2606.12183</x:v>
      </x:c>
      <x:c r="T549" s="128" t="str">
        <x:v>三轮复核后与原表基本一致</x:v>
      </x:c>
    </x:row>
    <x:row r="550" ht="28" customHeight="1">
      <x:c r="A550" s="129" t="n">
        <x:v>549</x:v>
      </x:c>
      <x:c r="B550" s="129" t="str">
        <x:v>2026-06</x:v>
      </x:c>
      <x:c r="C550" s="129" t="n">
        <x:v>182</x:v>
      </x:c>
      <x:c r="D550" s="129" t="str">
        <x:v>2606.11960</x:v>
      </x:c>
      <x:c r="E550" s="128" t="str">
        <x:v>Hartree-type heat equation associated to fractional anharmonic oscillator on weighted modulation spaces</x:v>
      </x:c>
      <x:c r="F550" s="128" t="str">
        <x:v>Aparajita Dasgupta; Uttam Kumar Dolai</x:v>
      </x:c>
      <x:c r="G550" s="128" t="str">
        <x:v>analysis/PDE</x:v>
      </x:c>
      <x:c r="H550" s="129"/>
      <x:c r="I550" s="130" t="n">
        <x:v>78.6</x:v>
      </x:c>
      <x:c r="J550" s="130" t="n">
        <x:v>77.85</x:v>
      </x:c>
      <x:c r="K550" s="130" t="n">
        <x:v>79.35</x:v>
      </x:c>
      <x:c r="L550" s="130" t="n">
        <x:v>78</x:v>
      </x:c>
      <x:c r="M550" s="130" t="n">
        <x:v>78</x:v>
      </x:c>
      <x:c r="N550" s="130" t="n">
        <x:v>78</x:v>
      </x:c>
      <x:c r="O550" s="130" t="n">
        <x:v>77</x:v>
      </x:c>
      <x:c r="P550" s="130" t="n">
        <x:v>78</x:v>
      </x:c>
      <x:c r="Q550" s="130" t="n">
        <x:v>78</x:v>
      </x:c>
      <x:c r="R550" s="130" t="n">
        <x:v>13</x:v>
      </x:c>
      <x:c r="S550" s="128" t="str">
        <x:v>https://arxiv.org/abs/2606.11960</x:v>
      </x:c>
      <x:c r="T550" s="128" t="str">
        <x:v>三轮复核后与原表基本一致</x:v>
      </x:c>
    </x:row>
    <x:row r="551" ht="28" customHeight="1">
      <x:c r="A551" s="129" t="n">
        <x:v>550</x:v>
      </x:c>
      <x:c r="B551" s="129" t="str">
        <x:v>2026-06</x:v>
      </x:c>
      <x:c r="C551" s="129" t="n">
        <x:v>182</x:v>
      </x:c>
      <x:c r="D551" s="129" t="str">
        <x:v>2606.11955</x:v>
      </x:c>
      <x:c r="E551" s="128" t="str">
        <x:v>Trace and Hardy-Sobolev type inequalities for classes of elliptic operators</x:v>
      </x:c>
      <x:c r="F551" s="128" t="str">
        <x:v>Loic Constantin; Ranieri Franca Freire; Jacques Giacomoni</x:v>
      </x:c>
      <x:c r="G551" s="128" t="str">
        <x:v>inequalities/function spaces</x:v>
      </x:c>
      <x:c r="H551" s="129"/>
      <x:c r="I551" s="130" t="n">
        <x:v>78.6</x:v>
      </x:c>
      <x:c r="J551" s="130" t="n">
        <x:v>77.85</x:v>
      </x:c>
      <x:c r="K551" s="130" t="n">
        <x:v>79.35</x:v>
      </x:c>
      <x:c r="L551" s="130" t="n">
        <x:v>78</x:v>
      </x:c>
      <x:c r="M551" s="130" t="n">
        <x:v>78</x:v>
      </x:c>
      <x:c r="N551" s="130" t="n">
        <x:v>78</x:v>
      </x:c>
      <x:c r="O551" s="130" t="n">
        <x:v>77</x:v>
      </x:c>
      <x:c r="P551" s="130" t="n">
        <x:v>78</x:v>
      </x:c>
      <x:c r="Q551" s="130" t="n">
        <x:v>78</x:v>
      </x:c>
      <x:c r="R551" s="130" t="n">
        <x:v>13</x:v>
      </x:c>
      <x:c r="S551" s="128" t="str">
        <x:v>https://arxiv.org/abs/2606.11955</x:v>
      </x:c>
      <x:c r="T551" s="128" t="str">
        <x:v>三轮复核后与原表基本一致</x:v>
      </x:c>
    </x:row>
    <x:row r="552" ht="28" customHeight="1">
      <x:c r="A552" s="129" t="n">
        <x:v>551</x:v>
      </x:c>
      <x:c r="B552" s="129" t="str">
        <x:v>2026-06</x:v>
      </x:c>
      <x:c r="C552" s="129" t="n">
        <x:v>182</x:v>
      </x:c>
      <x:c r="D552" s="129" t="str">
        <x:v>2606.10685</x:v>
      </x:c>
      <x:c r="E552" s="128" t="str">
        <x:v>Dynamical Amrein-Berthier Uncertainty for Fractional Schrodinger Flows</x:v>
      </x:c>
      <x:c r="F552" s="128" t="str">
        <x:v>Piero D'Ancona; Diego Fiorletta</x:v>
      </x:c>
      <x:c r="G552" s="128" t="str">
        <x:v>dispersive PDE</x:v>
      </x:c>
      <x:c r="H552" s="129"/>
      <x:c r="I552" s="130" t="n">
        <x:v>78.6</x:v>
      </x:c>
      <x:c r="J552" s="130" t="n">
        <x:v>77.85</x:v>
      </x:c>
      <x:c r="K552" s="130" t="n">
        <x:v>79.35</x:v>
      </x:c>
      <x:c r="L552" s="130" t="n">
        <x:v>78</x:v>
      </x:c>
      <x:c r="M552" s="130" t="n">
        <x:v>78</x:v>
      </x:c>
      <x:c r="N552" s="130" t="n">
        <x:v>78</x:v>
      </x:c>
      <x:c r="O552" s="130" t="n">
        <x:v>77</x:v>
      </x:c>
      <x:c r="P552" s="130" t="n">
        <x:v>78</x:v>
      </x:c>
      <x:c r="Q552" s="130" t="n">
        <x:v>78</x:v>
      </x:c>
      <x:c r="R552" s="130" t="n">
        <x:v>13</x:v>
      </x:c>
      <x:c r="S552" s="128" t="str">
        <x:v>https://arxiv.org/abs/2606.10685</x:v>
      </x:c>
      <x:c r="T552" s="128" t="str">
        <x:v>三轮复核后与原表基本一致</x:v>
      </x:c>
    </x:row>
    <x:row r="553" ht="28" customHeight="1">
      <x:c r="A553" s="129" t="n">
        <x:v>552</x:v>
      </x:c>
      <x:c r="B553" s="129" t="str">
        <x:v>2026-06</x:v>
      </x:c>
      <x:c r="C553" s="129" t="n">
        <x:v>182</x:v>
      </x:c>
      <x:c r="D553" s="129" t="str">
        <x:v>2606.10590</x:v>
      </x:c>
      <x:c r="E553" s="128" t="str">
        <x:v>Higher integrability for parabolic double phase equations with an improved gap bound</x:v>
      </x:c>
      <x:c r="F553" s="128" t="str">
        <x:v>Abhrojyoti Sen; Jarkko Siltakoski</x:v>
      </x:c>
      <x:c r="G553" s="128" t="str">
        <x:v>analysis/PDE</x:v>
      </x:c>
      <x:c r="H553" s="129" t="n">
        <x:v>40</x:v>
      </x:c>
      <x:c r="I553" s="130" t="n">
        <x:v>78.6</x:v>
      </x:c>
      <x:c r="J553" s="130" t="n">
        <x:v>77.85</x:v>
      </x:c>
      <x:c r="K553" s="130" t="n">
        <x:v>79.35</x:v>
      </x:c>
      <x:c r="L553" s="130" t="n">
        <x:v>78</x:v>
      </x:c>
      <x:c r="M553" s="130" t="n">
        <x:v>78</x:v>
      </x:c>
      <x:c r="N553" s="130" t="n">
        <x:v>78</x:v>
      </x:c>
      <x:c r="O553" s="130" t="n">
        <x:v>77</x:v>
      </x:c>
      <x:c r="P553" s="130" t="n">
        <x:v>78</x:v>
      </x:c>
      <x:c r="Q553" s="130" t="n">
        <x:v>78</x:v>
      </x:c>
      <x:c r="R553" s="130" t="n">
        <x:v>13</x:v>
      </x:c>
      <x:c r="S553" s="128" t="str">
        <x:v>https://arxiv.org/abs/2606.10590</x:v>
      </x:c>
      <x:c r="T553" s="128" t="str">
        <x:v>三轮复核后与原表基本一致</x:v>
      </x:c>
    </x:row>
    <x:row r="554" ht="28" customHeight="1">
      <x:c r="A554" s="129" t="n">
        <x:v>553</x:v>
      </x:c>
      <x:c r="B554" s="129" t="str">
        <x:v>2026-06</x:v>
      </x:c>
      <x:c r="C554" s="129" t="n">
        <x:v>182</x:v>
      </x:c>
      <x:c r="D554" s="129" t="str">
        <x:v>2606.09256</x:v>
      </x:c>
      <x:c r="E554" s="128" t="str">
        <x:v>A sign-changing Poisson kernel for a non-symmetric elliptic operator in a bounded domain</x:v>
      </x:c>
      <x:c r="F554" s="128" t="str">
        <x:v>Seick Kim</x:v>
      </x:c>
      <x:c r="G554" s="128" t="str">
        <x:v>analysis/PDE</x:v>
      </x:c>
      <x:c r="H554" s="129" t="n">
        <x:v>34</x:v>
      </x:c>
      <x:c r="I554" s="130" t="n">
        <x:v>78.6</x:v>
      </x:c>
      <x:c r="J554" s="130" t="n">
        <x:v>77.85</x:v>
      </x:c>
      <x:c r="K554" s="130" t="n">
        <x:v>79.35</x:v>
      </x:c>
      <x:c r="L554" s="130" t="n">
        <x:v>78</x:v>
      </x:c>
      <x:c r="M554" s="130" t="n">
        <x:v>78</x:v>
      </x:c>
      <x:c r="N554" s="130" t="n">
        <x:v>78</x:v>
      </x:c>
      <x:c r="O554" s="130" t="n">
        <x:v>77</x:v>
      </x:c>
      <x:c r="P554" s="130" t="n">
        <x:v>78</x:v>
      </x:c>
      <x:c r="Q554" s="130" t="n">
        <x:v>78</x:v>
      </x:c>
      <x:c r="R554" s="130" t="n">
        <x:v>13</x:v>
      </x:c>
      <x:c r="S554" s="128" t="str">
        <x:v>https://arxiv.org/abs/2606.09256</x:v>
      </x:c>
      <x:c r="T554" s="128" t="str">
        <x:v>三轮复核后与原表基本一致</x:v>
      </x:c>
    </x:row>
    <x:row r="555" ht="28" customHeight="1">
      <x:c r="A555" s="129" t="n">
        <x:v>554</x:v>
      </x:c>
      <x:c r="B555" s="129" t="str">
        <x:v>2026-06</x:v>
      </x:c>
      <x:c r="C555" s="129" t="n">
        <x:v>182</x:v>
      </x:c>
      <x:c r="D555" s="129" t="str">
        <x:v>2606.08222</x:v>
      </x:c>
      <x:c r="E555" s="128" t="str">
        <x:v>On Neumann p-Laplacian Lane-Emden equations and isoperimetric problems</x:v>
      </x:c>
      <x:c r="F555" s="128" t="str">
        <x:v>Sean McCurdy; Alberto Saldana; Delia Schiera</x:v>
      </x:c>
      <x:c r="G555" s="128" t="str">
        <x:v>analysis/PDE</x:v>
      </x:c>
      <x:c r="H555" s="129"/>
      <x:c r="I555" s="130" t="n">
        <x:v>78.6</x:v>
      </x:c>
      <x:c r="J555" s="130" t="n">
        <x:v>77.85</x:v>
      </x:c>
      <x:c r="K555" s="130" t="n">
        <x:v>79.35</x:v>
      </x:c>
      <x:c r="L555" s="130" t="n">
        <x:v>78</x:v>
      </x:c>
      <x:c r="M555" s="130" t="n">
        <x:v>78</x:v>
      </x:c>
      <x:c r="N555" s="130" t="n">
        <x:v>78</x:v>
      </x:c>
      <x:c r="O555" s="130" t="n">
        <x:v>77</x:v>
      </x:c>
      <x:c r="P555" s="130" t="n">
        <x:v>78</x:v>
      </x:c>
      <x:c r="Q555" s="130" t="n">
        <x:v>78</x:v>
      </x:c>
      <x:c r="R555" s="130" t="n">
        <x:v>13</x:v>
      </x:c>
      <x:c r="S555" s="128" t="str">
        <x:v>https://arxiv.org/abs/2606.08222</x:v>
      </x:c>
      <x:c r="T555" s="128" t="str">
        <x:v>三轮复核后与原表基本一致</x:v>
      </x:c>
    </x:row>
    <x:row r="556" ht="28" customHeight="1">
      <x:c r="A556" s="129" t="n">
        <x:v>555</x:v>
      </x:c>
      <x:c r="B556" s="129" t="str">
        <x:v>2026-06</x:v>
      </x:c>
      <x:c r="C556" s="129" t="n">
        <x:v>182</x:v>
      </x:c>
      <x:c r="D556" s="129" t="str">
        <x:v>2606.07786</x:v>
      </x:c>
      <x:c r="E556" s="128" t="str">
        <x:v>Spectral structures of elastic-electromagnetic transmission eigenvalue problems</x:v>
      </x:c>
      <x:c r="F556" s="128" t="str">
        <x:v>Huaian Diao; Xinyu Ding; Yueran Geng; Hongyu Liu</x:v>
      </x:c>
      <x:c r="G556" s="128" t="str">
        <x:v>analysis/PDE</x:v>
      </x:c>
      <x:c r="H556" s="129"/>
      <x:c r="I556" s="130" t="n">
        <x:v>78.6</x:v>
      </x:c>
      <x:c r="J556" s="130" t="n">
        <x:v>77.85</x:v>
      </x:c>
      <x:c r="K556" s="130" t="n">
        <x:v>79.35</x:v>
      </x:c>
      <x:c r="L556" s="130" t="n">
        <x:v>78</x:v>
      </x:c>
      <x:c r="M556" s="130" t="n">
        <x:v>78</x:v>
      </x:c>
      <x:c r="N556" s="130" t="n">
        <x:v>78</x:v>
      </x:c>
      <x:c r="O556" s="130" t="n">
        <x:v>77</x:v>
      </x:c>
      <x:c r="P556" s="130" t="n">
        <x:v>78</x:v>
      </x:c>
      <x:c r="Q556" s="130" t="n">
        <x:v>78</x:v>
      </x:c>
      <x:c r="R556" s="130" t="n">
        <x:v>13</x:v>
      </x:c>
      <x:c r="S556" s="128" t="str">
        <x:v>https://arxiv.org/abs/2606.07786</x:v>
      </x:c>
      <x:c r="T556" s="128" t="str">
        <x:v>三轮复核后与原表基本一致</x:v>
      </x:c>
    </x:row>
    <x:row r="557" ht="28" customHeight="1">
      <x:c r="A557" s="129" t="n">
        <x:v>556</x:v>
      </x:c>
      <x:c r="B557" s="129" t="str">
        <x:v>2026-06</x:v>
      </x:c>
      <x:c r="C557" s="129" t="n">
        <x:v>182</x:v>
      </x:c>
      <x:c r="D557" s="129" t="str">
        <x:v>2606.07767</x:v>
      </x:c>
      <x:c r="E557" s="128" t="str">
        <x:v>Energy maximum principle for vectorial higher order absolute minimisers in L^infty and L^p</x:v>
      </x:c>
      <x:c r="F557" s="128" t="str">
        <x:v>Simone Carano; Nikos Katzourakis; Roger Moser</x:v>
      </x:c>
      <x:c r="G557" s="128" t="str">
        <x:v>analysis/PDE</x:v>
      </x:c>
      <x:c r="H557" s="129"/>
      <x:c r="I557" s="130" t="n">
        <x:v>78.6</x:v>
      </x:c>
      <x:c r="J557" s="130" t="n">
        <x:v>77.85</x:v>
      </x:c>
      <x:c r="K557" s="130" t="n">
        <x:v>79.35</x:v>
      </x:c>
      <x:c r="L557" s="130" t="n">
        <x:v>78</x:v>
      </x:c>
      <x:c r="M557" s="130" t="n">
        <x:v>78</x:v>
      </x:c>
      <x:c r="N557" s="130" t="n">
        <x:v>78</x:v>
      </x:c>
      <x:c r="O557" s="130" t="n">
        <x:v>77</x:v>
      </x:c>
      <x:c r="P557" s="130" t="n">
        <x:v>78</x:v>
      </x:c>
      <x:c r="Q557" s="130" t="n">
        <x:v>78</x:v>
      </x:c>
      <x:c r="R557" s="130" t="n">
        <x:v>13</x:v>
      </x:c>
      <x:c r="S557" s="128" t="str">
        <x:v>https://arxiv.org/abs/2606.07767</x:v>
      </x:c>
      <x:c r="T557" s="128" t="str">
        <x:v>三轮复核后与原表基本一致</x:v>
      </x:c>
    </x:row>
    <x:row r="558" ht="28" customHeight="1">
      <x:c r="A558" s="129" t="n">
        <x:v>557</x:v>
      </x:c>
      <x:c r="B558" s="129" t="str">
        <x:v>2026-06</x:v>
      </x:c>
      <x:c r="C558" s="129" t="n">
        <x:v>182</x:v>
      </x:c>
      <x:c r="D558" s="129" t="str">
        <x:v>2606.06264</x:v>
      </x:c>
      <x:c r="E558" s="128" t="str">
        <x:v>Addendum to Spectral bounds for the operator pencil of an elliptic system in an angle</x:v>
      </x:c>
      <x:c r="F558" s="128" t="str">
        <x:v>Michael Tsopanopoulos</x:v>
      </x:c>
      <x:c r="G558" s="128" t="str">
        <x:v>analysis/PDE</x:v>
      </x:c>
      <x:c r="H558" s="129"/>
      <x:c r="I558" s="130" t="n">
        <x:v>78.6</x:v>
      </x:c>
      <x:c r="J558" s="130" t="n">
        <x:v>77.85</x:v>
      </x:c>
      <x:c r="K558" s="130" t="n">
        <x:v>79.35</x:v>
      </x:c>
      <x:c r="L558" s="130" t="n">
        <x:v>78</x:v>
      </x:c>
      <x:c r="M558" s="130" t="n">
        <x:v>78</x:v>
      </x:c>
      <x:c r="N558" s="130" t="n">
        <x:v>78</x:v>
      </x:c>
      <x:c r="O558" s="130" t="n">
        <x:v>77</x:v>
      </x:c>
      <x:c r="P558" s="130" t="n">
        <x:v>78</x:v>
      </x:c>
      <x:c r="Q558" s="130" t="n">
        <x:v>78</x:v>
      </x:c>
      <x:c r="R558" s="130" t="n">
        <x:v>13</x:v>
      </x:c>
      <x:c r="S558" s="128" t="str">
        <x:v>https://arxiv.org/abs/2606.06264</x:v>
      </x:c>
      <x:c r="T558" s="128" t="str">
        <x:v>三轮复核后与原表基本一致</x:v>
      </x:c>
    </x:row>
    <x:row r="559" ht="28" customHeight="1">
      <x:c r="A559" s="129" t="n">
        <x:v>558</x:v>
      </x:c>
      <x:c r="B559" s="129" t="str">
        <x:v>2026-06</x:v>
      </x:c>
      <x:c r="C559" s="129" t="n">
        <x:v>182</x:v>
      </x:c>
      <x:c r="D559" s="129" t="str">
        <x:v>2606.06172</x:v>
      </x:c>
      <x:c r="E559" s="128" t="str">
        <x:v>Small deformations of a near cylindrical tube for the Canham-Helfrich Energy with applications to biological membranes</x:v>
      </x:c>
      <x:c r="F559" s="128" t="str">
        <x:v>Charles M. Elliott; Carsten Graser; Philip J. Herbert</x:v>
      </x:c>
      <x:c r="G559" s="128" t="str">
        <x:v>analysis/PDE</x:v>
      </x:c>
      <x:c r="H559" s="129"/>
      <x:c r="I559" s="130" t="n">
        <x:v>78.6</x:v>
      </x:c>
      <x:c r="J559" s="130" t="n">
        <x:v>77.85</x:v>
      </x:c>
      <x:c r="K559" s="130" t="n">
        <x:v>79.35</x:v>
      </x:c>
      <x:c r="L559" s="130" t="n">
        <x:v>78</x:v>
      </x:c>
      <x:c r="M559" s="130" t="n">
        <x:v>78</x:v>
      </x:c>
      <x:c r="N559" s="130" t="n">
        <x:v>78</x:v>
      </x:c>
      <x:c r="O559" s="130" t="n">
        <x:v>77</x:v>
      </x:c>
      <x:c r="P559" s="130" t="n">
        <x:v>78</x:v>
      </x:c>
      <x:c r="Q559" s="130" t="n">
        <x:v>78</x:v>
      </x:c>
      <x:c r="R559" s="130" t="n">
        <x:v>13</x:v>
      </x:c>
      <x:c r="S559" s="128" t="str">
        <x:v>https://arxiv.org/abs/2606.06172</x:v>
      </x:c>
      <x:c r="T559" s="128" t="str">
        <x:v>三轮复核后与原表基本一致</x:v>
      </x:c>
    </x:row>
    <x:row r="560" ht="28" customHeight="1">
      <x:c r="A560" s="129" t="n">
        <x:v>559</x:v>
      </x:c>
      <x:c r="B560" s="129" t="str">
        <x:v>2026-06</x:v>
      </x:c>
      <x:c r="C560" s="129" t="n">
        <x:v>182</x:v>
      </x:c>
      <x:c r="D560" s="129" t="str">
        <x:v>2606.06427</x:v>
      </x:c>
      <x:c r="E560" s="128" t="str">
        <x:v>Recovering stable kernels from exterior measurements</x:v>
      </x:c>
      <x:c r="F560" s="128" t="str">
        <x:v>Yi-Hsuan Lin</x:v>
      </x:c>
      <x:c r="G560" s="128" t="str">
        <x:v>analysis/PDE</x:v>
      </x:c>
      <x:c r="H560" s="129" t="n">
        <x:v>22</x:v>
      </x:c>
      <x:c r="I560" s="130" t="n">
        <x:v>78.59</x:v>
      </x:c>
      <x:c r="J560" s="130" t="n">
        <x:v>77.85</x:v>
      </x:c>
      <x:c r="K560" s="130" t="n">
        <x:v>79.33</x:v>
      </x:c>
      <x:c r="L560" s="130" t="n">
        <x:v>78</x:v>
      </x:c>
      <x:c r="M560" s="130" t="n">
        <x:v>78</x:v>
      </x:c>
      <x:c r="N560" s="130" t="n">
        <x:v>78</x:v>
      </x:c>
      <x:c r="O560" s="130" t="n">
        <x:v>77</x:v>
      </x:c>
      <x:c r="P560" s="130" t="n">
        <x:v>78</x:v>
      </x:c>
      <x:c r="Q560" s="130" t="n">
        <x:v>78</x:v>
      </x:c>
      <x:c r="R560" s="130" t="n">
        <x:v>13.1</x:v>
      </x:c>
      <x:c r="S560" s="128" t="str">
        <x:v>https://arxiv.org/abs/2606.06427</x:v>
      </x:c>
      <x:c r="T560" s="128" t="str">
        <x:v>三轮复核后与原表基本一致</x:v>
      </x:c>
    </x:row>
    <x:row r="561" ht="28" customHeight="1">
      <x:c r="A561" s="129" t="n">
        <x:v>560</x:v>
      </x:c>
      <x:c r="B561" s="129" t="str">
        <x:v>2026-06</x:v>
      </x:c>
      <x:c r="C561" s="129" t="n">
        <x:v>182</x:v>
      </x:c>
      <x:c r="D561" s="129" t="str">
        <x:v>2606.07977</x:v>
      </x:c>
      <x:c r="E561" s="128" t="str">
        <x:v>Local Boundedness of Local Minimizers for a Class of Nonlinear Elliptic Systems with General Growth</x:v>
      </x:c>
      <x:c r="F561" s="128" t="str">
        <x:v>Elvira Mascolo; Antonella Nastasi; Cintia Pacchiano Camacho</x:v>
      </x:c>
      <x:c r="G561" s="128" t="str">
        <x:v>elliptic/parabolic regularity</x:v>
      </x:c>
      <x:c r="H561" s="129"/>
      <x:c r="I561" s="130" t="n">
        <x:v>78.59</x:v>
      </x:c>
      <x:c r="J561" s="130" t="n">
        <x:v>77.83</x:v>
      </x:c>
      <x:c r="K561" s="130" t="n">
        <x:v>79.35</x:v>
      </x:c>
      <x:c r="L561" s="130" t="n">
        <x:v>78</x:v>
      </x:c>
      <x:c r="M561" s="130" t="n">
        <x:v>78</x:v>
      </x:c>
      <x:c r="N561" s="130" t="n">
        <x:v>78</x:v>
      </x:c>
      <x:c r="O561" s="130" t="n">
        <x:v>76.9</x:v>
      </x:c>
      <x:c r="P561" s="130" t="n">
        <x:v>78</x:v>
      </x:c>
      <x:c r="Q561" s="130" t="n">
        <x:v>78</x:v>
      </x:c>
      <x:c r="R561" s="130" t="n">
        <x:v>13</x:v>
      </x:c>
      <x:c r="S561" s="128" t="str">
        <x:v>https://arxiv.org/abs/2606.07977</x:v>
      </x:c>
      <x:c r="T561" s="128" t="str">
        <x:v>范围偏专门，广度轻微回调</x:v>
      </x:c>
    </x:row>
    <x:row r="562" ht="28" customHeight="1">
      <x:c r="A562" s="129" t="n">
        <x:v>561</x:v>
      </x:c>
      <x:c r="B562" s="129" t="str">
        <x:v>2026-06</x:v>
      </x:c>
      <x:c r="C562" s="129" t="n">
        <x:v>182</x:v>
      </x:c>
      <x:c r="D562" s="129" t="str">
        <x:v>2606.06677</x:v>
      </x:c>
      <x:c r="E562" s="128" t="str">
        <x:v>Self-improving properties for a class of elliptic and parabolic equations on bounded domains</x:v>
      </x:c>
      <x:c r="F562" s="128" t="str">
        <x:v>Tadele Mengesha; Abner J. Salgado</x:v>
      </x:c>
      <x:c r="G562" s="128" t="str">
        <x:v>analysis/PDE</x:v>
      </x:c>
      <x:c r="H562" s="129"/>
      <x:c r="I562" s="130" t="n">
        <x:v>78.59</x:v>
      </x:c>
      <x:c r="J562" s="130" t="n">
        <x:v>77.83</x:v>
      </x:c>
      <x:c r="K562" s="130" t="n">
        <x:v>79.35</x:v>
      </x:c>
      <x:c r="L562" s="130" t="n">
        <x:v>78</x:v>
      </x:c>
      <x:c r="M562" s="130" t="n">
        <x:v>78</x:v>
      </x:c>
      <x:c r="N562" s="130" t="n">
        <x:v>78</x:v>
      </x:c>
      <x:c r="O562" s="130" t="n">
        <x:v>76.9</x:v>
      </x:c>
      <x:c r="P562" s="130" t="n">
        <x:v>78</x:v>
      </x:c>
      <x:c r="Q562" s="130" t="n">
        <x:v>78</x:v>
      </x:c>
      <x:c r="R562" s="130" t="n">
        <x:v>13</x:v>
      </x:c>
      <x:c r="S562" s="128" t="str">
        <x:v>https://arxiv.org/abs/2606.06677</x:v>
      </x:c>
      <x:c r="T562" s="128" t="str">
        <x:v>范围偏专门，广度轻微回调</x:v>
      </x:c>
    </x:row>
    <x:row r="563" ht="28" customHeight="1">
      <x:c r="A563" s="129" t="n">
        <x:v>562</x:v>
      </x:c>
      <x:c r="B563" s="129" t="str">
        <x:v>2026-06</x:v>
      </x:c>
      <x:c r="C563" s="129" t="n">
        <x:v>182</x:v>
      </x:c>
      <x:c r="D563" s="129" t="str">
        <x:v>2606.08330</x:v>
      </x:c>
      <x:c r="E563" s="128" t="str">
        <x:v>On chain rule and renormalization</x:v>
      </x:c>
      <x:c r="F563" s="128" t="str">
        <x:v>Roman V. Dribas; Nikolay A. Gusev</x:v>
      </x:c>
      <x:c r="G563" s="128" t="str">
        <x:v>analysis/PDE</x:v>
      </x:c>
      <x:c r="H563" s="129" t="n">
        <x:v>12</x:v>
      </x:c>
      <x:c r="I563" s="130" t="n">
        <x:v>78.57</x:v>
      </x:c>
      <x:c r="J563" s="130" t="n">
        <x:v>77.85</x:v>
      </x:c>
      <x:c r="K563" s="130" t="n">
        <x:v>79.3</x:v>
      </x:c>
      <x:c r="L563" s="130" t="n">
        <x:v>78</x:v>
      </x:c>
      <x:c r="M563" s="130" t="n">
        <x:v>78</x:v>
      </x:c>
      <x:c r="N563" s="130" t="n">
        <x:v>78</x:v>
      </x:c>
      <x:c r="O563" s="130" t="n">
        <x:v>77</x:v>
      </x:c>
      <x:c r="P563" s="130" t="n">
        <x:v>78</x:v>
      </x:c>
      <x:c r="Q563" s="130" t="n">
        <x:v>78</x:v>
      </x:c>
      <x:c r="R563" s="130" t="n">
        <x:v>13.3</x:v>
      </x:c>
      <x:c r="S563" s="128" t="str">
        <x:v>https://arxiv.org/abs/2606.08330</x:v>
      </x:c>
      <x:c r="T563" s="128" t="str">
        <x:v>三轮复核后与原表基本一致</x:v>
      </x:c>
    </x:row>
    <x:row r="564" ht="28" customHeight="1">
      <x:c r="A564" s="129" t="n">
        <x:v>563</x:v>
      </x:c>
      <x:c r="B564" s="129" t="str">
        <x:v>2026-06</x:v>
      </x:c>
      <x:c r="C564" s="129" t="n">
        <x:v>182</x:v>
      </x:c>
      <x:c r="D564" s="129" t="str">
        <x:v>2606.07272</x:v>
      </x:c>
      <x:c r="E564" s="128" t="str">
        <x:v>Analysis of a Cahn-Hilliard-Canham-Helfrich system for the evolution of a two-phase membrane</x:v>
      </x:c>
      <x:c r="F564" s="128" t="str">
        <x:v>Harald Garcke; Mathias Wilke</x:v>
      </x:c>
      <x:c r="G564" s="128" t="str">
        <x:v>analysis/PDE</x:v>
      </x:c>
      <x:c r="H564" s="129" t="n">
        <x:v>17</x:v>
      </x:c>
      <x:c r="I564" s="130" t="n">
        <x:v>78.57</x:v>
      </x:c>
      <x:c r="J564" s="130" t="n">
        <x:v>77.85</x:v>
      </x:c>
      <x:c r="K564" s="130" t="n">
        <x:v>79.3</x:v>
      </x:c>
      <x:c r="L564" s="130" t="n">
        <x:v>78</x:v>
      </x:c>
      <x:c r="M564" s="130" t="n">
        <x:v>78</x:v>
      </x:c>
      <x:c r="N564" s="130" t="n">
        <x:v>78</x:v>
      </x:c>
      <x:c r="O564" s="130" t="n">
        <x:v>77</x:v>
      </x:c>
      <x:c r="P564" s="130" t="n">
        <x:v>78</x:v>
      </x:c>
      <x:c r="Q564" s="130" t="n">
        <x:v>78</x:v>
      </x:c>
      <x:c r="R564" s="130" t="n">
        <x:v>13.3</x:v>
      </x:c>
      <x:c r="S564" s="128" t="str">
        <x:v>https://arxiv.org/abs/2606.07272</x:v>
      </x:c>
      <x:c r="T564" s="128" t="str">
        <x:v>三轮复核后与原表基本一致</x:v>
      </x:c>
    </x:row>
    <x:row r="565" ht="28" customHeight="1">
      <x:c r="A565" s="129" t="n">
        <x:v>564</x:v>
      </x:c>
      <x:c r="B565" s="129" t="str">
        <x:v>2026-06</x:v>
      </x:c>
      <x:c r="C565" s="129" t="n">
        <x:v>200</x:v>
      </x:c>
      <x:c r="D565" s="129" t="str">
        <x:v>2606.08650</x:v>
      </x:c>
      <x:c r="E565" s="128" t="str">
        <x:v>Restriction estimates for toral eigenfunctions and lattice points in spherical regions</x:v>
      </x:c>
      <x:c r="F565" s="128" t="str">
        <x:v>Cheng Zhang; Zhifei Zhu</x:v>
      </x:c>
      <x:c r="G565" s="128" t="str">
        <x:v>analysis/PDE</x:v>
      </x:c>
      <x:c r="H565" s="129" t="n">
        <x:v>26</x:v>
      </x:c>
      <x:c r="I565" s="130" t="n">
        <x:v>78.47</x:v>
      </x:c>
      <x:c r="J565" s="130" t="n">
        <x:v>77.8</x:v>
      </x:c>
      <x:c r="K565" s="130" t="n">
        <x:v>79.15</x:v>
      </x:c>
      <x:c r="L565" s="130" t="n">
        <x:v>78</x:v>
      </x:c>
      <x:c r="M565" s="130" t="n">
        <x:v>77</x:v>
      </x:c>
      <x:c r="N565" s="130" t="n">
        <x:v>78</x:v>
      </x:c>
      <x:c r="O565" s="130" t="n">
        <x:v>78</x:v>
      </x:c>
      <x:c r="P565" s="130" t="n">
        <x:v>78</x:v>
      </x:c>
      <x:c r="Q565" s="130" t="n">
        <x:v>78</x:v>
      </x:c>
      <x:c r="R565" s="130" t="n">
        <x:v>13</x:v>
      </x:c>
      <x:c r="S565" s="128" t="str">
        <x:v>https://arxiv.org/abs/2606.08650</x:v>
      </x:c>
      <x:c r="T565" s="128" t="str">
        <x:v>三轮复核后与原表基本一致</x:v>
      </x:c>
    </x:row>
    <x:row r="566" ht="28" customHeight="1">
      <x:c r="A566" s="129" t="n">
        <x:v>565</x:v>
      </x:c>
      <x:c r="B566" s="129" t="str">
        <x:v>2026-06</x:v>
      </x:c>
      <x:c r="C566" s="129" t="n">
        <x:v>200</x:v>
      </x:c>
      <x:c r="D566" s="129" t="str">
        <x:v>2606.08422</x:v>
      </x:c>
      <x:c r="E566" s="128" t="str">
        <x:v>On the equality case in the Brunn-Minkowski inequality for the Monge-Ampere eigenvalue</x:v>
      </x:c>
      <x:c r="F566" s="128" t="str">
        <x:v>Nam Q. Le</x:v>
      </x:c>
      <x:c r="G566" s="128" t="str">
        <x:v>inequalities/function spaces</x:v>
      </x:c>
      <x:c r="H566" s="129"/>
      <x:c r="I566" s="130" t="n">
        <x:v>78.47</x:v>
      </x:c>
      <x:c r="J566" s="130" t="n">
        <x:v>77.8</x:v>
      </x:c>
      <x:c r="K566" s="130" t="n">
        <x:v>79.15</x:v>
      </x:c>
      <x:c r="L566" s="130" t="n">
        <x:v>78</x:v>
      </x:c>
      <x:c r="M566" s="130" t="n">
        <x:v>77</x:v>
      </x:c>
      <x:c r="N566" s="130" t="n">
        <x:v>78</x:v>
      </x:c>
      <x:c r="O566" s="130" t="n">
        <x:v>78</x:v>
      </x:c>
      <x:c r="P566" s="130" t="n">
        <x:v>78</x:v>
      </x:c>
      <x:c r="Q566" s="130" t="n">
        <x:v>78</x:v>
      </x:c>
      <x:c r="R566" s="130" t="n">
        <x:v>13</x:v>
      </x:c>
      <x:c r="S566" s="128" t="str">
        <x:v>https://arxiv.org/abs/2606.08422</x:v>
      </x:c>
      <x:c r="T566" s="128" t="str">
        <x:v>三轮复核后与原表基本一致</x:v>
      </x:c>
    </x:row>
    <x:row r="567" ht="28" customHeight="1">
      <x:c r="A567" s="129" t="n">
        <x:v>566</x:v>
      </x:c>
      <x:c r="B567" s="129" t="str">
        <x:v>2026-06</x:v>
      </x:c>
      <x:c r="C567" s="129" t="n">
        <x:v>200</x:v>
      </x:c>
      <x:c r="D567" s="129" t="str">
        <x:v>2606.08389</x:v>
      </x:c>
      <x:c r="E567" s="128" t="str">
        <x:v>Pointwise arbitrarily high-order interior estimates for mixed local and nonlocal elliptic equations</x:v>
      </x:c>
      <x:c r="F567" s="128" t="str">
        <x:v>Pengyan Wang; Leyun Wu; Chilin Zhang</x:v>
      </x:c>
      <x:c r="G567" s="128" t="str">
        <x:v>analysis/PDE</x:v>
      </x:c>
      <x:c r="H567" s="129"/>
      <x:c r="I567" s="130" t="n">
        <x:v>78.47</x:v>
      </x:c>
      <x:c r="J567" s="130" t="n">
        <x:v>77.8</x:v>
      </x:c>
      <x:c r="K567" s="130" t="n">
        <x:v>79.15</x:v>
      </x:c>
      <x:c r="L567" s="130" t="n">
        <x:v>78</x:v>
      </x:c>
      <x:c r="M567" s="130" t="n">
        <x:v>77</x:v>
      </x:c>
      <x:c r="N567" s="130" t="n">
        <x:v>78</x:v>
      </x:c>
      <x:c r="O567" s="130" t="n">
        <x:v>78</x:v>
      </x:c>
      <x:c r="P567" s="130" t="n">
        <x:v>78</x:v>
      </x:c>
      <x:c r="Q567" s="130" t="n">
        <x:v>78</x:v>
      </x:c>
      <x:c r="R567" s="130" t="n">
        <x:v>13</x:v>
      </x:c>
      <x:c r="S567" s="128" t="str">
        <x:v>https://arxiv.org/abs/2606.08389</x:v>
      </x:c>
      <x:c r="T567" s="128" t="str">
        <x:v>三轮复核后与原表基本一致</x:v>
      </x:c>
    </x:row>
    <x:row r="568" ht="28" customHeight="1">
      <x:c r="A568" s="129" t="n">
        <x:v>567</x:v>
      </x:c>
      <x:c r="B568" s="129" t="str">
        <x:v>2026-06</x:v>
      </x:c>
      <x:c r="C568" s="129" t="n">
        <x:v>203</x:v>
      </x:c>
      <x:c r="D568" s="129" t="str">
        <x:v>2606.22944</x:v>
      </x:c>
      <x:c r="E568" s="128" t="str">
        <x:v>Improved convergence rates and larger initial data for 3D-2D asymptotics of rotating MHD and rotating fluids systems</x:v>
      </x:c>
      <x:c r="F568" s="128" t="str">
        <x:v>Frederic Charve</x:v>
      </x:c>
      <x:c r="G568" s="128" t="str">
        <x:v>fluid/kinetic PDE</x:v>
      </x:c>
      <x:c r="H568" s="129"/>
      <x:c r="I568" s="130" t="n">
        <x:v>78.44</x:v>
      </x:c>
      <x:c r="J568" s="130" t="n">
        <x:v>77.69</x:v>
      </x:c>
      <x:c r="K568" s="130" t="n">
        <x:v>79.2</x:v>
      </x:c>
      <x:c r="L568" s="130" t="n">
        <x:v>78</x:v>
      </x:c>
      <x:c r="M568" s="130" t="n">
        <x:v>77.1</x:v>
      </x:c>
      <x:c r="N568" s="130" t="n">
        <x:v>78</x:v>
      </x:c>
      <x:c r="O568" s="130" t="n">
        <x:v>77.1</x:v>
      </x:c>
      <x:c r="P568" s="130" t="n">
        <x:v>78.1</x:v>
      </x:c>
      <x:c r="Q568" s="130" t="n">
        <x:v>78</x:v>
      </x:c>
      <x:c r="R568" s="130" t="n">
        <x:v>13</x:v>
      </x:c>
      <x:c r="S568" s="128" t="str">
        <x:v>https://arxiv.org/abs/2606.22944</x:v>
      </x:c>
      <x:c r="T568" s="128" t="str">
        <x:v>三轮复核后与原表基本一致</x:v>
      </x:c>
    </x:row>
    <x:row r="569" ht="28" customHeight="1">
      <x:c r="A569" s="129" t="n">
        <x:v>568</x:v>
      </x:c>
      <x:c r="B569" s="129" t="str">
        <x:v>2026-06</x:v>
      </x:c>
      <x:c r="C569" s="129" t="n">
        <x:v>203</x:v>
      </x:c>
      <x:c r="D569" s="129" t="str">
        <x:v>2606.08861</x:v>
      </x:c>
      <x:c r="E569" s="128" t="str">
        <x:v>Boundedness and evolution rates for a quasilinear reaction-diffusion equation</x:v>
      </x:c>
      <x:c r="F569" s="128" t="str">
        <x:v>Razvan Gabriel Iagar; Marta Latorre; Ariel Sanchez</x:v>
      </x:c>
      <x:c r="G569" s="128" t="str">
        <x:v>elliptic/parabolic regularity</x:v>
      </x:c>
      <x:c r="H569" s="129"/>
      <x:c r="I569" s="130" t="n">
        <x:v>78.4</x:v>
      </x:c>
      <x:c r="J569" s="130" t="n">
        <x:v>77.65</x:v>
      </x:c>
      <x:c r="K569" s="130" t="n">
        <x:v>79.15</x:v>
      </x:c>
      <x:c r="L569" s="130" t="n">
        <x:v>78</x:v>
      </x:c>
      <x:c r="M569" s="130" t="n">
        <x:v>77</x:v>
      </x:c>
      <x:c r="N569" s="130" t="n">
        <x:v>78</x:v>
      </x:c>
      <x:c r="O569" s="130" t="n">
        <x:v>77</x:v>
      </x:c>
      <x:c r="P569" s="130" t="n">
        <x:v>78</x:v>
      </x:c>
      <x:c r="Q569" s="130" t="n">
        <x:v>78</x:v>
      </x:c>
      <x:c r="R569" s="130" t="n">
        <x:v>13</x:v>
      </x:c>
      <x:c r="S569" s="128" t="str">
        <x:v>https://arxiv.org/abs/2606.08861</x:v>
      </x:c>
      <x:c r="T569" s="128" t="str">
        <x:v>三轮复核后与原表基本一致</x:v>
      </x:c>
    </x:row>
    <x:row r="570" ht="28" customHeight="1">
      <x:c r="A570" s="129" t="n">
        <x:v>569</x:v>
      </x:c>
      <x:c r="B570" s="129" t="str">
        <x:v>2026-06</x:v>
      </x:c>
      <x:c r="C570" s="129" t="n">
        <x:v>203</x:v>
      </x:c>
      <x:c r="D570" s="129" t="str">
        <x:v>2606.08518</x:v>
      </x:c>
      <x:c r="E570" s="128" t="str">
        <x:v>Moisture Dynamics with Phase Changes in a Compressible Hydrostatic Atmosphere</x:v>
      </x:c>
      <x:c r="F570" s="128" t="str">
        <x:v>Lin Ma; Tarek Zochling</x:v>
      </x:c>
      <x:c r="G570" s="128" t="str">
        <x:v>fluid/kinetic PDE</x:v>
      </x:c>
      <x:c r="H570" s="129"/>
      <x:c r="I570" s="130" t="n">
        <x:v>78.4</x:v>
      </x:c>
      <x:c r="J570" s="130" t="n">
        <x:v>77.65</x:v>
      </x:c>
      <x:c r="K570" s="130" t="n">
        <x:v>79.15</x:v>
      </x:c>
      <x:c r="L570" s="130" t="n">
        <x:v>78</x:v>
      </x:c>
      <x:c r="M570" s="130" t="n">
        <x:v>77</x:v>
      </x:c>
      <x:c r="N570" s="130" t="n">
        <x:v>78</x:v>
      </x:c>
      <x:c r="O570" s="130" t="n">
        <x:v>77</x:v>
      </x:c>
      <x:c r="P570" s="130" t="n">
        <x:v>78</x:v>
      </x:c>
      <x:c r="Q570" s="130" t="n">
        <x:v>78</x:v>
      </x:c>
      <x:c r="R570" s="130" t="n">
        <x:v>13</x:v>
      </x:c>
      <x:c r="S570" s="128" t="str">
        <x:v>https://arxiv.org/abs/2606.08518</x:v>
      </x:c>
      <x:c r="T570" s="128" t="str">
        <x:v>三轮复核后与原表基本一致</x:v>
      </x:c>
    </x:row>
    <x:row r="571" ht="28" customHeight="1">
      <x:c r="A571" s="129" t="n">
        <x:v>570</x:v>
      </x:c>
      <x:c r="B571" s="129" t="str">
        <x:v>2026-06</x:v>
      </x:c>
      <x:c r="C571" s="129" t="n">
        <x:v>203</x:v>
      </x:c>
      <x:c r="D571" s="129" t="str">
        <x:v>2606.08490</x:v>
      </x:c>
      <x:c r="E571" s="128" t="str">
        <x:v>Nonexistence Results for Semilinear Parabolic and Hyperbolic Equations on Metric Graphs</x:v>
      </x:c>
      <x:c r="F571" s="128" t="str">
        <x:v>Yang Liu; Yong Lin; Haohang Zhang</x:v>
      </x:c>
      <x:c r="G571" s="128" t="str">
        <x:v>analysis/PDE</x:v>
      </x:c>
      <x:c r="H571" s="129"/>
      <x:c r="I571" s="130" t="n">
        <x:v>78.4</x:v>
      </x:c>
      <x:c r="J571" s="130" t="n">
        <x:v>77.65</x:v>
      </x:c>
      <x:c r="K571" s="130" t="n">
        <x:v>79.15</x:v>
      </x:c>
      <x:c r="L571" s="130" t="n">
        <x:v>78</x:v>
      </x:c>
      <x:c r="M571" s="130" t="n">
        <x:v>77</x:v>
      </x:c>
      <x:c r="N571" s="130" t="n">
        <x:v>78</x:v>
      </x:c>
      <x:c r="O571" s="130" t="n">
        <x:v>77</x:v>
      </x:c>
      <x:c r="P571" s="130" t="n">
        <x:v>78</x:v>
      </x:c>
      <x:c r="Q571" s="130" t="n">
        <x:v>78</x:v>
      </x:c>
      <x:c r="R571" s="130" t="n">
        <x:v>13</x:v>
      </x:c>
      <x:c r="S571" s="128" t="str">
        <x:v>https://arxiv.org/abs/2606.08490</x:v>
      </x:c>
      <x:c r="T571" s="128" t="str">
        <x:v>三轮复核后与原表基本一致</x:v>
      </x:c>
    </x:row>
    <x:row r="572" ht="28" customHeight="1">
      <x:c r="A572" s="129" t="n">
        <x:v>571</x:v>
      </x:c>
      <x:c r="B572" s="129" t="str">
        <x:v>2026-06</x:v>
      </x:c>
      <x:c r="C572" s="129" t="n">
        <x:v>207</x:v>
      </x:c>
      <x:c r="D572" s="129" t="str">
        <x:v>2606.11093</x:v>
      </x:c>
      <x:c r="E572" s="128" t="str">
        <x:v>Dispersive estimates for wave-type equations with time-dependent damping</x:v>
      </x:c>
      <x:c r="F572" s="128" t="str">
        <x:v>Halit Sevki Aslan; Marcelo Rempel Ebert</x:v>
      </x:c>
      <x:c r="G572" s="128" t="str">
        <x:v>dispersive PDE</x:v>
      </x:c>
      <x:c r="H572" s="129" t="n">
        <x:v>26</x:v>
      </x:c>
      <x:c r="I572" s="130" t="n">
        <x:v>78.18</x:v>
      </x:c>
      <x:c r="J572" s="130" t="n">
        <x:v>77.5</x:v>
      </x:c>
      <x:c r="K572" s="130" t="n">
        <x:v>78.85</x:v>
      </x:c>
      <x:c r="L572" s="130" t="n">
        <x:v>77</x:v>
      </x:c>
      <x:c r="M572" s="130" t="n">
        <x:v>77</x:v>
      </x:c>
      <x:c r="N572" s="130" t="n">
        <x:v>78</x:v>
      </x:c>
      <x:c r="O572" s="130" t="n">
        <x:v>78</x:v>
      </x:c>
      <x:c r="P572" s="130" t="n">
        <x:v>77</x:v>
      </x:c>
      <x:c r="Q572" s="130" t="n">
        <x:v>78</x:v>
      </x:c>
      <x:c r="R572" s="130" t="n">
        <x:v>13</x:v>
      </x:c>
      <x:c r="S572" s="128" t="str">
        <x:v>https://arxiv.org/abs/2606.11093</x:v>
      </x:c>
      <x:c r="T572" s="128" t="str">
        <x:v>三轮复核后与原表基本一致</x:v>
      </x:c>
    </x:row>
    <x:row r="573" ht="28" customHeight="1">
      <x:c r="A573" s="129" t="n">
        <x:v>572</x:v>
      </x:c>
      <x:c r="B573" s="129" t="str">
        <x:v>2026-06</x:v>
      </x:c>
      <x:c r="C573" s="129" t="n">
        <x:v>208</x:v>
      </x:c>
      <x:c r="D573" s="129" t="str">
        <x:v>2606.10131</x:v>
      </x:c>
      <x:c r="E573" s="128" t="str">
        <x:v>Principal eigenvalues, maximum principles and estimates for Lane-Emden related systems in nondivergence form</x:v>
      </x:c>
      <x:c r="F573" s="128" t="str">
        <x:v>Leandro G. Fernandes Jr.; Edir Junior Ferreira Leite</x:v>
      </x:c>
      <x:c r="G573" s="128" t="str">
        <x:v>analysis/PDE</x:v>
      </x:c>
      <x:c r="H573" s="129"/>
      <x:c r="I573" s="130" t="n">
        <x:v>78.1</x:v>
      </x:c>
      <x:c r="J573" s="130" t="n">
        <x:v>77.25</x:v>
      </x:c>
      <x:c r="K573" s="130" t="n">
        <x:v>78.95</x:v>
      </x:c>
      <x:c r="L573" s="130" t="n">
        <x:v>77</x:v>
      </x:c>
      <x:c r="M573" s="130" t="n">
        <x:v>77</x:v>
      </x:c>
      <x:c r="N573" s="130" t="n">
        <x:v>77</x:v>
      </x:c>
      <x:c r="O573" s="130" t="n">
        <x:v>78</x:v>
      </x:c>
      <x:c r="P573" s="130" t="n">
        <x:v>78</x:v>
      </x:c>
      <x:c r="Q573" s="130" t="n">
        <x:v>78</x:v>
      </x:c>
      <x:c r="R573" s="130" t="n">
        <x:v>13</x:v>
      </x:c>
      <x:c r="S573" s="128" t="str">
        <x:v>https://arxiv.org/abs/2606.10131</x:v>
      </x:c>
      <x:c r="T573" s="128" t="str">
        <x:v>三轮复核后与原表基本一致</x:v>
      </x:c>
    </x:row>
    <x:row r="574" ht="28" customHeight="1">
      <x:c r="A574" s="129" t="n">
        <x:v>573</x:v>
      </x:c>
      <x:c r="B574" s="129" t="str">
        <x:v>2026-06</x:v>
      </x:c>
      <x:c r="C574" s="129" t="n">
        <x:v>209</x:v>
      </x:c>
      <x:c r="D574" s="129" t="str">
        <x:v>2606.10687</x:v>
      </x:c>
      <x:c r="E574" s="128" t="str">
        <x:v>Long-wave KdV hierarchy approximation of the NLS hierarchy with nonzero boundary conditions</x:v>
      </x:c>
      <x:c r="F574" s="128" t="str">
        <x:v>Robert Wegner</x:v>
      </x:c>
      <x:c r="G574" s="128" t="str">
        <x:v>dispersive PDE</x:v>
      </x:c>
      <x:c r="H574" s="129"/>
      <x:c r="I574" s="130" t="n">
        <x:v>77.97</x:v>
      </x:c>
      <x:c r="J574" s="130" t="n">
        <x:v>77.1</x:v>
      </x:c>
      <x:c r="K574" s="130" t="n">
        <x:v>78.85</x:v>
      </x:c>
      <x:c r="L574" s="130" t="n">
        <x:v>77</x:v>
      </x:c>
      <x:c r="M574" s="130" t="n">
        <x:v>77</x:v>
      </x:c>
      <x:c r="N574" s="130" t="n">
        <x:v>78</x:v>
      </x:c>
      <x:c r="O574" s="130" t="n">
        <x:v>76</x:v>
      </x:c>
      <x:c r="P574" s="130" t="n">
        <x:v>78</x:v>
      </x:c>
      <x:c r="Q574" s="130" t="n">
        <x:v>77</x:v>
      </x:c>
      <x:c r="R574" s="130" t="n">
        <x:v>14</x:v>
      </x:c>
      <x:c r="S574" s="128" t="str">
        <x:v>https://arxiv.org/abs/2606.10687</x:v>
      </x:c>
      <x:c r="T574" s="128" t="str">
        <x:v>三轮复核后与原表基本一致</x:v>
      </x:c>
    </x:row>
    <x:row r="575" ht="28" customHeight="1">
      <x:c r="A575" s="129" t="n">
        <x:v>574</x:v>
      </x:c>
      <x:c r="B575" s="129" t="str">
        <x:v>2026-06</x:v>
      </x:c>
      <x:c r="C575" s="129" t="n">
        <x:v>210</x:v>
      </x:c>
      <x:c r="D575" s="129" t="str">
        <x:v>2606.28375</x:v>
      </x:c>
      <x:c r="E575" s="128" t="str">
        <x:v>On classification of dynamics for dust fluid under spherical symmetry in Schwarzschild spacetime</x:v>
      </x:c>
      <x:c r="F575" s="128" t="str">
        <x:v>Yifan Liu; Shuang Miao; Changhua Wei</x:v>
      </x:c>
      <x:c r="G575" s="128" t="str">
        <x:v>fluid/kinetic PDE</x:v>
      </x:c>
      <x:c r="H575" s="129" t="n">
        <x:v>30</x:v>
      </x:c>
      <x:c r="I575" s="130" t="n">
        <x:v>77.91</x:v>
      </x:c>
      <x:c r="J575" s="130" t="n">
        <x:v>77.07</x:v>
      </x:c>
      <x:c r="K575" s="130" t="n">
        <x:v>78.75</x:v>
      </x:c>
      <x:c r="L575" s="130" t="n">
        <x:v>77</x:v>
      </x:c>
      <x:c r="M575" s="130" t="n">
        <x:v>78.1</x:v>
      </x:c>
      <x:c r="N575" s="130" t="n">
        <x:v>77</x:v>
      </x:c>
      <x:c r="O575" s="130" t="n">
        <x:v>76</x:v>
      </x:c>
      <x:c r="P575" s="130" t="n">
        <x:v>77.1</x:v>
      </x:c>
      <x:c r="Q575" s="130" t="n">
        <x:v>77</x:v>
      </x:c>
      <x:c r="R575" s="130" t="n">
        <x:v>13</x:v>
      </x:c>
      <x:c r="S575" s="128" t="str">
        <x:v>https://arxiv.org/abs/2606.28375</x:v>
      </x:c>
      <x:c r="T575" s="128" t="str">
        <x:v>范围偏专门，广度轻微回调</x:v>
      </x:c>
    </x:row>
  </x:sheetData>
  <x:conditionalFormatting sqref="A2:T575">
    <x:cfRule type="expression" dxfId="0" priority="1">
      <x:formula>MOD(ROW()-1,2)=1</x:formula>
    </x:cfRule>
  </x:conditionalFormatting>
  <x:pageMargins left="0.7" right="0.7" top="0.75" bottom="0.75" header="0.3" footer="0.3"/>
</x:worksheet>
</file>